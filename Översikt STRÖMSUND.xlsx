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45972</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45972</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45972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45972</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45972</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57844-2022</t>
        </is>
      </c>
      <c r="B14" s="1" t="n">
        <v>44897</v>
      </c>
      <c r="C14" s="1" t="n">
        <v>45972</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47636-2022</t>
        </is>
      </c>
      <c r="B15" s="1" t="n">
        <v>44854</v>
      </c>
      <c r="C15" s="1" t="n">
        <v>45972</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45972</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45972</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45972</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45972</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45972</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45972</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45972</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45972</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45972</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45972</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45972</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40673-2024</t>
        </is>
      </c>
      <c r="B27" s="1" t="n">
        <v>45558</v>
      </c>
      <c r="C27" s="1" t="n">
        <v>45972</v>
      </c>
      <c r="D27" t="inlineStr">
        <is>
          <t>JÄMTLANDS LÄN</t>
        </is>
      </c>
      <c r="E27" t="inlineStr">
        <is>
          <t>STRÖMSUND</t>
        </is>
      </c>
      <c r="G27" t="n">
        <v>7.7</v>
      </c>
      <c r="H27" t="n">
        <v>7</v>
      </c>
      <c r="I27" t="n">
        <v>9</v>
      </c>
      <c r="J27" t="n">
        <v>8</v>
      </c>
      <c r="K27" t="n">
        <v>1</v>
      </c>
      <c r="L27" t="n">
        <v>0</v>
      </c>
      <c r="M27" t="n">
        <v>0</v>
      </c>
      <c r="N27" t="n">
        <v>0</v>
      </c>
      <c r="O27" t="n">
        <v>9</v>
      </c>
      <c r="P27" t="n">
        <v>1</v>
      </c>
      <c r="Q27" t="n">
        <v>18</v>
      </c>
      <c r="R27" s="2" t="inlineStr">
        <is>
          <t>Lappuggla
Garnlav
Granticka
Harticka
Skrovellav
Spillkråka
Tallticka
Talltita
Tretåig hackspett
Bårdlav
Fjällig taggsvamp s.str.
Guckusko
Korallrot
Luddlav
Plattlummer
Rödgul trumpetsvamp
Svavelriska
Trådticka</t>
        </is>
      </c>
      <c r="S27">
        <f>HYPERLINK("https://klasma.github.io/Logging_2313/artfynd/A 40673-2024 artfynd.xlsx", "A 40673-2024")</f>
        <v/>
      </c>
      <c r="T27">
        <f>HYPERLINK("https://klasma.github.io/Logging_2313/kartor/A 40673-2024 karta.png", "A 40673-2024")</f>
        <v/>
      </c>
      <c r="V27">
        <f>HYPERLINK("https://klasma.github.io/Logging_2313/klagomål/A 40673-2024 FSC-klagomål.docx", "A 40673-2024")</f>
        <v/>
      </c>
      <c r="W27">
        <f>HYPERLINK("https://klasma.github.io/Logging_2313/klagomålsmail/A 40673-2024 FSC-klagomål mail.docx", "A 40673-2024")</f>
        <v/>
      </c>
      <c r="X27">
        <f>HYPERLINK("https://klasma.github.io/Logging_2313/tillsyn/A 40673-2024 tillsynsbegäran.docx", "A 40673-2024")</f>
        <v/>
      </c>
      <c r="Y27">
        <f>HYPERLINK("https://klasma.github.io/Logging_2313/tillsynsmail/A 40673-2024 tillsynsbegäran mail.docx", "A 40673-2024")</f>
        <v/>
      </c>
      <c r="Z27">
        <f>HYPERLINK("https://klasma.github.io/Logging_2313/fåglar/A 40673-2024 prioriterade fågelarter.docx", "A 40673-2024")</f>
        <v/>
      </c>
    </row>
    <row r="28" ht="15" customHeight="1">
      <c r="A28" t="inlineStr">
        <is>
          <t>A 2751-2025</t>
        </is>
      </c>
      <c r="B28" s="1" t="n">
        <v>45674</v>
      </c>
      <c r="C28" s="1" t="n">
        <v>45972</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68643-2021</t>
        </is>
      </c>
      <c r="B29" s="1" t="n">
        <v>44529</v>
      </c>
      <c r="C29" s="1" t="n">
        <v>45972</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27999-2025</t>
        </is>
      </c>
      <c r="B30" s="1" t="n">
        <v>45817.59483796296</v>
      </c>
      <c r="C30" s="1" t="n">
        <v>45972</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29563-2025</t>
        </is>
      </c>
      <c r="B31" s="1" t="n">
        <v>45825.36539351852</v>
      </c>
      <c r="C31" s="1" t="n">
        <v>45972</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45972</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45972</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45972</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45972</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45972</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45972</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45972</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45972</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45972</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45972</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45972</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45972</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45972</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65784-2020</t>
        </is>
      </c>
      <c r="B45" s="1" t="n">
        <v>44174</v>
      </c>
      <c r="C45" s="1" t="n">
        <v>45972</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65807-2020</t>
        </is>
      </c>
      <c r="B46" s="1" t="n">
        <v>44174</v>
      </c>
      <c r="C46" s="1" t="n">
        <v>45972</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4866-2024</t>
        </is>
      </c>
      <c r="B47" s="1" t="n">
        <v>45329</v>
      </c>
      <c r="C47" s="1" t="n">
        <v>45972</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24589-2025</t>
        </is>
      </c>
      <c r="B48" s="1" t="n">
        <v>45798.53172453704</v>
      </c>
      <c r="C48" s="1" t="n">
        <v>45972</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22960-2022</t>
        </is>
      </c>
      <c r="B49" s="1" t="n">
        <v>44715.9409837963</v>
      </c>
      <c r="C49" s="1" t="n">
        <v>45972</v>
      </c>
      <c r="D49" t="inlineStr">
        <is>
          <t>JÄMTLANDS LÄN</t>
        </is>
      </c>
      <c r="E49" t="inlineStr">
        <is>
          <t>STRÖMSUND</t>
        </is>
      </c>
      <c r="F49" t="inlineStr">
        <is>
          <t>SCA</t>
        </is>
      </c>
      <c r="G49" t="n">
        <v>11</v>
      </c>
      <c r="H49" t="n">
        <v>2</v>
      </c>
      <c r="I49" t="n">
        <v>1</v>
      </c>
      <c r="J49" t="n">
        <v>10</v>
      </c>
      <c r="K49" t="n">
        <v>1</v>
      </c>
      <c r="L49" t="n">
        <v>0</v>
      </c>
      <c r="M49" t="n">
        <v>0</v>
      </c>
      <c r="N49" t="n">
        <v>0</v>
      </c>
      <c r="O49" t="n">
        <v>11</v>
      </c>
      <c r="P49" t="n">
        <v>1</v>
      </c>
      <c r="Q49" t="n">
        <v>12</v>
      </c>
      <c r="R49" s="2" t="inlineStr">
        <is>
          <t>Fläckporing
Gammelgransskål
Garnlav
Kolflarnlav
Lunglav
Motaggsvamp
Mörk kolflarnlav
Nordtagging
Spillkråka
Tretåig hackspett
Vedskivlav
Dropptaggsvamp</t>
        </is>
      </c>
      <c r="S49">
        <f>HYPERLINK("https://klasma.github.io/Logging_2313/artfynd/A 22960-2022 artfynd.xlsx", "A 22960-2022")</f>
        <v/>
      </c>
      <c r="T49">
        <f>HYPERLINK("https://klasma.github.io/Logging_2313/kartor/A 22960-2022 karta.png", "A 22960-2022")</f>
        <v/>
      </c>
      <c r="V49">
        <f>HYPERLINK("https://klasma.github.io/Logging_2313/klagomål/A 22960-2022 FSC-klagomål.docx", "A 22960-2022")</f>
        <v/>
      </c>
      <c r="W49">
        <f>HYPERLINK("https://klasma.github.io/Logging_2313/klagomålsmail/A 22960-2022 FSC-klagomål mail.docx", "A 22960-2022")</f>
        <v/>
      </c>
      <c r="X49">
        <f>HYPERLINK("https://klasma.github.io/Logging_2313/tillsyn/A 22960-2022 tillsynsbegäran.docx", "A 22960-2022")</f>
        <v/>
      </c>
      <c r="Y49">
        <f>HYPERLINK("https://klasma.github.io/Logging_2313/tillsynsmail/A 22960-2022 tillsynsbegäran mail.docx", "A 22960-2022")</f>
        <v/>
      </c>
      <c r="Z49">
        <f>HYPERLINK("https://klasma.github.io/Logging_2313/fåglar/A 22960-2022 prioriterade fågelarter.docx", "A 22960-2022")</f>
        <v/>
      </c>
    </row>
    <row r="50" ht="15" customHeight="1">
      <c r="A50" t="inlineStr">
        <is>
          <t>A 24299-2023</t>
        </is>
      </c>
      <c r="B50" s="1" t="n">
        <v>45079</v>
      </c>
      <c r="C50" s="1" t="n">
        <v>45972</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45972</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45972</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60327-2023</t>
        </is>
      </c>
      <c r="B53" s="1" t="n">
        <v>45258</v>
      </c>
      <c r="C53" s="1" t="n">
        <v>45972</v>
      </c>
      <c r="D53" t="inlineStr">
        <is>
          <t>JÄMTLANDS LÄN</t>
        </is>
      </c>
      <c r="E53" t="inlineStr">
        <is>
          <t>STRÖMSUND</t>
        </is>
      </c>
      <c r="F53" t="inlineStr">
        <is>
          <t>SCA</t>
        </is>
      </c>
      <c r="G53" t="n">
        <v>14.9</v>
      </c>
      <c r="H53" t="n">
        <v>3</v>
      </c>
      <c r="I53" t="n">
        <v>1</v>
      </c>
      <c r="J53" t="n">
        <v>9</v>
      </c>
      <c r="K53" t="n">
        <v>0</v>
      </c>
      <c r="L53" t="n">
        <v>0</v>
      </c>
      <c r="M53" t="n">
        <v>0</v>
      </c>
      <c r="N53" t="n">
        <v>0</v>
      </c>
      <c r="O53" t="n">
        <v>9</v>
      </c>
      <c r="P53" t="n">
        <v>0</v>
      </c>
      <c r="Q53" t="n">
        <v>11</v>
      </c>
      <c r="R53" s="2" t="inlineStr">
        <is>
          <t>Doftskinn
Garnlav
Granticka
Harticka
Lunglav
Rosenticka
Spillkråka
Tretåig hackspett
Ullticka
Trådticka
Lavskrika</t>
        </is>
      </c>
      <c r="S53">
        <f>HYPERLINK("https://klasma.github.io/Logging_2313/artfynd/A 60327-2023 artfynd.xlsx", "A 60327-2023")</f>
        <v/>
      </c>
      <c r="T53">
        <f>HYPERLINK("https://klasma.github.io/Logging_2313/kartor/A 60327-2023 karta.png", "A 60327-2023")</f>
        <v/>
      </c>
      <c r="V53">
        <f>HYPERLINK("https://klasma.github.io/Logging_2313/klagomål/A 60327-2023 FSC-klagomål.docx", "A 60327-2023")</f>
        <v/>
      </c>
      <c r="W53">
        <f>HYPERLINK("https://klasma.github.io/Logging_2313/klagomålsmail/A 60327-2023 FSC-klagomål mail.docx", "A 60327-2023")</f>
        <v/>
      </c>
      <c r="X53">
        <f>HYPERLINK("https://klasma.github.io/Logging_2313/tillsyn/A 60327-2023 tillsynsbegäran.docx", "A 60327-2023")</f>
        <v/>
      </c>
      <c r="Y53">
        <f>HYPERLINK("https://klasma.github.io/Logging_2313/tillsynsmail/A 60327-2023 tillsynsbegäran mail.docx", "A 60327-2023")</f>
        <v/>
      </c>
      <c r="Z53">
        <f>HYPERLINK("https://klasma.github.io/Logging_2313/fåglar/A 60327-2023 prioriterade fågelarter.docx", "A 60327-2023")</f>
        <v/>
      </c>
    </row>
    <row r="54" ht="15" customHeight="1">
      <c r="A54" t="inlineStr">
        <is>
          <t>A 69641-2020</t>
        </is>
      </c>
      <c r="B54" s="1" t="n">
        <v>44195</v>
      </c>
      <c r="C54" s="1" t="n">
        <v>45972</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43417-2023</t>
        </is>
      </c>
      <c r="B55" s="1" t="n">
        <v>45183.95726851852</v>
      </c>
      <c r="C55" s="1" t="n">
        <v>45972</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1470-2023</t>
        </is>
      </c>
      <c r="B56" s="1" t="n">
        <v>44931</v>
      </c>
      <c r="C56" s="1" t="n">
        <v>45972</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30962-2025</t>
        </is>
      </c>
      <c r="B57" s="1" t="n">
        <v>45832.44847222222</v>
      </c>
      <c r="C57" s="1" t="n">
        <v>45972</v>
      </c>
      <c r="D57" t="inlineStr">
        <is>
          <t>JÄMTLANDS LÄN</t>
        </is>
      </c>
      <c r="E57" t="inlineStr">
        <is>
          <t>STRÖMSUND</t>
        </is>
      </c>
      <c r="F57" t="inlineStr">
        <is>
          <t>SCA</t>
        </is>
      </c>
      <c r="G57" t="n">
        <v>12.2</v>
      </c>
      <c r="H57" t="n">
        <v>4</v>
      </c>
      <c r="I57" t="n">
        <v>2</v>
      </c>
      <c r="J57" t="n">
        <v>7</v>
      </c>
      <c r="K57" t="n">
        <v>0</v>
      </c>
      <c r="L57" t="n">
        <v>0</v>
      </c>
      <c r="M57" t="n">
        <v>0</v>
      </c>
      <c r="N57" t="n">
        <v>0</v>
      </c>
      <c r="O57" t="n">
        <v>7</v>
      </c>
      <c r="P57" t="n">
        <v>0</v>
      </c>
      <c r="Q57" t="n">
        <v>10</v>
      </c>
      <c r="R57" s="2" t="inlineStr">
        <is>
          <t>Garnlav
Lunglav
Rosenticka
Skrovellav
Spillkråka
Talltita
Tretåig hackspett
Gullgröppa
Skinnlav
Lavskrika</t>
        </is>
      </c>
      <c r="S57">
        <f>HYPERLINK("https://klasma.github.io/Logging_2313/artfynd/A 30962-2025 artfynd.xlsx", "A 30962-2025")</f>
        <v/>
      </c>
      <c r="T57">
        <f>HYPERLINK("https://klasma.github.io/Logging_2313/kartor/A 30962-2025 karta.png", "A 30962-2025")</f>
        <v/>
      </c>
      <c r="U57">
        <f>HYPERLINK("https://klasma.github.io/Logging_2313/knärot/A 30962-2025 karta knärot.png", "A 30962-2025")</f>
        <v/>
      </c>
      <c r="V57">
        <f>HYPERLINK("https://klasma.github.io/Logging_2313/klagomål/A 30962-2025 FSC-klagomål.docx", "A 30962-2025")</f>
        <v/>
      </c>
      <c r="W57">
        <f>HYPERLINK("https://klasma.github.io/Logging_2313/klagomålsmail/A 30962-2025 FSC-klagomål mail.docx", "A 30962-2025")</f>
        <v/>
      </c>
      <c r="X57">
        <f>HYPERLINK("https://klasma.github.io/Logging_2313/tillsyn/A 30962-2025 tillsynsbegäran.docx", "A 30962-2025")</f>
        <v/>
      </c>
      <c r="Y57">
        <f>HYPERLINK("https://klasma.github.io/Logging_2313/tillsynsmail/A 30962-2025 tillsynsbegäran mail.docx", "A 30962-2025")</f>
        <v/>
      </c>
      <c r="Z57">
        <f>HYPERLINK("https://klasma.github.io/Logging_2313/fåglar/A 30962-2025 prioriterade fågelarter.docx", "A 30962-2025")</f>
        <v/>
      </c>
    </row>
    <row r="58" ht="15" customHeight="1">
      <c r="A58" t="inlineStr">
        <is>
          <t>A 33542-2021</t>
        </is>
      </c>
      <c r="B58" s="1" t="n">
        <v>44377.92186342592</v>
      </c>
      <c r="C58" s="1" t="n">
        <v>45972</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66118-2020</t>
        </is>
      </c>
      <c r="B59" s="1" t="n">
        <v>44175</v>
      </c>
      <c r="C59" s="1" t="n">
        <v>45972</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45972</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69914-2021</t>
        </is>
      </c>
      <c r="B61" s="1" t="n">
        <v>44532</v>
      </c>
      <c r="C61" s="1" t="n">
        <v>45972</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45972</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33121-2024</t>
        </is>
      </c>
      <c r="B63" s="1" t="n">
        <v>45517.95701388889</v>
      </c>
      <c r="C63" s="1" t="n">
        <v>45972</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1625-2025</t>
        </is>
      </c>
      <c r="B64" s="1" t="n">
        <v>45670</v>
      </c>
      <c r="C64" s="1" t="n">
        <v>45972</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17513-2024</t>
        </is>
      </c>
      <c r="B65" s="1" t="n">
        <v>45415</v>
      </c>
      <c r="C65" s="1" t="n">
        <v>45972</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18948-2023</t>
        </is>
      </c>
      <c r="B66" s="1" t="n">
        <v>45043</v>
      </c>
      <c r="C66" s="1" t="n">
        <v>45972</v>
      </c>
      <c r="D66" t="inlineStr">
        <is>
          <t>JÄMTLANDS LÄN</t>
        </is>
      </c>
      <c r="E66" t="inlineStr">
        <is>
          <t>STRÖMSUND</t>
        </is>
      </c>
      <c r="G66" t="n">
        <v>24.9</v>
      </c>
      <c r="H66" t="n">
        <v>2</v>
      </c>
      <c r="I66" t="n">
        <v>2</v>
      </c>
      <c r="J66" t="n">
        <v>5</v>
      </c>
      <c r="K66" t="n">
        <v>1</v>
      </c>
      <c r="L66" t="n">
        <v>0</v>
      </c>
      <c r="M66" t="n">
        <v>0</v>
      </c>
      <c r="N66" t="n">
        <v>0</v>
      </c>
      <c r="O66" t="n">
        <v>6</v>
      </c>
      <c r="P66" t="n">
        <v>1</v>
      </c>
      <c r="Q66" t="n">
        <v>9</v>
      </c>
      <c r="R66" s="2" t="inlineStr">
        <is>
          <t>Gräddticka
Grantaggsvamp
Granticka
Harticka
Svartvit taggsvamp
Tretåig hackspett
Fjällig taggsvamp s.str.
Skarp dropptaggsvamp
Tjäder</t>
        </is>
      </c>
      <c r="S66">
        <f>HYPERLINK("https://klasma.github.io/Logging_2313/artfynd/A 18948-2023 artfynd.xlsx", "A 18948-2023")</f>
        <v/>
      </c>
      <c r="T66">
        <f>HYPERLINK("https://klasma.github.io/Logging_2313/kartor/A 18948-2023 karta.png", "A 18948-2023")</f>
        <v/>
      </c>
      <c r="V66">
        <f>HYPERLINK("https://klasma.github.io/Logging_2313/klagomål/A 18948-2023 FSC-klagomål.docx", "A 18948-2023")</f>
        <v/>
      </c>
      <c r="W66">
        <f>HYPERLINK("https://klasma.github.io/Logging_2313/klagomålsmail/A 18948-2023 FSC-klagomål mail.docx", "A 18948-2023")</f>
        <v/>
      </c>
      <c r="X66">
        <f>HYPERLINK("https://klasma.github.io/Logging_2313/tillsyn/A 18948-2023 tillsynsbegäran.docx", "A 18948-2023")</f>
        <v/>
      </c>
      <c r="Y66">
        <f>HYPERLINK("https://klasma.github.io/Logging_2313/tillsynsmail/A 18948-2023 tillsynsbegäran mail.docx", "A 18948-2023")</f>
        <v/>
      </c>
      <c r="Z66">
        <f>HYPERLINK("https://klasma.github.io/Logging_2313/fåglar/A 18948-2023 prioriterade fågelarter.docx", "A 18948-2023")</f>
        <v/>
      </c>
    </row>
    <row r="67" ht="15" customHeight="1">
      <c r="A67" t="inlineStr">
        <is>
          <t>A 35959-2025</t>
        </is>
      </c>
      <c r="B67" s="1" t="n">
        <v>45863.34436342592</v>
      </c>
      <c r="C67" s="1" t="n">
        <v>45972</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42236-2021</t>
        </is>
      </c>
      <c r="B68" s="1" t="n">
        <v>44426</v>
      </c>
      <c r="C68" s="1" t="n">
        <v>45972</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37171-2024</t>
        </is>
      </c>
      <c r="B69" s="1" t="n">
        <v>45539</v>
      </c>
      <c r="C69" s="1" t="n">
        <v>45972</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48291-2025</t>
        </is>
      </c>
      <c r="B70" s="1" t="n">
        <v>45933.59506944445</v>
      </c>
      <c r="C70" s="1" t="n">
        <v>45972</v>
      </c>
      <c r="D70" t="inlineStr">
        <is>
          <t>JÄMTLANDS LÄN</t>
        </is>
      </c>
      <c r="E70" t="inlineStr">
        <is>
          <t>STRÖMSUND</t>
        </is>
      </c>
      <c r="G70" t="n">
        <v>11.1</v>
      </c>
      <c r="H70" t="n">
        <v>0</v>
      </c>
      <c r="I70" t="n">
        <v>0</v>
      </c>
      <c r="J70" t="n">
        <v>8</v>
      </c>
      <c r="K70" t="n">
        <v>0</v>
      </c>
      <c r="L70" t="n">
        <v>0</v>
      </c>
      <c r="M70" t="n">
        <v>0</v>
      </c>
      <c r="N70" t="n">
        <v>0</v>
      </c>
      <c r="O70" t="n">
        <v>8</v>
      </c>
      <c r="P70" t="n">
        <v>0</v>
      </c>
      <c r="Q70" t="n">
        <v>8</v>
      </c>
      <c r="R70" s="2" t="inlineStr">
        <is>
          <t>Blanksvart spiklav
Blågrå svartspik
Dvärgbägarlav
Garnlav
Kolflarnlav
Lunglav
Skrovellav
Vedskivlav</t>
        </is>
      </c>
      <c r="S70">
        <f>HYPERLINK("https://klasma.github.io/Logging_2313/artfynd/A 48291-2025 artfynd.xlsx", "A 48291-2025")</f>
        <v/>
      </c>
      <c r="T70">
        <f>HYPERLINK("https://klasma.github.io/Logging_2313/kartor/A 48291-2025 karta.png", "A 48291-2025")</f>
        <v/>
      </c>
      <c r="V70">
        <f>HYPERLINK("https://klasma.github.io/Logging_2313/klagomål/A 48291-2025 FSC-klagomål.docx", "A 48291-2025")</f>
        <v/>
      </c>
      <c r="W70">
        <f>HYPERLINK("https://klasma.github.io/Logging_2313/klagomålsmail/A 48291-2025 FSC-klagomål mail.docx", "A 48291-2025")</f>
        <v/>
      </c>
      <c r="X70">
        <f>HYPERLINK("https://klasma.github.io/Logging_2313/tillsyn/A 48291-2025 tillsynsbegäran.docx", "A 48291-2025")</f>
        <v/>
      </c>
      <c r="Y70">
        <f>HYPERLINK("https://klasma.github.io/Logging_2313/tillsynsmail/A 48291-2025 tillsynsbegäran mail.docx", "A 48291-2025")</f>
        <v/>
      </c>
    </row>
    <row r="71" ht="15" customHeight="1">
      <c r="A71" t="inlineStr">
        <is>
          <t>A 52563-2024</t>
        </is>
      </c>
      <c r="B71" s="1" t="n">
        <v>45609.656875</v>
      </c>
      <c r="C71" s="1" t="n">
        <v>45972</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55921-2023</t>
        </is>
      </c>
      <c r="B72" s="1" t="n">
        <v>45239</v>
      </c>
      <c r="C72" s="1" t="n">
        <v>45972</v>
      </c>
      <c r="D72" t="inlineStr">
        <is>
          <t>JÄMTLANDS LÄN</t>
        </is>
      </c>
      <c r="E72" t="inlineStr">
        <is>
          <t>STRÖMSUND</t>
        </is>
      </c>
      <c r="F72" t="inlineStr">
        <is>
          <t>SCA</t>
        </is>
      </c>
      <c r="G72" t="n">
        <v>6.3</v>
      </c>
      <c r="H72" t="n">
        <v>3</v>
      </c>
      <c r="I72" t="n">
        <v>2</v>
      </c>
      <c r="J72" t="n">
        <v>6</v>
      </c>
      <c r="K72" t="n">
        <v>0</v>
      </c>
      <c r="L72" t="n">
        <v>0</v>
      </c>
      <c r="M72" t="n">
        <v>0</v>
      </c>
      <c r="N72" t="n">
        <v>0</v>
      </c>
      <c r="O72" t="n">
        <v>6</v>
      </c>
      <c r="P72" t="n">
        <v>0</v>
      </c>
      <c r="Q72" t="n">
        <v>8</v>
      </c>
      <c r="R72" s="2" t="inlineStr">
        <is>
          <t>Gammelgransskål
Garnlav
Granticka
Tretåig hackspett
Ullticka
Vitgrynig nållav
Guckusko
Tvåblad</t>
        </is>
      </c>
      <c r="S72">
        <f>HYPERLINK("https://klasma.github.io/Logging_2313/artfynd/A 55921-2023 artfynd.xlsx", "A 55921-2023")</f>
        <v/>
      </c>
      <c r="T72">
        <f>HYPERLINK("https://klasma.github.io/Logging_2313/kartor/A 55921-2023 karta.png", "A 55921-2023")</f>
        <v/>
      </c>
      <c r="V72">
        <f>HYPERLINK("https://klasma.github.io/Logging_2313/klagomål/A 55921-2023 FSC-klagomål.docx", "A 55921-2023")</f>
        <v/>
      </c>
      <c r="W72">
        <f>HYPERLINK("https://klasma.github.io/Logging_2313/klagomålsmail/A 55921-2023 FSC-klagomål mail.docx", "A 55921-2023")</f>
        <v/>
      </c>
      <c r="X72">
        <f>HYPERLINK("https://klasma.github.io/Logging_2313/tillsyn/A 55921-2023 tillsynsbegäran.docx", "A 55921-2023")</f>
        <v/>
      </c>
      <c r="Y72">
        <f>HYPERLINK("https://klasma.github.io/Logging_2313/tillsynsmail/A 55921-2023 tillsynsbegäran mail.docx", "A 55921-2023")</f>
        <v/>
      </c>
      <c r="Z72">
        <f>HYPERLINK("https://klasma.github.io/Logging_2313/fåglar/A 55921-2023 prioriterade fågelarter.docx", "A 55921-2023")</f>
        <v/>
      </c>
    </row>
    <row r="73" ht="15" customHeight="1">
      <c r="A73" t="inlineStr">
        <is>
          <t>A 55922-2023</t>
        </is>
      </c>
      <c r="B73" s="1" t="n">
        <v>45239</v>
      </c>
      <c r="C73" s="1" t="n">
        <v>45972</v>
      </c>
      <c r="D73" t="inlineStr">
        <is>
          <t>JÄMTLANDS LÄN</t>
        </is>
      </c>
      <c r="E73" t="inlineStr">
        <is>
          <t>STRÖMSUND</t>
        </is>
      </c>
      <c r="F73" t="inlineStr">
        <is>
          <t>SCA</t>
        </is>
      </c>
      <c r="G73" t="n">
        <v>5.7</v>
      </c>
      <c r="H73" t="n">
        <v>3</v>
      </c>
      <c r="I73" t="n">
        <v>2</v>
      </c>
      <c r="J73" t="n">
        <v>5</v>
      </c>
      <c r="K73" t="n">
        <v>1</v>
      </c>
      <c r="L73" t="n">
        <v>0</v>
      </c>
      <c r="M73" t="n">
        <v>0</v>
      </c>
      <c r="N73" t="n">
        <v>0</v>
      </c>
      <c r="O73" t="n">
        <v>6</v>
      </c>
      <c r="P73" t="n">
        <v>1</v>
      </c>
      <c r="Q73" t="n">
        <v>8</v>
      </c>
      <c r="R73" s="2" t="inlineStr">
        <is>
          <t>Sprickporing
Granticka
Lunglav
Talltita
Tretåig hackspett
Vitgrynig nållav
Gulnål
Korallrot</t>
        </is>
      </c>
      <c r="S73">
        <f>HYPERLINK("https://klasma.github.io/Logging_2313/artfynd/A 55922-2023 artfynd.xlsx", "A 55922-2023")</f>
        <v/>
      </c>
      <c r="T73">
        <f>HYPERLINK("https://klasma.github.io/Logging_2313/kartor/A 55922-2023 karta.png", "A 55922-2023")</f>
        <v/>
      </c>
      <c r="V73">
        <f>HYPERLINK("https://klasma.github.io/Logging_2313/klagomål/A 55922-2023 FSC-klagomål.docx", "A 55922-2023")</f>
        <v/>
      </c>
      <c r="W73">
        <f>HYPERLINK("https://klasma.github.io/Logging_2313/klagomålsmail/A 55922-2023 FSC-klagomål mail.docx", "A 55922-2023")</f>
        <v/>
      </c>
      <c r="X73">
        <f>HYPERLINK("https://klasma.github.io/Logging_2313/tillsyn/A 55922-2023 tillsynsbegäran.docx", "A 55922-2023")</f>
        <v/>
      </c>
      <c r="Y73">
        <f>HYPERLINK("https://klasma.github.io/Logging_2313/tillsynsmail/A 55922-2023 tillsynsbegäran mail.docx", "A 55922-2023")</f>
        <v/>
      </c>
      <c r="Z73">
        <f>HYPERLINK("https://klasma.github.io/Logging_2313/fåglar/A 55922-2023 prioriterade fågelarter.docx", "A 55922-2023")</f>
        <v/>
      </c>
    </row>
    <row r="74" ht="15" customHeight="1">
      <c r="A74" t="inlineStr">
        <is>
          <t>A 49755-2025</t>
        </is>
      </c>
      <c r="B74" s="1" t="n">
        <v>45940.345625</v>
      </c>
      <c r="C74" s="1" t="n">
        <v>45972</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23313-2025</t>
        </is>
      </c>
      <c r="B75" s="1" t="n">
        <v>45791.61067129629</v>
      </c>
      <c r="C75" s="1" t="n">
        <v>45972</v>
      </c>
      <c r="D75" t="inlineStr">
        <is>
          <t>JÄMTLANDS LÄN</t>
        </is>
      </c>
      <c r="E75" t="inlineStr">
        <is>
          <t>STRÖMSUND</t>
        </is>
      </c>
      <c r="G75" t="n">
        <v>5.8</v>
      </c>
      <c r="H75" t="n">
        <v>8</v>
      </c>
      <c r="I75" t="n">
        <v>0</v>
      </c>
      <c r="J75" t="n">
        <v>3</v>
      </c>
      <c r="K75" t="n">
        <v>0</v>
      </c>
      <c r="L75" t="n">
        <v>1</v>
      </c>
      <c r="M75" t="n">
        <v>0</v>
      </c>
      <c r="N75" t="n">
        <v>0</v>
      </c>
      <c r="O75" t="n">
        <v>4</v>
      </c>
      <c r="P75" t="n">
        <v>1</v>
      </c>
      <c r="Q75" t="n">
        <v>8</v>
      </c>
      <c r="R75" s="2" t="inlineStr">
        <is>
          <t>Storspov
Rödvingetrast
Spillkråka
Ärtsångare
Enkelbeckasin
Grönsiska
Kungsfågel
Orre</t>
        </is>
      </c>
      <c r="S75">
        <f>HYPERLINK("https://klasma.github.io/Logging_2313/artfynd/A 23313-2025 artfynd.xlsx", "A 23313-2025")</f>
        <v/>
      </c>
      <c r="T75">
        <f>HYPERLINK("https://klasma.github.io/Logging_2313/kartor/A 23313-2025 karta.png", "A 23313-2025")</f>
        <v/>
      </c>
      <c r="V75">
        <f>HYPERLINK("https://klasma.github.io/Logging_2313/klagomål/A 23313-2025 FSC-klagomål.docx", "A 23313-2025")</f>
        <v/>
      </c>
      <c r="W75">
        <f>HYPERLINK("https://klasma.github.io/Logging_2313/klagomålsmail/A 23313-2025 FSC-klagomål mail.docx", "A 23313-2025")</f>
        <v/>
      </c>
      <c r="X75">
        <f>HYPERLINK("https://klasma.github.io/Logging_2313/tillsyn/A 23313-2025 tillsynsbegäran.docx", "A 23313-2025")</f>
        <v/>
      </c>
      <c r="Y75">
        <f>HYPERLINK("https://klasma.github.io/Logging_2313/tillsynsmail/A 23313-2025 tillsynsbegäran mail.docx", "A 23313-2025")</f>
        <v/>
      </c>
      <c r="Z75">
        <f>HYPERLINK("https://klasma.github.io/Logging_2313/fåglar/A 23313-2025 prioriterade fågelarter.docx", "A 23313-2025")</f>
        <v/>
      </c>
    </row>
    <row r="76" ht="15" customHeight="1">
      <c r="A76" t="inlineStr">
        <is>
          <t>A 32792-2025</t>
        </is>
      </c>
      <c r="B76" s="1" t="n">
        <v>45839.49021990741</v>
      </c>
      <c r="C76" s="1" t="n">
        <v>45972</v>
      </c>
      <c r="D76" t="inlineStr">
        <is>
          <t>JÄMTLANDS LÄN</t>
        </is>
      </c>
      <c r="E76" t="inlineStr">
        <is>
          <t>STRÖMSUND</t>
        </is>
      </c>
      <c r="F76" t="inlineStr">
        <is>
          <t>SCA</t>
        </is>
      </c>
      <c r="G76" t="n">
        <v>3.8</v>
      </c>
      <c r="H76" t="n">
        <v>0</v>
      </c>
      <c r="I76" t="n">
        <v>0</v>
      </c>
      <c r="J76" t="n">
        <v>7</v>
      </c>
      <c r="K76" t="n">
        <v>1</v>
      </c>
      <c r="L76" t="n">
        <v>0</v>
      </c>
      <c r="M76" t="n">
        <v>0</v>
      </c>
      <c r="N76" t="n">
        <v>0</v>
      </c>
      <c r="O76" t="n">
        <v>8</v>
      </c>
      <c r="P76" t="n">
        <v>1</v>
      </c>
      <c r="Q76" t="n">
        <v>8</v>
      </c>
      <c r="R76" s="2" t="inlineStr">
        <is>
          <t>Blackticka
Gammelgransskål
Garnlav
Granticka
Harticka
Lunglav
Ullticka
Vitgrynig nållav</t>
        </is>
      </c>
      <c r="S76">
        <f>HYPERLINK("https://klasma.github.io/Logging_2313/artfynd/A 32792-2025 artfynd.xlsx", "A 32792-2025")</f>
        <v/>
      </c>
      <c r="T76">
        <f>HYPERLINK("https://klasma.github.io/Logging_2313/kartor/A 32792-2025 karta.png", "A 32792-2025")</f>
        <v/>
      </c>
      <c r="V76">
        <f>HYPERLINK("https://klasma.github.io/Logging_2313/klagomål/A 32792-2025 FSC-klagomål.docx", "A 32792-2025")</f>
        <v/>
      </c>
      <c r="W76">
        <f>HYPERLINK("https://klasma.github.io/Logging_2313/klagomålsmail/A 32792-2025 FSC-klagomål mail.docx", "A 32792-2025")</f>
        <v/>
      </c>
      <c r="X76">
        <f>HYPERLINK("https://klasma.github.io/Logging_2313/tillsyn/A 32792-2025 tillsynsbegäran.docx", "A 32792-2025")</f>
        <v/>
      </c>
      <c r="Y76">
        <f>HYPERLINK("https://klasma.github.io/Logging_2313/tillsynsmail/A 32792-2025 tillsynsbegäran mail.docx", "A 32792-2025")</f>
        <v/>
      </c>
    </row>
    <row r="77" ht="15" customHeight="1">
      <c r="A77" t="inlineStr">
        <is>
          <t>A 36252-2022</t>
        </is>
      </c>
      <c r="B77" s="1" t="n">
        <v>44803</v>
      </c>
      <c r="C77" s="1" t="n">
        <v>45972</v>
      </c>
      <c r="D77" t="inlineStr">
        <is>
          <t>JÄMTLANDS LÄN</t>
        </is>
      </c>
      <c r="E77" t="inlineStr">
        <is>
          <t>STRÖMSUND</t>
        </is>
      </c>
      <c r="F77" t="inlineStr">
        <is>
          <t>Holmen skog AB</t>
        </is>
      </c>
      <c r="G77" t="n">
        <v>5.4</v>
      </c>
      <c r="H77" t="n">
        <v>3</v>
      </c>
      <c r="I77" t="n">
        <v>1</v>
      </c>
      <c r="J77" t="n">
        <v>6</v>
      </c>
      <c r="K77" t="n">
        <v>1</v>
      </c>
      <c r="L77" t="n">
        <v>0</v>
      </c>
      <c r="M77" t="n">
        <v>0</v>
      </c>
      <c r="N77" t="n">
        <v>0</v>
      </c>
      <c r="O77" t="n">
        <v>7</v>
      </c>
      <c r="P77" t="n">
        <v>1</v>
      </c>
      <c r="Q77" t="n">
        <v>8</v>
      </c>
      <c r="R77" s="2" t="inlineStr">
        <is>
          <t>Knärot
Gammelgransskål
Garnlav
Kolflarnlav
Talltita
Tretåig hackspett
Ullticka
Svavelriska</t>
        </is>
      </c>
      <c r="S77">
        <f>HYPERLINK("https://klasma.github.io/Logging_2313/artfynd/A 36252-2022 artfynd.xlsx", "A 36252-2022")</f>
        <v/>
      </c>
      <c r="T77">
        <f>HYPERLINK("https://klasma.github.io/Logging_2313/kartor/A 36252-2022 karta.png", "A 36252-2022")</f>
        <v/>
      </c>
      <c r="U77">
        <f>HYPERLINK("https://klasma.github.io/Logging_2313/knärot/A 36252-2022 karta knärot.png", "A 36252-2022")</f>
        <v/>
      </c>
      <c r="V77">
        <f>HYPERLINK("https://klasma.github.io/Logging_2313/klagomål/A 36252-2022 FSC-klagomål.docx", "A 36252-2022")</f>
        <v/>
      </c>
      <c r="W77">
        <f>HYPERLINK("https://klasma.github.io/Logging_2313/klagomålsmail/A 36252-2022 FSC-klagomål mail.docx", "A 36252-2022")</f>
        <v/>
      </c>
      <c r="X77">
        <f>HYPERLINK("https://klasma.github.io/Logging_2313/tillsyn/A 36252-2022 tillsynsbegäran.docx", "A 36252-2022")</f>
        <v/>
      </c>
      <c r="Y77">
        <f>HYPERLINK("https://klasma.github.io/Logging_2313/tillsynsmail/A 36252-2022 tillsynsbegäran mail.docx", "A 36252-2022")</f>
        <v/>
      </c>
      <c r="Z77">
        <f>HYPERLINK("https://klasma.github.io/Logging_2313/fåglar/A 36252-2022 prioriterade fågelarter.docx", "A 36252-2022")</f>
        <v/>
      </c>
    </row>
    <row r="78" ht="15" customHeight="1">
      <c r="A78" t="inlineStr">
        <is>
          <t>A 14293-2022</t>
        </is>
      </c>
      <c r="B78" s="1" t="n">
        <v>44651</v>
      </c>
      <c r="C78" s="1" t="n">
        <v>45972</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45972</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45972</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53066-2024</t>
        </is>
      </c>
      <c r="B81" s="1" t="n">
        <v>45611.47547453704</v>
      </c>
      <c r="C81" s="1" t="n">
        <v>45972</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20097-2025</t>
        </is>
      </c>
      <c r="B82" s="1" t="n">
        <v>45772</v>
      </c>
      <c r="C82" s="1" t="n">
        <v>45972</v>
      </c>
      <c r="D82" t="inlineStr">
        <is>
          <t>JÄMTLANDS LÄN</t>
        </is>
      </c>
      <c r="E82" t="inlineStr">
        <is>
          <t>STRÖMSUND</t>
        </is>
      </c>
      <c r="G82" t="n">
        <v>17</v>
      </c>
      <c r="H82" t="n">
        <v>0</v>
      </c>
      <c r="I82" t="n">
        <v>0</v>
      </c>
      <c r="J82" t="n">
        <v>5</v>
      </c>
      <c r="K82" t="n">
        <v>2</v>
      </c>
      <c r="L82" t="n">
        <v>0</v>
      </c>
      <c r="M82" t="n">
        <v>0</v>
      </c>
      <c r="N82" t="n">
        <v>0</v>
      </c>
      <c r="O82" t="n">
        <v>7</v>
      </c>
      <c r="P82" t="n">
        <v>2</v>
      </c>
      <c r="Q82" t="n">
        <v>7</v>
      </c>
      <c r="R82" s="2" t="inlineStr">
        <is>
          <t>Amerikansk sönderfallslav
Norsk näverlav
Gammelgransskål
Garnlav
Harticka
Kavernularia
Vitgrynig nållav</t>
        </is>
      </c>
      <c r="S82">
        <f>HYPERLINK("https://klasma.github.io/Logging_2313/artfynd/A 20097-2025 artfynd.xlsx", "A 20097-2025")</f>
        <v/>
      </c>
      <c r="T82">
        <f>HYPERLINK("https://klasma.github.io/Logging_2313/kartor/A 20097-2025 karta.png", "A 20097-2025")</f>
        <v/>
      </c>
      <c r="V82">
        <f>HYPERLINK("https://klasma.github.io/Logging_2313/klagomål/A 20097-2025 FSC-klagomål.docx", "A 20097-2025")</f>
        <v/>
      </c>
      <c r="W82">
        <f>HYPERLINK("https://klasma.github.io/Logging_2313/klagomålsmail/A 20097-2025 FSC-klagomål mail.docx", "A 20097-2025")</f>
        <v/>
      </c>
      <c r="X82">
        <f>HYPERLINK("https://klasma.github.io/Logging_2313/tillsyn/A 20097-2025 tillsynsbegäran.docx", "A 20097-2025")</f>
        <v/>
      </c>
      <c r="Y82">
        <f>HYPERLINK("https://klasma.github.io/Logging_2313/tillsynsmail/A 20097-2025 tillsynsbegäran mail.docx", "A 20097-2025")</f>
        <v/>
      </c>
    </row>
    <row r="83" ht="15" customHeight="1">
      <c r="A83" t="inlineStr">
        <is>
          <t>A 60164-2024</t>
        </is>
      </c>
      <c r="B83" s="1" t="n">
        <v>45642</v>
      </c>
      <c r="C83" s="1" t="n">
        <v>45972</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33890-2025</t>
        </is>
      </c>
      <c r="B84" s="1" t="n">
        <v>45842.57380787037</v>
      </c>
      <c r="C84" s="1" t="n">
        <v>45972</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18789-2025</t>
        </is>
      </c>
      <c r="B85" s="1" t="n">
        <v>45764.34461805555</v>
      </c>
      <c r="C85" s="1" t="n">
        <v>45972</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32417-2025</t>
        </is>
      </c>
      <c r="B86" s="1" t="n">
        <v>45838.34459490741</v>
      </c>
      <c r="C86" s="1" t="n">
        <v>45972</v>
      </c>
      <c r="D86" t="inlineStr">
        <is>
          <t>JÄMTLANDS LÄN</t>
        </is>
      </c>
      <c r="E86" t="inlineStr">
        <is>
          <t>STRÖMSUND</t>
        </is>
      </c>
      <c r="F86" t="inlineStr">
        <is>
          <t>SCA</t>
        </is>
      </c>
      <c r="G86" t="n">
        <v>4.6</v>
      </c>
      <c r="H86" t="n">
        <v>1</v>
      </c>
      <c r="I86" t="n">
        <v>3</v>
      </c>
      <c r="J86" t="n">
        <v>4</v>
      </c>
      <c r="K86" t="n">
        <v>0</v>
      </c>
      <c r="L86" t="n">
        <v>0</v>
      </c>
      <c r="M86" t="n">
        <v>0</v>
      </c>
      <c r="N86" t="n">
        <v>0</v>
      </c>
      <c r="O86" t="n">
        <v>4</v>
      </c>
      <c r="P86" t="n">
        <v>0</v>
      </c>
      <c r="Q86" t="n">
        <v>7</v>
      </c>
      <c r="R86" s="2" t="inlineStr">
        <is>
          <t>Garnlav
Lunglav
Skrovellav
Tretåig hackspett
Gytterlav
Luddlav
Stuplav</t>
        </is>
      </c>
      <c r="S86">
        <f>HYPERLINK("https://klasma.github.io/Logging_2313/artfynd/A 32417-2025 artfynd.xlsx", "A 32417-2025")</f>
        <v/>
      </c>
      <c r="T86">
        <f>HYPERLINK("https://klasma.github.io/Logging_2313/kartor/A 32417-2025 karta.png", "A 32417-2025")</f>
        <v/>
      </c>
      <c r="V86">
        <f>HYPERLINK("https://klasma.github.io/Logging_2313/klagomål/A 32417-2025 FSC-klagomål.docx", "A 32417-2025")</f>
        <v/>
      </c>
      <c r="W86">
        <f>HYPERLINK("https://klasma.github.io/Logging_2313/klagomålsmail/A 32417-2025 FSC-klagomål mail.docx", "A 32417-2025")</f>
        <v/>
      </c>
      <c r="X86">
        <f>HYPERLINK("https://klasma.github.io/Logging_2313/tillsyn/A 32417-2025 tillsynsbegäran.docx", "A 32417-2025")</f>
        <v/>
      </c>
      <c r="Y86">
        <f>HYPERLINK("https://klasma.github.io/Logging_2313/tillsynsmail/A 32417-2025 tillsynsbegäran mail.docx", "A 32417-2025")</f>
        <v/>
      </c>
      <c r="Z86">
        <f>HYPERLINK("https://klasma.github.io/Logging_2313/fåglar/A 32417-2025 prioriterade fågelarter.docx", "A 32417-2025")</f>
        <v/>
      </c>
    </row>
    <row r="87" ht="15" customHeight="1">
      <c r="A87" t="inlineStr">
        <is>
          <t>A 32304-2025</t>
        </is>
      </c>
      <c r="B87" s="1" t="n">
        <v>45835.71910879629</v>
      </c>
      <c r="C87" s="1" t="n">
        <v>45972</v>
      </c>
      <c r="D87" t="inlineStr">
        <is>
          <t>JÄMTLANDS LÄN</t>
        </is>
      </c>
      <c r="E87" t="inlineStr">
        <is>
          <t>STRÖMSUND</t>
        </is>
      </c>
      <c r="F87" t="inlineStr">
        <is>
          <t>SCA</t>
        </is>
      </c>
      <c r="G87" t="n">
        <v>9.4</v>
      </c>
      <c r="H87" t="n">
        <v>3</v>
      </c>
      <c r="I87" t="n">
        <v>1</v>
      </c>
      <c r="J87" t="n">
        <v>3</v>
      </c>
      <c r="K87" t="n">
        <v>3</v>
      </c>
      <c r="L87" t="n">
        <v>0</v>
      </c>
      <c r="M87" t="n">
        <v>0</v>
      </c>
      <c r="N87" t="n">
        <v>0</v>
      </c>
      <c r="O87" t="n">
        <v>6</v>
      </c>
      <c r="P87" t="n">
        <v>3</v>
      </c>
      <c r="Q87" t="n">
        <v>7</v>
      </c>
      <c r="R87" s="2" t="inlineStr">
        <is>
          <t>Fläckporing
Gräddporing
Knärot
Lunglav
Tretåig hackspett
Vedtrappmossa
Guckusko</t>
        </is>
      </c>
      <c r="S87">
        <f>HYPERLINK("https://klasma.github.io/Logging_2313/artfynd/A 32304-2025 artfynd.xlsx", "A 32304-2025")</f>
        <v/>
      </c>
      <c r="T87">
        <f>HYPERLINK("https://klasma.github.io/Logging_2313/kartor/A 32304-2025 karta.png", "A 32304-2025")</f>
        <v/>
      </c>
      <c r="U87">
        <f>HYPERLINK("https://klasma.github.io/Logging_2313/knärot/A 32304-2025 karta knärot.png", "A 32304-2025")</f>
        <v/>
      </c>
      <c r="V87">
        <f>HYPERLINK("https://klasma.github.io/Logging_2313/klagomål/A 32304-2025 FSC-klagomål.docx", "A 32304-2025")</f>
        <v/>
      </c>
      <c r="W87">
        <f>HYPERLINK("https://klasma.github.io/Logging_2313/klagomålsmail/A 32304-2025 FSC-klagomål mail.docx", "A 32304-2025")</f>
        <v/>
      </c>
      <c r="X87">
        <f>HYPERLINK("https://klasma.github.io/Logging_2313/tillsyn/A 32304-2025 tillsynsbegäran.docx", "A 32304-2025")</f>
        <v/>
      </c>
      <c r="Y87">
        <f>HYPERLINK("https://klasma.github.io/Logging_2313/tillsynsmail/A 32304-2025 tillsynsbegäran mail.docx", "A 32304-2025")</f>
        <v/>
      </c>
      <c r="Z87">
        <f>HYPERLINK("https://klasma.github.io/Logging_2313/fåglar/A 32304-2025 prioriterade fågelarter.docx", "A 32304-2025")</f>
        <v/>
      </c>
    </row>
    <row r="88" ht="15" customHeight="1">
      <c r="A88" t="inlineStr">
        <is>
          <t>A 60761-2023</t>
        </is>
      </c>
      <c r="B88" s="1" t="n">
        <v>45259</v>
      </c>
      <c r="C88" s="1" t="n">
        <v>45972</v>
      </c>
      <c r="D88" t="inlineStr">
        <is>
          <t>JÄMTLANDS LÄN</t>
        </is>
      </c>
      <c r="E88" t="inlineStr">
        <is>
          <t>STRÖMSUND</t>
        </is>
      </c>
      <c r="G88" t="n">
        <v>28.1</v>
      </c>
      <c r="H88" t="n">
        <v>2</v>
      </c>
      <c r="I88" t="n">
        <v>0</v>
      </c>
      <c r="J88" t="n">
        <v>6</v>
      </c>
      <c r="K88" t="n">
        <v>0</v>
      </c>
      <c r="L88" t="n">
        <v>0</v>
      </c>
      <c r="M88" t="n">
        <v>0</v>
      </c>
      <c r="N88" t="n">
        <v>0</v>
      </c>
      <c r="O88" t="n">
        <v>6</v>
      </c>
      <c r="P88" t="n">
        <v>0</v>
      </c>
      <c r="Q88" t="n">
        <v>7</v>
      </c>
      <c r="R88" s="2" t="inlineStr">
        <is>
          <t>Garnlav
Granticka
Lunglav
Skrovellav
Tretåig hackspett
Ullticka
Lavskrika</t>
        </is>
      </c>
      <c r="S88">
        <f>HYPERLINK("https://klasma.github.io/Logging_2313/artfynd/A 60761-2023 artfynd.xlsx", "A 60761-2023")</f>
        <v/>
      </c>
      <c r="T88">
        <f>HYPERLINK("https://klasma.github.io/Logging_2313/kartor/A 60761-2023 karta.png", "A 60761-2023")</f>
        <v/>
      </c>
      <c r="V88">
        <f>HYPERLINK("https://klasma.github.io/Logging_2313/klagomål/A 60761-2023 FSC-klagomål.docx", "A 60761-2023")</f>
        <v/>
      </c>
      <c r="W88">
        <f>HYPERLINK("https://klasma.github.io/Logging_2313/klagomålsmail/A 60761-2023 FSC-klagomål mail.docx", "A 60761-2023")</f>
        <v/>
      </c>
      <c r="X88">
        <f>HYPERLINK("https://klasma.github.io/Logging_2313/tillsyn/A 60761-2023 tillsynsbegäran.docx", "A 60761-2023")</f>
        <v/>
      </c>
      <c r="Y88">
        <f>HYPERLINK("https://klasma.github.io/Logging_2313/tillsynsmail/A 60761-2023 tillsynsbegäran mail.docx", "A 60761-2023")</f>
        <v/>
      </c>
      <c r="Z88">
        <f>HYPERLINK("https://klasma.github.io/Logging_2313/fåglar/A 60761-2023 prioriterade fågelarter.docx", "A 60761-2023")</f>
        <v/>
      </c>
    </row>
    <row r="89" ht="15" customHeight="1">
      <c r="A89" t="inlineStr">
        <is>
          <t>A 31480-2025</t>
        </is>
      </c>
      <c r="B89" s="1" t="n">
        <v>45833.57355324074</v>
      </c>
      <c r="C89" s="1" t="n">
        <v>45972</v>
      </c>
      <c r="D89" t="inlineStr">
        <is>
          <t>JÄMTLANDS LÄN</t>
        </is>
      </c>
      <c r="E89" t="inlineStr">
        <is>
          <t>STRÖMSUND</t>
        </is>
      </c>
      <c r="F89" t="inlineStr">
        <is>
          <t>SCA</t>
        </is>
      </c>
      <c r="G89" t="n">
        <v>14</v>
      </c>
      <c r="H89" t="n">
        <v>3</v>
      </c>
      <c r="I89" t="n">
        <v>1</v>
      </c>
      <c r="J89" t="n">
        <v>4</v>
      </c>
      <c r="K89" t="n">
        <v>1</v>
      </c>
      <c r="L89" t="n">
        <v>0</v>
      </c>
      <c r="M89" t="n">
        <v>0</v>
      </c>
      <c r="N89" t="n">
        <v>0</v>
      </c>
      <c r="O89" t="n">
        <v>5</v>
      </c>
      <c r="P89" t="n">
        <v>1</v>
      </c>
      <c r="Q89" t="n">
        <v>7</v>
      </c>
      <c r="R89" s="2" t="inlineStr">
        <is>
          <t>Knärot
Garnlav
Lunglav
Tretåig hackspett
Ullticka
Stuplav
Revlummer</t>
        </is>
      </c>
      <c r="S89">
        <f>HYPERLINK("https://klasma.github.io/Logging_2313/artfynd/A 31480-2025 artfynd.xlsx", "A 31480-2025")</f>
        <v/>
      </c>
      <c r="T89">
        <f>HYPERLINK("https://klasma.github.io/Logging_2313/kartor/A 31480-2025 karta.png", "A 31480-2025")</f>
        <v/>
      </c>
      <c r="U89">
        <f>HYPERLINK("https://klasma.github.io/Logging_2313/knärot/A 31480-2025 karta knärot.png", "A 31480-2025")</f>
        <v/>
      </c>
      <c r="V89">
        <f>HYPERLINK("https://klasma.github.io/Logging_2313/klagomål/A 31480-2025 FSC-klagomål.docx", "A 31480-2025")</f>
        <v/>
      </c>
      <c r="W89">
        <f>HYPERLINK("https://klasma.github.io/Logging_2313/klagomålsmail/A 31480-2025 FSC-klagomål mail.docx", "A 31480-2025")</f>
        <v/>
      </c>
      <c r="X89">
        <f>HYPERLINK("https://klasma.github.io/Logging_2313/tillsyn/A 31480-2025 tillsynsbegäran.docx", "A 31480-2025")</f>
        <v/>
      </c>
      <c r="Y89">
        <f>HYPERLINK("https://klasma.github.io/Logging_2313/tillsynsmail/A 31480-2025 tillsynsbegäran mail.docx", "A 31480-2025")</f>
        <v/>
      </c>
      <c r="Z89">
        <f>HYPERLINK("https://klasma.github.io/Logging_2313/fåglar/A 31480-2025 prioriterade fågelarter.docx", "A 31480-2025")</f>
        <v/>
      </c>
    </row>
    <row r="90" ht="15" customHeight="1">
      <c r="A90" t="inlineStr">
        <is>
          <t>A 29495-2024</t>
        </is>
      </c>
      <c r="B90" s="1" t="n">
        <v>45484</v>
      </c>
      <c r="C90" s="1" t="n">
        <v>45972</v>
      </c>
      <c r="D90" t="inlineStr">
        <is>
          <t>JÄMTLANDS LÄN</t>
        </is>
      </c>
      <c r="E90" t="inlineStr">
        <is>
          <t>STRÖMSUND</t>
        </is>
      </c>
      <c r="F90" t="inlineStr">
        <is>
          <t>Holmen skog AB</t>
        </is>
      </c>
      <c r="G90" t="n">
        <v>5.7</v>
      </c>
      <c r="H90" t="n">
        <v>0</v>
      </c>
      <c r="I90" t="n">
        <v>0</v>
      </c>
      <c r="J90" t="n">
        <v>7</v>
      </c>
      <c r="K90" t="n">
        <v>0</v>
      </c>
      <c r="L90" t="n">
        <v>0</v>
      </c>
      <c r="M90" t="n">
        <v>0</v>
      </c>
      <c r="N90" t="n">
        <v>0</v>
      </c>
      <c r="O90" t="n">
        <v>7</v>
      </c>
      <c r="P90" t="n">
        <v>0</v>
      </c>
      <c r="Q90" t="n">
        <v>7</v>
      </c>
      <c r="R90" s="2" t="inlineStr">
        <is>
          <t>Gammelgransskål
Garnlav
Granticka
Harticka
Kavernularia
Skrovellav
Vitgrynig nållav</t>
        </is>
      </c>
      <c r="S90">
        <f>HYPERLINK("https://klasma.github.io/Logging_2313/artfynd/A 29495-2024 artfynd.xlsx", "A 29495-2024")</f>
        <v/>
      </c>
      <c r="T90">
        <f>HYPERLINK("https://klasma.github.io/Logging_2313/kartor/A 29495-2024 karta.png", "A 29495-2024")</f>
        <v/>
      </c>
      <c r="V90">
        <f>HYPERLINK("https://klasma.github.io/Logging_2313/klagomål/A 29495-2024 FSC-klagomål.docx", "A 29495-2024")</f>
        <v/>
      </c>
      <c r="W90">
        <f>HYPERLINK("https://klasma.github.io/Logging_2313/klagomålsmail/A 29495-2024 FSC-klagomål mail.docx", "A 29495-2024")</f>
        <v/>
      </c>
      <c r="X90">
        <f>HYPERLINK("https://klasma.github.io/Logging_2313/tillsyn/A 29495-2024 tillsynsbegäran.docx", "A 29495-2024")</f>
        <v/>
      </c>
      <c r="Y90">
        <f>HYPERLINK("https://klasma.github.io/Logging_2313/tillsynsmail/A 29495-2024 tillsynsbegäran mail.docx", "A 29495-2024")</f>
        <v/>
      </c>
    </row>
    <row r="91" ht="15" customHeight="1">
      <c r="A91" t="inlineStr">
        <is>
          <t>A 32355-2021</t>
        </is>
      </c>
      <c r="B91" s="1" t="n">
        <v>44371</v>
      </c>
      <c r="C91" s="1" t="n">
        <v>45972</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45972</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36365-2022</t>
        </is>
      </c>
      <c r="B93" s="1" t="n">
        <v>44803</v>
      </c>
      <c r="C93" s="1" t="n">
        <v>45972</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45972</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60741-2022</t>
        </is>
      </c>
      <c r="B95" s="1" t="n">
        <v>44913</v>
      </c>
      <c r="C95" s="1" t="n">
        <v>45972</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27364-2023</t>
        </is>
      </c>
      <c r="B96" s="1" t="n">
        <v>45096</v>
      </c>
      <c r="C96" s="1" t="n">
        <v>45972</v>
      </c>
      <c r="D96" t="inlineStr">
        <is>
          <t>JÄMTLANDS LÄN</t>
        </is>
      </c>
      <c r="E96" t="inlineStr">
        <is>
          <t>STRÖMSUND</t>
        </is>
      </c>
      <c r="F96" t="inlineStr">
        <is>
          <t>SCA</t>
        </is>
      </c>
      <c r="G96" t="n">
        <v>8.300000000000001</v>
      </c>
      <c r="H96" t="n">
        <v>0</v>
      </c>
      <c r="I96" t="n">
        <v>1</v>
      </c>
      <c r="J96" t="n">
        <v>4</v>
      </c>
      <c r="K96" t="n">
        <v>1</v>
      </c>
      <c r="L96" t="n">
        <v>0</v>
      </c>
      <c r="M96" t="n">
        <v>0</v>
      </c>
      <c r="N96" t="n">
        <v>0</v>
      </c>
      <c r="O96" t="n">
        <v>5</v>
      </c>
      <c r="P96" t="n">
        <v>1</v>
      </c>
      <c r="Q96" t="n">
        <v>6</v>
      </c>
      <c r="R96" s="2" t="inlineStr">
        <is>
          <t>Läderlappslav
Garnlav
Harticka
Lunglav
Vitgrynig nållav
Vedticka</t>
        </is>
      </c>
      <c r="S96">
        <f>HYPERLINK("https://klasma.github.io/Logging_2313/artfynd/A 27364-2023 artfynd.xlsx", "A 27364-2023")</f>
        <v/>
      </c>
      <c r="T96">
        <f>HYPERLINK("https://klasma.github.io/Logging_2313/kartor/A 27364-2023 karta.png", "A 27364-2023")</f>
        <v/>
      </c>
      <c r="V96">
        <f>HYPERLINK("https://klasma.github.io/Logging_2313/klagomål/A 27364-2023 FSC-klagomål.docx", "A 27364-2023")</f>
        <v/>
      </c>
      <c r="W96">
        <f>HYPERLINK("https://klasma.github.io/Logging_2313/klagomålsmail/A 27364-2023 FSC-klagomål mail.docx", "A 27364-2023")</f>
        <v/>
      </c>
      <c r="X96">
        <f>HYPERLINK("https://klasma.github.io/Logging_2313/tillsyn/A 27364-2023 tillsynsbegäran.docx", "A 27364-2023")</f>
        <v/>
      </c>
      <c r="Y96">
        <f>HYPERLINK("https://klasma.github.io/Logging_2313/tillsynsmail/A 27364-2023 tillsynsbegäran mail.docx", "A 27364-2023")</f>
        <v/>
      </c>
    </row>
    <row r="97" ht="15" customHeight="1">
      <c r="A97" t="inlineStr">
        <is>
          <t>A 45564-2024</t>
        </is>
      </c>
      <c r="B97" s="1" t="n">
        <v>45579.37072916667</v>
      </c>
      <c r="C97" s="1" t="n">
        <v>45972</v>
      </c>
      <c r="D97" t="inlineStr">
        <is>
          <t>JÄMTLANDS LÄN</t>
        </is>
      </c>
      <c r="E97" t="inlineStr">
        <is>
          <t>STRÖMSUND</t>
        </is>
      </c>
      <c r="F97" t="inlineStr">
        <is>
          <t>Holmen skog AB</t>
        </is>
      </c>
      <c r="G97" t="n">
        <v>4.9</v>
      </c>
      <c r="H97" t="n">
        <v>1</v>
      </c>
      <c r="I97" t="n">
        <v>2</v>
      </c>
      <c r="J97" t="n">
        <v>4</v>
      </c>
      <c r="K97" t="n">
        <v>0</v>
      </c>
      <c r="L97" t="n">
        <v>0</v>
      </c>
      <c r="M97" t="n">
        <v>0</v>
      </c>
      <c r="N97" t="n">
        <v>0</v>
      </c>
      <c r="O97" t="n">
        <v>4</v>
      </c>
      <c r="P97" t="n">
        <v>0</v>
      </c>
      <c r="Q97" t="n">
        <v>6</v>
      </c>
      <c r="R97" s="2" t="inlineStr">
        <is>
          <t>Garnlav
Lunglav
Skrovellav
Tretåig hackspett
Bårdlav
Stuplav</t>
        </is>
      </c>
      <c r="S97">
        <f>HYPERLINK("https://klasma.github.io/Logging_2313/artfynd/A 45564-2024 artfynd.xlsx", "A 45564-2024")</f>
        <v/>
      </c>
      <c r="T97">
        <f>HYPERLINK("https://klasma.github.io/Logging_2313/kartor/A 45564-2024 karta.png", "A 45564-2024")</f>
        <v/>
      </c>
      <c r="V97">
        <f>HYPERLINK("https://klasma.github.io/Logging_2313/klagomål/A 45564-2024 FSC-klagomål.docx", "A 45564-2024")</f>
        <v/>
      </c>
      <c r="W97">
        <f>HYPERLINK("https://klasma.github.io/Logging_2313/klagomålsmail/A 45564-2024 FSC-klagomål mail.docx", "A 45564-2024")</f>
        <v/>
      </c>
      <c r="X97">
        <f>HYPERLINK("https://klasma.github.io/Logging_2313/tillsyn/A 45564-2024 tillsynsbegäran.docx", "A 45564-2024")</f>
        <v/>
      </c>
      <c r="Y97">
        <f>HYPERLINK("https://klasma.github.io/Logging_2313/tillsynsmail/A 45564-2024 tillsynsbegäran mail.docx", "A 45564-2024")</f>
        <v/>
      </c>
      <c r="Z97">
        <f>HYPERLINK("https://klasma.github.io/Logging_2313/fåglar/A 45564-2024 prioriterade fågelarter.docx", "A 45564-2024")</f>
        <v/>
      </c>
    </row>
    <row r="98" ht="15" customHeight="1">
      <c r="A98" t="inlineStr">
        <is>
          <t>A 50212-2025</t>
        </is>
      </c>
      <c r="B98" s="1" t="n">
        <v>45943.67789351852</v>
      </c>
      <c r="C98" s="1" t="n">
        <v>45972</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30233-2022</t>
        </is>
      </c>
      <c r="B99" s="1" t="n">
        <v>44757</v>
      </c>
      <c r="C99" s="1" t="n">
        <v>45972</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49769-2024</t>
        </is>
      </c>
      <c r="B100" s="1" t="n">
        <v>45597.34450231482</v>
      </c>
      <c r="C100" s="1" t="n">
        <v>45972</v>
      </c>
      <c r="D100" t="inlineStr">
        <is>
          <t>JÄMTLANDS LÄN</t>
        </is>
      </c>
      <c r="E100" t="inlineStr">
        <is>
          <t>STRÖMSUND</t>
        </is>
      </c>
      <c r="F100" t="inlineStr">
        <is>
          <t>SCA</t>
        </is>
      </c>
      <c r="G100" t="n">
        <v>9.300000000000001</v>
      </c>
      <c r="H100" t="n">
        <v>0</v>
      </c>
      <c r="I100" t="n">
        <v>2</v>
      </c>
      <c r="J100" t="n">
        <v>4</v>
      </c>
      <c r="K100" t="n">
        <v>0</v>
      </c>
      <c r="L100" t="n">
        <v>0</v>
      </c>
      <c r="M100" t="n">
        <v>0</v>
      </c>
      <c r="N100" t="n">
        <v>0</v>
      </c>
      <c r="O100" t="n">
        <v>4</v>
      </c>
      <c r="P100" t="n">
        <v>0</v>
      </c>
      <c r="Q100" t="n">
        <v>6</v>
      </c>
      <c r="R100" s="2" t="inlineStr">
        <is>
          <t>Gammelgransskål
Garnlav
Lunglav
Violettgrå tagellav
Skinnlav
Stuplav</t>
        </is>
      </c>
      <c r="S100">
        <f>HYPERLINK("https://klasma.github.io/Logging_2313/artfynd/A 49769-2024 artfynd.xlsx", "A 49769-2024")</f>
        <v/>
      </c>
      <c r="T100">
        <f>HYPERLINK("https://klasma.github.io/Logging_2313/kartor/A 49769-2024 karta.png", "A 49769-2024")</f>
        <v/>
      </c>
      <c r="V100">
        <f>HYPERLINK("https://klasma.github.io/Logging_2313/klagomål/A 49769-2024 FSC-klagomål.docx", "A 49769-2024")</f>
        <v/>
      </c>
      <c r="W100">
        <f>HYPERLINK("https://klasma.github.io/Logging_2313/klagomålsmail/A 49769-2024 FSC-klagomål mail.docx", "A 49769-2024")</f>
        <v/>
      </c>
      <c r="X100">
        <f>HYPERLINK("https://klasma.github.io/Logging_2313/tillsyn/A 49769-2024 tillsynsbegäran.docx", "A 49769-2024")</f>
        <v/>
      </c>
      <c r="Y100">
        <f>HYPERLINK("https://klasma.github.io/Logging_2313/tillsynsmail/A 49769-2024 tillsynsbegäran mail.docx", "A 49769-2024")</f>
        <v/>
      </c>
    </row>
    <row r="101" ht="15" customHeight="1">
      <c r="A101" t="inlineStr">
        <is>
          <t>A 26129-2025</t>
        </is>
      </c>
      <c r="B101" s="1" t="n">
        <v>45805.40678240741</v>
      </c>
      <c r="C101" s="1" t="n">
        <v>45972</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51664-2025</t>
        </is>
      </c>
      <c r="B102" s="1" t="n">
        <v>45951.49009259259</v>
      </c>
      <c r="C102" s="1" t="n">
        <v>45972</v>
      </c>
      <c r="D102" t="inlineStr">
        <is>
          <t>JÄMTLANDS LÄN</t>
        </is>
      </c>
      <c r="E102" t="inlineStr">
        <is>
          <t>STRÖMSUND</t>
        </is>
      </c>
      <c r="F102" t="inlineStr">
        <is>
          <t>SCA</t>
        </is>
      </c>
      <c r="G102" t="n">
        <v>9</v>
      </c>
      <c r="H102" t="n">
        <v>2</v>
      </c>
      <c r="I102" t="n">
        <v>1</v>
      </c>
      <c r="J102" t="n">
        <v>3</v>
      </c>
      <c r="K102" t="n">
        <v>1</v>
      </c>
      <c r="L102" t="n">
        <v>0</v>
      </c>
      <c r="M102" t="n">
        <v>0</v>
      </c>
      <c r="N102" t="n">
        <v>0</v>
      </c>
      <c r="O102" t="n">
        <v>4</v>
      </c>
      <c r="P102" t="n">
        <v>1</v>
      </c>
      <c r="Q102" t="n">
        <v>6</v>
      </c>
      <c r="R102" s="2" t="inlineStr">
        <is>
          <t>Norsk näverlav
Gammelgransskål
Garnlav
Skrovellav
Tvåblad
Brudsporre</t>
        </is>
      </c>
      <c r="S102">
        <f>HYPERLINK("https://klasma.github.io/Logging_2313/artfynd/A 51664-2025 artfynd.xlsx", "A 51664-2025")</f>
        <v/>
      </c>
      <c r="T102">
        <f>HYPERLINK("https://klasma.github.io/Logging_2313/kartor/A 51664-2025 karta.png", "A 51664-2025")</f>
        <v/>
      </c>
      <c r="V102">
        <f>HYPERLINK("https://klasma.github.io/Logging_2313/klagomål/A 51664-2025 FSC-klagomål.docx", "A 51664-2025")</f>
        <v/>
      </c>
      <c r="W102">
        <f>HYPERLINK("https://klasma.github.io/Logging_2313/klagomålsmail/A 51664-2025 FSC-klagomål mail.docx", "A 51664-2025")</f>
        <v/>
      </c>
      <c r="X102">
        <f>HYPERLINK("https://klasma.github.io/Logging_2313/tillsyn/A 51664-2025 tillsynsbegäran.docx", "A 51664-2025")</f>
        <v/>
      </c>
      <c r="Y102">
        <f>HYPERLINK("https://klasma.github.io/Logging_2313/tillsynsmail/A 51664-2025 tillsynsbegäran mail.docx", "A 51664-2025")</f>
        <v/>
      </c>
    </row>
    <row r="103" ht="15" customHeight="1">
      <c r="A103" t="inlineStr">
        <is>
          <t>A 65832-2020</t>
        </is>
      </c>
      <c r="B103" s="1" t="n">
        <v>44174</v>
      </c>
      <c r="C103" s="1" t="n">
        <v>45972</v>
      </c>
      <c r="D103" t="inlineStr">
        <is>
          <t>JÄMTLANDS LÄN</t>
        </is>
      </c>
      <c r="E103" t="inlineStr">
        <is>
          <t>STRÖMSUND</t>
        </is>
      </c>
      <c r="F103" t="inlineStr">
        <is>
          <t>Holmen skog AB</t>
        </is>
      </c>
      <c r="G103" t="n">
        <v>42.2</v>
      </c>
      <c r="H103" t="n">
        <v>1</v>
      </c>
      <c r="I103" t="n">
        <v>1</v>
      </c>
      <c r="J103" t="n">
        <v>5</v>
      </c>
      <c r="K103" t="n">
        <v>0</v>
      </c>
      <c r="L103" t="n">
        <v>0</v>
      </c>
      <c r="M103" t="n">
        <v>0</v>
      </c>
      <c r="N103" t="n">
        <v>0</v>
      </c>
      <c r="O103" t="n">
        <v>5</v>
      </c>
      <c r="P103" t="n">
        <v>0</v>
      </c>
      <c r="Q103" t="n">
        <v>6</v>
      </c>
      <c r="R103" s="2" t="inlineStr">
        <is>
          <t>Gränsticka
Harticka
Skrovellav
Tretåig hackspett
Vitgrynig nållav
Gulnål</t>
        </is>
      </c>
      <c r="S103">
        <f>HYPERLINK("https://klasma.github.io/Logging_2313/artfynd/A 65832-2020 artfynd.xlsx", "A 65832-2020")</f>
        <v/>
      </c>
      <c r="T103">
        <f>HYPERLINK("https://klasma.github.io/Logging_2313/kartor/A 65832-2020 karta.png", "A 65832-2020")</f>
        <v/>
      </c>
      <c r="V103">
        <f>HYPERLINK("https://klasma.github.io/Logging_2313/klagomål/A 65832-2020 FSC-klagomål.docx", "A 65832-2020")</f>
        <v/>
      </c>
      <c r="W103">
        <f>HYPERLINK("https://klasma.github.io/Logging_2313/klagomålsmail/A 65832-2020 FSC-klagomål mail.docx", "A 65832-2020")</f>
        <v/>
      </c>
      <c r="X103">
        <f>HYPERLINK("https://klasma.github.io/Logging_2313/tillsyn/A 65832-2020 tillsynsbegäran.docx", "A 65832-2020")</f>
        <v/>
      </c>
      <c r="Y103">
        <f>HYPERLINK("https://klasma.github.io/Logging_2313/tillsynsmail/A 65832-2020 tillsynsbegäran mail.docx", "A 65832-2020")</f>
        <v/>
      </c>
      <c r="Z103">
        <f>HYPERLINK("https://klasma.github.io/Logging_2313/fåglar/A 65832-2020 prioriterade fågelarter.docx", "A 65832-2020")</f>
        <v/>
      </c>
    </row>
    <row r="104" ht="15" customHeight="1">
      <c r="A104" t="inlineStr">
        <is>
          <t>A 34646-2025</t>
        </is>
      </c>
      <c r="B104" s="1" t="n">
        <v>45848.34456018519</v>
      </c>
      <c r="C104" s="1" t="n">
        <v>45972</v>
      </c>
      <c r="D104" t="inlineStr">
        <is>
          <t>JÄMTLANDS LÄN</t>
        </is>
      </c>
      <c r="E104" t="inlineStr">
        <is>
          <t>STRÖMSUND</t>
        </is>
      </c>
      <c r="F104" t="inlineStr">
        <is>
          <t>SCA</t>
        </is>
      </c>
      <c r="G104" t="n">
        <v>26.1</v>
      </c>
      <c r="H104" t="n">
        <v>4</v>
      </c>
      <c r="I104" t="n">
        <v>1</v>
      </c>
      <c r="J104" t="n">
        <v>4</v>
      </c>
      <c r="K104" t="n">
        <v>0</v>
      </c>
      <c r="L104" t="n">
        <v>0</v>
      </c>
      <c r="M104" t="n">
        <v>0</v>
      </c>
      <c r="N104" t="n">
        <v>0</v>
      </c>
      <c r="O104" t="n">
        <v>4</v>
      </c>
      <c r="P104" t="n">
        <v>0</v>
      </c>
      <c r="Q104" t="n">
        <v>6</v>
      </c>
      <c r="R104" s="2" t="inlineStr">
        <is>
          <t>Lunglav
Skrovellav
Spillkråka
Tretåig hackspett
Plattlummer
Lavskrika</t>
        </is>
      </c>
      <c r="S104">
        <f>HYPERLINK("https://klasma.github.io/Logging_2313/artfynd/A 34646-2025 artfynd.xlsx", "A 34646-2025")</f>
        <v/>
      </c>
      <c r="T104">
        <f>HYPERLINK("https://klasma.github.io/Logging_2313/kartor/A 34646-2025 karta.png", "A 34646-2025")</f>
        <v/>
      </c>
      <c r="V104">
        <f>HYPERLINK("https://klasma.github.io/Logging_2313/klagomål/A 34646-2025 FSC-klagomål.docx", "A 34646-2025")</f>
        <v/>
      </c>
      <c r="W104">
        <f>HYPERLINK("https://klasma.github.io/Logging_2313/klagomålsmail/A 34646-2025 FSC-klagomål mail.docx", "A 34646-2025")</f>
        <v/>
      </c>
      <c r="X104">
        <f>HYPERLINK("https://klasma.github.io/Logging_2313/tillsyn/A 34646-2025 tillsynsbegäran.docx", "A 34646-2025")</f>
        <v/>
      </c>
      <c r="Y104">
        <f>HYPERLINK("https://klasma.github.io/Logging_2313/tillsynsmail/A 34646-2025 tillsynsbegäran mail.docx", "A 34646-2025")</f>
        <v/>
      </c>
      <c r="Z104">
        <f>HYPERLINK("https://klasma.github.io/Logging_2313/fåglar/A 34646-2025 prioriterade fågelarter.docx", "A 34646-2025")</f>
        <v/>
      </c>
    </row>
    <row r="105" ht="15" customHeight="1">
      <c r="A105" t="inlineStr">
        <is>
          <t>A 56422-2023</t>
        </is>
      </c>
      <c r="B105" s="1" t="n">
        <v>45237</v>
      </c>
      <c r="C105" s="1" t="n">
        <v>45972</v>
      </c>
      <c r="D105" t="inlineStr">
        <is>
          <t>JÄMTLANDS LÄN</t>
        </is>
      </c>
      <c r="E105" t="inlineStr">
        <is>
          <t>STRÖMSUND</t>
        </is>
      </c>
      <c r="G105" t="n">
        <v>10.1</v>
      </c>
      <c r="H105" t="n">
        <v>0</v>
      </c>
      <c r="I105" t="n">
        <v>0</v>
      </c>
      <c r="J105" t="n">
        <v>3</v>
      </c>
      <c r="K105" t="n">
        <v>2</v>
      </c>
      <c r="L105" t="n">
        <v>1</v>
      </c>
      <c r="M105" t="n">
        <v>0</v>
      </c>
      <c r="N105" t="n">
        <v>0</v>
      </c>
      <c r="O105" t="n">
        <v>6</v>
      </c>
      <c r="P105" t="n">
        <v>3</v>
      </c>
      <c r="Q105" t="n">
        <v>6</v>
      </c>
      <c r="R105" s="2" t="inlineStr">
        <is>
          <t>Trådbrosklav
Liten sotlav
Norsk näverlav
Kavernularia
Lunglav
Skrovellav</t>
        </is>
      </c>
      <c r="S105">
        <f>HYPERLINK("https://klasma.github.io/Logging_2313/artfynd/A 56422-2023 artfynd.xlsx", "A 56422-2023")</f>
        <v/>
      </c>
      <c r="T105">
        <f>HYPERLINK("https://klasma.github.io/Logging_2313/kartor/A 56422-2023 karta.png", "A 56422-2023")</f>
        <v/>
      </c>
      <c r="V105">
        <f>HYPERLINK("https://klasma.github.io/Logging_2313/klagomål/A 56422-2023 FSC-klagomål.docx", "A 56422-2023")</f>
        <v/>
      </c>
      <c r="W105">
        <f>HYPERLINK("https://klasma.github.io/Logging_2313/klagomålsmail/A 56422-2023 FSC-klagomål mail.docx", "A 56422-2023")</f>
        <v/>
      </c>
      <c r="X105">
        <f>HYPERLINK("https://klasma.github.io/Logging_2313/tillsyn/A 56422-2023 tillsynsbegäran.docx", "A 56422-2023")</f>
        <v/>
      </c>
      <c r="Y105">
        <f>HYPERLINK("https://klasma.github.io/Logging_2313/tillsynsmail/A 56422-2023 tillsynsbegäran mail.docx", "A 56422-2023")</f>
        <v/>
      </c>
    </row>
    <row r="106" ht="15" customHeight="1">
      <c r="A106" t="inlineStr">
        <is>
          <t>A 54269-2025</t>
        </is>
      </c>
      <c r="B106" s="1" t="n">
        <v>45964.67756944444</v>
      </c>
      <c r="C106" s="1" t="n">
        <v>45972</v>
      </c>
      <c r="D106" t="inlineStr">
        <is>
          <t>JÄMTLANDS LÄN</t>
        </is>
      </c>
      <c r="E106" t="inlineStr">
        <is>
          <t>STRÖMSUND</t>
        </is>
      </c>
      <c r="F106" t="inlineStr">
        <is>
          <t>SCA</t>
        </is>
      </c>
      <c r="G106" t="n">
        <v>4.8</v>
      </c>
      <c r="H106" t="n">
        <v>0</v>
      </c>
      <c r="I106" t="n">
        <v>3</v>
      </c>
      <c r="J106" t="n">
        <v>3</v>
      </c>
      <c r="K106" t="n">
        <v>0</v>
      </c>
      <c r="L106" t="n">
        <v>0</v>
      </c>
      <c r="M106" t="n">
        <v>0</v>
      </c>
      <c r="N106" t="n">
        <v>0</v>
      </c>
      <c r="O106" t="n">
        <v>3</v>
      </c>
      <c r="P106" t="n">
        <v>0</v>
      </c>
      <c r="Q106" t="n">
        <v>6</v>
      </c>
      <c r="R106" s="2" t="inlineStr">
        <is>
          <t>Gammelgransskål
Granticka
Stjärntagging
Stuplav
Trådticka
Vedticka</t>
        </is>
      </c>
      <c r="S106">
        <f>HYPERLINK("https://klasma.github.io/Logging_2313/artfynd/A 54269-2025 artfynd.xlsx", "A 54269-2025")</f>
        <v/>
      </c>
      <c r="T106">
        <f>HYPERLINK("https://klasma.github.io/Logging_2313/kartor/A 54269-2025 karta.png", "A 54269-2025")</f>
        <v/>
      </c>
      <c r="V106">
        <f>HYPERLINK("https://klasma.github.io/Logging_2313/klagomål/A 54269-2025 FSC-klagomål.docx", "A 54269-2025")</f>
        <v/>
      </c>
      <c r="W106">
        <f>HYPERLINK("https://klasma.github.io/Logging_2313/klagomålsmail/A 54269-2025 FSC-klagomål mail.docx", "A 54269-2025")</f>
        <v/>
      </c>
      <c r="X106">
        <f>HYPERLINK("https://klasma.github.io/Logging_2313/tillsyn/A 54269-2025 tillsynsbegäran.docx", "A 54269-2025")</f>
        <v/>
      </c>
      <c r="Y106">
        <f>HYPERLINK("https://klasma.github.io/Logging_2313/tillsynsmail/A 54269-2025 tillsynsbegäran mail.docx", "A 54269-2025")</f>
        <v/>
      </c>
    </row>
    <row r="107" ht="15" customHeight="1">
      <c r="A107" t="inlineStr">
        <is>
          <t>A 52582-2024</t>
        </is>
      </c>
      <c r="B107" s="1" t="n">
        <v>45609.67738425926</v>
      </c>
      <c r="C107" s="1" t="n">
        <v>45972</v>
      </c>
      <c r="D107" t="inlineStr">
        <is>
          <t>JÄMTLANDS LÄN</t>
        </is>
      </c>
      <c r="E107" t="inlineStr">
        <is>
          <t>STRÖMSUND</t>
        </is>
      </c>
      <c r="F107" t="inlineStr">
        <is>
          <t>SCA</t>
        </is>
      </c>
      <c r="G107" t="n">
        <v>2.5</v>
      </c>
      <c r="H107" t="n">
        <v>2</v>
      </c>
      <c r="I107" t="n">
        <v>1</v>
      </c>
      <c r="J107" t="n">
        <v>4</v>
      </c>
      <c r="K107" t="n">
        <v>1</v>
      </c>
      <c r="L107" t="n">
        <v>0</v>
      </c>
      <c r="M107" t="n">
        <v>0</v>
      </c>
      <c r="N107" t="n">
        <v>0</v>
      </c>
      <c r="O107" t="n">
        <v>5</v>
      </c>
      <c r="P107" t="n">
        <v>1</v>
      </c>
      <c r="Q107" t="n">
        <v>6</v>
      </c>
      <c r="R107" s="2" t="inlineStr">
        <is>
          <t>Knärot
Kolflarnlav
Mörk kolflarnlav
Svart taggsvamp
Tretåig hackspett
Dropptaggsvamp</t>
        </is>
      </c>
      <c r="S107">
        <f>HYPERLINK("https://klasma.github.io/Logging_2313/artfynd/A 52582-2024 artfynd.xlsx", "A 52582-2024")</f>
        <v/>
      </c>
      <c r="T107">
        <f>HYPERLINK("https://klasma.github.io/Logging_2313/kartor/A 52582-2024 karta.png", "A 52582-2024")</f>
        <v/>
      </c>
      <c r="U107">
        <f>HYPERLINK("https://klasma.github.io/Logging_2313/knärot/A 52582-2024 karta knärot.png", "A 52582-2024")</f>
        <v/>
      </c>
      <c r="V107">
        <f>HYPERLINK("https://klasma.github.io/Logging_2313/klagomål/A 52582-2024 FSC-klagomål.docx", "A 52582-2024")</f>
        <v/>
      </c>
      <c r="W107">
        <f>HYPERLINK("https://klasma.github.io/Logging_2313/klagomålsmail/A 52582-2024 FSC-klagomål mail.docx", "A 52582-2024")</f>
        <v/>
      </c>
      <c r="X107">
        <f>HYPERLINK("https://klasma.github.io/Logging_2313/tillsyn/A 52582-2024 tillsynsbegäran.docx", "A 52582-2024")</f>
        <v/>
      </c>
      <c r="Y107">
        <f>HYPERLINK("https://klasma.github.io/Logging_2313/tillsynsmail/A 52582-2024 tillsynsbegäran mail.docx", "A 52582-2024")</f>
        <v/>
      </c>
      <c r="Z107">
        <f>HYPERLINK("https://klasma.github.io/Logging_2313/fåglar/A 52582-2024 prioriterade fågelarter.docx", "A 52582-2024")</f>
        <v/>
      </c>
    </row>
    <row r="108" ht="15" customHeight="1">
      <c r="A108" t="inlineStr">
        <is>
          <t>A 40013-2025</t>
        </is>
      </c>
      <c r="B108" s="1" t="n">
        <v>45894.345</v>
      </c>
      <c r="C108" s="1" t="n">
        <v>45972</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37200-2025</t>
        </is>
      </c>
      <c r="B109" s="1" t="n">
        <v>45875.6778125</v>
      </c>
      <c r="C109" s="1" t="n">
        <v>45972</v>
      </c>
      <c r="D109" t="inlineStr">
        <is>
          <t>JÄMTLANDS LÄN</t>
        </is>
      </c>
      <c r="E109" t="inlineStr">
        <is>
          <t>STRÖMSUND</t>
        </is>
      </c>
      <c r="F109" t="inlineStr">
        <is>
          <t>SCA</t>
        </is>
      </c>
      <c r="G109" t="n">
        <v>5.6</v>
      </c>
      <c r="H109" t="n">
        <v>2</v>
      </c>
      <c r="I109" t="n">
        <v>1</v>
      </c>
      <c r="J109" t="n">
        <v>5</v>
      </c>
      <c r="K109" t="n">
        <v>0</v>
      </c>
      <c r="L109" t="n">
        <v>0</v>
      </c>
      <c r="M109" t="n">
        <v>0</v>
      </c>
      <c r="N109" t="n">
        <v>0</v>
      </c>
      <c r="O109" t="n">
        <v>5</v>
      </c>
      <c r="P109" t="n">
        <v>0</v>
      </c>
      <c r="Q109" t="n">
        <v>6</v>
      </c>
      <c r="R109" s="2" t="inlineStr">
        <is>
          <t>Granticka
Kolflarnlav
Lunglav
Spillkråka
Tretåig hackspett
Dropptaggsvamp</t>
        </is>
      </c>
      <c r="S109">
        <f>HYPERLINK("https://klasma.github.io/Logging_2313/artfynd/A 37200-2025 artfynd.xlsx", "A 37200-2025")</f>
        <v/>
      </c>
      <c r="T109">
        <f>HYPERLINK("https://klasma.github.io/Logging_2313/kartor/A 37200-2025 karta.png", "A 37200-2025")</f>
        <v/>
      </c>
      <c r="V109">
        <f>HYPERLINK("https://klasma.github.io/Logging_2313/klagomål/A 37200-2025 FSC-klagomål.docx", "A 37200-2025")</f>
        <v/>
      </c>
      <c r="W109">
        <f>HYPERLINK("https://klasma.github.io/Logging_2313/klagomålsmail/A 37200-2025 FSC-klagomål mail.docx", "A 37200-2025")</f>
        <v/>
      </c>
      <c r="X109">
        <f>HYPERLINK("https://klasma.github.io/Logging_2313/tillsyn/A 37200-2025 tillsynsbegäran.docx", "A 37200-2025")</f>
        <v/>
      </c>
      <c r="Y109">
        <f>HYPERLINK("https://klasma.github.io/Logging_2313/tillsynsmail/A 37200-2025 tillsynsbegäran mail.docx", "A 37200-2025")</f>
        <v/>
      </c>
      <c r="Z109">
        <f>HYPERLINK("https://klasma.github.io/Logging_2313/fåglar/A 37200-2025 prioriterade fågelarter.docx", "A 37200-2025")</f>
        <v/>
      </c>
    </row>
    <row r="110" ht="15" customHeight="1">
      <c r="A110" t="inlineStr">
        <is>
          <t>A 46723-2025</t>
        </is>
      </c>
      <c r="B110" s="1" t="n">
        <v>45926.58501157408</v>
      </c>
      <c r="C110" s="1" t="n">
        <v>45972</v>
      </c>
      <c r="D110" t="inlineStr">
        <is>
          <t>JÄMTLANDS LÄN</t>
        </is>
      </c>
      <c r="E110" t="inlineStr">
        <is>
          <t>STRÖMSUND</t>
        </is>
      </c>
      <c r="G110" t="n">
        <v>8.5</v>
      </c>
      <c r="H110" t="n">
        <v>6</v>
      </c>
      <c r="I110" t="n">
        <v>1</v>
      </c>
      <c r="J110" t="n">
        <v>3</v>
      </c>
      <c r="K110" t="n">
        <v>0</v>
      </c>
      <c r="L110" t="n">
        <v>0</v>
      </c>
      <c r="M110" t="n">
        <v>0</v>
      </c>
      <c r="N110" t="n">
        <v>0</v>
      </c>
      <c r="O110" t="n">
        <v>3</v>
      </c>
      <c r="P110" t="n">
        <v>0</v>
      </c>
      <c r="Q110" t="n">
        <v>6</v>
      </c>
      <c r="R110" s="2" t="inlineStr">
        <is>
          <t>Grönsångare
Talltita
Tretåig hackspett
Guckusko
Kungsfågel
Fläcknycklar</t>
        </is>
      </c>
      <c r="S110">
        <f>HYPERLINK("https://klasma.github.io/Logging_2313/artfynd/A 46723-2025 artfynd.xlsx", "A 46723-2025")</f>
        <v/>
      </c>
      <c r="T110">
        <f>HYPERLINK("https://klasma.github.io/Logging_2313/kartor/A 46723-2025 karta.png", "A 46723-2025")</f>
        <v/>
      </c>
      <c r="V110">
        <f>HYPERLINK("https://klasma.github.io/Logging_2313/klagomål/A 46723-2025 FSC-klagomål.docx", "A 46723-2025")</f>
        <v/>
      </c>
      <c r="W110">
        <f>HYPERLINK("https://klasma.github.io/Logging_2313/klagomålsmail/A 46723-2025 FSC-klagomål mail.docx", "A 46723-2025")</f>
        <v/>
      </c>
      <c r="X110">
        <f>HYPERLINK("https://klasma.github.io/Logging_2313/tillsyn/A 46723-2025 tillsynsbegäran.docx", "A 46723-2025")</f>
        <v/>
      </c>
      <c r="Y110">
        <f>HYPERLINK("https://klasma.github.io/Logging_2313/tillsynsmail/A 46723-2025 tillsynsbegäran mail.docx", "A 46723-2025")</f>
        <v/>
      </c>
      <c r="Z110">
        <f>HYPERLINK("https://klasma.github.io/Logging_2313/fåglar/A 46723-2025 prioriterade fågelarter.docx", "A 46723-2025")</f>
        <v/>
      </c>
    </row>
    <row r="111" ht="15" customHeight="1">
      <c r="A111" t="inlineStr">
        <is>
          <t>A 22773-2021</t>
        </is>
      </c>
      <c r="B111" s="1" t="n">
        <v>44327</v>
      </c>
      <c r="C111" s="1" t="n">
        <v>45972</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45972</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54582-2022</t>
        </is>
      </c>
      <c r="B113" s="1" t="n">
        <v>44882</v>
      </c>
      <c r="C113" s="1" t="n">
        <v>45972</v>
      </c>
      <c r="D113" t="inlineStr">
        <is>
          <t>JÄMTLANDS LÄN</t>
        </is>
      </c>
      <c r="E113" t="inlineStr">
        <is>
          <t>STRÖMSUND</t>
        </is>
      </c>
      <c r="F113" t="inlineStr">
        <is>
          <t>SCA</t>
        </is>
      </c>
      <c r="G113" t="n">
        <v>10.1</v>
      </c>
      <c r="H113" t="n">
        <v>0</v>
      </c>
      <c r="I113" t="n">
        <v>1</v>
      </c>
      <c r="J113" t="n">
        <v>4</v>
      </c>
      <c r="K113" t="n">
        <v>0</v>
      </c>
      <c r="L113" t="n">
        <v>0</v>
      </c>
      <c r="M113" t="n">
        <v>0</v>
      </c>
      <c r="N113" t="n">
        <v>0</v>
      </c>
      <c r="O113" t="n">
        <v>4</v>
      </c>
      <c r="P113" t="n">
        <v>0</v>
      </c>
      <c r="Q113" t="n">
        <v>5</v>
      </c>
      <c r="R113" s="2" t="inlineStr">
        <is>
          <t>Granticka
Lunglav
Ullticka
Vitgrynig nållav
Dropptaggsvamp</t>
        </is>
      </c>
      <c r="S113">
        <f>HYPERLINK("https://klasma.github.io/Logging_2313/artfynd/A 54582-2022 artfynd.xlsx", "A 54582-2022")</f>
        <v/>
      </c>
      <c r="T113">
        <f>HYPERLINK("https://klasma.github.io/Logging_2313/kartor/A 54582-2022 karta.png", "A 54582-2022")</f>
        <v/>
      </c>
      <c r="V113">
        <f>HYPERLINK("https://klasma.github.io/Logging_2313/klagomål/A 54582-2022 FSC-klagomål.docx", "A 54582-2022")</f>
        <v/>
      </c>
      <c r="W113">
        <f>HYPERLINK("https://klasma.github.io/Logging_2313/klagomålsmail/A 54582-2022 FSC-klagomål mail.docx", "A 54582-2022")</f>
        <v/>
      </c>
      <c r="X113">
        <f>HYPERLINK("https://klasma.github.io/Logging_2313/tillsyn/A 54582-2022 tillsynsbegäran.docx", "A 54582-2022")</f>
        <v/>
      </c>
      <c r="Y113">
        <f>HYPERLINK("https://klasma.github.io/Logging_2313/tillsynsmail/A 54582-2022 tillsynsbegäran mail.docx", "A 54582-2022")</f>
        <v/>
      </c>
    </row>
    <row r="114" ht="15" customHeight="1">
      <c r="A114" t="inlineStr">
        <is>
          <t>A 12196-2022</t>
        </is>
      </c>
      <c r="B114" s="1" t="n">
        <v>44636.94211805556</v>
      </c>
      <c r="C114" s="1" t="n">
        <v>45972</v>
      </c>
      <c r="D114" t="inlineStr">
        <is>
          <t>JÄMTLANDS LÄN</t>
        </is>
      </c>
      <c r="E114" t="inlineStr">
        <is>
          <t>STRÖMSUND</t>
        </is>
      </c>
      <c r="F114" t="inlineStr">
        <is>
          <t>SCA</t>
        </is>
      </c>
      <c r="G114" t="n">
        <v>6.7</v>
      </c>
      <c r="H114" t="n">
        <v>0</v>
      </c>
      <c r="I114" t="n">
        <v>1</v>
      </c>
      <c r="J114" t="n">
        <v>3</v>
      </c>
      <c r="K114" t="n">
        <v>1</v>
      </c>
      <c r="L114" t="n">
        <v>0</v>
      </c>
      <c r="M114" t="n">
        <v>0</v>
      </c>
      <c r="N114" t="n">
        <v>0</v>
      </c>
      <c r="O114" t="n">
        <v>4</v>
      </c>
      <c r="P114" t="n">
        <v>1</v>
      </c>
      <c r="Q114" t="n">
        <v>5</v>
      </c>
      <c r="R114" s="2" t="inlineStr">
        <is>
          <t>Rynkskinn
Garnlav
Rosenticka
Vitgrynig nållav
Kransrams</t>
        </is>
      </c>
      <c r="S114">
        <f>HYPERLINK("https://klasma.github.io/Logging_2313/artfynd/A 12196-2022 artfynd.xlsx", "A 12196-2022")</f>
        <v/>
      </c>
      <c r="T114">
        <f>HYPERLINK("https://klasma.github.io/Logging_2313/kartor/A 12196-2022 karta.png", "A 12196-2022")</f>
        <v/>
      </c>
      <c r="V114">
        <f>HYPERLINK("https://klasma.github.io/Logging_2313/klagomål/A 12196-2022 FSC-klagomål.docx", "A 12196-2022")</f>
        <v/>
      </c>
      <c r="W114">
        <f>HYPERLINK("https://klasma.github.io/Logging_2313/klagomålsmail/A 12196-2022 FSC-klagomål mail.docx", "A 12196-2022")</f>
        <v/>
      </c>
      <c r="X114">
        <f>HYPERLINK("https://klasma.github.io/Logging_2313/tillsyn/A 12196-2022 tillsynsbegäran.docx", "A 12196-2022")</f>
        <v/>
      </c>
      <c r="Y114">
        <f>HYPERLINK("https://klasma.github.io/Logging_2313/tillsynsmail/A 12196-2022 tillsynsbegäran mail.docx", "A 12196-2022")</f>
        <v/>
      </c>
    </row>
    <row r="115" ht="15" customHeight="1">
      <c r="A115" t="inlineStr">
        <is>
          <t>A 33546-2021</t>
        </is>
      </c>
      <c r="B115" s="1" t="n">
        <v>44377</v>
      </c>
      <c r="C115" s="1" t="n">
        <v>45972</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4579-2024</t>
        </is>
      </c>
      <c r="B116" s="1" t="n">
        <v>45327</v>
      </c>
      <c r="C116" s="1" t="n">
        <v>45972</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32277-2021</t>
        </is>
      </c>
      <c r="B117" s="1" t="n">
        <v>44371</v>
      </c>
      <c r="C117" s="1" t="n">
        <v>45972</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58580-2020</t>
        </is>
      </c>
      <c r="B118" s="1" t="n">
        <v>44144</v>
      </c>
      <c r="C118" s="1" t="n">
        <v>45972</v>
      </c>
      <c r="D118" t="inlineStr">
        <is>
          <t>JÄMTLANDS LÄN</t>
        </is>
      </c>
      <c r="E118" t="inlineStr">
        <is>
          <t>STRÖMSUND</t>
        </is>
      </c>
      <c r="G118" t="n">
        <v>74.8</v>
      </c>
      <c r="H118" t="n">
        <v>0</v>
      </c>
      <c r="I118" t="n">
        <v>3</v>
      </c>
      <c r="J118" t="n">
        <v>2</v>
      </c>
      <c r="K118" t="n">
        <v>0</v>
      </c>
      <c r="L118" t="n">
        <v>0</v>
      </c>
      <c r="M118" t="n">
        <v>0</v>
      </c>
      <c r="N118" t="n">
        <v>0</v>
      </c>
      <c r="O118" t="n">
        <v>2</v>
      </c>
      <c r="P118" t="n">
        <v>0</v>
      </c>
      <c r="Q118" t="n">
        <v>5</v>
      </c>
      <c r="R118" s="2" t="inlineStr">
        <is>
          <t>Garnlav
Skrovellav
Gytterlav
Luddlav
Stuplav</t>
        </is>
      </c>
      <c r="S118">
        <f>HYPERLINK("https://klasma.github.io/Logging_2313/artfynd/A 58580-2020 artfynd.xlsx", "A 58580-2020")</f>
        <v/>
      </c>
      <c r="T118">
        <f>HYPERLINK("https://klasma.github.io/Logging_2313/kartor/A 58580-2020 karta.png", "A 58580-2020")</f>
        <v/>
      </c>
      <c r="V118">
        <f>HYPERLINK("https://klasma.github.io/Logging_2313/klagomål/A 58580-2020 FSC-klagomål.docx", "A 58580-2020")</f>
        <v/>
      </c>
      <c r="W118">
        <f>HYPERLINK("https://klasma.github.io/Logging_2313/klagomålsmail/A 58580-2020 FSC-klagomål mail.docx", "A 58580-2020")</f>
        <v/>
      </c>
      <c r="X118">
        <f>HYPERLINK("https://klasma.github.io/Logging_2313/tillsyn/A 58580-2020 tillsynsbegäran.docx", "A 58580-2020")</f>
        <v/>
      </c>
      <c r="Y118">
        <f>HYPERLINK("https://klasma.github.io/Logging_2313/tillsynsmail/A 58580-2020 tillsynsbegäran mail.docx", "A 58580-2020")</f>
        <v/>
      </c>
    </row>
    <row r="119" ht="15" customHeight="1">
      <c r="A119" t="inlineStr">
        <is>
          <t>A 54887-2023</t>
        </is>
      </c>
      <c r="B119" s="1" t="n">
        <v>45236</v>
      </c>
      <c r="C119" s="1" t="n">
        <v>45972</v>
      </c>
      <c r="D119" t="inlineStr">
        <is>
          <t>JÄMTLANDS LÄN</t>
        </is>
      </c>
      <c r="E119" t="inlineStr">
        <is>
          <t>STRÖMSUND</t>
        </is>
      </c>
      <c r="G119" t="n">
        <v>20.9</v>
      </c>
      <c r="H119" t="n">
        <v>1</v>
      </c>
      <c r="I119" t="n">
        <v>2</v>
      </c>
      <c r="J119" t="n">
        <v>2</v>
      </c>
      <c r="K119" t="n">
        <v>0</v>
      </c>
      <c r="L119" t="n">
        <v>0</v>
      </c>
      <c r="M119" t="n">
        <v>0</v>
      </c>
      <c r="N119" t="n">
        <v>0</v>
      </c>
      <c r="O119" t="n">
        <v>2</v>
      </c>
      <c r="P119" t="n">
        <v>0</v>
      </c>
      <c r="Q119" t="n">
        <v>5</v>
      </c>
      <c r="R119" s="2" t="inlineStr">
        <is>
          <t>Garnlav
Harticka
Finbräken
Kransrams
Blåsippa</t>
        </is>
      </c>
      <c r="S119">
        <f>HYPERLINK("https://klasma.github.io/Logging_2313/artfynd/A 54887-2023 artfynd.xlsx", "A 54887-2023")</f>
        <v/>
      </c>
      <c r="T119">
        <f>HYPERLINK("https://klasma.github.io/Logging_2313/kartor/A 54887-2023 karta.png", "A 54887-2023")</f>
        <v/>
      </c>
      <c r="V119">
        <f>HYPERLINK("https://klasma.github.io/Logging_2313/klagomål/A 54887-2023 FSC-klagomål.docx", "A 54887-2023")</f>
        <v/>
      </c>
      <c r="W119">
        <f>HYPERLINK("https://klasma.github.io/Logging_2313/klagomålsmail/A 54887-2023 FSC-klagomål mail.docx", "A 54887-2023")</f>
        <v/>
      </c>
      <c r="X119">
        <f>HYPERLINK("https://klasma.github.io/Logging_2313/tillsyn/A 54887-2023 tillsynsbegäran.docx", "A 54887-2023")</f>
        <v/>
      </c>
      <c r="Y119">
        <f>HYPERLINK("https://klasma.github.io/Logging_2313/tillsynsmail/A 54887-2023 tillsynsbegäran mail.docx", "A 54887-2023")</f>
        <v/>
      </c>
    </row>
    <row r="120" ht="15" customHeight="1">
      <c r="A120" t="inlineStr">
        <is>
          <t>A 25152-2024</t>
        </is>
      </c>
      <c r="B120" s="1" t="n">
        <v>45462.50429398148</v>
      </c>
      <c r="C120" s="1" t="n">
        <v>45972</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57071-2024</t>
        </is>
      </c>
      <c r="B121" s="1" t="n">
        <v>45629.35422453703</v>
      </c>
      <c r="C121" s="1" t="n">
        <v>45972</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61164-2024</t>
        </is>
      </c>
      <c r="B122" s="1" t="n">
        <v>45645.59539351852</v>
      </c>
      <c r="C122" s="1" t="n">
        <v>45972</v>
      </c>
      <c r="D122" t="inlineStr">
        <is>
          <t>JÄMTLANDS LÄN</t>
        </is>
      </c>
      <c r="E122" t="inlineStr">
        <is>
          <t>STRÖMSUND</t>
        </is>
      </c>
      <c r="F122" t="inlineStr">
        <is>
          <t>SCA</t>
        </is>
      </c>
      <c r="G122" t="n">
        <v>3.3</v>
      </c>
      <c r="H122" t="n">
        <v>0</v>
      </c>
      <c r="I122" t="n">
        <v>1</v>
      </c>
      <c r="J122" t="n">
        <v>3</v>
      </c>
      <c r="K122" t="n">
        <v>1</v>
      </c>
      <c r="L122" t="n">
        <v>0</v>
      </c>
      <c r="M122" t="n">
        <v>0</v>
      </c>
      <c r="N122" t="n">
        <v>0</v>
      </c>
      <c r="O122" t="n">
        <v>4</v>
      </c>
      <c r="P122" t="n">
        <v>1</v>
      </c>
      <c r="Q122" t="n">
        <v>5</v>
      </c>
      <c r="R122" s="2" t="inlineStr">
        <is>
          <t>Rynkskinn
Gammelgransskål
Garnlav
Granticka
Vedticka</t>
        </is>
      </c>
      <c r="S122">
        <f>HYPERLINK("https://klasma.github.io/Logging_2313/artfynd/A 61164-2024 artfynd.xlsx", "A 61164-2024")</f>
        <v/>
      </c>
      <c r="T122">
        <f>HYPERLINK("https://klasma.github.io/Logging_2313/kartor/A 61164-2024 karta.png", "A 61164-2024")</f>
        <v/>
      </c>
      <c r="V122">
        <f>HYPERLINK("https://klasma.github.io/Logging_2313/klagomål/A 61164-2024 FSC-klagomål.docx", "A 61164-2024")</f>
        <v/>
      </c>
      <c r="W122">
        <f>HYPERLINK("https://klasma.github.io/Logging_2313/klagomålsmail/A 61164-2024 FSC-klagomål mail.docx", "A 61164-2024")</f>
        <v/>
      </c>
      <c r="X122">
        <f>HYPERLINK("https://klasma.github.io/Logging_2313/tillsyn/A 61164-2024 tillsynsbegäran.docx", "A 61164-2024")</f>
        <v/>
      </c>
      <c r="Y122">
        <f>HYPERLINK("https://klasma.github.io/Logging_2313/tillsynsmail/A 61164-2024 tillsynsbegäran mail.docx", "A 61164-2024")</f>
        <v/>
      </c>
    </row>
    <row r="123" ht="15" customHeight="1">
      <c r="A123" t="inlineStr">
        <is>
          <t>A 26406-2023</t>
        </is>
      </c>
      <c r="B123" s="1" t="n">
        <v>45089</v>
      </c>
      <c r="C123" s="1" t="n">
        <v>45972</v>
      </c>
      <c r="D123" t="inlineStr">
        <is>
          <t>JÄMTLANDS LÄN</t>
        </is>
      </c>
      <c r="E123" t="inlineStr">
        <is>
          <t>STRÖMSUND</t>
        </is>
      </c>
      <c r="G123" t="n">
        <v>12.8</v>
      </c>
      <c r="H123" t="n">
        <v>1</v>
      </c>
      <c r="I123" t="n">
        <v>1</v>
      </c>
      <c r="J123" t="n">
        <v>3</v>
      </c>
      <c r="K123" t="n">
        <v>1</v>
      </c>
      <c r="L123" t="n">
        <v>0</v>
      </c>
      <c r="M123" t="n">
        <v>0</v>
      </c>
      <c r="N123" t="n">
        <v>0</v>
      </c>
      <c r="O123" t="n">
        <v>4</v>
      </c>
      <c r="P123" t="n">
        <v>1</v>
      </c>
      <c r="Q123" t="n">
        <v>5</v>
      </c>
      <c r="R123" s="2" t="inlineStr">
        <is>
          <t>Knärot
Lunglav
Rosenticka
Vitgrynig nållav
Blodticka</t>
        </is>
      </c>
      <c r="S123">
        <f>HYPERLINK("https://klasma.github.io/Logging_2313/artfynd/A 26406-2023 artfynd.xlsx", "A 26406-2023")</f>
        <v/>
      </c>
      <c r="T123">
        <f>HYPERLINK("https://klasma.github.io/Logging_2313/kartor/A 26406-2023 karta.png", "A 26406-2023")</f>
        <v/>
      </c>
      <c r="U123">
        <f>HYPERLINK("https://klasma.github.io/Logging_2313/knärot/A 26406-2023 karta knärot.png", "A 26406-2023")</f>
        <v/>
      </c>
      <c r="V123">
        <f>HYPERLINK("https://klasma.github.io/Logging_2313/klagomål/A 26406-2023 FSC-klagomål.docx", "A 26406-2023")</f>
        <v/>
      </c>
      <c r="W123">
        <f>HYPERLINK("https://klasma.github.io/Logging_2313/klagomålsmail/A 26406-2023 FSC-klagomål mail.docx", "A 26406-2023")</f>
        <v/>
      </c>
      <c r="X123">
        <f>HYPERLINK("https://klasma.github.io/Logging_2313/tillsyn/A 26406-2023 tillsynsbegäran.docx", "A 26406-2023")</f>
        <v/>
      </c>
      <c r="Y123">
        <f>HYPERLINK("https://klasma.github.io/Logging_2313/tillsynsmail/A 26406-2023 tillsynsbegäran mail.docx", "A 26406-2023")</f>
        <v/>
      </c>
    </row>
    <row r="124" ht="15" customHeight="1">
      <c r="A124" t="inlineStr">
        <is>
          <t>A 29061-2023</t>
        </is>
      </c>
      <c r="B124" s="1" t="n">
        <v>45104</v>
      </c>
      <c r="C124" s="1" t="n">
        <v>45972</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26206-2025</t>
        </is>
      </c>
      <c r="B125" s="1" t="n">
        <v>45805.51493055555</v>
      </c>
      <c r="C125" s="1" t="n">
        <v>45972</v>
      </c>
      <c r="D125" t="inlineStr">
        <is>
          <t>JÄMTLANDS LÄN</t>
        </is>
      </c>
      <c r="E125" t="inlineStr">
        <is>
          <t>STRÖMSUND</t>
        </is>
      </c>
      <c r="G125" t="n">
        <v>13</v>
      </c>
      <c r="H125" t="n">
        <v>1</v>
      </c>
      <c r="I125" t="n">
        <v>3</v>
      </c>
      <c r="J125" t="n">
        <v>2</v>
      </c>
      <c r="K125" t="n">
        <v>0</v>
      </c>
      <c r="L125" t="n">
        <v>0</v>
      </c>
      <c r="M125" t="n">
        <v>0</v>
      </c>
      <c r="N125" t="n">
        <v>0</v>
      </c>
      <c r="O125" t="n">
        <v>2</v>
      </c>
      <c r="P125" t="n">
        <v>0</v>
      </c>
      <c r="Q125" t="n">
        <v>5</v>
      </c>
      <c r="R125" s="2" t="inlineStr">
        <is>
          <t>Lunglav
Skrovellav
Grönkulla
Stor aspticka
Stuplav</t>
        </is>
      </c>
      <c r="S125">
        <f>HYPERLINK("https://klasma.github.io/Logging_2313/artfynd/A 26206-2025 artfynd.xlsx", "A 26206-2025")</f>
        <v/>
      </c>
      <c r="T125">
        <f>HYPERLINK("https://klasma.github.io/Logging_2313/kartor/A 26206-2025 karta.png", "A 26206-2025")</f>
        <v/>
      </c>
      <c r="V125">
        <f>HYPERLINK("https://klasma.github.io/Logging_2313/klagomål/A 26206-2025 FSC-klagomål.docx", "A 26206-2025")</f>
        <v/>
      </c>
      <c r="W125">
        <f>HYPERLINK("https://klasma.github.io/Logging_2313/klagomålsmail/A 26206-2025 FSC-klagomål mail.docx", "A 26206-2025")</f>
        <v/>
      </c>
      <c r="X125">
        <f>HYPERLINK("https://klasma.github.io/Logging_2313/tillsyn/A 26206-2025 tillsynsbegäran.docx", "A 26206-2025")</f>
        <v/>
      </c>
      <c r="Y125">
        <f>HYPERLINK("https://klasma.github.io/Logging_2313/tillsynsmail/A 26206-2025 tillsynsbegäran mail.docx", "A 26206-2025")</f>
        <v/>
      </c>
    </row>
    <row r="126" ht="15" customHeight="1">
      <c r="A126" t="inlineStr">
        <is>
          <t>A 36207-2023</t>
        </is>
      </c>
      <c r="B126" s="1" t="n">
        <v>45149</v>
      </c>
      <c r="C126" s="1" t="n">
        <v>45972</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34881-2025</t>
        </is>
      </c>
      <c r="B127" s="1" t="n">
        <v>45849.46912037037</v>
      </c>
      <c r="C127" s="1" t="n">
        <v>45972</v>
      </c>
      <c r="D127" t="inlineStr">
        <is>
          <t>JÄMTLANDS LÄN</t>
        </is>
      </c>
      <c r="E127" t="inlineStr">
        <is>
          <t>STRÖMSUND</t>
        </is>
      </c>
      <c r="F127" t="inlineStr">
        <is>
          <t>SCA</t>
        </is>
      </c>
      <c r="G127" t="n">
        <v>4</v>
      </c>
      <c r="H127" t="n">
        <v>1</v>
      </c>
      <c r="I127" t="n">
        <v>1</v>
      </c>
      <c r="J127" t="n">
        <v>4</v>
      </c>
      <c r="K127" t="n">
        <v>0</v>
      </c>
      <c r="L127" t="n">
        <v>0</v>
      </c>
      <c r="M127" t="n">
        <v>0</v>
      </c>
      <c r="N127" t="n">
        <v>0</v>
      </c>
      <c r="O127" t="n">
        <v>4</v>
      </c>
      <c r="P127" t="n">
        <v>0</v>
      </c>
      <c r="Q127" t="n">
        <v>5</v>
      </c>
      <c r="R127" s="2" t="inlineStr">
        <is>
          <t>Gammelgransskål
Garnlav
Lunglav
Vitgrynig nållav
Korallrot</t>
        </is>
      </c>
      <c r="S127">
        <f>HYPERLINK("https://klasma.github.io/Logging_2313/artfynd/A 34881-2025 artfynd.xlsx", "A 34881-2025")</f>
        <v/>
      </c>
      <c r="T127">
        <f>HYPERLINK("https://klasma.github.io/Logging_2313/kartor/A 34881-2025 karta.png", "A 34881-2025")</f>
        <v/>
      </c>
      <c r="V127">
        <f>HYPERLINK("https://klasma.github.io/Logging_2313/klagomål/A 34881-2025 FSC-klagomål.docx", "A 34881-2025")</f>
        <v/>
      </c>
      <c r="W127">
        <f>HYPERLINK("https://klasma.github.io/Logging_2313/klagomålsmail/A 34881-2025 FSC-klagomål mail.docx", "A 34881-2025")</f>
        <v/>
      </c>
      <c r="X127">
        <f>HYPERLINK("https://klasma.github.io/Logging_2313/tillsyn/A 34881-2025 tillsynsbegäran.docx", "A 34881-2025")</f>
        <v/>
      </c>
      <c r="Y127">
        <f>HYPERLINK("https://klasma.github.io/Logging_2313/tillsynsmail/A 34881-2025 tillsynsbegäran mail.docx", "A 34881-2025")</f>
        <v/>
      </c>
    </row>
    <row r="128" ht="15" customHeight="1">
      <c r="A128" t="inlineStr">
        <is>
          <t>A 44601-2021</t>
        </is>
      </c>
      <c r="B128" s="1" t="n">
        <v>44435</v>
      </c>
      <c r="C128" s="1" t="n">
        <v>45972</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45972</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45972</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45972</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45972</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45972</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48370-2024</t>
        </is>
      </c>
      <c r="B134" s="1" t="n">
        <v>45590.57973379629</v>
      </c>
      <c r="C134" s="1" t="n">
        <v>45972</v>
      </c>
      <c r="D134" t="inlineStr">
        <is>
          <t>JÄMTLANDS LÄN</t>
        </is>
      </c>
      <c r="E134" t="inlineStr">
        <is>
          <t>STRÖMSUND</t>
        </is>
      </c>
      <c r="F134" t="inlineStr">
        <is>
          <t>SCA</t>
        </is>
      </c>
      <c r="G134" t="n">
        <v>6.7</v>
      </c>
      <c r="H134" t="n">
        <v>0</v>
      </c>
      <c r="I134" t="n">
        <v>3</v>
      </c>
      <c r="J134" t="n">
        <v>1</v>
      </c>
      <c r="K134" t="n">
        <v>0</v>
      </c>
      <c r="L134" t="n">
        <v>0</v>
      </c>
      <c r="M134" t="n">
        <v>0</v>
      </c>
      <c r="N134" t="n">
        <v>0</v>
      </c>
      <c r="O134" t="n">
        <v>1</v>
      </c>
      <c r="P134" t="n">
        <v>0</v>
      </c>
      <c r="Q134" t="n">
        <v>4</v>
      </c>
      <c r="R134" s="2" t="inlineStr">
        <is>
          <t>Lunglav
Rävticka
Skinnlav
Stor aspticka</t>
        </is>
      </c>
      <c r="S134">
        <f>HYPERLINK("https://klasma.github.io/Logging_2313/artfynd/A 48370-2024 artfynd.xlsx", "A 48370-2024")</f>
        <v/>
      </c>
      <c r="T134">
        <f>HYPERLINK("https://klasma.github.io/Logging_2313/kartor/A 48370-2024 karta.png", "A 48370-2024")</f>
        <v/>
      </c>
      <c r="V134">
        <f>HYPERLINK("https://klasma.github.io/Logging_2313/klagomål/A 48370-2024 FSC-klagomål.docx", "A 48370-2024")</f>
        <v/>
      </c>
      <c r="W134">
        <f>HYPERLINK("https://klasma.github.io/Logging_2313/klagomålsmail/A 48370-2024 FSC-klagomål mail.docx", "A 48370-2024")</f>
        <v/>
      </c>
      <c r="X134">
        <f>HYPERLINK("https://klasma.github.io/Logging_2313/tillsyn/A 48370-2024 tillsynsbegäran.docx", "A 48370-2024")</f>
        <v/>
      </c>
      <c r="Y134">
        <f>HYPERLINK("https://klasma.github.io/Logging_2313/tillsynsmail/A 48370-2024 tillsynsbegäran mail.docx", "A 48370-2024")</f>
        <v/>
      </c>
    </row>
    <row r="135" ht="15" customHeight="1">
      <c r="A135" t="inlineStr">
        <is>
          <t>A 36208-2023</t>
        </is>
      </c>
      <c r="B135" s="1" t="n">
        <v>45149</v>
      </c>
      <c r="C135" s="1" t="n">
        <v>45972</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46874-2025</t>
        </is>
      </c>
      <c r="B136" s="1" t="n">
        <v>45929.34440972222</v>
      </c>
      <c r="C136" s="1" t="n">
        <v>45972</v>
      </c>
      <c r="D136" t="inlineStr">
        <is>
          <t>JÄMTLANDS LÄN</t>
        </is>
      </c>
      <c r="E136" t="inlineStr">
        <is>
          <t>STRÖMSUND</t>
        </is>
      </c>
      <c r="F136" t="inlineStr">
        <is>
          <t>SCA</t>
        </is>
      </c>
      <c r="G136" t="n">
        <v>12.6</v>
      </c>
      <c r="H136" t="n">
        <v>1</v>
      </c>
      <c r="I136" t="n">
        <v>0</v>
      </c>
      <c r="J136" t="n">
        <v>3</v>
      </c>
      <c r="K136" t="n">
        <v>1</v>
      </c>
      <c r="L136" t="n">
        <v>0</v>
      </c>
      <c r="M136" t="n">
        <v>0</v>
      </c>
      <c r="N136" t="n">
        <v>0</v>
      </c>
      <c r="O136" t="n">
        <v>4</v>
      </c>
      <c r="P136" t="n">
        <v>1</v>
      </c>
      <c r="Q136" t="n">
        <v>4</v>
      </c>
      <c r="R136" s="2" t="inlineStr">
        <is>
          <t>Knärot
Garnlav
Tallticka
Vitgrynig nållav</t>
        </is>
      </c>
      <c r="S136">
        <f>HYPERLINK("https://klasma.github.io/Logging_2313/artfynd/A 46874-2025 artfynd.xlsx", "A 46874-2025")</f>
        <v/>
      </c>
      <c r="T136">
        <f>HYPERLINK("https://klasma.github.io/Logging_2313/kartor/A 46874-2025 karta.png", "A 46874-2025")</f>
        <v/>
      </c>
      <c r="U136">
        <f>HYPERLINK("https://klasma.github.io/Logging_2313/knärot/A 46874-2025 karta knärot.png", "A 46874-2025")</f>
        <v/>
      </c>
      <c r="V136">
        <f>HYPERLINK("https://klasma.github.io/Logging_2313/klagomål/A 46874-2025 FSC-klagomål.docx", "A 46874-2025")</f>
        <v/>
      </c>
      <c r="W136">
        <f>HYPERLINK("https://klasma.github.io/Logging_2313/klagomålsmail/A 46874-2025 FSC-klagomål mail.docx", "A 46874-2025")</f>
        <v/>
      </c>
      <c r="X136">
        <f>HYPERLINK("https://klasma.github.io/Logging_2313/tillsyn/A 46874-2025 tillsynsbegäran.docx", "A 46874-2025")</f>
        <v/>
      </c>
      <c r="Y136">
        <f>HYPERLINK("https://klasma.github.io/Logging_2313/tillsynsmail/A 46874-2025 tillsynsbegäran mail.docx", "A 46874-2025")</f>
        <v/>
      </c>
    </row>
    <row r="137" ht="15" customHeight="1">
      <c r="A137" t="inlineStr">
        <is>
          <t>A 51873-2023</t>
        </is>
      </c>
      <c r="B137" s="1" t="n">
        <v>45215</v>
      </c>
      <c r="C137" s="1" t="n">
        <v>45972</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45972</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2759-2025</t>
        </is>
      </c>
      <c r="B139" s="1" t="n">
        <v>45674</v>
      </c>
      <c r="C139" s="1" t="n">
        <v>45972</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36910-2024</t>
        </is>
      </c>
      <c r="B140" s="1" t="n">
        <v>45538.63592592593</v>
      </c>
      <c r="C140" s="1" t="n">
        <v>45972</v>
      </c>
      <c r="D140" t="inlineStr">
        <is>
          <t>JÄMTLANDS LÄN</t>
        </is>
      </c>
      <c r="E140" t="inlineStr">
        <is>
          <t>STRÖMSUND</t>
        </is>
      </c>
      <c r="F140" t="inlineStr">
        <is>
          <t>SCA</t>
        </is>
      </c>
      <c r="G140" t="n">
        <v>4.8</v>
      </c>
      <c r="H140" t="n">
        <v>0</v>
      </c>
      <c r="I140" t="n">
        <v>2</v>
      </c>
      <c r="J140" t="n">
        <v>2</v>
      </c>
      <c r="K140" t="n">
        <v>0</v>
      </c>
      <c r="L140" t="n">
        <v>0</v>
      </c>
      <c r="M140" t="n">
        <v>0</v>
      </c>
      <c r="N140" t="n">
        <v>0</v>
      </c>
      <c r="O140" t="n">
        <v>2</v>
      </c>
      <c r="P140" t="n">
        <v>0</v>
      </c>
      <c r="Q140" t="n">
        <v>4</v>
      </c>
      <c r="R140" s="2" t="inlineStr">
        <is>
          <t>Blå taggsvamp
Skrovlig taggsvamp
Dropptaggsvamp
Skarp dropptaggsvamp</t>
        </is>
      </c>
      <c r="S140">
        <f>HYPERLINK("https://klasma.github.io/Logging_2313/artfynd/A 36910-2024 artfynd.xlsx", "A 36910-2024")</f>
        <v/>
      </c>
      <c r="T140">
        <f>HYPERLINK("https://klasma.github.io/Logging_2313/kartor/A 36910-2024 karta.png", "A 36910-2024")</f>
        <v/>
      </c>
      <c r="V140">
        <f>HYPERLINK("https://klasma.github.io/Logging_2313/klagomål/A 36910-2024 FSC-klagomål.docx", "A 36910-2024")</f>
        <v/>
      </c>
      <c r="W140">
        <f>HYPERLINK("https://klasma.github.io/Logging_2313/klagomålsmail/A 36910-2024 FSC-klagomål mail.docx", "A 36910-2024")</f>
        <v/>
      </c>
      <c r="X140">
        <f>HYPERLINK("https://klasma.github.io/Logging_2313/tillsyn/A 36910-2024 tillsynsbegäran.docx", "A 36910-2024")</f>
        <v/>
      </c>
      <c r="Y140">
        <f>HYPERLINK("https://klasma.github.io/Logging_2313/tillsynsmail/A 36910-2024 tillsynsbegäran mail.docx", "A 36910-2024")</f>
        <v/>
      </c>
    </row>
    <row r="141" ht="15" customHeight="1">
      <c r="A141" t="inlineStr">
        <is>
          <t>A 13999-2024</t>
        </is>
      </c>
      <c r="B141" s="1" t="n">
        <v>45392</v>
      </c>
      <c r="C141" s="1" t="n">
        <v>45972</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27624-2025</t>
        </is>
      </c>
      <c r="B142" s="1" t="n">
        <v>45813.55288194444</v>
      </c>
      <c r="C142" s="1" t="n">
        <v>45972</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60198-2024</t>
        </is>
      </c>
      <c r="B143" s="1" t="n">
        <v>45642</v>
      </c>
      <c r="C143" s="1" t="n">
        <v>45972</v>
      </c>
      <c r="D143" t="inlineStr">
        <is>
          <t>JÄMTLANDS LÄN</t>
        </is>
      </c>
      <c r="E143" t="inlineStr">
        <is>
          <t>STRÖMSUND</t>
        </is>
      </c>
      <c r="G143" t="n">
        <v>10.4</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HYPERLINK("https://klasma.github.io/Logging_2313/artfynd/A 60198-2024 artfynd.xlsx", "A 60198-2024")</f>
        <v/>
      </c>
      <c r="T143">
        <f>HYPERLINK("https://klasma.github.io/Logging_2313/kartor/A 60198-2024 karta.png", "A 60198-2024")</f>
        <v/>
      </c>
      <c r="V143">
        <f>HYPERLINK("https://klasma.github.io/Logging_2313/klagomål/A 60198-2024 FSC-klagomål.docx", "A 60198-2024")</f>
        <v/>
      </c>
      <c r="W143">
        <f>HYPERLINK("https://klasma.github.io/Logging_2313/klagomålsmail/A 60198-2024 FSC-klagomål mail.docx", "A 60198-2024")</f>
        <v/>
      </c>
      <c r="X143">
        <f>HYPERLINK("https://klasma.github.io/Logging_2313/tillsyn/A 60198-2024 tillsynsbegäran.docx", "A 60198-2024")</f>
        <v/>
      </c>
      <c r="Y143">
        <f>HYPERLINK("https://klasma.github.io/Logging_2313/tillsynsmail/A 60198-2024 tillsynsbegäran mail.docx", "A 60198-2024")</f>
        <v/>
      </c>
      <c r="Z143">
        <f>HYPERLINK("https://klasma.github.io/Logging_2313/fåglar/A 60198-2024 prioriterade fågelarter.docx", "A 60198-2024")</f>
        <v/>
      </c>
    </row>
    <row r="144" ht="15" customHeight="1">
      <c r="A144" t="inlineStr">
        <is>
          <t>A 33887-2025</t>
        </is>
      </c>
      <c r="B144" s="1" t="n">
        <v>45842.57335648148</v>
      </c>
      <c r="C144" s="1" t="n">
        <v>45972</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61907-2023</t>
        </is>
      </c>
      <c r="B145" s="1" t="n">
        <v>45265</v>
      </c>
      <c r="C145" s="1" t="n">
        <v>45972</v>
      </c>
      <c r="D145" t="inlineStr">
        <is>
          <t>JÄMTLANDS LÄN</t>
        </is>
      </c>
      <c r="E145" t="inlineStr">
        <is>
          <t>STRÖMSUND</t>
        </is>
      </c>
      <c r="G145" t="n">
        <v>49</v>
      </c>
      <c r="H145" t="n">
        <v>2</v>
      </c>
      <c r="I145" t="n">
        <v>0</v>
      </c>
      <c r="J145" t="n">
        <v>0</v>
      </c>
      <c r="K145" t="n">
        <v>2</v>
      </c>
      <c r="L145" t="n">
        <v>0</v>
      </c>
      <c r="M145" t="n">
        <v>0</v>
      </c>
      <c r="N145" t="n">
        <v>0</v>
      </c>
      <c r="O145" t="n">
        <v>2</v>
      </c>
      <c r="P145" t="n">
        <v>2</v>
      </c>
      <c r="Q145" t="n">
        <v>4</v>
      </c>
      <c r="R145" s="2" t="inlineStr">
        <is>
          <t>Borgsjömusseron
Rynkskinn
Lavskrika
Vanlig groda</t>
        </is>
      </c>
      <c r="S145">
        <f>HYPERLINK("https://klasma.github.io/Logging_2313/artfynd/A 61907-2023 artfynd.xlsx", "A 61907-2023")</f>
        <v/>
      </c>
      <c r="T145">
        <f>HYPERLINK("https://klasma.github.io/Logging_2313/kartor/A 61907-2023 karta.png", "A 61907-2023")</f>
        <v/>
      </c>
      <c r="V145">
        <f>HYPERLINK("https://klasma.github.io/Logging_2313/klagomål/A 61907-2023 FSC-klagomål.docx", "A 61907-2023")</f>
        <v/>
      </c>
      <c r="W145">
        <f>HYPERLINK("https://klasma.github.io/Logging_2313/klagomålsmail/A 61907-2023 FSC-klagomål mail.docx", "A 61907-2023")</f>
        <v/>
      </c>
      <c r="X145">
        <f>HYPERLINK("https://klasma.github.io/Logging_2313/tillsyn/A 61907-2023 tillsynsbegäran.docx", "A 61907-2023")</f>
        <v/>
      </c>
      <c r="Y145">
        <f>HYPERLINK("https://klasma.github.io/Logging_2313/tillsynsmail/A 61907-2023 tillsynsbegäran mail.docx", "A 61907-2023")</f>
        <v/>
      </c>
      <c r="Z145">
        <f>HYPERLINK("https://klasma.github.io/Logging_2313/fåglar/A 61907-2023 prioriterade fågelarter.docx", "A 61907-2023")</f>
        <v/>
      </c>
    </row>
    <row r="146" ht="15" customHeight="1">
      <c r="A146" t="inlineStr">
        <is>
          <t>A 26299-2025</t>
        </is>
      </c>
      <c r="B146" s="1" t="n">
        <v>45805.6363425926</v>
      </c>
      <c r="C146" s="1" t="n">
        <v>45972</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21091-2022</t>
        </is>
      </c>
      <c r="B147" s="1" t="n">
        <v>44699</v>
      </c>
      <c r="C147" s="1" t="n">
        <v>45972</v>
      </c>
      <c r="D147" t="inlineStr">
        <is>
          <t>JÄMTLANDS LÄN</t>
        </is>
      </c>
      <c r="E147" t="inlineStr">
        <is>
          <t>STRÖMSUND</t>
        </is>
      </c>
      <c r="F147" t="inlineStr">
        <is>
          <t>SCA</t>
        </is>
      </c>
      <c r="G147" t="n">
        <v>26.9</v>
      </c>
      <c r="H147" t="n">
        <v>2</v>
      </c>
      <c r="I147" t="n">
        <v>2</v>
      </c>
      <c r="J147" t="n">
        <v>0</v>
      </c>
      <c r="K147" t="n">
        <v>0</v>
      </c>
      <c r="L147" t="n">
        <v>0</v>
      </c>
      <c r="M147" t="n">
        <v>0</v>
      </c>
      <c r="N147" t="n">
        <v>0</v>
      </c>
      <c r="O147" t="n">
        <v>0</v>
      </c>
      <c r="P147" t="n">
        <v>0</v>
      </c>
      <c r="Q147" t="n">
        <v>4</v>
      </c>
      <c r="R147" s="2" t="inlineStr">
        <is>
          <t>Kransrams
Strutbräken
Skogsrör
Mattlummer</t>
        </is>
      </c>
      <c r="S147">
        <f>HYPERLINK("https://klasma.github.io/Logging_2313/artfynd/A 21091-2022 artfynd.xlsx", "A 21091-2022")</f>
        <v/>
      </c>
      <c r="T147">
        <f>HYPERLINK("https://klasma.github.io/Logging_2313/kartor/A 21091-2022 karta.png", "A 21091-2022")</f>
        <v/>
      </c>
      <c r="V147">
        <f>HYPERLINK("https://klasma.github.io/Logging_2313/klagomål/A 21091-2022 FSC-klagomål.docx", "A 21091-2022")</f>
        <v/>
      </c>
      <c r="W147">
        <f>HYPERLINK("https://klasma.github.io/Logging_2313/klagomålsmail/A 21091-2022 FSC-klagomål mail.docx", "A 21091-2022")</f>
        <v/>
      </c>
      <c r="X147">
        <f>HYPERLINK("https://klasma.github.io/Logging_2313/tillsyn/A 21091-2022 tillsynsbegäran.docx", "A 21091-2022")</f>
        <v/>
      </c>
      <c r="Y147">
        <f>HYPERLINK("https://klasma.github.io/Logging_2313/tillsynsmail/A 21091-2022 tillsynsbegäran mail.docx", "A 21091-2022")</f>
        <v/>
      </c>
    </row>
    <row r="148" ht="15" customHeight="1">
      <c r="A148" t="inlineStr">
        <is>
          <t>A 25051-2023</t>
        </is>
      </c>
      <c r="B148" s="1" t="n">
        <v>45085.94599537037</v>
      </c>
      <c r="C148" s="1" t="n">
        <v>45972</v>
      </c>
      <c r="D148" t="inlineStr">
        <is>
          <t>JÄMTLANDS LÄN</t>
        </is>
      </c>
      <c r="E148" t="inlineStr">
        <is>
          <t>STRÖMSUND</t>
        </is>
      </c>
      <c r="F148" t="inlineStr">
        <is>
          <t>SCA</t>
        </is>
      </c>
      <c r="G148" t="n">
        <v>0.6</v>
      </c>
      <c r="H148" t="n">
        <v>1</v>
      </c>
      <c r="I148" t="n">
        <v>0</v>
      </c>
      <c r="J148" t="n">
        <v>3</v>
      </c>
      <c r="K148" t="n">
        <v>0</v>
      </c>
      <c r="L148" t="n">
        <v>0</v>
      </c>
      <c r="M148" t="n">
        <v>0</v>
      </c>
      <c r="N148" t="n">
        <v>0</v>
      </c>
      <c r="O148" t="n">
        <v>3</v>
      </c>
      <c r="P148" t="n">
        <v>0</v>
      </c>
      <c r="Q148" t="n">
        <v>4</v>
      </c>
      <c r="R148" s="2" t="inlineStr">
        <is>
          <t>Gammelgransskål
Garnlav
Lunglav
Lavskrika</t>
        </is>
      </c>
      <c r="S148">
        <f>HYPERLINK("https://klasma.github.io/Logging_2313/artfynd/A 25051-2023 artfynd.xlsx", "A 25051-2023")</f>
        <v/>
      </c>
      <c r="T148">
        <f>HYPERLINK("https://klasma.github.io/Logging_2313/kartor/A 25051-2023 karta.png", "A 25051-2023")</f>
        <v/>
      </c>
      <c r="V148">
        <f>HYPERLINK("https://klasma.github.io/Logging_2313/klagomål/A 25051-2023 FSC-klagomål.docx", "A 25051-2023")</f>
        <v/>
      </c>
      <c r="W148">
        <f>HYPERLINK("https://klasma.github.io/Logging_2313/klagomålsmail/A 25051-2023 FSC-klagomål mail.docx", "A 25051-2023")</f>
        <v/>
      </c>
      <c r="X148">
        <f>HYPERLINK("https://klasma.github.io/Logging_2313/tillsyn/A 25051-2023 tillsynsbegäran.docx", "A 25051-2023")</f>
        <v/>
      </c>
      <c r="Y148">
        <f>HYPERLINK("https://klasma.github.io/Logging_2313/tillsynsmail/A 25051-2023 tillsynsbegäran mail.docx", "A 25051-2023")</f>
        <v/>
      </c>
      <c r="Z148">
        <f>HYPERLINK("https://klasma.github.io/Logging_2313/fåglar/A 25051-2023 prioriterade fågelarter.docx", "A 25051-2023")</f>
        <v/>
      </c>
    </row>
    <row r="149" ht="15" customHeight="1">
      <c r="A149" t="inlineStr">
        <is>
          <t>A 54345-2025</t>
        </is>
      </c>
      <c r="B149" s="1" t="n">
        <v>45965.36506944444</v>
      </c>
      <c r="C149" s="1" t="n">
        <v>45972</v>
      </c>
      <c r="D149" t="inlineStr">
        <is>
          <t>JÄMTLANDS LÄN</t>
        </is>
      </c>
      <c r="E149" t="inlineStr">
        <is>
          <t>STRÖMSUND</t>
        </is>
      </c>
      <c r="F149" t="inlineStr">
        <is>
          <t>SCA</t>
        </is>
      </c>
      <c r="G149" t="n">
        <v>5.6</v>
      </c>
      <c r="H149" t="n">
        <v>0</v>
      </c>
      <c r="I149" t="n">
        <v>2</v>
      </c>
      <c r="J149" t="n">
        <v>2</v>
      </c>
      <c r="K149" t="n">
        <v>0</v>
      </c>
      <c r="L149" t="n">
        <v>0</v>
      </c>
      <c r="M149" t="n">
        <v>0</v>
      </c>
      <c r="N149" t="n">
        <v>0</v>
      </c>
      <c r="O149" t="n">
        <v>2</v>
      </c>
      <c r="P149" t="n">
        <v>0</v>
      </c>
      <c r="Q149" t="n">
        <v>4</v>
      </c>
      <c r="R149" s="2" t="inlineStr">
        <is>
          <t>Garnlav
Skrovellav
Bårdlav
Stuplav</t>
        </is>
      </c>
      <c r="S149">
        <f>HYPERLINK("https://klasma.github.io/Logging_2313/artfynd/A 54345-2025 artfynd.xlsx", "A 54345-2025")</f>
        <v/>
      </c>
      <c r="T149">
        <f>HYPERLINK("https://klasma.github.io/Logging_2313/kartor/A 54345-2025 karta.png", "A 54345-2025")</f>
        <v/>
      </c>
      <c r="V149">
        <f>HYPERLINK("https://klasma.github.io/Logging_2313/klagomål/A 54345-2025 FSC-klagomål.docx", "A 54345-2025")</f>
        <v/>
      </c>
      <c r="W149">
        <f>HYPERLINK("https://klasma.github.io/Logging_2313/klagomålsmail/A 54345-2025 FSC-klagomål mail.docx", "A 54345-2025")</f>
        <v/>
      </c>
      <c r="X149">
        <f>HYPERLINK("https://klasma.github.io/Logging_2313/tillsyn/A 54345-2025 tillsynsbegäran.docx", "A 54345-2025")</f>
        <v/>
      </c>
      <c r="Y149">
        <f>HYPERLINK("https://klasma.github.io/Logging_2313/tillsynsmail/A 54345-2025 tillsynsbegäran mail.docx", "A 54345-2025")</f>
        <v/>
      </c>
    </row>
    <row r="150" ht="15" customHeight="1">
      <c r="A150" t="inlineStr">
        <is>
          <t>A 29487-2024</t>
        </is>
      </c>
      <c r="B150" s="1" t="n">
        <v>45484</v>
      </c>
      <c r="C150" s="1" t="n">
        <v>45972</v>
      </c>
      <c r="D150" t="inlineStr">
        <is>
          <t>JÄMTLANDS LÄN</t>
        </is>
      </c>
      <c r="E150" t="inlineStr">
        <is>
          <t>STRÖMSUND</t>
        </is>
      </c>
      <c r="F150" t="inlineStr">
        <is>
          <t>Holmen skog AB</t>
        </is>
      </c>
      <c r="G150" t="n">
        <v>1.1</v>
      </c>
      <c r="H150" t="n">
        <v>0</v>
      </c>
      <c r="I150" t="n">
        <v>0</v>
      </c>
      <c r="J150" t="n">
        <v>4</v>
      </c>
      <c r="K150" t="n">
        <v>0</v>
      </c>
      <c r="L150" t="n">
        <v>0</v>
      </c>
      <c r="M150" t="n">
        <v>0</v>
      </c>
      <c r="N150" t="n">
        <v>0</v>
      </c>
      <c r="O150" t="n">
        <v>4</v>
      </c>
      <c r="P150" t="n">
        <v>0</v>
      </c>
      <c r="Q150" t="n">
        <v>4</v>
      </c>
      <c r="R150" s="2" t="inlineStr">
        <is>
          <t>Garnlav
Lunglav
Skrovellav
Vitgrynig nållav</t>
        </is>
      </c>
      <c r="S150">
        <f>HYPERLINK("https://klasma.github.io/Logging_2313/artfynd/A 29487-2024 artfynd.xlsx", "A 29487-2024")</f>
        <v/>
      </c>
      <c r="T150">
        <f>HYPERLINK("https://klasma.github.io/Logging_2313/kartor/A 29487-2024 karta.png", "A 29487-2024")</f>
        <v/>
      </c>
      <c r="V150">
        <f>HYPERLINK("https://klasma.github.io/Logging_2313/klagomål/A 29487-2024 FSC-klagomål.docx", "A 29487-2024")</f>
        <v/>
      </c>
      <c r="W150">
        <f>HYPERLINK("https://klasma.github.io/Logging_2313/klagomålsmail/A 29487-2024 FSC-klagomål mail.docx", "A 29487-2024")</f>
        <v/>
      </c>
      <c r="X150">
        <f>HYPERLINK("https://klasma.github.io/Logging_2313/tillsyn/A 29487-2024 tillsynsbegäran.docx", "A 29487-2024")</f>
        <v/>
      </c>
      <c r="Y150">
        <f>HYPERLINK("https://klasma.github.io/Logging_2313/tillsynsmail/A 29487-2024 tillsynsbegäran mail.docx", "A 29487-2024")</f>
        <v/>
      </c>
    </row>
    <row r="151" ht="15" customHeight="1">
      <c r="A151" t="inlineStr">
        <is>
          <t>A 28492-2022</t>
        </is>
      </c>
      <c r="B151" s="1" t="n">
        <v>44747</v>
      </c>
      <c r="C151" s="1" t="n">
        <v>45972</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45972</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45972</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45972</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32651-2024</t>
        </is>
      </c>
      <c r="B155" s="1" t="n">
        <v>45513.9640625</v>
      </c>
      <c r="C155" s="1" t="n">
        <v>45972</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9922-2024</t>
        </is>
      </c>
      <c r="B156" s="1" t="n">
        <v>45363</v>
      </c>
      <c r="C156" s="1" t="n">
        <v>45972</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2554-2022</t>
        </is>
      </c>
      <c r="B157" s="1" t="n">
        <v>44579</v>
      </c>
      <c r="C157" s="1" t="n">
        <v>45972</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10065-2023</t>
        </is>
      </c>
      <c r="B158" s="1" t="n">
        <v>44985</v>
      </c>
      <c r="C158" s="1" t="n">
        <v>45972</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43161-2022</t>
        </is>
      </c>
      <c r="B159" s="1" t="n">
        <v>44833</v>
      </c>
      <c r="C159" s="1" t="n">
        <v>45972</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12019-2022</t>
        </is>
      </c>
      <c r="B160" s="1" t="n">
        <v>44635</v>
      </c>
      <c r="C160" s="1" t="n">
        <v>45972</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46341-2022</t>
        </is>
      </c>
      <c r="B161" s="1" t="n">
        <v>44847</v>
      </c>
      <c r="C161" s="1" t="n">
        <v>45972</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24806-2024</t>
        </is>
      </c>
      <c r="B162" s="1" t="n">
        <v>45460.95342592592</v>
      </c>
      <c r="C162" s="1" t="n">
        <v>45972</v>
      </c>
      <c r="D162" t="inlineStr">
        <is>
          <t>JÄMTLANDS LÄN</t>
        </is>
      </c>
      <c r="E162" t="inlineStr">
        <is>
          <t>STRÖMSUND</t>
        </is>
      </c>
      <c r="F162" t="inlineStr">
        <is>
          <t>SCA</t>
        </is>
      </c>
      <c r="G162" t="n">
        <v>1.2</v>
      </c>
      <c r="H162" t="n">
        <v>1</v>
      </c>
      <c r="I162" t="n">
        <v>0</v>
      </c>
      <c r="J162" t="n">
        <v>2</v>
      </c>
      <c r="K162" t="n">
        <v>0</v>
      </c>
      <c r="L162" t="n">
        <v>0</v>
      </c>
      <c r="M162" t="n">
        <v>0</v>
      </c>
      <c r="N162" t="n">
        <v>0</v>
      </c>
      <c r="O162" t="n">
        <v>2</v>
      </c>
      <c r="P162" t="n">
        <v>0</v>
      </c>
      <c r="Q162" t="n">
        <v>3</v>
      </c>
      <c r="R162" s="2" t="inlineStr">
        <is>
          <t>Garnlav
Lunglav
Tjäder</t>
        </is>
      </c>
      <c r="S162">
        <f>HYPERLINK("https://klasma.github.io/Logging_2313/artfynd/A 24806-2024 artfynd.xlsx", "A 24806-2024")</f>
        <v/>
      </c>
      <c r="T162">
        <f>HYPERLINK("https://klasma.github.io/Logging_2313/kartor/A 24806-2024 karta.png", "A 24806-2024")</f>
        <v/>
      </c>
      <c r="V162">
        <f>HYPERLINK("https://klasma.github.io/Logging_2313/klagomål/A 24806-2024 FSC-klagomål.docx", "A 24806-2024")</f>
        <v/>
      </c>
      <c r="W162">
        <f>HYPERLINK("https://klasma.github.io/Logging_2313/klagomålsmail/A 24806-2024 FSC-klagomål mail.docx", "A 24806-2024")</f>
        <v/>
      </c>
      <c r="X162">
        <f>HYPERLINK("https://klasma.github.io/Logging_2313/tillsyn/A 24806-2024 tillsynsbegäran.docx", "A 24806-2024")</f>
        <v/>
      </c>
      <c r="Y162">
        <f>HYPERLINK("https://klasma.github.io/Logging_2313/tillsynsmail/A 24806-2024 tillsynsbegäran mail.docx", "A 24806-2024")</f>
        <v/>
      </c>
      <c r="Z162">
        <f>HYPERLINK("https://klasma.github.io/Logging_2313/fåglar/A 24806-2024 prioriterade fågelarter.docx", "A 24806-2024")</f>
        <v/>
      </c>
    </row>
    <row r="163" ht="15" customHeight="1">
      <c r="A163" t="inlineStr">
        <is>
          <t>A 40107-2023</t>
        </is>
      </c>
      <c r="B163" s="1" t="n">
        <v>45168</v>
      </c>
      <c r="C163" s="1" t="n">
        <v>45972</v>
      </c>
      <c r="D163" t="inlineStr">
        <is>
          <t>JÄMTLANDS LÄN</t>
        </is>
      </c>
      <c r="E163" t="inlineStr">
        <is>
          <t>STRÖMSUND</t>
        </is>
      </c>
      <c r="F163" t="inlineStr">
        <is>
          <t>SCA</t>
        </is>
      </c>
      <c r="G163" t="n">
        <v>4.6</v>
      </c>
      <c r="H163" t="n">
        <v>1</v>
      </c>
      <c r="I163" t="n">
        <v>1</v>
      </c>
      <c r="J163" t="n">
        <v>2</v>
      </c>
      <c r="K163" t="n">
        <v>0</v>
      </c>
      <c r="L163" t="n">
        <v>0</v>
      </c>
      <c r="M163" t="n">
        <v>0</v>
      </c>
      <c r="N163" t="n">
        <v>0</v>
      </c>
      <c r="O163" t="n">
        <v>2</v>
      </c>
      <c r="P163" t="n">
        <v>0</v>
      </c>
      <c r="Q163" t="n">
        <v>3</v>
      </c>
      <c r="R163" s="2" t="inlineStr">
        <is>
          <t>Gammelgransskål
Ullticka
Korallrot</t>
        </is>
      </c>
      <c r="S163">
        <f>HYPERLINK("https://klasma.github.io/Logging_2313/artfynd/A 40107-2023 artfynd.xlsx", "A 40107-2023")</f>
        <v/>
      </c>
      <c r="T163">
        <f>HYPERLINK("https://klasma.github.io/Logging_2313/kartor/A 40107-2023 karta.png", "A 40107-2023")</f>
        <v/>
      </c>
      <c r="V163">
        <f>HYPERLINK("https://klasma.github.io/Logging_2313/klagomål/A 40107-2023 FSC-klagomål.docx", "A 40107-2023")</f>
        <v/>
      </c>
      <c r="W163">
        <f>HYPERLINK("https://klasma.github.io/Logging_2313/klagomålsmail/A 40107-2023 FSC-klagomål mail.docx", "A 40107-2023")</f>
        <v/>
      </c>
      <c r="X163">
        <f>HYPERLINK("https://klasma.github.io/Logging_2313/tillsyn/A 40107-2023 tillsynsbegäran.docx", "A 40107-2023")</f>
        <v/>
      </c>
      <c r="Y163">
        <f>HYPERLINK("https://klasma.github.io/Logging_2313/tillsynsmail/A 40107-2023 tillsynsbegäran mail.docx", "A 40107-2023")</f>
        <v/>
      </c>
    </row>
    <row r="164" ht="15" customHeight="1">
      <c r="A164" t="inlineStr">
        <is>
          <t>A 47165-2023</t>
        </is>
      </c>
      <c r="B164" s="1" t="n">
        <v>45201</v>
      </c>
      <c r="C164" s="1" t="n">
        <v>45972</v>
      </c>
      <c r="D164" t="inlineStr">
        <is>
          <t>JÄMTLANDS LÄN</t>
        </is>
      </c>
      <c r="E164" t="inlineStr">
        <is>
          <t>STRÖMSUND</t>
        </is>
      </c>
      <c r="F164" t="inlineStr">
        <is>
          <t>SCA</t>
        </is>
      </c>
      <c r="G164" t="n">
        <v>9.300000000000001</v>
      </c>
      <c r="H164" t="n">
        <v>0</v>
      </c>
      <c r="I164" t="n">
        <v>0</v>
      </c>
      <c r="J164" t="n">
        <v>3</v>
      </c>
      <c r="K164" t="n">
        <v>0</v>
      </c>
      <c r="L164" t="n">
        <v>0</v>
      </c>
      <c r="M164" t="n">
        <v>0</v>
      </c>
      <c r="N164" t="n">
        <v>0</v>
      </c>
      <c r="O164" t="n">
        <v>3</v>
      </c>
      <c r="P164" t="n">
        <v>0</v>
      </c>
      <c r="Q164" t="n">
        <v>3</v>
      </c>
      <c r="R164" s="2" t="inlineStr">
        <is>
          <t>Lunglav
Vedtrappmossa
Violmussling</t>
        </is>
      </c>
      <c r="S164">
        <f>HYPERLINK("https://klasma.github.io/Logging_2313/artfynd/A 47165-2023 artfynd.xlsx", "A 47165-2023")</f>
        <v/>
      </c>
      <c r="T164">
        <f>HYPERLINK("https://klasma.github.io/Logging_2313/kartor/A 47165-2023 karta.png", "A 47165-2023")</f>
        <v/>
      </c>
      <c r="V164">
        <f>HYPERLINK("https://klasma.github.io/Logging_2313/klagomål/A 47165-2023 FSC-klagomål.docx", "A 47165-2023")</f>
        <v/>
      </c>
      <c r="W164">
        <f>HYPERLINK("https://klasma.github.io/Logging_2313/klagomålsmail/A 47165-2023 FSC-klagomål mail.docx", "A 47165-2023")</f>
        <v/>
      </c>
      <c r="X164">
        <f>HYPERLINK("https://klasma.github.io/Logging_2313/tillsyn/A 47165-2023 tillsynsbegäran.docx", "A 47165-2023")</f>
        <v/>
      </c>
      <c r="Y164">
        <f>HYPERLINK("https://klasma.github.io/Logging_2313/tillsynsmail/A 47165-2023 tillsynsbegäran mail.docx", "A 47165-2023")</f>
        <v/>
      </c>
    </row>
    <row r="165" ht="15" customHeight="1">
      <c r="A165" t="inlineStr">
        <is>
          <t>A 69109-2021</t>
        </is>
      </c>
      <c r="B165" s="1" t="n">
        <v>44530</v>
      </c>
      <c r="C165" s="1" t="n">
        <v>45972</v>
      </c>
      <c r="D165" t="inlineStr">
        <is>
          <t>JÄMTLANDS LÄN</t>
        </is>
      </c>
      <c r="E165" t="inlineStr">
        <is>
          <t>STRÖMSUND</t>
        </is>
      </c>
      <c r="G165" t="n">
        <v>11.6</v>
      </c>
      <c r="H165" t="n">
        <v>0</v>
      </c>
      <c r="I165" t="n">
        <v>3</v>
      </c>
      <c r="J165" t="n">
        <v>0</v>
      </c>
      <c r="K165" t="n">
        <v>0</v>
      </c>
      <c r="L165" t="n">
        <v>0</v>
      </c>
      <c r="M165" t="n">
        <v>0</v>
      </c>
      <c r="N165" t="n">
        <v>0</v>
      </c>
      <c r="O165" t="n">
        <v>0</v>
      </c>
      <c r="P165" t="n">
        <v>0</v>
      </c>
      <c r="Q165" t="n">
        <v>3</v>
      </c>
      <c r="R165" s="2" t="inlineStr">
        <is>
          <t>Nordlig tuffmossa
Skogsbräsma
Sotriska</t>
        </is>
      </c>
      <c r="S165">
        <f>HYPERLINK("https://klasma.github.io/Logging_2313/artfynd/A 69109-2021 artfynd.xlsx", "A 69109-2021")</f>
        <v/>
      </c>
      <c r="T165">
        <f>HYPERLINK("https://klasma.github.io/Logging_2313/kartor/A 69109-2021 karta.png", "A 69109-2021")</f>
        <v/>
      </c>
      <c r="V165">
        <f>HYPERLINK("https://klasma.github.io/Logging_2313/klagomål/A 69109-2021 FSC-klagomål.docx", "A 69109-2021")</f>
        <v/>
      </c>
      <c r="W165">
        <f>HYPERLINK("https://klasma.github.io/Logging_2313/klagomålsmail/A 69109-2021 FSC-klagomål mail.docx", "A 69109-2021")</f>
        <v/>
      </c>
      <c r="X165">
        <f>HYPERLINK("https://klasma.github.io/Logging_2313/tillsyn/A 69109-2021 tillsynsbegäran.docx", "A 69109-2021")</f>
        <v/>
      </c>
      <c r="Y165">
        <f>HYPERLINK("https://klasma.github.io/Logging_2313/tillsynsmail/A 69109-2021 tillsynsbegäran mail.docx", "A 69109-2021")</f>
        <v/>
      </c>
    </row>
    <row r="166" ht="15" customHeight="1">
      <c r="A166" t="inlineStr">
        <is>
          <t>A 30350-2024</t>
        </is>
      </c>
      <c r="B166" s="1" t="n">
        <v>45490</v>
      </c>
      <c r="C166" s="1" t="n">
        <v>45972</v>
      </c>
      <c r="D166" t="inlineStr">
        <is>
          <t>JÄMTLANDS LÄN</t>
        </is>
      </c>
      <c r="E166" t="inlineStr">
        <is>
          <t>STRÖMSUND</t>
        </is>
      </c>
      <c r="F166" t="inlineStr">
        <is>
          <t>SCA</t>
        </is>
      </c>
      <c r="G166" t="n">
        <v>3.9</v>
      </c>
      <c r="H166" t="n">
        <v>1</v>
      </c>
      <c r="I166" t="n">
        <v>2</v>
      </c>
      <c r="J166" t="n">
        <v>1</v>
      </c>
      <c r="K166" t="n">
        <v>0</v>
      </c>
      <c r="L166" t="n">
        <v>0</v>
      </c>
      <c r="M166" t="n">
        <v>0</v>
      </c>
      <c r="N166" t="n">
        <v>0</v>
      </c>
      <c r="O166" t="n">
        <v>1</v>
      </c>
      <c r="P166" t="n">
        <v>0</v>
      </c>
      <c r="Q166" t="n">
        <v>3</v>
      </c>
      <c r="R166" s="2" t="inlineStr">
        <is>
          <t>Lunglav
Granriska
Tvåblad</t>
        </is>
      </c>
      <c r="S166">
        <f>HYPERLINK("https://klasma.github.io/Logging_2313/artfynd/A 30350-2024 artfynd.xlsx", "A 30350-2024")</f>
        <v/>
      </c>
      <c r="T166">
        <f>HYPERLINK("https://klasma.github.io/Logging_2313/kartor/A 30350-2024 karta.png", "A 30350-2024")</f>
        <v/>
      </c>
      <c r="V166">
        <f>HYPERLINK("https://klasma.github.io/Logging_2313/klagomål/A 30350-2024 FSC-klagomål.docx", "A 30350-2024")</f>
        <v/>
      </c>
      <c r="W166">
        <f>HYPERLINK("https://klasma.github.io/Logging_2313/klagomålsmail/A 30350-2024 FSC-klagomål mail.docx", "A 30350-2024")</f>
        <v/>
      </c>
      <c r="X166">
        <f>HYPERLINK("https://klasma.github.io/Logging_2313/tillsyn/A 30350-2024 tillsynsbegäran.docx", "A 30350-2024")</f>
        <v/>
      </c>
      <c r="Y166">
        <f>HYPERLINK("https://klasma.github.io/Logging_2313/tillsynsmail/A 30350-2024 tillsynsbegäran mail.docx", "A 30350-2024")</f>
        <v/>
      </c>
    </row>
    <row r="167" ht="15" customHeight="1">
      <c r="A167" t="inlineStr">
        <is>
          <t>A 61417-2021</t>
        </is>
      </c>
      <c r="B167" s="1" t="n">
        <v>44500</v>
      </c>
      <c r="C167" s="1" t="n">
        <v>45972</v>
      </c>
      <c r="D167" t="inlineStr">
        <is>
          <t>JÄMTLANDS LÄN</t>
        </is>
      </c>
      <c r="E167" t="inlineStr">
        <is>
          <t>STRÖMSUND</t>
        </is>
      </c>
      <c r="F167" t="inlineStr">
        <is>
          <t>SCA</t>
        </is>
      </c>
      <c r="G167" t="n">
        <v>13.8</v>
      </c>
      <c r="H167" t="n">
        <v>0</v>
      </c>
      <c r="I167" t="n">
        <v>0</v>
      </c>
      <c r="J167" t="n">
        <v>2</v>
      </c>
      <c r="K167" t="n">
        <v>1</v>
      </c>
      <c r="L167" t="n">
        <v>0</v>
      </c>
      <c r="M167" t="n">
        <v>0</v>
      </c>
      <c r="N167" t="n">
        <v>0</v>
      </c>
      <c r="O167" t="n">
        <v>3</v>
      </c>
      <c r="P167" t="n">
        <v>1</v>
      </c>
      <c r="Q167" t="n">
        <v>3</v>
      </c>
      <c r="R167" s="2" t="inlineStr">
        <is>
          <t>Gräddporing
Dvärgbägarlav
Nordtagging</t>
        </is>
      </c>
      <c r="S167">
        <f>HYPERLINK("https://klasma.github.io/Logging_2313/artfynd/A 61417-2021 artfynd.xlsx", "A 61417-2021")</f>
        <v/>
      </c>
      <c r="T167">
        <f>HYPERLINK("https://klasma.github.io/Logging_2313/kartor/A 61417-2021 karta.png", "A 61417-2021")</f>
        <v/>
      </c>
      <c r="V167">
        <f>HYPERLINK("https://klasma.github.io/Logging_2313/klagomål/A 61417-2021 FSC-klagomål.docx", "A 61417-2021")</f>
        <v/>
      </c>
      <c r="W167">
        <f>HYPERLINK("https://klasma.github.io/Logging_2313/klagomålsmail/A 61417-2021 FSC-klagomål mail.docx", "A 61417-2021")</f>
        <v/>
      </c>
      <c r="X167">
        <f>HYPERLINK("https://klasma.github.io/Logging_2313/tillsyn/A 61417-2021 tillsynsbegäran.docx", "A 61417-2021")</f>
        <v/>
      </c>
      <c r="Y167">
        <f>HYPERLINK("https://klasma.github.io/Logging_2313/tillsynsmail/A 61417-2021 tillsynsbegäran mail.docx", "A 61417-2021")</f>
        <v/>
      </c>
    </row>
    <row r="168" ht="15" customHeight="1">
      <c r="A168" t="inlineStr">
        <is>
          <t>A 14533-2025</t>
        </is>
      </c>
      <c r="B168" s="1" t="n">
        <v>45741.65703703704</v>
      </c>
      <c r="C168" s="1" t="n">
        <v>45972</v>
      </c>
      <c r="D168" t="inlineStr">
        <is>
          <t>JÄMTLANDS LÄN</t>
        </is>
      </c>
      <c r="E168" t="inlineStr">
        <is>
          <t>STRÖMSUND</t>
        </is>
      </c>
      <c r="F168" t="inlineStr">
        <is>
          <t>SCA</t>
        </is>
      </c>
      <c r="G168" t="n">
        <v>4.1</v>
      </c>
      <c r="H168" t="n">
        <v>0</v>
      </c>
      <c r="I168" t="n">
        <v>0</v>
      </c>
      <c r="J168" t="n">
        <v>3</v>
      </c>
      <c r="K168" t="n">
        <v>0</v>
      </c>
      <c r="L168" t="n">
        <v>0</v>
      </c>
      <c r="M168" t="n">
        <v>0</v>
      </c>
      <c r="N168" t="n">
        <v>0</v>
      </c>
      <c r="O168" t="n">
        <v>3</v>
      </c>
      <c r="P168" t="n">
        <v>0</v>
      </c>
      <c r="Q168" t="n">
        <v>3</v>
      </c>
      <c r="R168" s="2" t="inlineStr">
        <is>
          <t>Granticka
Lunglav
Vitgrynig nållav</t>
        </is>
      </c>
      <c r="S168">
        <f>HYPERLINK("https://klasma.github.io/Logging_2313/artfynd/A 14533-2025 artfynd.xlsx", "A 14533-2025")</f>
        <v/>
      </c>
      <c r="T168">
        <f>HYPERLINK("https://klasma.github.io/Logging_2313/kartor/A 14533-2025 karta.png", "A 14533-2025")</f>
        <v/>
      </c>
      <c r="V168">
        <f>HYPERLINK("https://klasma.github.io/Logging_2313/klagomål/A 14533-2025 FSC-klagomål.docx", "A 14533-2025")</f>
        <v/>
      </c>
      <c r="W168">
        <f>HYPERLINK("https://klasma.github.io/Logging_2313/klagomålsmail/A 14533-2025 FSC-klagomål mail.docx", "A 14533-2025")</f>
        <v/>
      </c>
      <c r="X168">
        <f>HYPERLINK("https://klasma.github.io/Logging_2313/tillsyn/A 14533-2025 tillsynsbegäran.docx", "A 14533-2025")</f>
        <v/>
      </c>
      <c r="Y168">
        <f>HYPERLINK("https://klasma.github.io/Logging_2313/tillsynsmail/A 14533-2025 tillsynsbegäran mail.docx", "A 14533-2025")</f>
        <v/>
      </c>
    </row>
    <row r="169" ht="15" customHeight="1">
      <c r="A169" t="inlineStr">
        <is>
          <t>A 40879-2025</t>
        </is>
      </c>
      <c r="B169" s="1" t="n">
        <v>45897.58763888889</v>
      </c>
      <c r="C169" s="1" t="n">
        <v>45972</v>
      </c>
      <c r="D169" t="inlineStr">
        <is>
          <t>JÄMTLANDS LÄN</t>
        </is>
      </c>
      <c r="E169" t="inlineStr">
        <is>
          <t>STRÖMSUND</t>
        </is>
      </c>
      <c r="F169" t="inlineStr">
        <is>
          <t>Holmen skog AB</t>
        </is>
      </c>
      <c r="G169" t="n">
        <v>1.8</v>
      </c>
      <c r="H169" t="n">
        <v>2</v>
      </c>
      <c r="I169" t="n">
        <v>0</v>
      </c>
      <c r="J169" t="n">
        <v>1</v>
      </c>
      <c r="K169" t="n">
        <v>0</v>
      </c>
      <c r="L169" t="n">
        <v>0</v>
      </c>
      <c r="M169" t="n">
        <v>0</v>
      </c>
      <c r="N169" t="n">
        <v>0</v>
      </c>
      <c r="O169" t="n">
        <v>1</v>
      </c>
      <c r="P169" t="n">
        <v>0</v>
      </c>
      <c r="Q169" t="n">
        <v>3</v>
      </c>
      <c r="R169" s="2" t="inlineStr">
        <is>
          <t>Brunklöver
Brudsporre
Fläcknycklar</t>
        </is>
      </c>
      <c r="S169">
        <f>HYPERLINK("https://klasma.github.io/Logging_2313/artfynd/A 40879-2025 artfynd.xlsx", "A 40879-2025")</f>
        <v/>
      </c>
      <c r="T169">
        <f>HYPERLINK("https://klasma.github.io/Logging_2313/kartor/A 40879-2025 karta.png", "A 40879-2025")</f>
        <v/>
      </c>
      <c r="V169">
        <f>HYPERLINK("https://klasma.github.io/Logging_2313/klagomål/A 40879-2025 FSC-klagomål.docx", "A 40879-2025")</f>
        <v/>
      </c>
      <c r="W169">
        <f>HYPERLINK("https://klasma.github.io/Logging_2313/klagomålsmail/A 40879-2025 FSC-klagomål mail.docx", "A 40879-2025")</f>
        <v/>
      </c>
      <c r="X169">
        <f>HYPERLINK("https://klasma.github.io/Logging_2313/tillsyn/A 40879-2025 tillsynsbegäran.docx", "A 40879-2025")</f>
        <v/>
      </c>
      <c r="Y169">
        <f>HYPERLINK("https://klasma.github.io/Logging_2313/tillsynsmail/A 40879-2025 tillsynsbegäran mail.docx", "A 40879-2025")</f>
        <v/>
      </c>
    </row>
    <row r="170" ht="15" customHeight="1">
      <c r="A170" t="inlineStr">
        <is>
          <t>A 33243-2024</t>
        </is>
      </c>
      <c r="B170" s="1" t="n">
        <v>45518.61494212963</v>
      </c>
      <c r="C170" s="1" t="n">
        <v>45972</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45972</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41657-2025</t>
        </is>
      </c>
      <c r="B172" s="1" t="n">
        <v>45902.34438657408</v>
      </c>
      <c r="C172" s="1" t="n">
        <v>45972</v>
      </c>
      <c r="D172" t="inlineStr">
        <is>
          <t>JÄMTLANDS LÄN</t>
        </is>
      </c>
      <c r="E172" t="inlineStr">
        <is>
          <t>STRÖMSUND</t>
        </is>
      </c>
      <c r="F172" t="inlineStr">
        <is>
          <t>SCA</t>
        </is>
      </c>
      <c r="G172" t="n">
        <v>1.1</v>
      </c>
      <c r="H172" t="n">
        <v>0</v>
      </c>
      <c r="I172" t="n">
        <v>1</v>
      </c>
      <c r="J172" t="n">
        <v>2</v>
      </c>
      <c r="K172" t="n">
        <v>0</v>
      </c>
      <c r="L172" t="n">
        <v>0</v>
      </c>
      <c r="M172" t="n">
        <v>0</v>
      </c>
      <c r="N172" t="n">
        <v>0</v>
      </c>
      <c r="O172" t="n">
        <v>2</v>
      </c>
      <c r="P172" t="n">
        <v>0</v>
      </c>
      <c r="Q172" t="n">
        <v>3</v>
      </c>
      <c r="R172" s="2" t="inlineStr">
        <is>
          <t>Kolflarnlav
Lunglav
Bårdlav</t>
        </is>
      </c>
      <c r="S172">
        <f>HYPERLINK("https://klasma.github.io/Logging_2313/artfynd/A 41657-2025 artfynd.xlsx", "A 41657-2025")</f>
        <v/>
      </c>
      <c r="T172">
        <f>HYPERLINK("https://klasma.github.io/Logging_2313/kartor/A 41657-2025 karta.png", "A 41657-2025")</f>
        <v/>
      </c>
      <c r="V172">
        <f>HYPERLINK("https://klasma.github.io/Logging_2313/klagomål/A 41657-2025 FSC-klagomål.docx", "A 41657-2025")</f>
        <v/>
      </c>
      <c r="W172">
        <f>HYPERLINK("https://klasma.github.io/Logging_2313/klagomålsmail/A 41657-2025 FSC-klagomål mail.docx", "A 41657-2025")</f>
        <v/>
      </c>
      <c r="X172">
        <f>HYPERLINK("https://klasma.github.io/Logging_2313/tillsyn/A 41657-2025 tillsynsbegäran.docx", "A 41657-2025")</f>
        <v/>
      </c>
      <c r="Y172">
        <f>HYPERLINK("https://klasma.github.io/Logging_2313/tillsynsmail/A 41657-2025 tillsynsbegäran mail.docx", "A 41657-2025")</f>
        <v/>
      </c>
    </row>
    <row r="173" ht="15" customHeight="1">
      <c r="A173" t="inlineStr">
        <is>
          <t>A 27918-2024</t>
        </is>
      </c>
      <c r="B173" s="1" t="n">
        <v>45475.94855324074</v>
      </c>
      <c r="C173" s="1" t="n">
        <v>45972</v>
      </c>
      <c r="D173" t="inlineStr">
        <is>
          <t>JÄMTLANDS LÄN</t>
        </is>
      </c>
      <c r="E173" t="inlineStr">
        <is>
          <t>STRÖMSUND</t>
        </is>
      </c>
      <c r="F173" t="inlineStr">
        <is>
          <t>SCA</t>
        </is>
      </c>
      <c r="G173" t="n">
        <v>1.4</v>
      </c>
      <c r="H173" t="n">
        <v>0</v>
      </c>
      <c r="I173" t="n">
        <v>0</v>
      </c>
      <c r="J173" t="n">
        <v>3</v>
      </c>
      <c r="K173" t="n">
        <v>0</v>
      </c>
      <c r="L173" t="n">
        <v>0</v>
      </c>
      <c r="M173" t="n">
        <v>0</v>
      </c>
      <c r="N173" t="n">
        <v>0</v>
      </c>
      <c r="O173" t="n">
        <v>3</v>
      </c>
      <c r="P173" t="n">
        <v>0</v>
      </c>
      <c r="Q173" t="n">
        <v>3</v>
      </c>
      <c r="R173" s="2" t="inlineStr">
        <is>
          <t>Garnlav
Granticka
Kolflarnlav</t>
        </is>
      </c>
      <c r="S173">
        <f>HYPERLINK("https://klasma.github.io/Logging_2313/artfynd/A 27918-2024 artfynd.xlsx", "A 27918-2024")</f>
        <v/>
      </c>
      <c r="T173">
        <f>HYPERLINK("https://klasma.github.io/Logging_2313/kartor/A 27918-2024 karta.png", "A 27918-2024")</f>
        <v/>
      </c>
      <c r="V173">
        <f>HYPERLINK("https://klasma.github.io/Logging_2313/klagomål/A 27918-2024 FSC-klagomål.docx", "A 27918-2024")</f>
        <v/>
      </c>
      <c r="W173">
        <f>HYPERLINK("https://klasma.github.io/Logging_2313/klagomålsmail/A 27918-2024 FSC-klagomål mail.docx", "A 27918-2024")</f>
        <v/>
      </c>
      <c r="X173">
        <f>HYPERLINK("https://klasma.github.io/Logging_2313/tillsyn/A 27918-2024 tillsynsbegäran.docx", "A 27918-2024")</f>
        <v/>
      </c>
      <c r="Y173">
        <f>HYPERLINK("https://klasma.github.io/Logging_2313/tillsynsmail/A 27918-2024 tillsynsbegäran mail.docx", "A 27918-2024")</f>
        <v/>
      </c>
    </row>
    <row r="174" ht="15" customHeight="1">
      <c r="A174" t="inlineStr">
        <is>
          <t>A 46267-2023</t>
        </is>
      </c>
      <c r="B174" s="1" t="n">
        <v>45196</v>
      </c>
      <c r="C174" s="1" t="n">
        <v>45972</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26367-2025</t>
        </is>
      </c>
      <c r="B175" s="1" t="n">
        <v>45806.36490740741</v>
      </c>
      <c r="C175" s="1" t="n">
        <v>45972</v>
      </c>
      <c r="D175" t="inlineStr">
        <is>
          <t>JÄMTLANDS LÄN</t>
        </is>
      </c>
      <c r="E175" t="inlineStr">
        <is>
          <t>STRÖMSUND</t>
        </is>
      </c>
      <c r="G175" t="n">
        <v>5.7</v>
      </c>
      <c r="H175" t="n">
        <v>1</v>
      </c>
      <c r="I175" t="n">
        <v>0</v>
      </c>
      <c r="J175" t="n">
        <v>3</v>
      </c>
      <c r="K175" t="n">
        <v>0</v>
      </c>
      <c r="L175" t="n">
        <v>0</v>
      </c>
      <c r="M175" t="n">
        <v>0</v>
      </c>
      <c r="N175" t="n">
        <v>0</v>
      </c>
      <c r="O175" t="n">
        <v>3</v>
      </c>
      <c r="P175" t="n">
        <v>0</v>
      </c>
      <c r="Q175" t="n">
        <v>3</v>
      </c>
      <c r="R175" s="2" t="inlineStr">
        <is>
          <t>Garnlav
Skrovellav
Tretåig hackspett</t>
        </is>
      </c>
      <c r="S175">
        <f>HYPERLINK("https://klasma.github.io/Logging_2313/artfynd/A 26367-2025 artfynd.xlsx", "A 26367-2025")</f>
        <v/>
      </c>
      <c r="T175">
        <f>HYPERLINK("https://klasma.github.io/Logging_2313/kartor/A 26367-2025 karta.png", "A 26367-2025")</f>
        <v/>
      </c>
      <c r="V175">
        <f>HYPERLINK("https://klasma.github.io/Logging_2313/klagomål/A 26367-2025 FSC-klagomål.docx", "A 26367-2025")</f>
        <v/>
      </c>
      <c r="W175">
        <f>HYPERLINK("https://klasma.github.io/Logging_2313/klagomålsmail/A 26367-2025 FSC-klagomål mail.docx", "A 26367-2025")</f>
        <v/>
      </c>
      <c r="X175">
        <f>HYPERLINK("https://klasma.github.io/Logging_2313/tillsyn/A 26367-2025 tillsynsbegäran.docx", "A 26367-2025")</f>
        <v/>
      </c>
      <c r="Y175">
        <f>HYPERLINK("https://klasma.github.io/Logging_2313/tillsynsmail/A 26367-2025 tillsynsbegäran mail.docx", "A 26367-2025")</f>
        <v/>
      </c>
      <c r="Z175">
        <f>HYPERLINK("https://klasma.github.io/Logging_2313/fåglar/A 26367-2025 prioriterade fågelarter.docx", "A 26367-2025")</f>
        <v/>
      </c>
    </row>
    <row r="176" ht="15" customHeight="1">
      <c r="A176" t="inlineStr">
        <is>
          <t>A 27686-2023</t>
        </is>
      </c>
      <c r="B176" s="1" t="n">
        <v>45097</v>
      </c>
      <c r="C176" s="1" t="n">
        <v>45972</v>
      </c>
      <c r="D176" t="inlineStr">
        <is>
          <t>JÄMTLANDS LÄN</t>
        </is>
      </c>
      <c r="E176" t="inlineStr">
        <is>
          <t>STRÖMSUND</t>
        </is>
      </c>
      <c r="F176" t="inlineStr">
        <is>
          <t>SCA</t>
        </is>
      </c>
      <c r="G176" t="n">
        <v>8.699999999999999</v>
      </c>
      <c r="H176" t="n">
        <v>0</v>
      </c>
      <c r="I176" t="n">
        <v>0</v>
      </c>
      <c r="J176" t="n">
        <v>3</v>
      </c>
      <c r="K176" t="n">
        <v>0</v>
      </c>
      <c r="L176" t="n">
        <v>0</v>
      </c>
      <c r="M176" t="n">
        <v>0</v>
      </c>
      <c r="N176" t="n">
        <v>0</v>
      </c>
      <c r="O176" t="n">
        <v>3</v>
      </c>
      <c r="P176" t="n">
        <v>0</v>
      </c>
      <c r="Q176" t="n">
        <v>3</v>
      </c>
      <c r="R176" s="2" t="inlineStr">
        <is>
          <t>Gammelgransskål
Garnlav
Harticka</t>
        </is>
      </c>
      <c r="S176">
        <f>HYPERLINK("https://klasma.github.io/Logging_2313/artfynd/A 27686-2023 artfynd.xlsx", "A 27686-2023")</f>
        <v/>
      </c>
      <c r="T176">
        <f>HYPERLINK("https://klasma.github.io/Logging_2313/kartor/A 27686-2023 karta.png", "A 27686-2023")</f>
        <v/>
      </c>
      <c r="V176">
        <f>HYPERLINK("https://klasma.github.io/Logging_2313/klagomål/A 27686-2023 FSC-klagomål.docx", "A 27686-2023")</f>
        <v/>
      </c>
      <c r="W176">
        <f>HYPERLINK("https://klasma.github.io/Logging_2313/klagomålsmail/A 27686-2023 FSC-klagomål mail.docx", "A 27686-2023")</f>
        <v/>
      </c>
      <c r="X176">
        <f>HYPERLINK("https://klasma.github.io/Logging_2313/tillsyn/A 27686-2023 tillsynsbegäran.docx", "A 27686-2023")</f>
        <v/>
      </c>
      <c r="Y176">
        <f>HYPERLINK("https://klasma.github.io/Logging_2313/tillsynsmail/A 27686-2023 tillsynsbegäran mail.docx", "A 27686-2023")</f>
        <v/>
      </c>
    </row>
    <row r="177" ht="15" customHeight="1">
      <c r="A177" t="inlineStr">
        <is>
          <t>A 42945-2025</t>
        </is>
      </c>
      <c r="B177" s="1" t="n">
        <v>45909</v>
      </c>
      <c r="C177" s="1" t="n">
        <v>45972</v>
      </c>
      <c r="D177" t="inlineStr">
        <is>
          <t>JÄMTLANDS LÄN</t>
        </is>
      </c>
      <c r="E177" t="inlineStr">
        <is>
          <t>STRÖMSUND</t>
        </is>
      </c>
      <c r="F177" t="inlineStr">
        <is>
          <t>SCA</t>
        </is>
      </c>
      <c r="G177" t="n">
        <v>2.8</v>
      </c>
      <c r="H177" t="n">
        <v>0</v>
      </c>
      <c r="I177" t="n">
        <v>1</v>
      </c>
      <c r="J177" t="n">
        <v>2</v>
      </c>
      <c r="K177" t="n">
        <v>0</v>
      </c>
      <c r="L177" t="n">
        <v>0</v>
      </c>
      <c r="M177" t="n">
        <v>0</v>
      </c>
      <c r="N177" t="n">
        <v>0</v>
      </c>
      <c r="O177" t="n">
        <v>2</v>
      </c>
      <c r="P177" t="n">
        <v>0</v>
      </c>
      <c r="Q177" t="n">
        <v>3</v>
      </c>
      <c r="R177" s="2" t="inlineStr">
        <is>
          <t>Lunglav
Skrovellav
Bårdlav</t>
        </is>
      </c>
      <c r="S177">
        <f>HYPERLINK("https://klasma.github.io/Logging_2313/artfynd/A 42945-2025 artfynd.xlsx", "A 42945-2025")</f>
        <v/>
      </c>
      <c r="T177">
        <f>HYPERLINK("https://klasma.github.io/Logging_2313/kartor/A 42945-2025 karta.png", "A 42945-2025")</f>
        <v/>
      </c>
      <c r="V177">
        <f>HYPERLINK("https://klasma.github.io/Logging_2313/klagomål/A 42945-2025 FSC-klagomål.docx", "A 42945-2025")</f>
        <v/>
      </c>
      <c r="W177">
        <f>HYPERLINK("https://klasma.github.io/Logging_2313/klagomålsmail/A 42945-2025 FSC-klagomål mail.docx", "A 42945-2025")</f>
        <v/>
      </c>
      <c r="X177">
        <f>HYPERLINK("https://klasma.github.io/Logging_2313/tillsyn/A 42945-2025 tillsynsbegäran.docx", "A 42945-2025")</f>
        <v/>
      </c>
      <c r="Y177">
        <f>HYPERLINK("https://klasma.github.io/Logging_2313/tillsynsmail/A 42945-2025 tillsynsbegäran mail.docx", "A 42945-2025")</f>
        <v/>
      </c>
    </row>
    <row r="178" ht="15" customHeight="1">
      <c r="A178" t="inlineStr">
        <is>
          <t>A 630-2021</t>
        </is>
      </c>
      <c r="B178" s="1" t="n">
        <v>44203</v>
      </c>
      <c r="C178" s="1" t="n">
        <v>45972</v>
      </c>
      <c r="D178" t="inlineStr">
        <is>
          <t>JÄMTLANDS LÄN</t>
        </is>
      </c>
      <c r="E178" t="inlineStr">
        <is>
          <t>STRÖMSUND</t>
        </is>
      </c>
      <c r="F178" t="inlineStr">
        <is>
          <t>SCA</t>
        </is>
      </c>
      <c r="G178" t="n">
        <v>54.6</v>
      </c>
      <c r="H178" t="n">
        <v>0</v>
      </c>
      <c r="I178" t="n">
        <v>1</v>
      </c>
      <c r="J178" t="n">
        <v>1</v>
      </c>
      <c r="K178" t="n">
        <v>1</v>
      </c>
      <c r="L178" t="n">
        <v>0</v>
      </c>
      <c r="M178" t="n">
        <v>0</v>
      </c>
      <c r="N178" t="n">
        <v>0</v>
      </c>
      <c r="O178" t="n">
        <v>2</v>
      </c>
      <c r="P178" t="n">
        <v>1</v>
      </c>
      <c r="Q178" t="n">
        <v>3</v>
      </c>
      <c r="R178" s="2" t="inlineStr">
        <is>
          <t>Norsk näverlav
Gränsticka
Sotlav</t>
        </is>
      </c>
      <c r="S178">
        <f>HYPERLINK("https://klasma.github.io/Logging_2313/artfynd/A 630-2021 artfynd.xlsx", "A 630-2021")</f>
        <v/>
      </c>
      <c r="T178">
        <f>HYPERLINK("https://klasma.github.io/Logging_2313/kartor/A 630-2021 karta.png", "A 630-2021")</f>
        <v/>
      </c>
      <c r="V178">
        <f>HYPERLINK("https://klasma.github.io/Logging_2313/klagomål/A 630-2021 FSC-klagomål.docx", "A 630-2021")</f>
        <v/>
      </c>
      <c r="W178">
        <f>HYPERLINK("https://klasma.github.io/Logging_2313/klagomålsmail/A 630-2021 FSC-klagomål mail.docx", "A 630-2021")</f>
        <v/>
      </c>
      <c r="X178">
        <f>HYPERLINK("https://klasma.github.io/Logging_2313/tillsyn/A 630-2021 tillsynsbegäran.docx", "A 630-2021")</f>
        <v/>
      </c>
      <c r="Y178">
        <f>HYPERLINK("https://klasma.github.io/Logging_2313/tillsynsmail/A 630-2021 tillsynsbegäran mail.docx", "A 630-2021")</f>
        <v/>
      </c>
    </row>
    <row r="179" ht="15" customHeight="1">
      <c r="A179" t="inlineStr">
        <is>
          <t>A 32908-2023</t>
        </is>
      </c>
      <c r="B179" s="1" t="n">
        <v>45124.95153935185</v>
      </c>
      <c r="C179" s="1" t="n">
        <v>45972</v>
      </c>
      <c r="D179" t="inlineStr">
        <is>
          <t>JÄMTLANDS LÄN</t>
        </is>
      </c>
      <c r="E179" t="inlineStr">
        <is>
          <t>STRÖMSUND</t>
        </is>
      </c>
      <c r="F179" t="inlineStr">
        <is>
          <t>SCA</t>
        </is>
      </c>
      <c r="G179" t="n">
        <v>9.800000000000001</v>
      </c>
      <c r="H179" t="n">
        <v>1</v>
      </c>
      <c r="I179" t="n">
        <v>0</v>
      </c>
      <c r="J179" t="n">
        <v>2</v>
      </c>
      <c r="K179" t="n">
        <v>0</v>
      </c>
      <c r="L179" t="n">
        <v>0</v>
      </c>
      <c r="M179" t="n">
        <v>0</v>
      </c>
      <c r="N179" t="n">
        <v>0</v>
      </c>
      <c r="O179" t="n">
        <v>2</v>
      </c>
      <c r="P179" t="n">
        <v>0</v>
      </c>
      <c r="Q179" t="n">
        <v>3</v>
      </c>
      <c r="R179" s="2" t="inlineStr">
        <is>
          <t>Garnlav
Rosenticka
Revlummer</t>
        </is>
      </c>
      <c r="S179">
        <f>HYPERLINK("https://klasma.github.io/Logging_2313/artfynd/A 32908-2023 artfynd.xlsx", "A 32908-2023")</f>
        <v/>
      </c>
      <c r="T179">
        <f>HYPERLINK("https://klasma.github.io/Logging_2313/kartor/A 32908-2023 karta.png", "A 32908-2023")</f>
        <v/>
      </c>
      <c r="V179">
        <f>HYPERLINK("https://klasma.github.io/Logging_2313/klagomål/A 32908-2023 FSC-klagomål.docx", "A 32908-2023")</f>
        <v/>
      </c>
      <c r="W179">
        <f>HYPERLINK("https://klasma.github.io/Logging_2313/klagomålsmail/A 32908-2023 FSC-klagomål mail.docx", "A 32908-2023")</f>
        <v/>
      </c>
      <c r="X179">
        <f>HYPERLINK("https://klasma.github.io/Logging_2313/tillsyn/A 32908-2023 tillsynsbegäran.docx", "A 32908-2023")</f>
        <v/>
      </c>
      <c r="Y179">
        <f>HYPERLINK("https://klasma.github.io/Logging_2313/tillsynsmail/A 32908-2023 tillsynsbegäran mail.docx", "A 32908-2023")</f>
        <v/>
      </c>
    </row>
    <row r="180" ht="15" customHeight="1">
      <c r="A180" t="inlineStr">
        <is>
          <t>A 53043-2023</t>
        </is>
      </c>
      <c r="B180" s="1" t="n">
        <v>45226</v>
      </c>
      <c r="C180" s="1" t="n">
        <v>45972</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30554-2025</t>
        </is>
      </c>
      <c r="B181" s="1" t="n">
        <v>45831.38600694444</v>
      </c>
      <c r="C181" s="1" t="n">
        <v>45972</v>
      </c>
      <c r="D181" t="inlineStr">
        <is>
          <t>JÄMTLANDS LÄN</t>
        </is>
      </c>
      <c r="E181" t="inlineStr">
        <is>
          <t>STRÖMSUND</t>
        </is>
      </c>
      <c r="F181" t="inlineStr">
        <is>
          <t>SCA</t>
        </is>
      </c>
      <c r="G181" t="n">
        <v>15.5</v>
      </c>
      <c r="H181" t="n">
        <v>2</v>
      </c>
      <c r="I181" t="n">
        <v>0</v>
      </c>
      <c r="J181" t="n">
        <v>3</v>
      </c>
      <c r="K181" t="n">
        <v>0</v>
      </c>
      <c r="L181" t="n">
        <v>0</v>
      </c>
      <c r="M181" t="n">
        <v>0</v>
      </c>
      <c r="N181" t="n">
        <v>0</v>
      </c>
      <c r="O181" t="n">
        <v>3</v>
      </c>
      <c r="P181" t="n">
        <v>0</v>
      </c>
      <c r="Q181" t="n">
        <v>3</v>
      </c>
      <c r="R181" s="2" t="inlineStr">
        <is>
          <t>Spillkråka
Tretåig hackspett
Vitgrynig nållav</t>
        </is>
      </c>
      <c r="S181">
        <f>HYPERLINK("https://klasma.github.io/Logging_2313/artfynd/A 30554-2025 artfynd.xlsx", "A 30554-2025")</f>
        <v/>
      </c>
      <c r="T181">
        <f>HYPERLINK("https://klasma.github.io/Logging_2313/kartor/A 30554-2025 karta.png", "A 30554-2025")</f>
        <v/>
      </c>
      <c r="V181">
        <f>HYPERLINK("https://klasma.github.io/Logging_2313/klagomål/A 30554-2025 FSC-klagomål.docx", "A 30554-2025")</f>
        <v/>
      </c>
      <c r="W181">
        <f>HYPERLINK("https://klasma.github.io/Logging_2313/klagomålsmail/A 30554-2025 FSC-klagomål mail.docx", "A 30554-2025")</f>
        <v/>
      </c>
      <c r="X181">
        <f>HYPERLINK("https://klasma.github.io/Logging_2313/tillsyn/A 30554-2025 tillsynsbegäran.docx", "A 30554-2025")</f>
        <v/>
      </c>
      <c r="Y181">
        <f>HYPERLINK("https://klasma.github.io/Logging_2313/tillsynsmail/A 30554-2025 tillsynsbegäran mail.docx", "A 30554-2025")</f>
        <v/>
      </c>
      <c r="Z181">
        <f>HYPERLINK("https://klasma.github.io/Logging_2313/fåglar/A 30554-2025 prioriterade fågelarter.docx", "A 30554-2025")</f>
        <v/>
      </c>
    </row>
    <row r="182" ht="15" customHeight="1">
      <c r="A182" t="inlineStr">
        <is>
          <t>A 30828-2025</t>
        </is>
      </c>
      <c r="B182" s="1" t="n">
        <v>45831.67776620371</v>
      </c>
      <c r="C182" s="1" t="n">
        <v>45972</v>
      </c>
      <c r="D182" t="inlineStr">
        <is>
          <t>JÄMTLANDS LÄN</t>
        </is>
      </c>
      <c r="E182" t="inlineStr">
        <is>
          <t>STRÖMSUND</t>
        </is>
      </c>
      <c r="F182" t="inlineStr">
        <is>
          <t>SCA</t>
        </is>
      </c>
      <c r="G182" t="n">
        <v>2.2</v>
      </c>
      <c r="H182" t="n">
        <v>0</v>
      </c>
      <c r="I182" t="n">
        <v>0</v>
      </c>
      <c r="J182" t="n">
        <v>3</v>
      </c>
      <c r="K182" t="n">
        <v>0</v>
      </c>
      <c r="L182" t="n">
        <v>0</v>
      </c>
      <c r="M182" t="n">
        <v>0</v>
      </c>
      <c r="N182" t="n">
        <v>0</v>
      </c>
      <c r="O182" t="n">
        <v>3</v>
      </c>
      <c r="P182" t="n">
        <v>0</v>
      </c>
      <c r="Q182" t="n">
        <v>3</v>
      </c>
      <c r="R182" s="2" t="inlineStr">
        <is>
          <t>Gammelgransskål
Granticka
Harticka</t>
        </is>
      </c>
      <c r="S182">
        <f>HYPERLINK("https://klasma.github.io/Logging_2313/artfynd/A 30828-2025 artfynd.xlsx", "A 30828-2025")</f>
        <v/>
      </c>
      <c r="T182">
        <f>HYPERLINK("https://klasma.github.io/Logging_2313/kartor/A 30828-2025 karta.png", "A 30828-2025")</f>
        <v/>
      </c>
      <c r="V182">
        <f>HYPERLINK("https://klasma.github.io/Logging_2313/klagomål/A 30828-2025 FSC-klagomål.docx", "A 30828-2025")</f>
        <v/>
      </c>
      <c r="W182">
        <f>HYPERLINK("https://klasma.github.io/Logging_2313/klagomålsmail/A 30828-2025 FSC-klagomål mail.docx", "A 30828-2025")</f>
        <v/>
      </c>
      <c r="X182">
        <f>HYPERLINK("https://klasma.github.io/Logging_2313/tillsyn/A 30828-2025 tillsynsbegäran.docx", "A 30828-2025")</f>
        <v/>
      </c>
      <c r="Y182">
        <f>HYPERLINK("https://klasma.github.io/Logging_2313/tillsynsmail/A 30828-2025 tillsynsbegäran mail.docx", "A 30828-2025")</f>
        <v/>
      </c>
    </row>
    <row r="183" ht="15" customHeight="1">
      <c r="A183" t="inlineStr">
        <is>
          <t>A 32795-2025</t>
        </is>
      </c>
      <c r="B183" s="1" t="n">
        <v>45839.49068287037</v>
      </c>
      <c r="C183" s="1" t="n">
        <v>45972</v>
      </c>
      <c r="D183" t="inlineStr">
        <is>
          <t>JÄMTLANDS LÄN</t>
        </is>
      </c>
      <c r="E183" t="inlineStr">
        <is>
          <t>STRÖMSUND</t>
        </is>
      </c>
      <c r="F183" t="inlineStr">
        <is>
          <t>SCA</t>
        </is>
      </c>
      <c r="G183" t="n">
        <v>2.8</v>
      </c>
      <c r="H183" t="n">
        <v>0</v>
      </c>
      <c r="I183" t="n">
        <v>0</v>
      </c>
      <c r="J183" t="n">
        <v>3</v>
      </c>
      <c r="K183" t="n">
        <v>0</v>
      </c>
      <c r="L183" t="n">
        <v>0</v>
      </c>
      <c r="M183" t="n">
        <v>0</v>
      </c>
      <c r="N183" t="n">
        <v>0</v>
      </c>
      <c r="O183" t="n">
        <v>3</v>
      </c>
      <c r="P183" t="n">
        <v>0</v>
      </c>
      <c r="Q183" t="n">
        <v>3</v>
      </c>
      <c r="R183" s="2" t="inlineStr">
        <is>
          <t>Gammelgransskål
Garnlav
Ullticka</t>
        </is>
      </c>
      <c r="S183">
        <f>HYPERLINK("https://klasma.github.io/Logging_2313/artfynd/A 32795-2025 artfynd.xlsx", "A 32795-2025")</f>
        <v/>
      </c>
      <c r="T183">
        <f>HYPERLINK("https://klasma.github.io/Logging_2313/kartor/A 32795-2025 karta.png", "A 32795-2025")</f>
        <v/>
      </c>
      <c r="V183">
        <f>HYPERLINK("https://klasma.github.io/Logging_2313/klagomål/A 32795-2025 FSC-klagomål.docx", "A 32795-2025")</f>
        <v/>
      </c>
      <c r="W183">
        <f>HYPERLINK("https://klasma.github.io/Logging_2313/klagomålsmail/A 32795-2025 FSC-klagomål mail.docx", "A 32795-2025")</f>
        <v/>
      </c>
      <c r="X183">
        <f>HYPERLINK("https://klasma.github.io/Logging_2313/tillsyn/A 32795-2025 tillsynsbegäran.docx", "A 32795-2025")</f>
        <v/>
      </c>
      <c r="Y183">
        <f>HYPERLINK("https://klasma.github.io/Logging_2313/tillsynsmail/A 32795-2025 tillsynsbegäran mail.docx", "A 32795-2025")</f>
        <v/>
      </c>
    </row>
    <row r="184" ht="15" customHeight="1">
      <c r="A184" t="inlineStr">
        <is>
          <t>A 32794-2025</t>
        </is>
      </c>
      <c r="B184" s="1" t="n">
        <v>45839.49055555555</v>
      </c>
      <c r="C184" s="1" t="n">
        <v>45972</v>
      </c>
      <c r="D184" t="inlineStr">
        <is>
          <t>JÄMTLANDS LÄN</t>
        </is>
      </c>
      <c r="E184" t="inlineStr">
        <is>
          <t>STRÖMSUND</t>
        </is>
      </c>
      <c r="F184" t="inlineStr">
        <is>
          <t>SCA</t>
        </is>
      </c>
      <c r="G184" t="n">
        <v>4.8</v>
      </c>
      <c r="H184" t="n">
        <v>3</v>
      </c>
      <c r="I184" t="n">
        <v>1</v>
      </c>
      <c r="J184" t="n">
        <v>0</v>
      </c>
      <c r="K184" t="n">
        <v>0</v>
      </c>
      <c r="L184" t="n">
        <v>0</v>
      </c>
      <c r="M184" t="n">
        <v>0</v>
      </c>
      <c r="N184" t="n">
        <v>0</v>
      </c>
      <c r="O184" t="n">
        <v>0</v>
      </c>
      <c r="P184" t="n">
        <v>0</v>
      </c>
      <c r="Q184" t="n">
        <v>3</v>
      </c>
      <c r="R184" s="2" t="inlineStr">
        <is>
          <t>Plattlummer
Skogsrör
Mattlummer</t>
        </is>
      </c>
      <c r="S184">
        <f>HYPERLINK("https://klasma.github.io/Logging_2313/artfynd/A 32794-2025 artfynd.xlsx", "A 32794-2025")</f>
        <v/>
      </c>
      <c r="T184">
        <f>HYPERLINK("https://klasma.github.io/Logging_2313/kartor/A 32794-2025 karta.png", "A 32794-2025")</f>
        <v/>
      </c>
      <c r="V184">
        <f>HYPERLINK("https://klasma.github.io/Logging_2313/klagomål/A 32794-2025 FSC-klagomål.docx", "A 32794-2025")</f>
        <v/>
      </c>
      <c r="W184">
        <f>HYPERLINK("https://klasma.github.io/Logging_2313/klagomålsmail/A 32794-2025 FSC-klagomål mail.docx", "A 32794-2025")</f>
        <v/>
      </c>
      <c r="X184">
        <f>HYPERLINK("https://klasma.github.io/Logging_2313/tillsyn/A 32794-2025 tillsynsbegäran.docx", "A 32794-2025")</f>
        <v/>
      </c>
      <c r="Y184">
        <f>HYPERLINK("https://klasma.github.io/Logging_2313/tillsynsmail/A 32794-2025 tillsynsbegäran mail.docx", "A 32794-2025")</f>
        <v/>
      </c>
    </row>
    <row r="185" ht="15" customHeight="1">
      <c r="A185" t="inlineStr">
        <is>
          <t>A 33325-2025</t>
        </is>
      </c>
      <c r="B185" s="1" t="n">
        <v>45841.34570601852</v>
      </c>
      <c r="C185" s="1" t="n">
        <v>45972</v>
      </c>
      <c r="D185" t="inlineStr">
        <is>
          <t>JÄMTLANDS LÄN</t>
        </is>
      </c>
      <c r="E185" t="inlineStr">
        <is>
          <t>STRÖMSUND</t>
        </is>
      </c>
      <c r="F185" t="inlineStr">
        <is>
          <t>SCA</t>
        </is>
      </c>
      <c r="G185" t="n">
        <v>22.9</v>
      </c>
      <c r="H185" t="n">
        <v>1</v>
      </c>
      <c r="I185" t="n">
        <v>1</v>
      </c>
      <c r="J185" t="n">
        <v>1</v>
      </c>
      <c r="K185" t="n">
        <v>1</v>
      </c>
      <c r="L185" t="n">
        <v>0</v>
      </c>
      <c r="M185" t="n">
        <v>0</v>
      </c>
      <c r="N185" t="n">
        <v>0</v>
      </c>
      <c r="O185" t="n">
        <v>2</v>
      </c>
      <c r="P185" t="n">
        <v>1</v>
      </c>
      <c r="Q185" t="n">
        <v>3</v>
      </c>
      <c r="R185" s="2" t="inlineStr">
        <is>
          <t>Blackticka
Gränsticka
Guckusko</t>
        </is>
      </c>
      <c r="S185">
        <f>HYPERLINK("https://klasma.github.io/Logging_2313/artfynd/A 33325-2025 artfynd.xlsx", "A 33325-2025")</f>
        <v/>
      </c>
      <c r="T185">
        <f>HYPERLINK("https://klasma.github.io/Logging_2313/kartor/A 33325-2025 karta.png", "A 33325-2025")</f>
        <v/>
      </c>
      <c r="V185">
        <f>HYPERLINK("https://klasma.github.io/Logging_2313/klagomål/A 33325-2025 FSC-klagomål.docx", "A 33325-2025")</f>
        <v/>
      </c>
      <c r="W185">
        <f>HYPERLINK("https://klasma.github.io/Logging_2313/klagomålsmail/A 33325-2025 FSC-klagomål mail.docx", "A 33325-2025")</f>
        <v/>
      </c>
      <c r="X185">
        <f>HYPERLINK("https://klasma.github.io/Logging_2313/tillsyn/A 33325-2025 tillsynsbegäran.docx", "A 33325-2025")</f>
        <v/>
      </c>
      <c r="Y185">
        <f>HYPERLINK("https://klasma.github.io/Logging_2313/tillsynsmail/A 33325-2025 tillsynsbegäran mail.docx", "A 33325-2025")</f>
        <v/>
      </c>
    </row>
    <row r="186" ht="15" customHeight="1">
      <c r="A186" t="inlineStr">
        <is>
          <t>A 34509-2025</t>
        </is>
      </c>
      <c r="B186" s="1" t="n">
        <v>45847.44314814815</v>
      </c>
      <c r="C186" s="1" t="n">
        <v>45972</v>
      </c>
      <c r="D186" t="inlineStr">
        <is>
          <t>JÄMTLANDS LÄN</t>
        </is>
      </c>
      <c r="E186" t="inlineStr">
        <is>
          <t>STRÖMSUND</t>
        </is>
      </c>
      <c r="F186" t="inlineStr">
        <is>
          <t>Holmen skog AB</t>
        </is>
      </c>
      <c r="G186" t="n">
        <v>4.4</v>
      </c>
      <c r="H186" t="n">
        <v>0</v>
      </c>
      <c r="I186" t="n">
        <v>2</v>
      </c>
      <c r="J186" t="n">
        <v>1</v>
      </c>
      <c r="K186" t="n">
        <v>0</v>
      </c>
      <c r="L186" t="n">
        <v>0</v>
      </c>
      <c r="M186" t="n">
        <v>0</v>
      </c>
      <c r="N186" t="n">
        <v>0</v>
      </c>
      <c r="O186" t="n">
        <v>1</v>
      </c>
      <c r="P186" t="n">
        <v>0</v>
      </c>
      <c r="Q186" t="n">
        <v>3</v>
      </c>
      <c r="R186" s="2" t="inlineStr">
        <is>
          <t>Lunglav
Källmossor
Stuplav</t>
        </is>
      </c>
      <c r="S186">
        <f>HYPERLINK("https://klasma.github.io/Logging_2313/artfynd/A 34509-2025 artfynd.xlsx", "A 34509-2025")</f>
        <v/>
      </c>
      <c r="T186">
        <f>HYPERLINK("https://klasma.github.io/Logging_2313/kartor/A 34509-2025 karta.png", "A 34509-2025")</f>
        <v/>
      </c>
      <c r="V186">
        <f>HYPERLINK("https://klasma.github.io/Logging_2313/klagomål/A 34509-2025 FSC-klagomål.docx", "A 34509-2025")</f>
        <v/>
      </c>
      <c r="W186">
        <f>HYPERLINK("https://klasma.github.io/Logging_2313/klagomålsmail/A 34509-2025 FSC-klagomål mail.docx", "A 34509-2025")</f>
        <v/>
      </c>
      <c r="X186">
        <f>HYPERLINK("https://klasma.github.io/Logging_2313/tillsyn/A 34509-2025 tillsynsbegäran.docx", "A 34509-2025")</f>
        <v/>
      </c>
      <c r="Y186">
        <f>HYPERLINK("https://klasma.github.io/Logging_2313/tillsynsmail/A 34509-2025 tillsynsbegäran mail.docx", "A 34509-2025")</f>
        <v/>
      </c>
    </row>
    <row r="187" ht="15" customHeight="1">
      <c r="A187" t="inlineStr">
        <is>
          <t>A 2305-2025</t>
        </is>
      </c>
      <c r="B187" s="1" t="n">
        <v>45673.5987037037</v>
      </c>
      <c r="C187" s="1" t="n">
        <v>45972</v>
      </c>
      <c r="D187" t="inlineStr">
        <is>
          <t>JÄMTLANDS LÄN</t>
        </is>
      </c>
      <c r="E187" t="inlineStr">
        <is>
          <t>STRÖMSUND</t>
        </is>
      </c>
      <c r="G187" t="n">
        <v>12.1</v>
      </c>
      <c r="H187" t="n">
        <v>1</v>
      </c>
      <c r="I187" t="n">
        <v>1</v>
      </c>
      <c r="J187" t="n">
        <v>2</v>
      </c>
      <c r="K187" t="n">
        <v>0</v>
      </c>
      <c r="L187" t="n">
        <v>0</v>
      </c>
      <c r="M187" t="n">
        <v>0</v>
      </c>
      <c r="N187" t="n">
        <v>0</v>
      </c>
      <c r="O187" t="n">
        <v>2</v>
      </c>
      <c r="P187" t="n">
        <v>0</v>
      </c>
      <c r="Q187" t="n">
        <v>3</v>
      </c>
      <c r="R187" s="2" t="inlineStr">
        <is>
          <t>Garnlav
Granticka
Spindelblomster</t>
        </is>
      </c>
      <c r="S187">
        <f>HYPERLINK("https://klasma.github.io/Logging_2313/artfynd/A 2305-2025 artfynd.xlsx", "A 2305-2025")</f>
        <v/>
      </c>
      <c r="T187">
        <f>HYPERLINK("https://klasma.github.io/Logging_2313/kartor/A 2305-2025 karta.png", "A 2305-2025")</f>
        <v/>
      </c>
      <c r="V187">
        <f>HYPERLINK("https://klasma.github.io/Logging_2313/klagomål/A 2305-2025 FSC-klagomål.docx", "A 2305-2025")</f>
        <v/>
      </c>
      <c r="W187">
        <f>HYPERLINK("https://klasma.github.io/Logging_2313/klagomålsmail/A 2305-2025 FSC-klagomål mail.docx", "A 2305-2025")</f>
        <v/>
      </c>
      <c r="X187">
        <f>HYPERLINK("https://klasma.github.io/Logging_2313/tillsyn/A 2305-2025 tillsynsbegäran.docx", "A 2305-2025")</f>
        <v/>
      </c>
      <c r="Y187">
        <f>HYPERLINK("https://klasma.github.io/Logging_2313/tillsynsmail/A 2305-2025 tillsynsbegäran mail.docx", "A 2305-2025")</f>
        <v/>
      </c>
    </row>
    <row r="188" ht="15" customHeight="1">
      <c r="A188" t="inlineStr">
        <is>
          <t>A 38023-2025</t>
        </is>
      </c>
      <c r="B188" s="1" t="n">
        <v>45882.34489583333</v>
      </c>
      <c r="C188" s="1" t="n">
        <v>45972</v>
      </c>
      <c r="D188" t="inlineStr">
        <is>
          <t>JÄMTLANDS LÄN</t>
        </is>
      </c>
      <c r="E188" t="inlineStr">
        <is>
          <t>STRÖMSUND</t>
        </is>
      </c>
      <c r="F188" t="inlineStr">
        <is>
          <t>SCA</t>
        </is>
      </c>
      <c r="G188" t="n">
        <v>3.1</v>
      </c>
      <c r="H188" t="n">
        <v>0</v>
      </c>
      <c r="I188" t="n">
        <v>0</v>
      </c>
      <c r="J188" t="n">
        <v>3</v>
      </c>
      <c r="K188" t="n">
        <v>0</v>
      </c>
      <c r="L188" t="n">
        <v>0</v>
      </c>
      <c r="M188" t="n">
        <v>0</v>
      </c>
      <c r="N188" t="n">
        <v>0</v>
      </c>
      <c r="O188" t="n">
        <v>3</v>
      </c>
      <c r="P188" t="n">
        <v>0</v>
      </c>
      <c r="Q188" t="n">
        <v>3</v>
      </c>
      <c r="R188" s="2" t="inlineStr">
        <is>
          <t>Rödbrun blekspik
Vitgrynig nållav
Vitskaftad svartspik</t>
        </is>
      </c>
      <c r="S188">
        <f>HYPERLINK("https://klasma.github.io/Logging_2313/artfynd/A 38023-2025 artfynd.xlsx", "A 38023-2025")</f>
        <v/>
      </c>
      <c r="T188">
        <f>HYPERLINK("https://klasma.github.io/Logging_2313/kartor/A 38023-2025 karta.png", "A 38023-2025")</f>
        <v/>
      </c>
      <c r="V188">
        <f>HYPERLINK("https://klasma.github.io/Logging_2313/klagomål/A 38023-2025 FSC-klagomål.docx", "A 38023-2025")</f>
        <v/>
      </c>
      <c r="W188">
        <f>HYPERLINK("https://klasma.github.io/Logging_2313/klagomålsmail/A 38023-2025 FSC-klagomål mail.docx", "A 38023-2025")</f>
        <v/>
      </c>
      <c r="X188">
        <f>HYPERLINK("https://klasma.github.io/Logging_2313/tillsyn/A 38023-2025 tillsynsbegäran.docx", "A 38023-2025")</f>
        <v/>
      </c>
      <c r="Y188">
        <f>HYPERLINK("https://klasma.github.io/Logging_2313/tillsynsmail/A 38023-2025 tillsynsbegäran mail.docx", "A 38023-2025")</f>
        <v/>
      </c>
    </row>
    <row r="189" ht="15" customHeight="1">
      <c r="A189" t="inlineStr">
        <is>
          <t>A 44604-2021</t>
        </is>
      </c>
      <c r="B189" s="1" t="n">
        <v>44435</v>
      </c>
      <c r="C189" s="1" t="n">
        <v>45972</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45972</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45972</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45972</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45972</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25038-2022</t>
        </is>
      </c>
      <c r="B194" s="1" t="n">
        <v>44728</v>
      </c>
      <c r="C194" s="1" t="n">
        <v>45972</v>
      </c>
      <c r="D194" t="inlineStr">
        <is>
          <t>JÄMTLANDS LÄN</t>
        </is>
      </c>
      <c r="E194" t="inlineStr">
        <is>
          <t>STRÖMSUND</t>
        </is>
      </c>
      <c r="F194" t="inlineStr">
        <is>
          <t>SCA</t>
        </is>
      </c>
      <c r="G194" t="n">
        <v>7.7</v>
      </c>
      <c r="H194" t="n">
        <v>1</v>
      </c>
      <c r="I194" t="n">
        <v>0</v>
      </c>
      <c r="J194" t="n">
        <v>0</v>
      </c>
      <c r="K194" t="n">
        <v>2</v>
      </c>
      <c r="L194" t="n">
        <v>0</v>
      </c>
      <c r="M194" t="n">
        <v>0</v>
      </c>
      <c r="N194" t="n">
        <v>0</v>
      </c>
      <c r="O194" t="n">
        <v>2</v>
      </c>
      <c r="P194" t="n">
        <v>2</v>
      </c>
      <c r="Q194" t="n">
        <v>2</v>
      </c>
      <c r="R194" s="2" t="inlineStr">
        <is>
          <t>Gräddporing
Knärot</t>
        </is>
      </c>
      <c r="S194">
        <f>HYPERLINK("https://klasma.github.io/Logging_2313/artfynd/A 25038-2022 artfynd.xlsx", "A 25038-2022")</f>
        <v/>
      </c>
      <c r="T194">
        <f>HYPERLINK("https://klasma.github.io/Logging_2313/kartor/A 25038-2022 karta.png", "A 25038-2022")</f>
        <v/>
      </c>
      <c r="U194">
        <f>HYPERLINK("https://klasma.github.io/Logging_2313/knärot/A 25038-2022 karta knärot.png", "A 25038-2022")</f>
        <v/>
      </c>
      <c r="V194">
        <f>HYPERLINK("https://klasma.github.io/Logging_2313/klagomål/A 25038-2022 FSC-klagomål.docx", "A 25038-2022")</f>
        <v/>
      </c>
      <c r="W194">
        <f>HYPERLINK("https://klasma.github.io/Logging_2313/klagomålsmail/A 25038-2022 FSC-klagomål mail.docx", "A 25038-2022")</f>
        <v/>
      </c>
      <c r="X194">
        <f>HYPERLINK("https://klasma.github.io/Logging_2313/tillsyn/A 25038-2022 tillsynsbegäran.docx", "A 25038-2022")</f>
        <v/>
      </c>
      <c r="Y194">
        <f>HYPERLINK("https://klasma.github.io/Logging_2313/tillsynsmail/A 25038-2022 tillsynsbegäran mail.docx", "A 25038-2022")</f>
        <v/>
      </c>
    </row>
    <row r="195" ht="15" customHeight="1">
      <c r="A195" t="inlineStr">
        <is>
          <t>A 33544-2021</t>
        </is>
      </c>
      <c r="B195" s="1" t="n">
        <v>44377</v>
      </c>
      <c r="C195" s="1" t="n">
        <v>45972</v>
      </c>
      <c r="D195" t="inlineStr">
        <is>
          <t>JÄMTLANDS LÄN</t>
        </is>
      </c>
      <c r="E195" t="inlineStr">
        <is>
          <t>STRÖMSUND</t>
        </is>
      </c>
      <c r="G195" t="n">
        <v>5.8</v>
      </c>
      <c r="H195" t="n">
        <v>0</v>
      </c>
      <c r="I195" t="n">
        <v>1</v>
      </c>
      <c r="J195" t="n">
        <v>1</v>
      </c>
      <c r="K195" t="n">
        <v>0</v>
      </c>
      <c r="L195" t="n">
        <v>0</v>
      </c>
      <c r="M195" t="n">
        <v>0</v>
      </c>
      <c r="N195" t="n">
        <v>0</v>
      </c>
      <c r="O195" t="n">
        <v>1</v>
      </c>
      <c r="P195" t="n">
        <v>0</v>
      </c>
      <c r="Q195" t="n">
        <v>2</v>
      </c>
      <c r="R195" s="2" t="inlineStr">
        <is>
          <t>Lunglav
Dvärgtufs</t>
        </is>
      </c>
      <c r="S195">
        <f>HYPERLINK("https://klasma.github.io/Logging_2313/artfynd/A 33544-2021 artfynd.xlsx", "A 33544-2021")</f>
        <v/>
      </c>
      <c r="T195">
        <f>HYPERLINK("https://klasma.github.io/Logging_2313/kartor/A 33544-2021 karta.png", "A 33544-2021")</f>
        <v/>
      </c>
      <c r="V195">
        <f>HYPERLINK("https://klasma.github.io/Logging_2313/klagomål/A 33544-2021 FSC-klagomål.docx", "A 33544-2021")</f>
        <v/>
      </c>
      <c r="W195">
        <f>HYPERLINK("https://klasma.github.io/Logging_2313/klagomålsmail/A 33544-2021 FSC-klagomål mail.docx", "A 33544-2021")</f>
        <v/>
      </c>
      <c r="X195">
        <f>HYPERLINK("https://klasma.github.io/Logging_2313/tillsyn/A 33544-2021 tillsynsbegäran.docx", "A 33544-2021")</f>
        <v/>
      </c>
      <c r="Y195">
        <f>HYPERLINK("https://klasma.github.io/Logging_2313/tillsynsmail/A 33544-2021 tillsynsbegäran mail.docx", "A 33544-2021")</f>
        <v/>
      </c>
    </row>
    <row r="196" ht="15" customHeight="1">
      <c r="A196" t="inlineStr">
        <is>
          <t>A 58228-2020</t>
        </is>
      </c>
      <c r="B196" s="1" t="n">
        <v>44144</v>
      </c>
      <c r="C196" s="1" t="n">
        <v>45972</v>
      </c>
      <c r="D196" t="inlineStr">
        <is>
          <t>JÄMTLANDS LÄN</t>
        </is>
      </c>
      <c r="E196" t="inlineStr">
        <is>
          <t>STRÖMSUND</t>
        </is>
      </c>
      <c r="F196" t="inlineStr">
        <is>
          <t>Holmen skog AB</t>
        </is>
      </c>
      <c r="G196" t="n">
        <v>9.199999999999999</v>
      </c>
      <c r="H196" t="n">
        <v>0</v>
      </c>
      <c r="I196" t="n">
        <v>0</v>
      </c>
      <c r="J196" t="n">
        <v>0</v>
      </c>
      <c r="K196" t="n">
        <v>2</v>
      </c>
      <c r="L196" t="n">
        <v>0</v>
      </c>
      <c r="M196" t="n">
        <v>0</v>
      </c>
      <c r="N196" t="n">
        <v>0</v>
      </c>
      <c r="O196" t="n">
        <v>2</v>
      </c>
      <c r="P196" t="n">
        <v>2</v>
      </c>
      <c r="Q196" t="n">
        <v>2</v>
      </c>
      <c r="R196" s="2" t="inlineStr">
        <is>
          <t>Norsk näverlav
Smalskaftslav</t>
        </is>
      </c>
      <c r="S196">
        <f>HYPERLINK("https://klasma.github.io/Logging_2313/artfynd/A 58228-2020 artfynd.xlsx", "A 58228-2020")</f>
        <v/>
      </c>
      <c r="T196">
        <f>HYPERLINK("https://klasma.github.io/Logging_2313/kartor/A 58228-2020 karta.png", "A 58228-2020")</f>
        <v/>
      </c>
      <c r="V196">
        <f>HYPERLINK("https://klasma.github.io/Logging_2313/klagomål/A 58228-2020 FSC-klagomål.docx", "A 58228-2020")</f>
        <v/>
      </c>
      <c r="W196">
        <f>HYPERLINK("https://klasma.github.io/Logging_2313/klagomålsmail/A 58228-2020 FSC-klagomål mail.docx", "A 58228-2020")</f>
        <v/>
      </c>
      <c r="X196">
        <f>HYPERLINK("https://klasma.github.io/Logging_2313/tillsyn/A 58228-2020 tillsynsbegäran.docx", "A 58228-2020")</f>
        <v/>
      </c>
      <c r="Y196">
        <f>HYPERLINK("https://klasma.github.io/Logging_2313/tillsynsmail/A 58228-2020 tillsynsbegäran mail.docx", "A 58228-2020")</f>
        <v/>
      </c>
    </row>
    <row r="197" ht="15" customHeight="1">
      <c r="A197" t="inlineStr">
        <is>
          <t>A 47937-2021</t>
        </is>
      </c>
      <c r="B197" s="1" t="n">
        <v>44448</v>
      </c>
      <c r="C197" s="1" t="n">
        <v>45972</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45972</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45972</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45972</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59742-2024</t>
        </is>
      </c>
      <c r="B201" s="1" t="n">
        <v>45639.53158564815</v>
      </c>
      <c r="C201" s="1" t="n">
        <v>45972</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46621-2022</t>
        </is>
      </c>
      <c r="B202" s="1" t="n">
        <v>44848</v>
      </c>
      <c r="C202" s="1" t="n">
        <v>45972</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13189-2023</t>
        </is>
      </c>
      <c r="B203" s="1" t="n">
        <v>45002</v>
      </c>
      <c r="C203" s="1" t="n">
        <v>45972</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45972</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44773-2021</t>
        </is>
      </c>
      <c r="B205" s="1" t="n">
        <v>44438</v>
      </c>
      <c r="C205" s="1" t="n">
        <v>45972</v>
      </c>
      <c r="D205" t="inlineStr">
        <is>
          <t>JÄMTLANDS LÄN</t>
        </is>
      </c>
      <c r="E205" t="inlineStr">
        <is>
          <t>STRÖMSUND</t>
        </is>
      </c>
      <c r="G205" t="n">
        <v>12.3</v>
      </c>
      <c r="H205" t="n">
        <v>0</v>
      </c>
      <c r="I205" t="n">
        <v>0</v>
      </c>
      <c r="J205" t="n">
        <v>1</v>
      </c>
      <c r="K205" t="n">
        <v>1</v>
      </c>
      <c r="L205" t="n">
        <v>0</v>
      </c>
      <c r="M205" t="n">
        <v>0</v>
      </c>
      <c r="N205" t="n">
        <v>0</v>
      </c>
      <c r="O205" t="n">
        <v>2</v>
      </c>
      <c r="P205" t="n">
        <v>1</v>
      </c>
      <c r="Q205" t="n">
        <v>2</v>
      </c>
      <c r="R205" s="2" t="inlineStr">
        <is>
          <t>Allékantlav
Lunglav</t>
        </is>
      </c>
      <c r="S205">
        <f>HYPERLINK("https://klasma.github.io/Logging_2313/artfynd/A 44773-2021 artfynd.xlsx", "A 44773-2021")</f>
        <v/>
      </c>
      <c r="T205">
        <f>HYPERLINK("https://klasma.github.io/Logging_2313/kartor/A 44773-2021 karta.png", "A 44773-2021")</f>
        <v/>
      </c>
      <c r="V205">
        <f>HYPERLINK("https://klasma.github.io/Logging_2313/klagomål/A 44773-2021 FSC-klagomål.docx", "A 44773-2021")</f>
        <v/>
      </c>
      <c r="W205">
        <f>HYPERLINK("https://klasma.github.io/Logging_2313/klagomålsmail/A 44773-2021 FSC-klagomål mail.docx", "A 44773-2021")</f>
        <v/>
      </c>
      <c r="X205">
        <f>HYPERLINK("https://klasma.github.io/Logging_2313/tillsyn/A 44773-2021 tillsynsbegäran.docx", "A 44773-2021")</f>
        <v/>
      </c>
      <c r="Y205">
        <f>HYPERLINK("https://klasma.github.io/Logging_2313/tillsynsmail/A 44773-2021 tillsynsbegäran mail.docx", "A 44773-2021")</f>
        <v/>
      </c>
    </row>
    <row r="206" ht="15" customHeight="1">
      <c r="A206" t="inlineStr">
        <is>
          <t>A 39055-2023</t>
        </is>
      </c>
      <c r="B206" s="1" t="n">
        <v>45163</v>
      </c>
      <c r="C206" s="1" t="n">
        <v>45972</v>
      </c>
      <c r="D206" t="inlineStr">
        <is>
          <t>JÄMTLANDS LÄN</t>
        </is>
      </c>
      <c r="E206" t="inlineStr">
        <is>
          <t>STRÖMSUND</t>
        </is>
      </c>
      <c r="F206" t="inlineStr">
        <is>
          <t>SCA</t>
        </is>
      </c>
      <c r="G206" t="n">
        <v>7</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39055-2023 artfynd.xlsx", "A 39055-2023")</f>
        <v/>
      </c>
      <c r="T206">
        <f>HYPERLINK("https://klasma.github.io/Logging_2313/kartor/A 39055-2023 karta.png", "A 39055-2023")</f>
        <v/>
      </c>
      <c r="V206">
        <f>HYPERLINK("https://klasma.github.io/Logging_2313/klagomål/A 39055-2023 FSC-klagomål.docx", "A 39055-2023")</f>
        <v/>
      </c>
      <c r="W206">
        <f>HYPERLINK("https://klasma.github.io/Logging_2313/klagomålsmail/A 39055-2023 FSC-klagomål mail.docx", "A 39055-2023")</f>
        <v/>
      </c>
      <c r="X206">
        <f>HYPERLINK("https://klasma.github.io/Logging_2313/tillsyn/A 39055-2023 tillsynsbegäran.docx", "A 39055-2023")</f>
        <v/>
      </c>
      <c r="Y206">
        <f>HYPERLINK("https://klasma.github.io/Logging_2313/tillsynsmail/A 39055-2023 tillsynsbegäran mail.docx", "A 39055-2023")</f>
        <v/>
      </c>
    </row>
    <row r="207" ht="15" customHeight="1">
      <c r="A207" t="inlineStr">
        <is>
          <t>A 36837-2024</t>
        </is>
      </c>
      <c r="B207" s="1" t="n">
        <v>45538.52561342593</v>
      </c>
      <c r="C207" s="1" t="n">
        <v>45972</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37786-2022</t>
        </is>
      </c>
      <c r="B208" s="1" t="n">
        <v>44810</v>
      </c>
      <c r="C208" s="1" t="n">
        <v>45972</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45972</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45972</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21629-2024</t>
        </is>
      </c>
      <c r="B211" s="1" t="n">
        <v>45442.32594907407</v>
      </c>
      <c r="C211" s="1" t="n">
        <v>45972</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30351-2024</t>
        </is>
      </c>
      <c r="B212" s="1" t="n">
        <v>45490</v>
      </c>
      <c r="C212" s="1" t="n">
        <v>45972</v>
      </c>
      <c r="D212" t="inlineStr">
        <is>
          <t>JÄMTLANDS LÄN</t>
        </is>
      </c>
      <c r="E212" t="inlineStr">
        <is>
          <t>STRÖMSUND</t>
        </is>
      </c>
      <c r="F212" t="inlineStr">
        <is>
          <t>SCA</t>
        </is>
      </c>
      <c r="G212" t="n">
        <v>4.8</v>
      </c>
      <c r="H212" t="n">
        <v>0</v>
      </c>
      <c r="I212" t="n">
        <v>0</v>
      </c>
      <c r="J212" t="n">
        <v>1</v>
      </c>
      <c r="K212" t="n">
        <v>1</v>
      </c>
      <c r="L212" t="n">
        <v>0</v>
      </c>
      <c r="M212" t="n">
        <v>0</v>
      </c>
      <c r="N212" t="n">
        <v>0</v>
      </c>
      <c r="O212" t="n">
        <v>2</v>
      </c>
      <c r="P212" t="n">
        <v>1</v>
      </c>
      <c r="Q212" t="n">
        <v>2</v>
      </c>
      <c r="R212" s="2" t="inlineStr">
        <is>
          <t>Rynkskinn
Gammelgransskål</t>
        </is>
      </c>
      <c r="S212">
        <f>HYPERLINK("https://klasma.github.io/Logging_2313/artfynd/A 30351-2024 artfynd.xlsx", "A 30351-2024")</f>
        <v/>
      </c>
      <c r="T212">
        <f>HYPERLINK("https://klasma.github.io/Logging_2313/kartor/A 30351-2024 karta.png", "A 30351-2024")</f>
        <v/>
      </c>
      <c r="V212">
        <f>HYPERLINK("https://klasma.github.io/Logging_2313/klagomål/A 30351-2024 FSC-klagomål.docx", "A 30351-2024")</f>
        <v/>
      </c>
      <c r="W212">
        <f>HYPERLINK("https://klasma.github.io/Logging_2313/klagomålsmail/A 30351-2024 FSC-klagomål mail.docx", "A 30351-2024")</f>
        <v/>
      </c>
      <c r="X212">
        <f>HYPERLINK("https://klasma.github.io/Logging_2313/tillsyn/A 30351-2024 tillsynsbegäran.docx", "A 30351-2024")</f>
        <v/>
      </c>
      <c r="Y212">
        <f>HYPERLINK("https://klasma.github.io/Logging_2313/tillsynsmail/A 30351-2024 tillsynsbegäran mail.docx", "A 30351-2024")</f>
        <v/>
      </c>
    </row>
    <row r="213" ht="15" customHeight="1">
      <c r="A213" t="inlineStr">
        <is>
          <t>A 20781-2024</t>
        </is>
      </c>
      <c r="B213" s="1" t="n">
        <v>45436.94723379629</v>
      </c>
      <c r="C213" s="1" t="n">
        <v>45972</v>
      </c>
      <c r="D213" t="inlineStr">
        <is>
          <t>JÄMTLANDS LÄN</t>
        </is>
      </c>
      <c r="E213" t="inlineStr">
        <is>
          <t>STRÖMSUND</t>
        </is>
      </c>
      <c r="F213" t="inlineStr">
        <is>
          <t>SCA</t>
        </is>
      </c>
      <c r="G213" t="n">
        <v>3</v>
      </c>
      <c r="H213" t="n">
        <v>1</v>
      </c>
      <c r="I213" t="n">
        <v>0</v>
      </c>
      <c r="J213" t="n">
        <v>1</v>
      </c>
      <c r="K213" t="n">
        <v>0</v>
      </c>
      <c r="L213" t="n">
        <v>1</v>
      </c>
      <c r="M213" t="n">
        <v>0</v>
      </c>
      <c r="N213" t="n">
        <v>0</v>
      </c>
      <c r="O213" t="n">
        <v>2</v>
      </c>
      <c r="P213" t="n">
        <v>1</v>
      </c>
      <c r="Q213" t="n">
        <v>2</v>
      </c>
      <c r="R213" s="2" t="inlineStr">
        <is>
          <t>Storspov
Majviva</t>
        </is>
      </c>
      <c r="S213">
        <f>HYPERLINK("https://klasma.github.io/Logging_2313/artfynd/A 20781-2024 artfynd.xlsx", "A 20781-2024")</f>
        <v/>
      </c>
      <c r="T213">
        <f>HYPERLINK("https://klasma.github.io/Logging_2313/kartor/A 20781-2024 karta.png", "A 20781-2024")</f>
        <v/>
      </c>
      <c r="V213">
        <f>HYPERLINK("https://klasma.github.io/Logging_2313/klagomål/A 20781-2024 FSC-klagomål.docx", "A 20781-2024")</f>
        <v/>
      </c>
      <c r="W213">
        <f>HYPERLINK("https://klasma.github.io/Logging_2313/klagomålsmail/A 20781-2024 FSC-klagomål mail.docx", "A 20781-2024")</f>
        <v/>
      </c>
      <c r="X213">
        <f>HYPERLINK("https://klasma.github.io/Logging_2313/tillsyn/A 20781-2024 tillsynsbegäran.docx", "A 20781-2024")</f>
        <v/>
      </c>
      <c r="Y213">
        <f>HYPERLINK("https://klasma.github.io/Logging_2313/tillsynsmail/A 20781-2024 tillsynsbegäran mail.docx", "A 20781-2024")</f>
        <v/>
      </c>
    </row>
    <row r="214" ht="15" customHeight="1">
      <c r="A214" t="inlineStr">
        <is>
          <t>A 42239-2021</t>
        </is>
      </c>
      <c r="B214" s="1" t="n">
        <v>44426</v>
      </c>
      <c r="C214" s="1" t="n">
        <v>45972</v>
      </c>
      <c r="D214" t="inlineStr">
        <is>
          <t>JÄMTLANDS LÄN</t>
        </is>
      </c>
      <c r="E214" t="inlineStr">
        <is>
          <t>STRÖMSUND</t>
        </is>
      </c>
      <c r="F214" t="inlineStr">
        <is>
          <t>SCA</t>
        </is>
      </c>
      <c r="G214" t="n">
        <v>9.300000000000001</v>
      </c>
      <c r="H214" t="n">
        <v>0</v>
      </c>
      <c r="I214" t="n">
        <v>0</v>
      </c>
      <c r="J214" t="n">
        <v>2</v>
      </c>
      <c r="K214" t="n">
        <v>0</v>
      </c>
      <c r="L214" t="n">
        <v>0</v>
      </c>
      <c r="M214" t="n">
        <v>0</v>
      </c>
      <c r="N214" t="n">
        <v>0</v>
      </c>
      <c r="O214" t="n">
        <v>2</v>
      </c>
      <c r="P214" t="n">
        <v>0</v>
      </c>
      <c r="Q214" t="n">
        <v>2</v>
      </c>
      <c r="R214" s="2" t="inlineStr">
        <is>
          <t>Lunglav
Ullticka</t>
        </is>
      </c>
      <c r="S214">
        <f>HYPERLINK("https://klasma.github.io/Logging_2313/artfynd/A 42239-2021 artfynd.xlsx", "A 42239-2021")</f>
        <v/>
      </c>
      <c r="T214">
        <f>HYPERLINK("https://klasma.github.io/Logging_2313/kartor/A 42239-2021 karta.png", "A 42239-2021")</f>
        <v/>
      </c>
      <c r="V214">
        <f>HYPERLINK("https://klasma.github.io/Logging_2313/klagomål/A 42239-2021 FSC-klagomål.docx", "A 42239-2021")</f>
        <v/>
      </c>
      <c r="W214">
        <f>HYPERLINK("https://klasma.github.io/Logging_2313/klagomålsmail/A 42239-2021 FSC-klagomål mail.docx", "A 42239-2021")</f>
        <v/>
      </c>
      <c r="X214">
        <f>HYPERLINK("https://klasma.github.io/Logging_2313/tillsyn/A 42239-2021 tillsynsbegäran.docx", "A 42239-2021")</f>
        <v/>
      </c>
      <c r="Y214">
        <f>HYPERLINK("https://klasma.github.io/Logging_2313/tillsynsmail/A 42239-2021 tillsynsbegäran mail.docx", "A 42239-2021")</f>
        <v/>
      </c>
    </row>
    <row r="215" ht="15" customHeight="1">
      <c r="A215" t="inlineStr">
        <is>
          <t>A 60116-2020</t>
        </is>
      </c>
      <c r="B215" s="1" t="n">
        <v>44151</v>
      </c>
      <c r="C215" s="1" t="n">
        <v>45972</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29071-2023</t>
        </is>
      </c>
      <c r="B216" s="1" t="n">
        <v>45104</v>
      </c>
      <c r="C216" s="1" t="n">
        <v>45972</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Dvärgbägarlav
Kortskaftad ärgspik</t>
        </is>
      </c>
      <c r="S216">
        <f>HYPERLINK("https://klasma.github.io/Logging_2313/artfynd/A 29071-2023 artfynd.xlsx", "A 29071-2023")</f>
        <v/>
      </c>
      <c r="T216">
        <f>HYPERLINK("https://klasma.github.io/Logging_2313/kartor/A 29071-2023 karta.png", "A 29071-2023")</f>
        <v/>
      </c>
      <c r="V216">
        <f>HYPERLINK("https://klasma.github.io/Logging_2313/klagomål/A 29071-2023 FSC-klagomål.docx", "A 29071-2023")</f>
        <v/>
      </c>
      <c r="W216">
        <f>HYPERLINK("https://klasma.github.io/Logging_2313/klagomålsmail/A 29071-2023 FSC-klagomål mail.docx", "A 29071-2023")</f>
        <v/>
      </c>
      <c r="X216">
        <f>HYPERLINK("https://klasma.github.io/Logging_2313/tillsyn/A 29071-2023 tillsynsbegäran.docx", "A 29071-2023")</f>
        <v/>
      </c>
      <c r="Y216">
        <f>HYPERLINK("https://klasma.github.io/Logging_2313/tillsynsmail/A 29071-2023 tillsynsbegäran mail.docx", "A 29071-2023")</f>
        <v/>
      </c>
    </row>
    <row r="217" ht="15" customHeight="1">
      <c r="A217" t="inlineStr">
        <is>
          <t>A 18987-2023</t>
        </is>
      </c>
      <c r="B217" s="1" t="n">
        <v>45044</v>
      </c>
      <c r="C217" s="1" t="n">
        <v>45972</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38281-2024</t>
        </is>
      </c>
      <c r="B218" s="1" t="n">
        <v>45545.61533564814</v>
      </c>
      <c r="C218" s="1" t="n">
        <v>45972</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66707-2020</t>
        </is>
      </c>
      <c r="B219" s="1" t="n">
        <v>44179</v>
      </c>
      <c r="C219" s="1" t="n">
        <v>45972</v>
      </c>
      <c r="D219" t="inlineStr">
        <is>
          <t>JÄMTLANDS LÄN</t>
        </is>
      </c>
      <c r="E219" t="inlineStr">
        <is>
          <t>STRÖMSUND</t>
        </is>
      </c>
      <c r="G219" t="n">
        <v>29.6</v>
      </c>
      <c r="H219" t="n">
        <v>1</v>
      </c>
      <c r="I219" t="n">
        <v>1</v>
      </c>
      <c r="J219" t="n">
        <v>0</v>
      </c>
      <c r="K219" t="n">
        <v>0</v>
      </c>
      <c r="L219" t="n">
        <v>0</v>
      </c>
      <c r="M219" t="n">
        <v>0</v>
      </c>
      <c r="N219" t="n">
        <v>0</v>
      </c>
      <c r="O219" t="n">
        <v>0</v>
      </c>
      <c r="P219" t="n">
        <v>0</v>
      </c>
      <c r="Q219" t="n">
        <v>2</v>
      </c>
      <c r="R219" s="2" t="inlineStr">
        <is>
          <t>Kransrams
Blåsippa</t>
        </is>
      </c>
      <c r="S219">
        <f>HYPERLINK("https://klasma.github.io/Logging_2313/artfynd/A 66707-2020 artfynd.xlsx", "A 66707-2020")</f>
        <v/>
      </c>
      <c r="T219">
        <f>HYPERLINK("https://klasma.github.io/Logging_2313/kartor/A 66707-2020 karta.png", "A 66707-2020")</f>
        <v/>
      </c>
      <c r="V219">
        <f>HYPERLINK("https://klasma.github.io/Logging_2313/klagomål/A 66707-2020 FSC-klagomål.docx", "A 66707-2020")</f>
        <v/>
      </c>
      <c r="W219">
        <f>HYPERLINK("https://klasma.github.io/Logging_2313/klagomålsmail/A 66707-2020 FSC-klagomål mail.docx", "A 66707-2020")</f>
        <v/>
      </c>
      <c r="X219">
        <f>HYPERLINK("https://klasma.github.io/Logging_2313/tillsyn/A 66707-2020 tillsynsbegäran.docx", "A 66707-2020")</f>
        <v/>
      </c>
      <c r="Y219">
        <f>HYPERLINK("https://klasma.github.io/Logging_2313/tillsynsmail/A 66707-2020 tillsynsbegäran mail.docx", "A 66707-2020")</f>
        <v/>
      </c>
    </row>
    <row r="220" ht="15" customHeight="1">
      <c r="A220" t="inlineStr">
        <is>
          <t>A 27367-2023</t>
        </is>
      </c>
      <c r="B220" s="1" t="n">
        <v>45096</v>
      </c>
      <c r="C220" s="1" t="n">
        <v>45972</v>
      </c>
      <c r="D220" t="inlineStr">
        <is>
          <t>JÄMTLANDS LÄN</t>
        </is>
      </c>
      <c r="E220" t="inlineStr">
        <is>
          <t>STRÖMSUND</t>
        </is>
      </c>
      <c r="F220" t="inlineStr">
        <is>
          <t>SCA</t>
        </is>
      </c>
      <c r="G220" t="n">
        <v>2.8</v>
      </c>
      <c r="H220" t="n">
        <v>0</v>
      </c>
      <c r="I220" t="n">
        <v>2</v>
      </c>
      <c r="J220" t="n">
        <v>0</v>
      </c>
      <c r="K220" t="n">
        <v>0</v>
      </c>
      <c r="L220" t="n">
        <v>0</v>
      </c>
      <c r="M220" t="n">
        <v>0</v>
      </c>
      <c r="N220" t="n">
        <v>0</v>
      </c>
      <c r="O220" t="n">
        <v>0</v>
      </c>
      <c r="P220" t="n">
        <v>0</v>
      </c>
      <c r="Q220" t="n">
        <v>2</v>
      </c>
      <c r="R220" s="2" t="inlineStr">
        <is>
          <t>Bollvitmossa
Skinnlav</t>
        </is>
      </c>
      <c r="S220">
        <f>HYPERLINK("https://klasma.github.io/Logging_2313/artfynd/A 27367-2023 artfynd.xlsx", "A 27367-2023")</f>
        <v/>
      </c>
      <c r="T220">
        <f>HYPERLINK("https://klasma.github.io/Logging_2313/kartor/A 27367-2023 karta.png", "A 27367-2023")</f>
        <v/>
      </c>
      <c r="V220">
        <f>HYPERLINK("https://klasma.github.io/Logging_2313/klagomål/A 27367-2023 FSC-klagomål.docx", "A 27367-2023")</f>
        <v/>
      </c>
      <c r="W220">
        <f>HYPERLINK("https://klasma.github.io/Logging_2313/klagomålsmail/A 27367-2023 FSC-klagomål mail.docx", "A 27367-2023")</f>
        <v/>
      </c>
      <c r="X220">
        <f>HYPERLINK("https://klasma.github.io/Logging_2313/tillsyn/A 27367-2023 tillsynsbegäran.docx", "A 27367-2023")</f>
        <v/>
      </c>
      <c r="Y220">
        <f>HYPERLINK("https://klasma.github.io/Logging_2313/tillsynsmail/A 27367-2023 tillsynsbegäran mail.docx", "A 27367-2023")</f>
        <v/>
      </c>
    </row>
    <row r="221" ht="15" customHeight="1">
      <c r="A221" t="inlineStr">
        <is>
          <t>A 40010-2025</t>
        </is>
      </c>
      <c r="B221" s="1" t="n">
        <v>45894.34471064815</v>
      </c>
      <c r="C221" s="1" t="n">
        <v>45972</v>
      </c>
      <c r="D221" t="inlineStr">
        <is>
          <t>JÄMTLANDS LÄN</t>
        </is>
      </c>
      <c r="E221" t="inlineStr">
        <is>
          <t>STRÖMSUND</t>
        </is>
      </c>
      <c r="F221" t="inlineStr">
        <is>
          <t>SCA</t>
        </is>
      </c>
      <c r="G221" t="n">
        <v>1.9</v>
      </c>
      <c r="H221" t="n">
        <v>1</v>
      </c>
      <c r="I221" t="n">
        <v>0</v>
      </c>
      <c r="J221" t="n">
        <v>2</v>
      </c>
      <c r="K221" t="n">
        <v>0</v>
      </c>
      <c r="L221" t="n">
        <v>0</v>
      </c>
      <c r="M221" t="n">
        <v>0</v>
      </c>
      <c r="N221" t="n">
        <v>0</v>
      </c>
      <c r="O221" t="n">
        <v>2</v>
      </c>
      <c r="P221" t="n">
        <v>0</v>
      </c>
      <c r="Q221" t="n">
        <v>2</v>
      </c>
      <c r="R221" s="2" t="inlineStr">
        <is>
          <t>Tretåig hackspett
Vitgrynig nållav</t>
        </is>
      </c>
      <c r="S221">
        <f>HYPERLINK("https://klasma.github.io/Logging_2313/artfynd/A 40010-2025 artfynd.xlsx", "A 40010-2025")</f>
        <v/>
      </c>
      <c r="T221">
        <f>HYPERLINK("https://klasma.github.io/Logging_2313/kartor/A 40010-2025 karta.png", "A 40010-2025")</f>
        <v/>
      </c>
      <c r="V221">
        <f>HYPERLINK("https://klasma.github.io/Logging_2313/klagomål/A 40010-2025 FSC-klagomål.docx", "A 40010-2025")</f>
        <v/>
      </c>
      <c r="W221">
        <f>HYPERLINK("https://klasma.github.io/Logging_2313/klagomålsmail/A 40010-2025 FSC-klagomål mail.docx", "A 40010-2025")</f>
        <v/>
      </c>
      <c r="X221">
        <f>HYPERLINK("https://klasma.github.io/Logging_2313/tillsyn/A 40010-2025 tillsynsbegäran.docx", "A 40010-2025")</f>
        <v/>
      </c>
      <c r="Y221">
        <f>HYPERLINK("https://klasma.github.io/Logging_2313/tillsynsmail/A 40010-2025 tillsynsbegäran mail.docx", "A 40010-2025")</f>
        <v/>
      </c>
      <c r="Z221">
        <f>HYPERLINK("https://klasma.github.io/Logging_2313/fåglar/A 40010-2025 prioriterade fågelarter.docx", "A 40010-2025")</f>
        <v/>
      </c>
    </row>
    <row r="222" ht="15" customHeight="1">
      <c r="A222" t="inlineStr">
        <is>
          <t>A 49043-2025</t>
        </is>
      </c>
      <c r="B222" s="1" t="n">
        <v>45937.63622685185</v>
      </c>
      <c r="C222" s="1" t="n">
        <v>45972</v>
      </c>
      <c r="D222" t="inlineStr">
        <is>
          <t>JÄMTLANDS LÄN</t>
        </is>
      </c>
      <c r="E222" t="inlineStr">
        <is>
          <t>STRÖMSUND</t>
        </is>
      </c>
      <c r="F222" t="inlineStr">
        <is>
          <t>SCA</t>
        </is>
      </c>
      <c r="G222" t="n">
        <v>4</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HYPERLINK("https://klasma.github.io/Logging_2313/artfynd/A 49043-2025 artfynd.xlsx", "A 49043-2025")</f>
        <v/>
      </c>
      <c r="T222">
        <f>HYPERLINK("https://klasma.github.io/Logging_2313/kartor/A 49043-2025 karta.png", "A 49043-2025")</f>
        <v/>
      </c>
      <c r="V222">
        <f>HYPERLINK("https://klasma.github.io/Logging_2313/klagomål/A 49043-2025 FSC-klagomål.docx", "A 49043-2025")</f>
        <v/>
      </c>
      <c r="W222">
        <f>HYPERLINK("https://klasma.github.io/Logging_2313/klagomålsmail/A 49043-2025 FSC-klagomål mail.docx", "A 49043-2025")</f>
        <v/>
      </c>
      <c r="X222">
        <f>HYPERLINK("https://klasma.github.io/Logging_2313/tillsyn/A 49043-2025 tillsynsbegäran.docx", "A 49043-2025")</f>
        <v/>
      </c>
      <c r="Y222">
        <f>HYPERLINK("https://klasma.github.io/Logging_2313/tillsynsmail/A 49043-2025 tillsynsbegäran mail.docx", "A 49043-2025")</f>
        <v/>
      </c>
    </row>
    <row r="223" ht="15" customHeight="1">
      <c r="A223" t="inlineStr">
        <is>
          <t>A 49183-2024</t>
        </is>
      </c>
      <c r="B223" s="1" t="n">
        <v>45595.34423611111</v>
      </c>
      <c r="C223" s="1" t="n">
        <v>45972</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15461-2023</t>
        </is>
      </c>
      <c r="B224" s="1" t="n">
        <v>45019</v>
      </c>
      <c r="C224" s="1" t="n">
        <v>45972</v>
      </c>
      <c r="D224" t="inlineStr">
        <is>
          <t>JÄMTLANDS LÄN</t>
        </is>
      </c>
      <c r="E224" t="inlineStr">
        <is>
          <t>STRÖMSUND</t>
        </is>
      </c>
      <c r="G224" t="n">
        <v>13.9</v>
      </c>
      <c r="H224" t="n">
        <v>0</v>
      </c>
      <c r="I224" t="n">
        <v>0</v>
      </c>
      <c r="J224" t="n">
        <v>1</v>
      </c>
      <c r="K224" t="n">
        <v>1</v>
      </c>
      <c r="L224" t="n">
        <v>0</v>
      </c>
      <c r="M224" t="n">
        <v>0</v>
      </c>
      <c r="N224" t="n">
        <v>0</v>
      </c>
      <c r="O224" t="n">
        <v>2</v>
      </c>
      <c r="P224" t="n">
        <v>1</v>
      </c>
      <c r="Q224" t="n">
        <v>2</v>
      </c>
      <c r="R224" s="2" t="inlineStr">
        <is>
          <t>Blåfotad fagerspindling
Puderspindling</t>
        </is>
      </c>
      <c r="S224">
        <f>HYPERLINK("https://klasma.github.io/Logging_2313/artfynd/A 15461-2023 artfynd.xlsx", "A 15461-2023")</f>
        <v/>
      </c>
      <c r="T224">
        <f>HYPERLINK("https://klasma.github.io/Logging_2313/kartor/A 15461-2023 karta.png", "A 15461-2023")</f>
        <v/>
      </c>
      <c r="V224">
        <f>HYPERLINK("https://klasma.github.io/Logging_2313/klagomål/A 15461-2023 FSC-klagomål.docx", "A 15461-2023")</f>
        <v/>
      </c>
      <c r="W224">
        <f>HYPERLINK("https://klasma.github.io/Logging_2313/klagomålsmail/A 15461-2023 FSC-klagomål mail.docx", "A 15461-2023")</f>
        <v/>
      </c>
      <c r="X224">
        <f>HYPERLINK("https://klasma.github.io/Logging_2313/tillsyn/A 15461-2023 tillsynsbegäran.docx", "A 15461-2023")</f>
        <v/>
      </c>
      <c r="Y224">
        <f>HYPERLINK("https://klasma.github.io/Logging_2313/tillsynsmail/A 15461-2023 tillsynsbegäran mail.docx", "A 15461-2023")</f>
        <v/>
      </c>
    </row>
    <row r="225" ht="15" customHeight="1">
      <c r="A225" t="inlineStr">
        <is>
          <t>A 63532-2021</t>
        </is>
      </c>
      <c r="B225" s="1" t="n">
        <v>44504</v>
      </c>
      <c r="C225" s="1" t="n">
        <v>45972</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60503-2023</t>
        </is>
      </c>
      <c r="B226" s="1" t="n">
        <v>45258</v>
      </c>
      <c r="C226" s="1" t="n">
        <v>45972</v>
      </c>
      <c r="D226" t="inlineStr">
        <is>
          <t>JÄMTLANDS LÄN</t>
        </is>
      </c>
      <c r="E226" t="inlineStr">
        <is>
          <t>STRÖMSUND</t>
        </is>
      </c>
      <c r="G226" t="n">
        <v>5.7</v>
      </c>
      <c r="H226" t="n">
        <v>1</v>
      </c>
      <c r="I226" t="n">
        <v>0</v>
      </c>
      <c r="J226" t="n">
        <v>2</v>
      </c>
      <c r="K226" t="n">
        <v>0</v>
      </c>
      <c r="L226" t="n">
        <v>0</v>
      </c>
      <c r="M226" t="n">
        <v>0</v>
      </c>
      <c r="N226" t="n">
        <v>0</v>
      </c>
      <c r="O226" t="n">
        <v>2</v>
      </c>
      <c r="P226" t="n">
        <v>0</v>
      </c>
      <c r="Q226" t="n">
        <v>2</v>
      </c>
      <c r="R226" s="2" t="inlineStr">
        <is>
          <t>Garnlav
Tretåig hackspett</t>
        </is>
      </c>
      <c r="S226">
        <f>HYPERLINK("https://klasma.github.io/Logging_2313/artfynd/A 60503-2023 artfynd.xlsx", "A 60503-2023")</f>
        <v/>
      </c>
      <c r="T226">
        <f>HYPERLINK("https://klasma.github.io/Logging_2313/kartor/A 60503-2023 karta.png", "A 60503-2023")</f>
        <v/>
      </c>
      <c r="V226">
        <f>HYPERLINK("https://klasma.github.io/Logging_2313/klagomål/A 60503-2023 FSC-klagomål.docx", "A 60503-2023")</f>
        <v/>
      </c>
      <c r="W226">
        <f>HYPERLINK("https://klasma.github.io/Logging_2313/klagomålsmail/A 60503-2023 FSC-klagomål mail.docx", "A 60503-2023")</f>
        <v/>
      </c>
      <c r="X226">
        <f>HYPERLINK("https://klasma.github.io/Logging_2313/tillsyn/A 60503-2023 tillsynsbegäran.docx", "A 60503-2023")</f>
        <v/>
      </c>
      <c r="Y226">
        <f>HYPERLINK("https://klasma.github.io/Logging_2313/tillsynsmail/A 60503-2023 tillsynsbegäran mail.docx", "A 60503-2023")</f>
        <v/>
      </c>
      <c r="Z226">
        <f>HYPERLINK("https://klasma.github.io/Logging_2313/fåglar/A 60503-2023 prioriterade fågelarter.docx", "A 60503-2023")</f>
        <v/>
      </c>
    </row>
    <row r="227" ht="15" customHeight="1">
      <c r="A227" t="inlineStr">
        <is>
          <t>A 27022-2025</t>
        </is>
      </c>
      <c r="B227" s="1" t="n">
        <v>45811.57333333333</v>
      </c>
      <c r="C227" s="1" t="n">
        <v>45972</v>
      </c>
      <c r="D227" t="inlineStr">
        <is>
          <t>JÄMTLANDS LÄN</t>
        </is>
      </c>
      <c r="E227" t="inlineStr">
        <is>
          <t>STRÖMSUND</t>
        </is>
      </c>
      <c r="F227" t="inlineStr">
        <is>
          <t>SCA</t>
        </is>
      </c>
      <c r="G227" t="n">
        <v>4.9</v>
      </c>
      <c r="H227" t="n">
        <v>0</v>
      </c>
      <c r="I227" t="n">
        <v>1</v>
      </c>
      <c r="J227" t="n">
        <v>1</v>
      </c>
      <c r="K227" t="n">
        <v>0</v>
      </c>
      <c r="L227" t="n">
        <v>0</v>
      </c>
      <c r="M227" t="n">
        <v>0</v>
      </c>
      <c r="N227" t="n">
        <v>0</v>
      </c>
      <c r="O227" t="n">
        <v>1</v>
      </c>
      <c r="P227" t="n">
        <v>0</v>
      </c>
      <c r="Q227" t="n">
        <v>2</v>
      </c>
      <c r="R227" s="2" t="inlineStr">
        <is>
          <t>Granticka
Dropptaggsvamp</t>
        </is>
      </c>
      <c r="S227">
        <f>HYPERLINK("https://klasma.github.io/Logging_2313/artfynd/A 27022-2025 artfynd.xlsx", "A 27022-2025")</f>
        <v/>
      </c>
      <c r="T227">
        <f>HYPERLINK("https://klasma.github.io/Logging_2313/kartor/A 27022-2025 karta.png", "A 27022-2025")</f>
        <v/>
      </c>
      <c r="V227">
        <f>HYPERLINK("https://klasma.github.io/Logging_2313/klagomål/A 27022-2025 FSC-klagomål.docx", "A 27022-2025")</f>
        <v/>
      </c>
      <c r="W227">
        <f>HYPERLINK("https://klasma.github.io/Logging_2313/klagomålsmail/A 27022-2025 FSC-klagomål mail.docx", "A 27022-2025")</f>
        <v/>
      </c>
      <c r="X227">
        <f>HYPERLINK("https://klasma.github.io/Logging_2313/tillsyn/A 27022-2025 tillsynsbegäran.docx", "A 27022-2025")</f>
        <v/>
      </c>
      <c r="Y227">
        <f>HYPERLINK("https://klasma.github.io/Logging_2313/tillsynsmail/A 27022-2025 tillsynsbegäran mail.docx", "A 27022-2025")</f>
        <v/>
      </c>
    </row>
    <row r="228" ht="15" customHeight="1">
      <c r="A228" t="inlineStr">
        <is>
          <t>A 27163-2025</t>
        </is>
      </c>
      <c r="B228" s="1" t="n">
        <v>45812.34414351852</v>
      </c>
      <c r="C228" s="1" t="n">
        <v>45972</v>
      </c>
      <c r="D228" t="inlineStr">
        <is>
          <t>JÄMTLANDS LÄN</t>
        </is>
      </c>
      <c r="E228" t="inlineStr">
        <is>
          <t>STRÖMSUND</t>
        </is>
      </c>
      <c r="F228" t="inlineStr">
        <is>
          <t>SCA</t>
        </is>
      </c>
      <c r="G228" t="n">
        <v>8.199999999999999</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27622-2025</t>
        </is>
      </c>
      <c r="B229" s="1" t="n">
        <v>45813.55273148148</v>
      </c>
      <c r="C229" s="1" t="n">
        <v>45972</v>
      </c>
      <c r="D229" t="inlineStr">
        <is>
          <t>JÄMTLANDS LÄN</t>
        </is>
      </c>
      <c r="E229" t="inlineStr">
        <is>
          <t>STRÖMSUND</t>
        </is>
      </c>
      <c r="F229" t="inlineStr">
        <is>
          <t>SCA</t>
        </is>
      </c>
      <c r="G229" t="n">
        <v>2.4</v>
      </c>
      <c r="H229" t="n">
        <v>0</v>
      </c>
      <c r="I229" t="n">
        <v>1</v>
      </c>
      <c r="J229" t="n">
        <v>1</v>
      </c>
      <c r="K229" t="n">
        <v>0</v>
      </c>
      <c r="L229" t="n">
        <v>0</v>
      </c>
      <c r="M229" t="n">
        <v>0</v>
      </c>
      <c r="N229" t="n">
        <v>0</v>
      </c>
      <c r="O229" t="n">
        <v>1</v>
      </c>
      <c r="P229" t="n">
        <v>0</v>
      </c>
      <c r="Q229" t="n">
        <v>2</v>
      </c>
      <c r="R229" s="2" t="inlineStr">
        <is>
          <t>Vaddporing
Svart trolldruva</t>
        </is>
      </c>
      <c r="S229">
        <f>HYPERLINK("https://klasma.github.io/Logging_2313/artfynd/A 27622-2025 artfynd.xlsx", "A 27622-2025")</f>
        <v/>
      </c>
      <c r="T229">
        <f>HYPERLINK("https://klasma.github.io/Logging_2313/kartor/A 27622-2025 karta.png", "A 27622-2025")</f>
        <v/>
      </c>
      <c r="V229">
        <f>HYPERLINK("https://klasma.github.io/Logging_2313/klagomål/A 27622-2025 FSC-klagomål.docx", "A 27622-2025")</f>
        <v/>
      </c>
      <c r="W229">
        <f>HYPERLINK("https://klasma.github.io/Logging_2313/klagomålsmail/A 27622-2025 FSC-klagomål mail.docx", "A 27622-2025")</f>
        <v/>
      </c>
      <c r="X229">
        <f>HYPERLINK("https://klasma.github.io/Logging_2313/tillsyn/A 27622-2025 tillsynsbegäran.docx", "A 27622-2025")</f>
        <v/>
      </c>
      <c r="Y229">
        <f>HYPERLINK("https://klasma.github.io/Logging_2313/tillsynsmail/A 27622-2025 tillsynsbegäran mail.docx", "A 27622-2025")</f>
        <v/>
      </c>
    </row>
    <row r="230" ht="15" customHeight="1">
      <c r="A230" t="inlineStr">
        <is>
          <t>A 29537-2025</t>
        </is>
      </c>
      <c r="B230" s="1" t="n">
        <v>45825.34508101852</v>
      </c>
      <c r="C230" s="1" t="n">
        <v>45972</v>
      </c>
      <c r="D230" t="inlineStr">
        <is>
          <t>JÄMTLANDS LÄN</t>
        </is>
      </c>
      <c r="E230" t="inlineStr">
        <is>
          <t>STRÖMSUND</t>
        </is>
      </c>
      <c r="F230" t="inlineStr">
        <is>
          <t>SCA</t>
        </is>
      </c>
      <c r="G230" t="n">
        <v>5.4</v>
      </c>
      <c r="H230" t="n">
        <v>0</v>
      </c>
      <c r="I230" t="n">
        <v>0</v>
      </c>
      <c r="J230" t="n">
        <v>1</v>
      </c>
      <c r="K230" t="n">
        <v>1</v>
      </c>
      <c r="L230" t="n">
        <v>0</v>
      </c>
      <c r="M230" t="n">
        <v>0</v>
      </c>
      <c r="N230" t="n">
        <v>0</v>
      </c>
      <c r="O230" t="n">
        <v>2</v>
      </c>
      <c r="P230" t="n">
        <v>1</v>
      </c>
      <c r="Q230" t="n">
        <v>2</v>
      </c>
      <c r="R230" s="2" t="inlineStr">
        <is>
          <t>Läderdoftande fingersvamp
Mörk kolflarnlav</t>
        </is>
      </c>
      <c r="S230">
        <f>HYPERLINK("https://klasma.github.io/Logging_2313/artfynd/A 29537-2025 artfynd.xlsx", "A 29537-2025")</f>
        <v/>
      </c>
      <c r="T230">
        <f>HYPERLINK("https://klasma.github.io/Logging_2313/kartor/A 29537-2025 karta.png", "A 29537-2025")</f>
        <v/>
      </c>
      <c r="V230">
        <f>HYPERLINK("https://klasma.github.io/Logging_2313/klagomål/A 29537-2025 FSC-klagomål.docx", "A 29537-2025")</f>
        <v/>
      </c>
      <c r="W230">
        <f>HYPERLINK("https://klasma.github.io/Logging_2313/klagomålsmail/A 29537-2025 FSC-klagomål mail.docx", "A 29537-2025")</f>
        <v/>
      </c>
      <c r="X230">
        <f>HYPERLINK("https://klasma.github.io/Logging_2313/tillsyn/A 29537-2025 tillsynsbegäran.docx", "A 29537-2025")</f>
        <v/>
      </c>
      <c r="Y230">
        <f>HYPERLINK("https://klasma.github.io/Logging_2313/tillsynsmail/A 29537-2025 tillsynsbegäran mail.docx", "A 29537-2025")</f>
        <v/>
      </c>
    </row>
    <row r="231" ht="15" customHeight="1">
      <c r="A231" t="inlineStr">
        <is>
          <t>A 16513-2022</t>
        </is>
      </c>
      <c r="B231" s="1" t="n">
        <v>44671.92664351852</v>
      </c>
      <c r="C231" s="1" t="n">
        <v>45972</v>
      </c>
      <c r="D231" t="inlineStr">
        <is>
          <t>JÄMTLANDS LÄN</t>
        </is>
      </c>
      <c r="E231" t="inlineStr">
        <is>
          <t>STRÖMSUND</t>
        </is>
      </c>
      <c r="G231" t="n">
        <v>13.1</v>
      </c>
      <c r="H231" t="n">
        <v>0</v>
      </c>
      <c r="I231" t="n">
        <v>0</v>
      </c>
      <c r="J231" t="n">
        <v>2</v>
      </c>
      <c r="K231" t="n">
        <v>0</v>
      </c>
      <c r="L231" t="n">
        <v>0</v>
      </c>
      <c r="M231" t="n">
        <v>0</v>
      </c>
      <c r="N231" t="n">
        <v>0</v>
      </c>
      <c r="O231" t="n">
        <v>2</v>
      </c>
      <c r="P231" t="n">
        <v>0</v>
      </c>
      <c r="Q231" t="n">
        <v>2</v>
      </c>
      <c r="R231" s="2" t="inlineStr">
        <is>
          <t>Garnlav
Lunglav</t>
        </is>
      </c>
      <c r="S231">
        <f>HYPERLINK("https://klasma.github.io/Logging_2313/artfynd/A 16513-2022 artfynd.xlsx", "A 16513-2022")</f>
        <v/>
      </c>
      <c r="T231">
        <f>HYPERLINK("https://klasma.github.io/Logging_2313/kartor/A 16513-2022 karta.png", "A 16513-2022")</f>
        <v/>
      </c>
      <c r="V231">
        <f>HYPERLINK("https://klasma.github.io/Logging_2313/klagomål/A 16513-2022 FSC-klagomål.docx", "A 16513-2022")</f>
        <v/>
      </c>
      <c r="W231">
        <f>HYPERLINK("https://klasma.github.io/Logging_2313/klagomålsmail/A 16513-2022 FSC-klagomål mail.docx", "A 16513-2022")</f>
        <v/>
      </c>
      <c r="X231">
        <f>HYPERLINK("https://klasma.github.io/Logging_2313/tillsyn/A 16513-2022 tillsynsbegäran.docx", "A 16513-2022")</f>
        <v/>
      </c>
      <c r="Y231">
        <f>HYPERLINK("https://klasma.github.io/Logging_2313/tillsynsmail/A 16513-2022 tillsynsbegäran mail.docx", "A 16513-2022")</f>
        <v/>
      </c>
    </row>
    <row r="232" ht="15" customHeight="1">
      <c r="A232" t="inlineStr">
        <is>
          <t>A 32100-2025</t>
        </is>
      </c>
      <c r="B232" s="1" t="n">
        <v>45835.468125</v>
      </c>
      <c r="C232" s="1" t="n">
        <v>45972</v>
      </c>
      <c r="D232" t="inlineStr">
        <is>
          <t>JÄMTLANDS LÄN</t>
        </is>
      </c>
      <c r="E232" t="inlineStr">
        <is>
          <t>STRÖMSUND</t>
        </is>
      </c>
      <c r="F232" t="inlineStr">
        <is>
          <t>Holmen skog AB</t>
        </is>
      </c>
      <c r="G232" t="n">
        <v>2.2</v>
      </c>
      <c r="H232" t="n">
        <v>0</v>
      </c>
      <c r="I232" t="n">
        <v>1</v>
      </c>
      <c r="J232" t="n">
        <v>1</v>
      </c>
      <c r="K232" t="n">
        <v>0</v>
      </c>
      <c r="L232" t="n">
        <v>0</v>
      </c>
      <c r="M232" t="n">
        <v>0</v>
      </c>
      <c r="N232" t="n">
        <v>0</v>
      </c>
      <c r="O232" t="n">
        <v>1</v>
      </c>
      <c r="P232" t="n">
        <v>0</v>
      </c>
      <c r="Q232" t="n">
        <v>2</v>
      </c>
      <c r="R232" s="2" t="inlineStr">
        <is>
          <t>Skrovellav
Stuplav</t>
        </is>
      </c>
      <c r="S232">
        <f>HYPERLINK("https://klasma.github.io/Logging_2313/artfynd/A 32100-2025 artfynd.xlsx", "A 32100-2025")</f>
        <v/>
      </c>
      <c r="T232">
        <f>HYPERLINK("https://klasma.github.io/Logging_2313/kartor/A 32100-2025 karta.png", "A 32100-2025")</f>
        <v/>
      </c>
      <c r="V232">
        <f>HYPERLINK("https://klasma.github.io/Logging_2313/klagomål/A 32100-2025 FSC-klagomål.docx", "A 32100-2025")</f>
        <v/>
      </c>
      <c r="W232">
        <f>HYPERLINK("https://klasma.github.io/Logging_2313/klagomålsmail/A 32100-2025 FSC-klagomål mail.docx", "A 32100-2025")</f>
        <v/>
      </c>
      <c r="X232">
        <f>HYPERLINK("https://klasma.github.io/Logging_2313/tillsyn/A 32100-2025 tillsynsbegäran.docx", "A 32100-2025")</f>
        <v/>
      </c>
      <c r="Y232">
        <f>HYPERLINK("https://klasma.github.io/Logging_2313/tillsynsmail/A 32100-2025 tillsynsbegäran mail.docx", "A 32100-2025")</f>
        <v/>
      </c>
    </row>
    <row r="233" ht="15" customHeight="1">
      <c r="A233" t="inlineStr">
        <is>
          <t>A 32428-2025</t>
        </is>
      </c>
      <c r="B233" s="1" t="n">
        <v>45838.36509259259</v>
      </c>
      <c r="C233" s="1" t="n">
        <v>45972</v>
      </c>
      <c r="D233" t="inlineStr">
        <is>
          <t>JÄMTLANDS LÄN</t>
        </is>
      </c>
      <c r="E233" t="inlineStr">
        <is>
          <t>STRÖMSUND</t>
        </is>
      </c>
      <c r="F233" t="inlineStr">
        <is>
          <t>SCA</t>
        </is>
      </c>
      <c r="G233" t="n">
        <v>1.1</v>
      </c>
      <c r="H233" t="n">
        <v>0</v>
      </c>
      <c r="I233" t="n">
        <v>1</v>
      </c>
      <c r="J233" t="n">
        <v>1</v>
      </c>
      <c r="K233" t="n">
        <v>0</v>
      </c>
      <c r="L233" t="n">
        <v>0</v>
      </c>
      <c r="M233" t="n">
        <v>0</v>
      </c>
      <c r="N233" t="n">
        <v>0</v>
      </c>
      <c r="O233" t="n">
        <v>1</v>
      </c>
      <c r="P233" t="n">
        <v>0</v>
      </c>
      <c r="Q233" t="n">
        <v>2</v>
      </c>
      <c r="R233" s="2" t="inlineStr">
        <is>
          <t>Lunglav
Skinnlav</t>
        </is>
      </c>
      <c r="S233">
        <f>HYPERLINK("https://klasma.github.io/Logging_2313/artfynd/A 32428-2025 artfynd.xlsx", "A 32428-2025")</f>
        <v/>
      </c>
      <c r="T233">
        <f>HYPERLINK("https://klasma.github.io/Logging_2313/kartor/A 32428-2025 karta.png", "A 32428-2025")</f>
        <v/>
      </c>
      <c r="V233">
        <f>HYPERLINK("https://klasma.github.io/Logging_2313/klagomål/A 32428-2025 FSC-klagomål.docx", "A 32428-2025")</f>
        <v/>
      </c>
      <c r="W233">
        <f>HYPERLINK("https://klasma.github.io/Logging_2313/klagomålsmail/A 32428-2025 FSC-klagomål mail.docx", "A 32428-2025")</f>
        <v/>
      </c>
      <c r="X233">
        <f>HYPERLINK("https://klasma.github.io/Logging_2313/tillsyn/A 32428-2025 tillsynsbegäran.docx", "A 32428-2025")</f>
        <v/>
      </c>
      <c r="Y233">
        <f>HYPERLINK("https://klasma.github.io/Logging_2313/tillsynsmail/A 32428-2025 tillsynsbegäran mail.docx", "A 32428-2025")</f>
        <v/>
      </c>
    </row>
    <row r="234" ht="15" customHeight="1">
      <c r="A234" t="inlineStr">
        <is>
          <t>A 45073-2025</t>
        </is>
      </c>
      <c r="B234" s="1" t="n">
        <v>45919.36067129629</v>
      </c>
      <c r="C234" s="1" t="n">
        <v>45972</v>
      </c>
      <c r="D234" t="inlineStr">
        <is>
          <t>JÄMTLANDS LÄN</t>
        </is>
      </c>
      <c r="E234" t="inlineStr">
        <is>
          <t>STRÖMSUND</t>
        </is>
      </c>
      <c r="F234" t="inlineStr">
        <is>
          <t>Holmen skog AB</t>
        </is>
      </c>
      <c r="G234" t="n">
        <v>12.7</v>
      </c>
      <c r="H234" t="n">
        <v>0</v>
      </c>
      <c r="I234" t="n">
        <v>1</v>
      </c>
      <c r="J234" t="n">
        <v>1</v>
      </c>
      <c r="K234" t="n">
        <v>0</v>
      </c>
      <c r="L234" t="n">
        <v>0</v>
      </c>
      <c r="M234" t="n">
        <v>0</v>
      </c>
      <c r="N234" t="n">
        <v>0</v>
      </c>
      <c r="O234" t="n">
        <v>1</v>
      </c>
      <c r="P234" t="n">
        <v>0</v>
      </c>
      <c r="Q234" t="n">
        <v>2</v>
      </c>
      <c r="R234" s="2" t="inlineStr">
        <is>
          <t>Lunglav
Bårdlav</t>
        </is>
      </c>
      <c r="S234">
        <f>HYPERLINK("https://klasma.github.io/Logging_2313/artfynd/A 45073-2025 artfynd.xlsx", "A 45073-2025")</f>
        <v/>
      </c>
      <c r="T234">
        <f>HYPERLINK("https://klasma.github.io/Logging_2313/kartor/A 45073-2025 karta.png", "A 45073-2025")</f>
        <v/>
      </c>
      <c r="V234">
        <f>HYPERLINK("https://klasma.github.io/Logging_2313/klagomål/A 45073-2025 FSC-klagomål.docx", "A 45073-2025")</f>
        <v/>
      </c>
      <c r="W234">
        <f>HYPERLINK("https://klasma.github.io/Logging_2313/klagomålsmail/A 45073-2025 FSC-klagomål mail.docx", "A 45073-2025")</f>
        <v/>
      </c>
      <c r="X234">
        <f>HYPERLINK("https://klasma.github.io/Logging_2313/tillsyn/A 45073-2025 tillsynsbegäran.docx", "A 45073-2025")</f>
        <v/>
      </c>
      <c r="Y234">
        <f>HYPERLINK("https://klasma.github.io/Logging_2313/tillsynsmail/A 45073-2025 tillsynsbegäran mail.docx", "A 45073-2025")</f>
        <v/>
      </c>
    </row>
    <row r="235" ht="15" customHeight="1">
      <c r="A235" t="inlineStr">
        <is>
          <t>A 44413-2023</t>
        </is>
      </c>
      <c r="B235" s="1" t="n">
        <v>45188</v>
      </c>
      <c r="C235" s="1" t="n">
        <v>45972</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34784-2025</t>
        </is>
      </c>
      <c r="B236" s="1" t="n">
        <v>45848.67758101852</v>
      </c>
      <c r="C236" s="1" t="n">
        <v>45972</v>
      </c>
      <c r="D236" t="inlineStr">
        <is>
          <t>JÄMTLANDS LÄN</t>
        </is>
      </c>
      <c r="E236" t="inlineStr">
        <is>
          <t>STRÖMSUND</t>
        </is>
      </c>
      <c r="F236" t="inlineStr">
        <is>
          <t>SCA</t>
        </is>
      </c>
      <c r="G236" t="n">
        <v>13.7</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HYPERLINK("https://klasma.github.io/Logging_2313/artfynd/A 34784-2025 artfynd.xlsx", "A 34784-2025")</f>
        <v/>
      </c>
      <c r="T236">
        <f>HYPERLINK("https://klasma.github.io/Logging_2313/kartor/A 34784-2025 karta.png", "A 34784-2025")</f>
        <v/>
      </c>
      <c r="V236">
        <f>HYPERLINK("https://klasma.github.io/Logging_2313/klagomål/A 34784-2025 FSC-klagomål.docx", "A 34784-2025")</f>
        <v/>
      </c>
      <c r="W236">
        <f>HYPERLINK("https://klasma.github.io/Logging_2313/klagomålsmail/A 34784-2025 FSC-klagomål mail.docx", "A 34784-2025")</f>
        <v/>
      </c>
      <c r="X236">
        <f>HYPERLINK("https://klasma.github.io/Logging_2313/tillsyn/A 34784-2025 tillsynsbegäran.docx", "A 34784-2025")</f>
        <v/>
      </c>
      <c r="Y236">
        <f>HYPERLINK("https://klasma.github.io/Logging_2313/tillsynsmail/A 34784-2025 tillsynsbegäran mail.docx", "A 34784-2025")</f>
        <v/>
      </c>
      <c r="Z236">
        <f>HYPERLINK("https://klasma.github.io/Logging_2313/fåglar/A 34784-2025 prioriterade fågelarter.docx", "A 34784-2025")</f>
        <v/>
      </c>
    </row>
    <row r="237" ht="15" customHeight="1">
      <c r="A237" t="inlineStr">
        <is>
          <t>A 45613-2025</t>
        </is>
      </c>
      <c r="B237" s="1" t="n">
        <v>45922.71922453704</v>
      </c>
      <c r="C237" s="1" t="n">
        <v>45972</v>
      </c>
      <c r="D237" t="inlineStr">
        <is>
          <t>JÄMTLANDS LÄN</t>
        </is>
      </c>
      <c r="E237" t="inlineStr">
        <is>
          <t>STRÖMSUND</t>
        </is>
      </c>
      <c r="F237" t="inlineStr">
        <is>
          <t>SCA</t>
        </is>
      </c>
      <c r="G237" t="n">
        <v>3</v>
      </c>
      <c r="H237" t="n">
        <v>0</v>
      </c>
      <c r="I237" t="n">
        <v>0</v>
      </c>
      <c r="J237" t="n">
        <v>2</v>
      </c>
      <c r="K237" t="n">
        <v>0</v>
      </c>
      <c r="L237" t="n">
        <v>0</v>
      </c>
      <c r="M237" t="n">
        <v>0</v>
      </c>
      <c r="N237" t="n">
        <v>0</v>
      </c>
      <c r="O237" t="n">
        <v>2</v>
      </c>
      <c r="P237" t="n">
        <v>0</v>
      </c>
      <c r="Q237" t="n">
        <v>2</v>
      </c>
      <c r="R237" s="2" t="inlineStr">
        <is>
          <t>Gammelgransskål
Ullticka</t>
        </is>
      </c>
      <c r="S237">
        <f>HYPERLINK("https://klasma.github.io/Logging_2313/artfynd/A 45613-2025 artfynd.xlsx", "A 45613-2025")</f>
        <v/>
      </c>
      <c r="T237">
        <f>HYPERLINK("https://klasma.github.io/Logging_2313/kartor/A 45613-2025 karta.png", "A 45613-2025")</f>
        <v/>
      </c>
      <c r="V237">
        <f>HYPERLINK("https://klasma.github.io/Logging_2313/klagomål/A 45613-2025 FSC-klagomål.docx", "A 45613-2025")</f>
        <v/>
      </c>
      <c r="W237">
        <f>HYPERLINK("https://klasma.github.io/Logging_2313/klagomålsmail/A 45613-2025 FSC-klagomål mail.docx", "A 45613-2025")</f>
        <v/>
      </c>
      <c r="X237">
        <f>HYPERLINK("https://klasma.github.io/Logging_2313/tillsyn/A 45613-2025 tillsynsbegäran.docx", "A 45613-2025")</f>
        <v/>
      </c>
      <c r="Y237">
        <f>HYPERLINK("https://klasma.github.io/Logging_2313/tillsynsmail/A 45613-2025 tillsynsbegäran mail.docx", "A 45613-2025")</f>
        <v/>
      </c>
    </row>
    <row r="238" ht="15" customHeight="1">
      <c r="A238" t="inlineStr">
        <is>
          <t>A 35643-2025</t>
        </is>
      </c>
      <c r="B238" s="1" t="n">
        <v>45859.49013888889</v>
      </c>
      <c r="C238" s="1" t="n">
        <v>45972</v>
      </c>
      <c r="D238" t="inlineStr">
        <is>
          <t>JÄMTLANDS LÄN</t>
        </is>
      </c>
      <c r="E238" t="inlineStr">
        <is>
          <t>STRÖMSUND</t>
        </is>
      </c>
      <c r="F238" t="inlineStr">
        <is>
          <t>SCA</t>
        </is>
      </c>
      <c r="G238" t="n">
        <v>20.6</v>
      </c>
      <c r="H238" t="n">
        <v>0</v>
      </c>
      <c r="I238" t="n">
        <v>1</v>
      </c>
      <c r="J238" t="n">
        <v>1</v>
      </c>
      <c r="K238" t="n">
        <v>0</v>
      </c>
      <c r="L238" t="n">
        <v>0</v>
      </c>
      <c r="M238" t="n">
        <v>0</v>
      </c>
      <c r="N238" t="n">
        <v>0</v>
      </c>
      <c r="O238" t="n">
        <v>1</v>
      </c>
      <c r="P238" t="n">
        <v>0</v>
      </c>
      <c r="Q238" t="n">
        <v>2</v>
      </c>
      <c r="R238" s="2" t="inlineStr">
        <is>
          <t>Garnlav
Svavelriska</t>
        </is>
      </c>
      <c r="S238">
        <f>HYPERLINK("https://klasma.github.io/Logging_2313/artfynd/A 35643-2025 artfynd.xlsx", "A 35643-2025")</f>
        <v/>
      </c>
      <c r="T238">
        <f>HYPERLINK("https://klasma.github.io/Logging_2313/kartor/A 35643-2025 karta.png", "A 35643-2025")</f>
        <v/>
      </c>
      <c r="V238">
        <f>HYPERLINK("https://klasma.github.io/Logging_2313/klagomål/A 35643-2025 FSC-klagomål.docx", "A 35643-2025")</f>
        <v/>
      </c>
      <c r="W238">
        <f>HYPERLINK("https://klasma.github.io/Logging_2313/klagomålsmail/A 35643-2025 FSC-klagomål mail.docx", "A 35643-2025")</f>
        <v/>
      </c>
      <c r="X238">
        <f>HYPERLINK("https://klasma.github.io/Logging_2313/tillsyn/A 35643-2025 tillsynsbegäran.docx", "A 35643-2025")</f>
        <v/>
      </c>
      <c r="Y238">
        <f>HYPERLINK("https://klasma.github.io/Logging_2313/tillsynsmail/A 35643-2025 tillsynsbegäran mail.docx", "A 35643-2025")</f>
        <v/>
      </c>
    </row>
    <row r="239" ht="15" customHeight="1">
      <c r="A239" t="inlineStr">
        <is>
          <t>A 35664-2025</t>
        </is>
      </c>
      <c r="B239" s="1" t="n">
        <v>45859.61524305555</v>
      </c>
      <c r="C239" s="1" t="n">
        <v>45972</v>
      </c>
      <c r="D239" t="inlineStr">
        <is>
          <t>JÄMTLANDS LÄN</t>
        </is>
      </c>
      <c r="E239" t="inlineStr">
        <is>
          <t>STRÖMSUND</t>
        </is>
      </c>
      <c r="F239" t="inlineStr">
        <is>
          <t>SCA</t>
        </is>
      </c>
      <c r="G239" t="n">
        <v>2.6</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35664-2025 artfynd.xlsx", "A 35664-2025")</f>
        <v/>
      </c>
      <c r="T239">
        <f>HYPERLINK("https://klasma.github.io/Logging_2313/kartor/A 35664-2025 karta.png", "A 35664-2025")</f>
        <v/>
      </c>
      <c r="V239">
        <f>HYPERLINK("https://klasma.github.io/Logging_2313/klagomål/A 35664-2025 FSC-klagomål.docx", "A 35664-2025")</f>
        <v/>
      </c>
      <c r="W239">
        <f>HYPERLINK("https://klasma.github.io/Logging_2313/klagomålsmail/A 35664-2025 FSC-klagomål mail.docx", "A 35664-2025")</f>
        <v/>
      </c>
      <c r="X239">
        <f>HYPERLINK("https://klasma.github.io/Logging_2313/tillsyn/A 35664-2025 tillsynsbegäran.docx", "A 35664-2025")</f>
        <v/>
      </c>
      <c r="Y239">
        <f>HYPERLINK("https://klasma.github.io/Logging_2313/tillsynsmail/A 35664-2025 tillsynsbegäran mail.docx", "A 35664-2025")</f>
        <v/>
      </c>
    </row>
    <row r="240" ht="15" customHeight="1">
      <c r="A240" t="inlineStr">
        <is>
          <t>A 54663-2025</t>
        </is>
      </c>
      <c r="B240" s="1" t="n">
        <v>45966.40726851852</v>
      </c>
      <c r="C240" s="1" t="n">
        <v>45972</v>
      </c>
      <c r="D240" t="inlineStr">
        <is>
          <t>JÄMTLANDS LÄN</t>
        </is>
      </c>
      <c r="E240" t="inlineStr">
        <is>
          <t>STRÖMSUND</t>
        </is>
      </c>
      <c r="F240" t="inlineStr">
        <is>
          <t>SCA</t>
        </is>
      </c>
      <c r="G240" t="n">
        <v>6.9</v>
      </c>
      <c r="H240" t="n">
        <v>0</v>
      </c>
      <c r="I240" t="n">
        <v>0</v>
      </c>
      <c r="J240" t="n">
        <v>2</v>
      </c>
      <c r="K240" t="n">
        <v>0</v>
      </c>
      <c r="L240" t="n">
        <v>0</v>
      </c>
      <c r="M240" t="n">
        <v>0</v>
      </c>
      <c r="N240" t="n">
        <v>0</v>
      </c>
      <c r="O240" t="n">
        <v>2</v>
      </c>
      <c r="P240" t="n">
        <v>0</v>
      </c>
      <c r="Q240" t="n">
        <v>2</v>
      </c>
      <c r="R240" s="2" t="inlineStr">
        <is>
          <t>Harticka
Ullticka</t>
        </is>
      </c>
      <c r="S240">
        <f>HYPERLINK("https://klasma.github.io/Logging_2313/artfynd/A 54663-2025 artfynd.xlsx", "A 54663-2025")</f>
        <v/>
      </c>
      <c r="T240">
        <f>HYPERLINK("https://klasma.github.io/Logging_2313/kartor/A 54663-2025 karta.png", "A 54663-2025")</f>
        <v/>
      </c>
      <c r="V240">
        <f>HYPERLINK("https://klasma.github.io/Logging_2313/klagomål/A 54663-2025 FSC-klagomål.docx", "A 54663-2025")</f>
        <v/>
      </c>
      <c r="W240">
        <f>HYPERLINK("https://klasma.github.io/Logging_2313/klagomålsmail/A 54663-2025 FSC-klagomål mail.docx", "A 54663-2025")</f>
        <v/>
      </c>
      <c r="X240">
        <f>HYPERLINK("https://klasma.github.io/Logging_2313/tillsyn/A 54663-2025 tillsynsbegäran.docx", "A 54663-2025")</f>
        <v/>
      </c>
      <c r="Y240">
        <f>HYPERLINK("https://klasma.github.io/Logging_2313/tillsynsmail/A 54663-2025 tillsynsbegäran mail.docx", "A 54663-2025")</f>
        <v/>
      </c>
    </row>
    <row r="241" ht="15" customHeight="1">
      <c r="A241" t="inlineStr">
        <is>
          <t>A 54637-2025</t>
        </is>
      </c>
      <c r="B241" s="1" t="n">
        <v>45966</v>
      </c>
      <c r="C241" s="1" t="n">
        <v>45972</v>
      </c>
      <c r="D241" t="inlineStr">
        <is>
          <t>JÄMTLANDS LÄN</t>
        </is>
      </c>
      <c r="E241" t="inlineStr">
        <is>
          <t>STRÖMSUND</t>
        </is>
      </c>
      <c r="G241" t="n">
        <v>4.1</v>
      </c>
      <c r="H241" t="n">
        <v>0</v>
      </c>
      <c r="I241" t="n">
        <v>0</v>
      </c>
      <c r="J241" t="n">
        <v>2</v>
      </c>
      <c r="K241" t="n">
        <v>0</v>
      </c>
      <c r="L241" t="n">
        <v>0</v>
      </c>
      <c r="M241" t="n">
        <v>0</v>
      </c>
      <c r="N241" t="n">
        <v>0</v>
      </c>
      <c r="O241" t="n">
        <v>2</v>
      </c>
      <c r="P241" t="n">
        <v>0</v>
      </c>
      <c r="Q241" t="n">
        <v>2</v>
      </c>
      <c r="R241" s="2" t="inlineStr">
        <is>
          <t>Harticka
Vitgrynig nållav</t>
        </is>
      </c>
      <c r="S241">
        <f>HYPERLINK("https://klasma.github.io/Logging_2313/artfynd/A 54637-2025 artfynd.xlsx", "A 54637-2025")</f>
        <v/>
      </c>
      <c r="T241">
        <f>HYPERLINK("https://klasma.github.io/Logging_2313/kartor/A 54637-2025 karta.png", "A 54637-2025")</f>
        <v/>
      </c>
      <c r="V241">
        <f>HYPERLINK("https://klasma.github.io/Logging_2313/klagomål/A 54637-2025 FSC-klagomål.docx", "A 54637-2025")</f>
        <v/>
      </c>
      <c r="W241">
        <f>HYPERLINK("https://klasma.github.io/Logging_2313/klagomålsmail/A 54637-2025 FSC-klagomål mail.docx", "A 54637-2025")</f>
        <v/>
      </c>
      <c r="X241">
        <f>HYPERLINK("https://klasma.github.io/Logging_2313/tillsyn/A 54637-2025 tillsynsbegäran.docx", "A 54637-2025")</f>
        <v/>
      </c>
      <c r="Y241">
        <f>HYPERLINK("https://klasma.github.io/Logging_2313/tillsynsmail/A 54637-2025 tillsynsbegäran mail.docx", "A 54637-2025")</f>
        <v/>
      </c>
    </row>
    <row r="242" ht="15" customHeight="1">
      <c r="A242" t="inlineStr">
        <is>
          <t>A 32128-2022</t>
        </is>
      </c>
      <c r="B242" s="1" t="n">
        <v>44778.94347222222</v>
      </c>
      <c r="C242" s="1" t="n">
        <v>45972</v>
      </c>
      <c r="D242" t="inlineStr">
        <is>
          <t>JÄMTLANDS LÄN</t>
        </is>
      </c>
      <c r="E242" t="inlineStr">
        <is>
          <t>STRÖMSUND</t>
        </is>
      </c>
      <c r="F242" t="inlineStr">
        <is>
          <t>SCA</t>
        </is>
      </c>
      <c r="G242" t="n">
        <v>8.199999999999999</v>
      </c>
      <c r="H242" t="n">
        <v>1</v>
      </c>
      <c r="I242" t="n">
        <v>1</v>
      </c>
      <c r="J242" t="n">
        <v>1</v>
      </c>
      <c r="K242" t="n">
        <v>0</v>
      </c>
      <c r="L242" t="n">
        <v>0</v>
      </c>
      <c r="M242" t="n">
        <v>0</v>
      </c>
      <c r="N242" t="n">
        <v>0</v>
      </c>
      <c r="O242" t="n">
        <v>1</v>
      </c>
      <c r="P242" t="n">
        <v>0</v>
      </c>
      <c r="Q242" t="n">
        <v>2</v>
      </c>
      <c r="R242" s="2" t="inlineStr">
        <is>
          <t>Tretåig hackspett
Stuplav</t>
        </is>
      </c>
      <c r="S242">
        <f>HYPERLINK("https://klasma.github.io/Logging_2313/artfynd/A 32128-2022 artfynd.xlsx", "A 32128-2022")</f>
        <v/>
      </c>
      <c r="T242">
        <f>HYPERLINK("https://klasma.github.io/Logging_2313/kartor/A 32128-2022 karta.png", "A 32128-2022")</f>
        <v/>
      </c>
      <c r="V242">
        <f>HYPERLINK("https://klasma.github.io/Logging_2313/klagomål/A 32128-2022 FSC-klagomål.docx", "A 32128-2022")</f>
        <v/>
      </c>
      <c r="W242">
        <f>HYPERLINK("https://klasma.github.io/Logging_2313/klagomålsmail/A 32128-2022 FSC-klagomål mail.docx", "A 32128-2022")</f>
        <v/>
      </c>
      <c r="X242">
        <f>HYPERLINK("https://klasma.github.io/Logging_2313/tillsyn/A 32128-2022 tillsynsbegäran.docx", "A 32128-2022")</f>
        <v/>
      </c>
      <c r="Y242">
        <f>HYPERLINK("https://klasma.github.io/Logging_2313/tillsynsmail/A 32128-2022 tillsynsbegäran mail.docx", "A 32128-2022")</f>
        <v/>
      </c>
      <c r="Z242">
        <f>HYPERLINK("https://klasma.github.io/Logging_2313/fåglar/A 32128-2022 prioriterade fågelarter.docx", "A 32128-2022")</f>
        <v/>
      </c>
    </row>
    <row r="243" ht="15" customHeight="1">
      <c r="A243" t="inlineStr">
        <is>
          <t>A 61385-2022</t>
        </is>
      </c>
      <c r="B243" s="1" t="n">
        <v>44915</v>
      </c>
      <c r="C243" s="1" t="n">
        <v>45972</v>
      </c>
      <c r="D243" t="inlineStr">
        <is>
          <t>JÄMTLANDS LÄN</t>
        </is>
      </c>
      <c r="E243" t="inlineStr">
        <is>
          <t>STRÖMSUND</t>
        </is>
      </c>
      <c r="G243" t="n">
        <v>2.6</v>
      </c>
      <c r="H243" t="n">
        <v>0</v>
      </c>
      <c r="I243" t="n">
        <v>1</v>
      </c>
      <c r="J243" t="n">
        <v>1</v>
      </c>
      <c r="K243" t="n">
        <v>0</v>
      </c>
      <c r="L243" t="n">
        <v>0</v>
      </c>
      <c r="M243" t="n">
        <v>0</v>
      </c>
      <c r="N243" t="n">
        <v>0</v>
      </c>
      <c r="O243" t="n">
        <v>1</v>
      </c>
      <c r="P243" t="n">
        <v>0</v>
      </c>
      <c r="Q243" t="n">
        <v>2</v>
      </c>
      <c r="R243" s="2" t="inlineStr">
        <is>
          <t>Orange taggsvamp
Svart trolldruva</t>
        </is>
      </c>
      <c r="S243">
        <f>HYPERLINK("https://klasma.github.io/Logging_2313/artfynd/A 61385-2022 artfynd.xlsx", "A 61385-2022")</f>
        <v/>
      </c>
      <c r="T243">
        <f>HYPERLINK("https://klasma.github.io/Logging_2313/kartor/A 61385-2022 karta.png", "A 61385-2022")</f>
        <v/>
      </c>
      <c r="V243">
        <f>HYPERLINK("https://klasma.github.io/Logging_2313/klagomål/A 61385-2022 FSC-klagomål.docx", "A 61385-2022")</f>
        <v/>
      </c>
      <c r="W243">
        <f>HYPERLINK("https://klasma.github.io/Logging_2313/klagomålsmail/A 61385-2022 FSC-klagomål mail.docx", "A 61385-2022")</f>
        <v/>
      </c>
      <c r="X243">
        <f>HYPERLINK("https://klasma.github.io/Logging_2313/tillsyn/A 61385-2022 tillsynsbegäran.docx", "A 61385-2022")</f>
        <v/>
      </c>
      <c r="Y243">
        <f>HYPERLINK("https://klasma.github.io/Logging_2313/tillsynsmail/A 61385-2022 tillsynsbegäran mail.docx", "A 61385-2022")</f>
        <v/>
      </c>
    </row>
    <row r="244" ht="15" customHeight="1">
      <c r="A244" t="inlineStr">
        <is>
          <t>A 54573-2025</t>
        </is>
      </c>
      <c r="B244" s="1" t="n">
        <v>45965</v>
      </c>
      <c r="C244" s="1" t="n">
        <v>45972</v>
      </c>
      <c r="D244" t="inlineStr">
        <is>
          <t>JÄMTLANDS LÄN</t>
        </is>
      </c>
      <c r="E244" t="inlineStr">
        <is>
          <t>STRÖMSUND</t>
        </is>
      </c>
      <c r="G244" t="n">
        <v>5.3</v>
      </c>
      <c r="H244" t="n">
        <v>0</v>
      </c>
      <c r="I244" t="n">
        <v>2</v>
      </c>
      <c r="J244" t="n">
        <v>0</v>
      </c>
      <c r="K244" t="n">
        <v>0</v>
      </c>
      <c r="L244" t="n">
        <v>0</v>
      </c>
      <c r="M244" t="n">
        <v>0</v>
      </c>
      <c r="N244" t="n">
        <v>0</v>
      </c>
      <c r="O244" t="n">
        <v>0</v>
      </c>
      <c r="P244" t="n">
        <v>0</v>
      </c>
      <c r="Q244" t="n">
        <v>2</v>
      </c>
      <c r="R244" s="2" t="inlineStr">
        <is>
          <t>Kransrams
Stuplav</t>
        </is>
      </c>
      <c r="S244">
        <f>HYPERLINK("https://klasma.github.io/Logging_2313/artfynd/A 54573-2025 artfynd.xlsx", "A 54573-2025")</f>
        <v/>
      </c>
      <c r="T244">
        <f>HYPERLINK("https://klasma.github.io/Logging_2313/kartor/A 54573-2025 karta.png", "A 54573-2025")</f>
        <v/>
      </c>
      <c r="V244">
        <f>HYPERLINK("https://klasma.github.io/Logging_2313/klagomål/A 54573-2025 FSC-klagomål.docx", "A 54573-2025")</f>
        <v/>
      </c>
      <c r="W244">
        <f>HYPERLINK("https://klasma.github.io/Logging_2313/klagomålsmail/A 54573-2025 FSC-klagomål mail.docx", "A 54573-2025")</f>
        <v/>
      </c>
      <c r="X244">
        <f>HYPERLINK("https://klasma.github.io/Logging_2313/tillsyn/A 54573-2025 tillsynsbegäran.docx", "A 54573-2025")</f>
        <v/>
      </c>
      <c r="Y244">
        <f>HYPERLINK("https://klasma.github.io/Logging_2313/tillsynsmail/A 54573-2025 tillsynsbegäran mail.docx", "A 54573-2025")</f>
        <v/>
      </c>
    </row>
    <row r="245" ht="15" customHeight="1">
      <c r="A245" t="inlineStr">
        <is>
          <t>A 17956-2023</t>
        </is>
      </c>
      <c r="B245" s="1" t="n">
        <v>45037</v>
      </c>
      <c r="C245" s="1" t="n">
        <v>45972</v>
      </c>
      <c r="D245" t="inlineStr">
        <is>
          <t>JÄMTLANDS LÄN</t>
        </is>
      </c>
      <c r="E245" t="inlineStr">
        <is>
          <t>STRÖMSUND</t>
        </is>
      </c>
      <c r="G245" t="n">
        <v>5.1</v>
      </c>
      <c r="H245" t="n">
        <v>0</v>
      </c>
      <c r="I245" t="n">
        <v>1</v>
      </c>
      <c r="J245" t="n">
        <v>1</v>
      </c>
      <c r="K245" t="n">
        <v>0</v>
      </c>
      <c r="L245" t="n">
        <v>0</v>
      </c>
      <c r="M245" t="n">
        <v>0</v>
      </c>
      <c r="N245" t="n">
        <v>0</v>
      </c>
      <c r="O245" t="n">
        <v>1</v>
      </c>
      <c r="P245" t="n">
        <v>0</v>
      </c>
      <c r="Q245" t="n">
        <v>2</v>
      </c>
      <c r="R245" s="2" t="inlineStr">
        <is>
          <t>Koralltaggsvamp
Stuplav</t>
        </is>
      </c>
      <c r="S245">
        <f>HYPERLINK("https://klasma.github.io/Logging_2313/artfynd/A 17956-2023 artfynd.xlsx", "A 17956-2023")</f>
        <v/>
      </c>
      <c r="T245">
        <f>HYPERLINK("https://klasma.github.io/Logging_2313/kartor/A 17956-2023 karta.png", "A 17956-2023")</f>
        <v/>
      </c>
      <c r="V245">
        <f>HYPERLINK("https://klasma.github.io/Logging_2313/klagomål/A 17956-2023 FSC-klagomål.docx", "A 17956-2023")</f>
        <v/>
      </c>
      <c r="W245">
        <f>HYPERLINK("https://klasma.github.io/Logging_2313/klagomålsmail/A 17956-2023 FSC-klagomål mail.docx", "A 17956-2023")</f>
        <v/>
      </c>
      <c r="X245">
        <f>HYPERLINK("https://klasma.github.io/Logging_2313/tillsyn/A 17956-2023 tillsynsbegäran.docx", "A 17956-2023")</f>
        <v/>
      </c>
      <c r="Y245">
        <f>HYPERLINK("https://klasma.github.io/Logging_2313/tillsynsmail/A 17956-2023 tillsynsbegäran mail.docx", "A 17956-2023")</f>
        <v/>
      </c>
    </row>
    <row r="246" ht="15" customHeight="1">
      <c r="A246" t="inlineStr">
        <is>
          <t>A 39696-2022</t>
        </is>
      </c>
      <c r="B246" s="1" t="n">
        <v>44818</v>
      </c>
      <c r="C246" s="1" t="n">
        <v>45972</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45972</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45972</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45972</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45972</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64791-2020</t>
        </is>
      </c>
      <c r="B251" s="1" t="n">
        <v>44169</v>
      </c>
      <c r="C251" s="1" t="n">
        <v>45972</v>
      </c>
      <c r="D251" t="inlineStr">
        <is>
          <t>JÄMTLANDS LÄN</t>
        </is>
      </c>
      <c r="E251" t="inlineStr">
        <is>
          <t>STRÖMSUND</t>
        </is>
      </c>
      <c r="G251" t="n">
        <v>3.1</v>
      </c>
      <c r="H251" t="n">
        <v>1</v>
      </c>
      <c r="I251" t="n">
        <v>0</v>
      </c>
      <c r="J251" t="n">
        <v>0</v>
      </c>
      <c r="K251" t="n">
        <v>0</v>
      </c>
      <c r="L251" t="n">
        <v>0</v>
      </c>
      <c r="M251" t="n">
        <v>0</v>
      </c>
      <c r="N251" t="n">
        <v>0</v>
      </c>
      <c r="O251" t="n">
        <v>0</v>
      </c>
      <c r="P251" t="n">
        <v>0</v>
      </c>
      <c r="Q251" t="n">
        <v>1</v>
      </c>
      <c r="R251" s="2" t="inlineStr">
        <is>
          <t>Fläcknycklar</t>
        </is>
      </c>
      <c r="S251">
        <f>HYPERLINK("https://klasma.github.io/Logging_2313/artfynd/A 64791-2020 artfynd.xlsx", "A 64791-2020")</f>
        <v/>
      </c>
      <c r="T251">
        <f>HYPERLINK("https://klasma.github.io/Logging_2313/kartor/A 64791-2020 karta.png", "A 64791-2020")</f>
        <v/>
      </c>
      <c r="V251">
        <f>HYPERLINK("https://klasma.github.io/Logging_2313/klagomål/A 64791-2020 FSC-klagomål.docx", "A 64791-2020")</f>
        <v/>
      </c>
      <c r="W251">
        <f>HYPERLINK("https://klasma.github.io/Logging_2313/klagomålsmail/A 64791-2020 FSC-klagomål mail.docx", "A 64791-2020")</f>
        <v/>
      </c>
      <c r="X251">
        <f>HYPERLINK("https://klasma.github.io/Logging_2313/tillsyn/A 64791-2020 tillsynsbegäran.docx", "A 64791-2020")</f>
        <v/>
      </c>
      <c r="Y251">
        <f>HYPERLINK("https://klasma.github.io/Logging_2313/tillsynsmail/A 64791-2020 tillsynsbegäran mail.docx", "A 64791-2020")</f>
        <v/>
      </c>
    </row>
    <row r="252" ht="15" customHeight="1">
      <c r="A252" t="inlineStr">
        <is>
          <t>A 25818-2021</t>
        </is>
      </c>
      <c r="B252" s="1" t="n">
        <v>44343.93589120371</v>
      </c>
      <c r="C252" s="1" t="n">
        <v>45972</v>
      </c>
      <c r="D252" t="inlineStr">
        <is>
          <t>JÄMTLANDS LÄN</t>
        </is>
      </c>
      <c r="E252" t="inlineStr">
        <is>
          <t>STRÖMSUND</t>
        </is>
      </c>
      <c r="F252" t="inlineStr">
        <is>
          <t>SCA</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HYPERLINK("https://klasma.github.io/Logging_2313/artfynd/A 25818-2021 artfynd.xlsx", "A 25818-2021")</f>
        <v/>
      </c>
      <c r="T252">
        <f>HYPERLINK("https://klasma.github.io/Logging_2313/kartor/A 25818-2021 karta.png", "A 25818-2021")</f>
        <v/>
      </c>
      <c r="U252">
        <f>HYPERLINK("https://klasma.github.io/Logging_2313/knärot/A 25818-2021 karta knärot.png", "A 25818-2021")</f>
        <v/>
      </c>
      <c r="V252">
        <f>HYPERLINK("https://klasma.github.io/Logging_2313/klagomål/A 25818-2021 FSC-klagomål.docx", "A 25818-2021")</f>
        <v/>
      </c>
      <c r="W252">
        <f>HYPERLINK("https://klasma.github.io/Logging_2313/klagomålsmail/A 25818-2021 FSC-klagomål mail.docx", "A 25818-2021")</f>
        <v/>
      </c>
      <c r="X252">
        <f>HYPERLINK("https://klasma.github.io/Logging_2313/tillsyn/A 25818-2021 tillsynsbegäran.docx", "A 25818-2021")</f>
        <v/>
      </c>
      <c r="Y252">
        <f>HYPERLINK("https://klasma.github.io/Logging_2313/tillsynsmail/A 25818-2021 tillsynsbegäran mail.docx", "A 25818-2021")</f>
        <v/>
      </c>
    </row>
    <row r="253" ht="15" customHeight="1">
      <c r="A253" t="inlineStr">
        <is>
          <t>A 32351-2022</t>
        </is>
      </c>
      <c r="B253" s="1" t="n">
        <v>44781</v>
      </c>
      <c r="C253" s="1" t="n">
        <v>45972</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45972</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3538-2022</t>
        </is>
      </c>
      <c r="B255" s="1" t="n">
        <v>44585</v>
      </c>
      <c r="C255" s="1" t="n">
        <v>45972</v>
      </c>
      <c r="D255" t="inlineStr">
        <is>
          <t>JÄMTLANDS LÄN</t>
        </is>
      </c>
      <c r="E255" t="inlineStr">
        <is>
          <t>STRÖMSUND</t>
        </is>
      </c>
      <c r="F255" t="inlineStr">
        <is>
          <t>SCA</t>
        </is>
      </c>
      <c r="G255" t="n">
        <v>6.6</v>
      </c>
      <c r="H255" t="n">
        <v>0</v>
      </c>
      <c r="I255" t="n">
        <v>0</v>
      </c>
      <c r="J255" t="n">
        <v>1</v>
      </c>
      <c r="K255" t="n">
        <v>0</v>
      </c>
      <c r="L255" t="n">
        <v>0</v>
      </c>
      <c r="M255" t="n">
        <v>0</v>
      </c>
      <c r="N255" t="n">
        <v>0</v>
      </c>
      <c r="O255" t="n">
        <v>1</v>
      </c>
      <c r="P255" t="n">
        <v>0</v>
      </c>
      <c r="Q255" t="n">
        <v>1</v>
      </c>
      <c r="R255" s="2" t="inlineStr">
        <is>
          <t>Granticka</t>
        </is>
      </c>
      <c r="S255">
        <f>HYPERLINK("https://klasma.github.io/Logging_2313/artfynd/A 3538-2022 artfynd.xlsx", "A 3538-2022")</f>
        <v/>
      </c>
      <c r="T255">
        <f>HYPERLINK("https://klasma.github.io/Logging_2313/kartor/A 3538-2022 karta.png", "A 3538-2022")</f>
        <v/>
      </c>
      <c r="V255">
        <f>HYPERLINK("https://klasma.github.io/Logging_2313/klagomål/A 3538-2022 FSC-klagomål.docx", "A 3538-2022")</f>
        <v/>
      </c>
      <c r="W255">
        <f>HYPERLINK("https://klasma.github.io/Logging_2313/klagomålsmail/A 3538-2022 FSC-klagomål mail.docx", "A 3538-2022")</f>
        <v/>
      </c>
      <c r="X255">
        <f>HYPERLINK("https://klasma.github.io/Logging_2313/tillsyn/A 3538-2022 tillsynsbegäran.docx", "A 3538-2022")</f>
        <v/>
      </c>
      <c r="Y255">
        <f>HYPERLINK("https://klasma.github.io/Logging_2313/tillsynsmail/A 3538-2022 tillsynsbegäran mail.docx", "A 3538-2022")</f>
        <v/>
      </c>
    </row>
    <row r="256" ht="15" customHeight="1">
      <c r="A256" t="inlineStr">
        <is>
          <t>A 35444-2021</t>
        </is>
      </c>
      <c r="B256" s="1" t="n">
        <v>44385</v>
      </c>
      <c r="C256" s="1" t="n">
        <v>45972</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61437-2021</t>
        </is>
      </c>
      <c r="B257" s="1" t="n">
        <v>44500</v>
      </c>
      <c r="C257" s="1" t="n">
        <v>45972</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Rödbrun klubbdyna</t>
        </is>
      </c>
      <c r="S257">
        <f>HYPERLINK("https://klasma.github.io/Logging_2313/artfynd/A 61437-2021 artfynd.xlsx", "A 61437-2021")</f>
        <v/>
      </c>
      <c r="T257">
        <f>HYPERLINK("https://klasma.github.io/Logging_2313/kartor/A 61437-2021 karta.png", "A 61437-2021")</f>
        <v/>
      </c>
      <c r="V257">
        <f>HYPERLINK("https://klasma.github.io/Logging_2313/klagomål/A 61437-2021 FSC-klagomål.docx", "A 61437-2021")</f>
        <v/>
      </c>
      <c r="W257">
        <f>HYPERLINK("https://klasma.github.io/Logging_2313/klagomålsmail/A 61437-2021 FSC-klagomål mail.docx", "A 61437-2021")</f>
        <v/>
      </c>
      <c r="X257">
        <f>HYPERLINK("https://klasma.github.io/Logging_2313/tillsyn/A 61437-2021 tillsynsbegäran.docx", "A 61437-2021")</f>
        <v/>
      </c>
      <c r="Y257">
        <f>HYPERLINK("https://klasma.github.io/Logging_2313/tillsynsmail/A 61437-2021 tillsynsbegäran mail.docx", "A 61437-2021")</f>
        <v/>
      </c>
    </row>
    <row r="258" ht="15" customHeight="1">
      <c r="A258" t="inlineStr">
        <is>
          <t>A 10696-2022</t>
        </is>
      </c>
      <c r="B258" s="1" t="n">
        <v>44624</v>
      </c>
      <c r="C258" s="1" t="n">
        <v>45972</v>
      </c>
      <c r="D258" t="inlineStr">
        <is>
          <t>JÄMTLANDS LÄN</t>
        </is>
      </c>
      <c r="E258" t="inlineStr">
        <is>
          <t>STRÖMSUND</t>
        </is>
      </c>
      <c r="F258" t="inlineStr">
        <is>
          <t>SCA</t>
        </is>
      </c>
      <c r="G258" t="n">
        <v>9</v>
      </c>
      <c r="H258" t="n">
        <v>0</v>
      </c>
      <c r="I258" t="n">
        <v>0</v>
      </c>
      <c r="J258" t="n">
        <v>0</v>
      </c>
      <c r="K258" t="n">
        <v>1</v>
      </c>
      <c r="L258" t="n">
        <v>0</v>
      </c>
      <c r="M258" t="n">
        <v>0</v>
      </c>
      <c r="N258" t="n">
        <v>0</v>
      </c>
      <c r="O258" t="n">
        <v>1</v>
      </c>
      <c r="P258" t="n">
        <v>1</v>
      </c>
      <c r="Q258" t="n">
        <v>1</v>
      </c>
      <c r="R258" s="2" t="inlineStr">
        <is>
          <t>Smalskaftslav</t>
        </is>
      </c>
      <c r="S258">
        <f>HYPERLINK("https://klasma.github.io/Logging_2313/artfynd/A 10696-2022 artfynd.xlsx", "A 10696-2022")</f>
        <v/>
      </c>
      <c r="T258">
        <f>HYPERLINK("https://klasma.github.io/Logging_2313/kartor/A 10696-2022 karta.png", "A 10696-2022")</f>
        <v/>
      </c>
      <c r="V258">
        <f>HYPERLINK("https://klasma.github.io/Logging_2313/klagomål/A 10696-2022 FSC-klagomål.docx", "A 10696-2022")</f>
        <v/>
      </c>
      <c r="W258">
        <f>HYPERLINK("https://klasma.github.io/Logging_2313/klagomålsmail/A 10696-2022 FSC-klagomål mail.docx", "A 10696-2022")</f>
        <v/>
      </c>
      <c r="X258">
        <f>HYPERLINK("https://klasma.github.io/Logging_2313/tillsyn/A 10696-2022 tillsynsbegäran.docx", "A 10696-2022")</f>
        <v/>
      </c>
      <c r="Y258">
        <f>HYPERLINK("https://klasma.github.io/Logging_2313/tillsynsmail/A 10696-2022 tillsynsbegäran mail.docx", "A 10696-2022")</f>
        <v/>
      </c>
    </row>
    <row r="259" ht="15" customHeight="1">
      <c r="A259" t="inlineStr">
        <is>
          <t>A 21208-2022</t>
        </is>
      </c>
      <c r="B259" s="1" t="n">
        <v>44704</v>
      </c>
      <c r="C259" s="1" t="n">
        <v>45972</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HYPERLINK("https://klasma.github.io/Logging_2313/artfynd/A 21208-2022 artfynd.xlsx", "A 21208-2022")</f>
        <v/>
      </c>
      <c r="T259">
        <f>HYPERLINK("https://klasma.github.io/Logging_2313/kartor/A 21208-2022 karta.png", "A 21208-2022")</f>
        <v/>
      </c>
      <c r="V259">
        <f>HYPERLINK("https://klasma.github.io/Logging_2313/klagomål/A 21208-2022 FSC-klagomål.docx", "A 21208-2022")</f>
        <v/>
      </c>
      <c r="W259">
        <f>HYPERLINK("https://klasma.github.io/Logging_2313/klagomålsmail/A 21208-2022 FSC-klagomål mail.docx", "A 21208-2022")</f>
        <v/>
      </c>
      <c r="X259">
        <f>HYPERLINK("https://klasma.github.io/Logging_2313/tillsyn/A 21208-2022 tillsynsbegäran.docx", "A 21208-2022")</f>
        <v/>
      </c>
      <c r="Y259">
        <f>HYPERLINK("https://klasma.github.io/Logging_2313/tillsynsmail/A 21208-2022 tillsynsbegäran mail.docx", "A 21208-2022")</f>
        <v/>
      </c>
    </row>
    <row r="260" ht="15" customHeight="1">
      <c r="A260" t="inlineStr">
        <is>
          <t>A 66717-2020</t>
        </is>
      </c>
      <c r="B260" s="1" t="n">
        <v>44179</v>
      </c>
      <c r="C260" s="1" t="n">
        <v>45972</v>
      </c>
      <c r="D260" t="inlineStr">
        <is>
          <t>JÄMTLANDS LÄN</t>
        </is>
      </c>
      <c r="E260" t="inlineStr">
        <is>
          <t>STRÖMSUND</t>
        </is>
      </c>
      <c r="F260" t="inlineStr">
        <is>
          <t>SCA</t>
        </is>
      </c>
      <c r="G260" t="n">
        <v>22.4</v>
      </c>
      <c r="H260" t="n">
        <v>0</v>
      </c>
      <c r="I260" t="n">
        <v>0</v>
      </c>
      <c r="J260" t="n">
        <v>1</v>
      </c>
      <c r="K260" t="n">
        <v>0</v>
      </c>
      <c r="L260" t="n">
        <v>0</v>
      </c>
      <c r="M260" t="n">
        <v>0</v>
      </c>
      <c r="N260" t="n">
        <v>0</v>
      </c>
      <c r="O260" t="n">
        <v>1</v>
      </c>
      <c r="P260" t="n">
        <v>0</v>
      </c>
      <c r="Q260" t="n">
        <v>1</v>
      </c>
      <c r="R260" s="2" t="inlineStr">
        <is>
          <t>Gränsticka</t>
        </is>
      </c>
      <c r="S260">
        <f>HYPERLINK("https://klasma.github.io/Logging_2313/artfynd/A 66717-2020 artfynd.xlsx", "A 66717-2020")</f>
        <v/>
      </c>
      <c r="T260">
        <f>HYPERLINK("https://klasma.github.io/Logging_2313/kartor/A 66717-2020 karta.png", "A 66717-2020")</f>
        <v/>
      </c>
      <c r="V260">
        <f>HYPERLINK("https://klasma.github.io/Logging_2313/klagomål/A 66717-2020 FSC-klagomål.docx", "A 66717-2020")</f>
        <v/>
      </c>
      <c r="W260">
        <f>HYPERLINK("https://klasma.github.io/Logging_2313/klagomålsmail/A 66717-2020 FSC-klagomål mail.docx", "A 66717-2020")</f>
        <v/>
      </c>
      <c r="X260">
        <f>HYPERLINK("https://klasma.github.io/Logging_2313/tillsyn/A 66717-2020 tillsynsbegäran.docx", "A 66717-2020")</f>
        <v/>
      </c>
      <c r="Y260">
        <f>HYPERLINK("https://klasma.github.io/Logging_2313/tillsynsmail/A 66717-2020 tillsynsbegäran mail.docx", "A 66717-2020")</f>
        <v/>
      </c>
    </row>
    <row r="261" ht="15" customHeight="1">
      <c r="A261" t="inlineStr">
        <is>
          <t>A 12950-2022</t>
        </is>
      </c>
      <c r="B261" s="1" t="n">
        <v>44642</v>
      </c>
      <c r="C261" s="1" t="n">
        <v>45972</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Granticka</t>
        </is>
      </c>
      <c r="S261">
        <f>HYPERLINK("https://klasma.github.io/Logging_2313/artfynd/A 12950-2022 artfynd.xlsx", "A 12950-2022")</f>
        <v/>
      </c>
      <c r="T261">
        <f>HYPERLINK("https://klasma.github.io/Logging_2313/kartor/A 12950-2022 karta.png", "A 12950-2022")</f>
        <v/>
      </c>
      <c r="V261">
        <f>HYPERLINK("https://klasma.github.io/Logging_2313/klagomål/A 12950-2022 FSC-klagomål.docx", "A 12950-2022")</f>
        <v/>
      </c>
      <c r="W261">
        <f>HYPERLINK("https://klasma.github.io/Logging_2313/klagomålsmail/A 12950-2022 FSC-klagomål mail.docx", "A 12950-2022")</f>
        <v/>
      </c>
      <c r="X261">
        <f>HYPERLINK("https://klasma.github.io/Logging_2313/tillsyn/A 12950-2022 tillsynsbegäran.docx", "A 12950-2022")</f>
        <v/>
      </c>
      <c r="Y261">
        <f>HYPERLINK("https://klasma.github.io/Logging_2313/tillsynsmail/A 12950-2022 tillsynsbegäran mail.docx", "A 12950-2022")</f>
        <v/>
      </c>
    </row>
    <row r="262" ht="15" customHeight="1">
      <c r="A262" t="inlineStr">
        <is>
          <t>A 54944-2024</t>
        </is>
      </c>
      <c r="B262" s="1" t="n">
        <v>45619</v>
      </c>
      <c r="C262" s="1" t="n">
        <v>45972</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45972</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14291-2022</t>
        </is>
      </c>
      <c r="B264" s="1" t="n">
        <v>44651</v>
      </c>
      <c r="C264" s="1" t="n">
        <v>45972</v>
      </c>
      <c r="D264" t="inlineStr">
        <is>
          <t>JÄMTLANDS LÄN</t>
        </is>
      </c>
      <c r="E264" t="inlineStr">
        <is>
          <t>STRÖMSUND</t>
        </is>
      </c>
      <c r="F264" t="inlineStr">
        <is>
          <t>SCA</t>
        </is>
      </c>
      <c r="G264" t="n">
        <v>0.5</v>
      </c>
      <c r="H264" t="n">
        <v>0</v>
      </c>
      <c r="I264" t="n">
        <v>0</v>
      </c>
      <c r="J264" t="n">
        <v>1</v>
      </c>
      <c r="K264" t="n">
        <v>0</v>
      </c>
      <c r="L264" t="n">
        <v>0</v>
      </c>
      <c r="M264" t="n">
        <v>0</v>
      </c>
      <c r="N264" t="n">
        <v>0</v>
      </c>
      <c r="O264" t="n">
        <v>1</v>
      </c>
      <c r="P264" t="n">
        <v>0</v>
      </c>
      <c r="Q264" t="n">
        <v>1</v>
      </c>
      <c r="R264" s="2" t="inlineStr">
        <is>
          <t>Skrovellav</t>
        </is>
      </c>
      <c r="S264">
        <f>HYPERLINK("https://klasma.github.io/Logging_2313/artfynd/A 14291-2022 artfynd.xlsx", "A 14291-2022")</f>
        <v/>
      </c>
      <c r="T264">
        <f>HYPERLINK("https://klasma.github.io/Logging_2313/kartor/A 14291-2022 karta.png", "A 14291-2022")</f>
        <v/>
      </c>
      <c r="V264">
        <f>HYPERLINK("https://klasma.github.io/Logging_2313/klagomål/A 14291-2022 FSC-klagomål.docx", "A 14291-2022")</f>
        <v/>
      </c>
      <c r="W264">
        <f>HYPERLINK("https://klasma.github.io/Logging_2313/klagomålsmail/A 14291-2022 FSC-klagomål mail.docx", "A 14291-2022")</f>
        <v/>
      </c>
      <c r="X264">
        <f>HYPERLINK("https://klasma.github.io/Logging_2313/tillsyn/A 14291-2022 tillsynsbegäran.docx", "A 14291-2022")</f>
        <v/>
      </c>
      <c r="Y264">
        <f>HYPERLINK("https://klasma.github.io/Logging_2313/tillsynsmail/A 14291-2022 tillsynsbegäran mail.docx", "A 14291-2022")</f>
        <v/>
      </c>
    </row>
    <row r="265" ht="15" customHeight="1">
      <c r="A265" t="inlineStr">
        <is>
          <t>A 66483-2021</t>
        </is>
      </c>
      <c r="B265" s="1" t="n">
        <v>44518</v>
      </c>
      <c r="C265" s="1" t="n">
        <v>45972</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Knottrig blåslav</t>
        </is>
      </c>
      <c r="S265">
        <f>HYPERLINK("https://klasma.github.io/Logging_2313/artfynd/A 66483-2021 artfynd.xlsx", "A 66483-2021")</f>
        <v/>
      </c>
      <c r="T265">
        <f>HYPERLINK("https://klasma.github.io/Logging_2313/kartor/A 66483-2021 karta.png", "A 66483-2021")</f>
        <v/>
      </c>
      <c r="V265">
        <f>HYPERLINK("https://klasma.github.io/Logging_2313/klagomål/A 66483-2021 FSC-klagomål.docx", "A 66483-2021")</f>
        <v/>
      </c>
      <c r="W265">
        <f>HYPERLINK("https://klasma.github.io/Logging_2313/klagomålsmail/A 66483-2021 FSC-klagomål mail.docx", "A 66483-2021")</f>
        <v/>
      </c>
      <c r="X265">
        <f>HYPERLINK("https://klasma.github.io/Logging_2313/tillsyn/A 66483-2021 tillsynsbegäran.docx", "A 66483-2021")</f>
        <v/>
      </c>
      <c r="Y265">
        <f>HYPERLINK("https://klasma.github.io/Logging_2313/tillsynsmail/A 66483-2021 tillsynsbegäran mail.docx", "A 66483-2021")</f>
        <v/>
      </c>
    </row>
    <row r="266" ht="15" customHeight="1">
      <c r="A266" t="inlineStr">
        <is>
          <t>A 48544-2022</t>
        </is>
      </c>
      <c r="B266" s="1" t="n">
        <v>44858</v>
      </c>
      <c r="C266" s="1" t="n">
        <v>45972</v>
      </c>
      <c r="D266" t="inlineStr">
        <is>
          <t>JÄMTLANDS LÄN</t>
        </is>
      </c>
      <c r="E266" t="inlineStr">
        <is>
          <t>STRÖMSUND</t>
        </is>
      </c>
      <c r="F266" t="inlineStr">
        <is>
          <t>SCA</t>
        </is>
      </c>
      <c r="G266" t="n">
        <v>2.6</v>
      </c>
      <c r="H266" t="n">
        <v>1</v>
      </c>
      <c r="I266" t="n">
        <v>0</v>
      </c>
      <c r="J266" t="n">
        <v>0</v>
      </c>
      <c r="K266" t="n">
        <v>1</v>
      </c>
      <c r="L266" t="n">
        <v>0</v>
      </c>
      <c r="M266" t="n">
        <v>0</v>
      </c>
      <c r="N266" t="n">
        <v>0</v>
      </c>
      <c r="O266" t="n">
        <v>1</v>
      </c>
      <c r="P266" t="n">
        <v>1</v>
      </c>
      <c r="Q266" t="n">
        <v>1</v>
      </c>
      <c r="R266" s="2" t="inlineStr">
        <is>
          <t>Doftticka</t>
        </is>
      </c>
      <c r="S266">
        <f>HYPERLINK("https://klasma.github.io/Logging_2313/artfynd/A 48544-2022 artfynd.xlsx", "A 48544-2022")</f>
        <v/>
      </c>
      <c r="T266">
        <f>HYPERLINK("https://klasma.github.io/Logging_2313/kartor/A 48544-2022 karta.png", "A 48544-2022")</f>
        <v/>
      </c>
      <c r="V266">
        <f>HYPERLINK("https://klasma.github.io/Logging_2313/klagomål/A 48544-2022 FSC-klagomål.docx", "A 48544-2022")</f>
        <v/>
      </c>
      <c r="W266">
        <f>HYPERLINK("https://klasma.github.io/Logging_2313/klagomålsmail/A 48544-2022 FSC-klagomål mail.docx", "A 48544-2022")</f>
        <v/>
      </c>
      <c r="X266">
        <f>HYPERLINK("https://klasma.github.io/Logging_2313/tillsyn/A 48544-2022 tillsynsbegäran.docx", "A 48544-2022")</f>
        <v/>
      </c>
      <c r="Y266">
        <f>HYPERLINK("https://klasma.github.io/Logging_2313/tillsynsmail/A 48544-2022 tillsynsbegäran mail.docx", "A 48544-2022")</f>
        <v/>
      </c>
    </row>
    <row r="267" ht="15" customHeight="1">
      <c r="A267" t="inlineStr">
        <is>
          <t>A 39075-2023</t>
        </is>
      </c>
      <c r="B267" s="1" t="n">
        <v>45163</v>
      </c>
      <c r="C267" s="1" t="n">
        <v>45972</v>
      </c>
      <c r="D267" t="inlineStr">
        <is>
          <t>JÄMTLANDS LÄN</t>
        </is>
      </c>
      <c r="E267" t="inlineStr">
        <is>
          <t>STRÖMSUND</t>
        </is>
      </c>
      <c r="F267" t="inlineStr">
        <is>
          <t>SCA</t>
        </is>
      </c>
      <c r="G267" t="n">
        <v>2.1</v>
      </c>
      <c r="H267" t="n">
        <v>0</v>
      </c>
      <c r="I267" t="n">
        <v>0</v>
      </c>
      <c r="J267" t="n">
        <v>1</v>
      </c>
      <c r="K267" t="n">
        <v>0</v>
      </c>
      <c r="L267" t="n">
        <v>0</v>
      </c>
      <c r="M267" t="n">
        <v>0</v>
      </c>
      <c r="N267" t="n">
        <v>0</v>
      </c>
      <c r="O267" t="n">
        <v>1</v>
      </c>
      <c r="P267" t="n">
        <v>0</v>
      </c>
      <c r="Q267" t="n">
        <v>1</v>
      </c>
      <c r="R267" s="2" t="inlineStr">
        <is>
          <t>Brunpudrad nållav</t>
        </is>
      </c>
      <c r="S267">
        <f>HYPERLINK("https://klasma.github.io/Logging_2313/artfynd/A 39075-2023 artfynd.xlsx", "A 39075-2023")</f>
        <v/>
      </c>
      <c r="T267">
        <f>HYPERLINK("https://klasma.github.io/Logging_2313/kartor/A 39075-2023 karta.png", "A 39075-2023")</f>
        <v/>
      </c>
      <c r="V267">
        <f>HYPERLINK("https://klasma.github.io/Logging_2313/klagomål/A 39075-2023 FSC-klagomål.docx", "A 39075-2023")</f>
        <v/>
      </c>
      <c r="W267">
        <f>HYPERLINK("https://klasma.github.io/Logging_2313/klagomålsmail/A 39075-2023 FSC-klagomål mail.docx", "A 39075-2023")</f>
        <v/>
      </c>
      <c r="X267">
        <f>HYPERLINK("https://klasma.github.io/Logging_2313/tillsyn/A 39075-2023 tillsynsbegäran.docx", "A 39075-2023")</f>
        <v/>
      </c>
      <c r="Y267">
        <f>HYPERLINK("https://klasma.github.io/Logging_2313/tillsynsmail/A 39075-2023 tillsynsbegäran mail.docx", "A 39075-2023")</f>
        <v/>
      </c>
    </row>
    <row r="268" ht="15" customHeight="1">
      <c r="A268" t="inlineStr">
        <is>
          <t>A 60828-2023</t>
        </is>
      </c>
      <c r="B268" s="1" t="n">
        <v>45258</v>
      </c>
      <c r="C268" s="1" t="n">
        <v>45972</v>
      </c>
      <c r="D268" t="inlineStr">
        <is>
          <t>JÄMTLANDS LÄN</t>
        </is>
      </c>
      <c r="E268" t="inlineStr">
        <is>
          <t>STRÖMSUND</t>
        </is>
      </c>
      <c r="G268" t="n">
        <v>6.7</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60828-2023 artfynd.xlsx", "A 60828-2023")</f>
        <v/>
      </c>
      <c r="T268">
        <f>HYPERLINK("https://klasma.github.io/Logging_2313/kartor/A 60828-2023 karta.png", "A 60828-2023")</f>
        <v/>
      </c>
      <c r="V268">
        <f>HYPERLINK("https://klasma.github.io/Logging_2313/klagomål/A 60828-2023 FSC-klagomål.docx", "A 60828-2023")</f>
        <v/>
      </c>
      <c r="W268">
        <f>HYPERLINK("https://klasma.github.io/Logging_2313/klagomålsmail/A 60828-2023 FSC-klagomål mail.docx", "A 60828-2023")</f>
        <v/>
      </c>
      <c r="X268">
        <f>HYPERLINK("https://klasma.github.io/Logging_2313/tillsyn/A 60828-2023 tillsynsbegäran.docx", "A 60828-2023")</f>
        <v/>
      </c>
      <c r="Y268">
        <f>HYPERLINK("https://klasma.github.io/Logging_2313/tillsynsmail/A 60828-2023 tillsynsbegäran mail.docx", "A 60828-2023")</f>
        <v/>
      </c>
      <c r="Z268">
        <f>HYPERLINK("https://klasma.github.io/Logging_2313/fåglar/A 60828-2023 prioriterade fågelarter.docx", "A 60828-2023")</f>
        <v/>
      </c>
    </row>
    <row r="269" ht="15" customHeight="1">
      <c r="A269" t="inlineStr">
        <is>
          <t>A 17855-2021</t>
        </is>
      </c>
      <c r="B269" s="1" t="n">
        <v>44300</v>
      </c>
      <c r="C269" s="1" t="n">
        <v>45972</v>
      </c>
      <c r="D269" t="inlineStr">
        <is>
          <t>JÄMTLANDS LÄN</t>
        </is>
      </c>
      <c r="E269" t="inlineStr">
        <is>
          <t>STRÖMSUND</t>
        </is>
      </c>
      <c r="F269" t="inlineStr">
        <is>
          <t>SCA</t>
        </is>
      </c>
      <c r="G269" t="n">
        <v>10.1</v>
      </c>
      <c r="H269" t="n">
        <v>1</v>
      </c>
      <c r="I269" t="n">
        <v>0</v>
      </c>
      <c r="J269" t="n">
        <v>0</v>
      </c>
      <c r="K269" t="n">
        <v>1</v>
      </c>
      <c r="L269" t="n">
        <v>0</v>
      </c>
      <c r="M269" t="n">
        <v>0</v>
      </c>
      <c r="N269" t="n">
        <v>0</v>
      </c>
      <c r="O269" t="n">
        <v>1</v>
      </c>
      <c r="P269" t="n">
        <v>1</v>
      </c>
      <c r="Q269" t="n">
        <v>1</v>
      </c>
      <c r="R269" s="2" t="inlineStr">
        <is>
          <t>Knärot</t>
        </is>
      </c>
      <c r="S269">
        <f>HYPERLINK("https://klasma.github.io/Logging_2313/artfynd/A 17855-2021 artfynd.xlsx", "A 17855-2021")</f>
        <v/>
      </c>
      <c r="T269">
        <f>HYPERLINK("https://klasma.github.io/Logging_2313/kartor/A 17855-2021 karta.png", "A 17855-2021")</f>
        <v/>
      </c>
      <c r="U269">
        <f>HYPERLINK("https://klasma.github.io/Logging_2313/knärot/A 17855-2021 karta knärot.png", "A 17855-2021")</f>
        <v/>
      </c>
      <c r="V269">
        <f>HYPERLINK("https://klasma.github.io/Logging_2313/klagomål/A 17855-2021 FSC-klagomål.docx", "A 17855-2021")</f>
        <v/>
      </c>
      <c r="W269">
        <f>HYPERLINK("https://klasma.github.io/Logging_2313/klagomålsmail/A 17855-2021 FSC-klagomål mail.docx", "A 17855-2021")</f>
        <v/>
      </c>
      <c r="X269">
        <f>HYPERLINK("https://klasma.github.io/Logging_2313/tillsyn/A 17855-2021 tillsynsbegäran.docx", "A 17855-2021")</f>
        <v/>
      </c>
      <c r="Y269">
        <f>HYPERLINK("https://klasma.github.io/Logging_2313/tillsynsmail/A 17855-2021 tillsynsbegäran mail.docx", "A 17855-2021")</f>
        <v/>
      </c>
    </row>
    <row r="270" ht="15" customHeight="1">
      <c r="A270" t="inlineStr">
        <is>
          <t>A 41938-2024</t>
        </is>
      </c>
      <c r="B270" s="1" t="n">
        <v>45561.57325231482</v>
      </c>
      <c r="C270" s="1" t="n">
        <v>45972</v>
      </c>
      <c r="D270" t="inlineStr">
        <is>
          <t>JÄMTLANDS LÄN</t>
        </is>
      </c>
      <c r="E270" t="inlineStr">
        <is>
          <t>STRÖMSUND</t>
        </is>
      </c>
      <c r="F270" t="inlineStr">
        <is>
          <t>SCA</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HYPERLINK("https://klasma.github.io/Logging_2313/artfynd/A 41938-2024 artfynd.xlsx", "A 41938-2024")</f>
        <v/>
      </c>
      <c r="T270">
        <f>HYPERLINK("https://klasma.github.io/Logging_2313/kartor/A 41938-2024 karta.png", "A 41938-2024")</f>
        <v/>
      </c>
      <c r="V270">
        <f>HYPERLINK("https://klasma.github.io/Logging_2313/klagomål/A 41938-2024 FSC-klagomål.docx", "A 41938-2024")</f>
        <v/>
      </c>
      <c r="W270">
        <f>HYPERLINK("https://klasma.github.io/Logging_2313/klagomålsmail/A 41938-2024 FSC-klagomål mail.docx", "A 41938-2024")</f>
        <v/>
      </c>
      <c r="X270">
        <f>HYPERLINK("https://klasma.github.io/Logging_2313/tillsyn/A 41938-2024 tillsynsbegäran.docx", "A 41938-2024")</f>
        <v/>
      </c>
      <c r="Y270">
        <f>HYPERLINK("https://klasma.github.io/Logging_2313/tillsynsmail/A 41938-2024 tillsynsbegäran mail.docx", "A 41938-2024")</f>
        <v/>
      </c>
    </row>
    <row r="271" ht="15" customHeight="1">
      <c r="A271" t="inlineStr">
        <is>
          <t>A 61159-2024</t>
        </is>
      </c>
      <c r="B271" s="1" t="n">
        <v>45645.5943287037</v>
      </c>
      <c r="C271" s="1" t="n">
        <v>45972</v>
      </c>
      <c r="D271" t="inlineStr">
        <is>
          <t>JÄMTLANDS LÄN</t>
        </is>
      </c>
      <c r="E271" t="inlineStr">
        <is>
          <t>STRÖMSUND</t>
        </is>
      </c>
      <c r="F271" t="inlineStr">
        <is>
          <t>SCA</t>
        </is>
      </c>
      <c r="G271" t="n">
        <v>5.3</v>
      </c>
      <c r="H271" t="n">
        <v>0</v>
      </c>
      <c r="I271" t="n">
        <v>1</v>
      </c>
      <c r="J271" t="n">
        <v>0</v>
      </c>
      <c r="K271" t="n">
        <v>0</v>
      </c>
      <c r="L271" t="n">
        <v>0</v>
      </c>
      <c r="M271" t="n">
        <v>0</v>
      </c>
      <c r="N271" t="n">
        <v>0</v>
      </c>
      <c r="O271" t="n">
        <v>0</v>
      </c>
      <c r="P271" t="n">
        <v>0</v>
      </c>
      <c r="Q271" t="n">
        <v>1</v>
      </c>
      <c r="R271" s="2" t="inlineStr">
        <is>
          <t>Bårdlav</t>
        </is>
      </c>
      <c r="S271">
        <f>HYPERLINK("https://klasma.github.io/Logging_2313/artfynd/A 61159-2024 artfynd.xlsx", "A 61159-2024")</f>
        <v/>
      </c>
      <c r="T271">
        <f>HYPERLINK("https://klasma.github.io/Logging_2313/kartor/A 61159-2024 karta.png", "A 61159-2024")</f>
        <v/>
      </c>
      <c r="V271">
        <f>HYPERLINK("https://klasma.github.io/Logging_2313/klagomål/A 61159-2024 FSC-klagomål.docx", "A 61159-2024")</f>
        <v/>
      </c>
      <c r="W271">
        <f>HYPERLINK("https://klasma.github.io/Logging_2313/klagomålsmail/A 61159-2024 FSC-klagomål mail.docx", "A 61159-2024")</f>
        <v/>
      </c>
      <c r="X271">
        <f>HYPERLINK("https://klasma.github.io/Logging_2313/tillsyn/A 61159-2024 tillsynsbegäran.docx", "A 61159-2024")</f>
        <v/>
      </c>
      <c r="Y271">
        <f>HYPERLINK("https://klasma.github.io/Logging_2313/tillsynsmail/A 61159-2024 tillsynsbegäran mail.docx", "A 61159-2024")</f>
        <v/>
      </c>
    </row>
    <row r="272" ht="15" customHeight="1">
      <c r="A272" t="inlineStr">
        <is>
          <t>A 57390-2023</t>
        </is>
      </c>
      <c r="B272" s="1" t="n">
        <v>45245</v>
      </c>
      <c r="C272" s="1" t="n">
        <v>45972</v>
      </c>
      <c r="D272" t="inlineStr">
        <is>
          <t>JÄMTLANDS LÄN</t>
        </is>
      </c>
      <c r="E272" t="inlineStr">
        <is>
          <t>STRÖMSUND</t>
        </is>
      </c>
      <c r="G272" t="n">
        <v>4.8</v>
      </c>
      <c r="H272" t="n">
        <v>0</v>
      </c>
      <c r="I272" t="n">
        <v>1</v>
      </c>
      <c r="J272" t="n">
        <v>0</v>
      </c>
      <c r="K272" t="n">
        <v>0</v>
      </c>
      <c r="L272" t="n">
        <v>0</v>
      </c>
      <c r="M272" t="n">
        <v>0</v>
      </c>
      <c r="N272" t="n">
        <v>0</v>
      </c>
      <c r="O272" t="n">
        <v>0</v>
      </c>
      <c r="P272" t="n">
        <v>0</v>
      </c>
      <c r="Q272" t="n">
        <v>1</v>
      </c>
      <c r="R272" s="2" t="inlineStr">
        <is>
          <t>Svart trolldruva</t>
        </is>
      </c>
      <c r="S272">
        <f>HYPERLINK("https://klasma.github.io/Logging_2313/artfynd/A 57390-2023 artfynd.xlsx", "A 57390-2023")</f>
        <v/>
      </c>
      <c r="T272">
        <f>HYPERLINK("https://klasma.github.io/Logging_2313/kartor/A 57390-2023 karta.png", "A 57390-2023")</f>
        <v/>
      </c>
      <c r="V272">
        <f>HYPERLINK("https://klasma.github.io/Logging_2313/klagomål/A 57390-2023 FSC-klagomål.docx", "A 57390-2023")</f>
        <v/>
      </c>
      <c r="W272">
        <f>HYPERLINK("https://klasma.github.io/Logging_2313/klagomålsmail/A 57390-2023 FSC-klagomål mail.docx", "A 57390-2023")</f>
        <v/>
      </c>
      <c r="X272">
        <f>HYPERLINK("https://klasma.github.io/Logging_2313/tillsyn/A 57390-2023 tillsynsbegäran.docx", "A 57390-2023")</f>
        <v/>
      </c>
      <c r="Y272">
        <f>HYPERLINK("https://klasma.github.io/Logging_2313/tillsynsmail/A 57390-2023 tillsynsbegäran mail.docx", "A 57390-2023")</f>
        <v/>
      </c>
    </row>
    <row r="273" ht="15" customHeight="1">
      <c r="A273" t="inlineStr">
        <is>
          <t>A 28509-2024</t>
        </is>
      </c>
      <c r="B273" s="1" t="n">
        <v>45477.94773148148</v>
      </c>
      <c r="C273" s="1" t="n">
        <v>45972</v>
      </c>
      <c r="D273" t="inlineStr">
        <is>
          <t>JÄMTLANDS LÄN</t>
        </is>
      </c>
      <c r="E273" t="inlineStr">
        <is>
          <t>STRÖMSUND</t>
        </is>
      </c>
      <c r="F273" t="inlineStr">
        <is>
          <t>SCA</t>
        </is>
      </c>
      <c r="G273" t="n">
        <v>2.6</v>
      </c>
      <c r="H273" t="n">
        <v>0</v>
      </c>
      <c r="I273" t="n">
        <v>0</v>
      </c>
      <c r="J273" t="n">
        <v>0</v>
      </c>
      <c r="K273" t="n">
        <v>1</v>
      </c>
      <c r="L273" t="n">
        <v>0</v>
      </c>
      <c r="M273" t="n">
        <v>0</v>
      </c>
      <c r="N273" t="n">
        <v>0</v>
      </c>
      <c r="O273" t="n">
        <v>1</v>
      </c>
      <c r="P273" t="n">
        <v>1</v>
      </c>
      <c r="Q273" t="n">
        <v>1</v>
      </c>
      <c r="R273" s="2" t="inlineStr">
        <is>
          <t>Rynkskinn</t>
        </is>
      </c>
      <c r="S273">
        <f>HYPERLINK("https://klasma.github.io/Logging_2313/artfynd/A 28509-2024 artfynd.xlsx", "A 28509-2024")</f>
        <v/>
      </c>
      <c r="T273">
        <f>HYPERLINK("https://klasma.github.io/Logging_2313/kartor/A 28509-2024 karta.png", "A 28509-2024")</f>
        <v/>
      </c>
      <c r="V273">
        <f>HYPERLINK("https://klasma.github.io/Logging_2313/klagomål/A 28509-2024 FSC-klagomål.docx", "A 28509-2024")</f>
        <v/>
      </c>
      <c r="W273">
        <f>HYPERLINK("https://klasma.github.io/Logging_2313/klagomålsmail/A 28509-2024 FSC-klagomål mail.docx", "A 28509-2024")</f>
        <v/>
      </c>
      <c r="X273">
        <f>HYPERLINK("https://klasma.github.io/Logging_2313/tillsyn/A 28509-2024 tillsynsbegäran.docx", "A 28509-2024")</f>
        <v/>
      </c>
      <c r="Y273">
        <f>HYPERLINK("https://klasma.github.io/Logging_2313/tillsynsmail/A 28509-2024 tillsynsbegäran mail.docx", "A 28509-2024")</f>
        <v/>
      </c>
    </row>
    <row r="274" ht="15" customHeight="1">
      <c r="A274" t="inlineStr">
        <is>
          <t>A 61482-2021</t>
        </is>
      </c>
      <c r="B274" s="1" t="n">
        <v>44500</v>
      </c>
      <c r="C274" s="1" t="n">
        <v>45972</v>
      </c>
      <c r="D274" t="inlineStr">
        <is>
          <t>JÄMTLANDS LÄN</t>
        </is>
      </c>
      <c r="E274" t="inlineStr">
        <is>
          <t>STRÖMSUND</t>
        </is>
      </c>
      <c r="F274" t="inlineStr">
        <is>
          <t>SCA</t>
        </is>
      </c>
      <c r="G274" t="n">
        <v>5.9</v>
      </c>
      <c r="H274" t="n">
        <v>0</v>
      </c>
      <c r="I274" t="n">
        <v>0</v>
      </c>
      <c r="J274" t="n">
        <v>1</v>
      </c>
      <c r="K274" t="n">
        <v>0</v>
      </c>
      <c r="L274" t="n">
        <v>0</v>
      </c>
      <c r="M274" t="n">
        <v>0</v>
      </c>
      <c r="N274" t="n">
        <v>0</v>
      </c>
      <c r="O274" t="n">
        <v>1</v>
      </c>
      <c r="P274" t="n">
        <v>0</v>
      </c>
      <c r="Q274" t="n">
        <v>1</v>
      </c>
      <c r="R274" s="2" t="inlineStr">
        <is>
          <t>Lunglav</t>
        </is>
      </c>
      <c r="S274">
        <f>HYPERLINK("https://klasma.github.io/Logging_2313/artfynd/A 61482-2021 artfynd.xlsx", "A 61482-2021")</f>
        <v/>
      </c>
      <c r="T274">
        <f>HYPERLINK("https://klasma.github.io/Logging_2313/kartor/A 61482-2021 karta.png", "A 61482-2021")</f>
        <v/>
      </c>
      <c r="V274">
        <f>HYPERLINK("https://klasma.github.io/Logging_2313/klagomål/A 61482-2021 FSC-klagomål.docx", "A 61482-2021")</f>
        <v/>
      </c>
      <c r="W274">
        <f>HYPERLINK("https://klasma.github.io/Logging_2313/klagomålsmail/A 61482-2021 FSC-klagomål mail.docx", "A 61482-2021")</f>
        <v/>
      </c>
      <c r="X274">
        <f>HYPERLINK("https://klasma.github.io/Logging_2313/tillsyn/A 61482-2021 tillsynsbegäran.docx", "A 61482-2021")</f>
        <v/>
      </c>
      <c r="Y274">
        <f>HYPERLINK("https://klasma.github.io/Logging_2313/tillsynsmail/A 61482-2021 tillsynsbegäran mail.docx", "A 61482-2021")</f>
        <v/>
      </c>
    </row>
    <row r="275" ht="15" customHeight="1">
      <c r="A275" t="inlineStr">
        <is>
          <t>A 55383-2024</t>
        </is>
      </c>
      <c r="B275" s="1" t="n">
        <v>45622.3055787037</v>
      </c>
      <c r="C275" s="1" t="n">
        <v>45972</v>
      </c>
      <c r="D275" t="inlineStr">
        <is>
          <t>JÄMTLANDS LÄN</t>
        </is>
      </c>
      <c r="E275" t="inlineStr">
        <is>
          <t>STRÖMSUND</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HYPERLINK("https://klasma.github.io/Logging_2313/artfynd/A 55383-2024 artfynd.xlsx", "A 55383-2024")</f>
        <v/>
      </c>
      <c r="T275">
        <f>HYPERLINK("https://klasma.github.io/Logging_2313/kartor/A 55383-2024 karta.png", "A 55383-2024")</f>
        <v/>
      </c>
      <c r="V275">
        <f>HYPERLINK("https://klasma.github.io/Logging_2313/klagomål/A 55383-2024 FSC-klagomål.docx", "A 55383-2024")</f>
        <v/>
      </c>
      <c r="W275">
        <f>HYPERLINK("https://klasma.github.io/Logging_2313/klagomålsmail/A 55383-2024 FSC-klagomål mail.docx", "A 55383-2024")</f>
        <v/>
      </c>
      <c r="X275">
        <f>HYPERLINK("https://klasma.github.io/Logging_2313/tillsyn/A 55383-2024 tillsynsbegäran.docx", "A 55383-2024")</f>
        <v/>
      </c>
      <c r="Y275">
        <f>HYPERLINK("https://klasma.github.io/Logging_2313/tillsynsmail/A 55383-2024 tillsynsbegäran mail.docx", "A 55383-2024")</f>
        <v/>
      </c>
    </row>
    <row r="276" ht="15" customHeight="1">
      <c r="A276" t="inlineStr">
        <is>
          <t>A 30085-2025</t>
        </is>
      </c>
      <c r="B276" s="1" t="n">
        <v>45826.65711805555</v>
      </c>
      <c r="C276" s="1" t="n">
        <v>45972</v>
      </c>
      <c r="D276" t="inlineStr">
        <is>
          <t>JÄMTLANDS LÄN</t>
        </is>
      </c>
      <c r="E276" t="inlineStr">
        <is>
          <t>STRÖMSUND</t>
        </is>
      </c>
      <c r="F276" t="inlineStr">
        <is>
          <t>Sveaskog</t>
        </is>
      </c>
      <c r="G276" t="n">
        <v>1.4</v>
      </c>
      <c r="H276" t="n">
        <v>0</v>
      </c>
      <c r="I276" t="n">
        <v>0</v>
      </c>
      <c r="J276" t="n">
        <v>0</v>
      </c>
      <c r="K276" t="n">
        <v>1</v>
      </c>
      <c r="L276" t="n">
        <v>0</v>
      </c>
      <c r="M276" t="n">
        <v>0</v>
      </c>
      <c r="N276" t="n">
        <v>0</v>
      </c>
      <c r="O276" t="n">
        <v>1</v>
      </c>
      <c r="P276" t="n">
        <v>1</v>
      </c>
      <c r="Q276" t="n">
        <v>1</v>
      </c>
      <c r="R276" s="2" t="inlineStr">
        <is>
          <t>Blyspindling agg.</t>
        </is>
      </c>
      <c r="S276">
        <f>HYPERLINK("https://klasma.github.io/Logging_2313/artfynd/A 30085-2025 artfynd.xlsx", "A 30085-2025")</f>
        <v/>
      </c>
      <c r="T276">
        <f>HYPERLINK("https://klasma.github.io/Logging_2313/kartor/A 30085-2025 karta.png", "A 30085-2025")</f>
        <v/>
      </c>
      <c r="V276">
        <f>HYPERLINK("https://klasma.github.io/Logging_2313/klagomål/A 30085-2025 FSC-klagomål.docx", "A 30085-2025")</f>
        <v/>
      </c>
      <c r="W276">
        <f>HYPERLINK("https://klasma.github.io/Logging_2313/klagomålsmail/A 30085-2025 FSC-klagomål mail.docx", "A 30085-2025")</f>
        <v/>
      </c>
      <c r="X276">
        <f>HYPERLINK("https://klasma.github.io/Logging_2313/tillsyn/A 30085-2025 tillsynsbegäran.docx", "A 30085-2025")</f>
        <v/>
      </c>
      <c r="Y276">
        <f>HYPERLINK("https://klasma.github.io/Logging_2313/tillsynsmail/A 30085-2025 tillsynsbegäran mail.docx", "A 30085-2025")</f>
        <v/>
      </c>
    </row>
    <row r="277" ht="15" customHeight="1">
      <c r="A277" t="inlineStr">
        <is>
          <t>A 53170-2024</t>
        </is>
      </c>
      <c r="B277" s="1" t="n">
        <v>45611</v>
      </c>
      <c r="C277" s="1" t="n">
        <v>45972</v>
      </c>
      <c r="D277" t="inlineStr">
        <is>
          <t>JÄMTLANDS LÄN</t>
        </is>
      </c>
      <c r="E277" t="inlineStr">
        <is>
          <t>STRÖMSUND</t>
        </is>
      </c>
      <c r="G277" t="n">
        <v>21.1</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53170-2024 artfynd.xlsx", "A 53170-2024")</f>
        <v/>
      </c>
      <c r="T277">
        <f>HYPERLINK("https://klasma.github.io/Logging_2313/kartor/A 53170-2024 karta.png", "A 53170-2024")</f>
        <v/>
      </c>
      <c r="V277">
        <f>HYPERLINK("https://klasma.github.io/Logging_2313/klagomål/A 53170-2024 FSC-klagomål.docx", "A 53170-2024")</f>
        <v/>
      </c>
      <c r="W277">
        <f>HYPERLINK("https://klasma.github.io/Logging_2313/klagomålsmail/A 53170-2024 FSC-klagomål mail.docx", "A 53170-2024")</f>
        <v/>
      </c>
      <c r="X277">
        <f>HYPERLINK("https://klasma.github.io/Logging_2313/tillsyn/A 53170-2024 tillsynsbegäran.docx", "A 53170-2024")</f>
        <v/>
      </c>
      <c r="Y277">
        <f>HYPERLINK("https://klasma.github.io/Logging_2313/tillsynsmail/A 53170-2024 tillsynsbegäran mail.docx", "A 53170-2024")</f>
        <v/>
      </c>
      <c r="Z277">
        <f>HYPERLINK("https://klasma.github.io/Logging_2313/fåglar/A 53170-2024 prioriterade fågelarter.docx", "A 53170-2024")</f>
        <v/>
      </c>
    </row>
    <row r="278" ht="15" customHeight="1">
      <c r="A278" t="inlineStr">
        <is>
          <t>A 34006-2023</t>
        </is>
      </c>
      <c r="B278" s="1" t="n">
        <v>45134</v>
      </c>
      <c r="C278" s="1" t="n">
        <v>45972</v>
      </c>
      <c r="D278" t="inlineStr">
        <is>
          <t>JÄMTLANDS LÄN</t>
        </is>
      </c>
      <c r="E278" t="inlineStr">
        <is>
          <t>STRÖMSUND</t>
        </is>
      </c>
      <c r="F278" t="inlineStr">
        <is>
          <t>SCA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HYPERLINK("https://klasma.github.io/Logging_2313/artfynd/A 34006-2023 artfynd.xlsx", "A 34006-2023")</f>
        <v/>
      </c>
      <c r="T278">
        <f>HYPERLINK("https://klasma.github.io/Logging_2313/kartor/A 34006-2023 karta.png", "A 34006-2023")</f>
        <v/>
      </c>
      <c r="V278">
        <f>HYPERLINK("https://klasma.github.io/Logging_2313/klagomål/A 34006-2023 FSC-klagomål.docx", "A 34006-2023")</f>
        <v/>
      </c>
      <c r="W278">
        <f>HYPERLINK("https://klasma.github.io/Logging_2313/klagomålsmail/A 34006-2023 FSC-klagomål mail.docx", "A 34006-2023")</f>
        <v/>
      </c>
      <c r="X278">
        <f>HYPERLINK("https://klasma.github.io/Logging_2313/tillsyn/A 34006-2023 tillsynsbegäran.docx", "A 34006-2023")</f>
        <v/>
      </c>
      <c r="Y278">
        <f>HYPERLINK("https://klasma.github.io/Logging_2313/tillsynsmail/A 34006-2023 tillsynsbegäran mail.docx", "A 34006-2023")</f>
        <v/>
      </c>
      <c r="Z278">
        <f>HYPERLINK("https://klasma.github.io/Logging_2313/fåglar/A 34006-2023 prioriterade fågelarter.docx", "A 34006-2023")</f>
        <v/>
      </c>
    </row>
    <row r="279" ht="15" customHeight="1">
      <c r="A279" t="inlineStr">
        <is>
          <t>A 49374-2024</t>
        </is>
      </c>
      <c r="B279" s="1" t="n">
        <v>45595.64209490741</v>
      </c>
      <c r="C279" s="1" t="n">
        <v>45972</v>
      </c>
      <c r="D279" t="inlineStr">
        <is>
          <t>JÄMTLANDS LÄN</t>
        </is>
      </c>
      <c r="E279" t="inlineStr">
        <is>
          <t>STRÖMSUND</t>
        </is>
      </c>
      <c r="F279" t="inlineStr">
        <is>
          <t>SCA</t>
        </is>
      </c>
      <c r="G279" t="n">
        <v>1.5</v>
      </c>
      <c r="H279" t="n">
        <v>0</v>
      </c>
      <c r="I279" t="n">
        <v>0</v>
      </c>
      <c r="J279" t="n">
        <v>1</v>
      </c>
      <c r="K279" t="n">
        <v>0</v>
      </c>
      <c r="L279" t="n">
        <v>0</v>
      </c>
      <c r="M279" t="n">
        <v>0</v>
      </c>
      <c r="N279" t="n">
        <v>0</v>
      </c>
      <c r="O279" t="n">
        <v>1</v>
      </c>
      <c r="P279" t="n">
        <v>0</v>
      </c>
      <c r="Q279" t="n">
        <v>1</v>
      </c>
      <c r="R279" s="2" t="inlineStr">
        <is>
          <t>Veckticka</t>
        </is>
      </c>
      <c r="S279">
        <f>HYPERLINK("https://klasma.github.io/Logging_2313/artfynd/A 49374-2024 artfynd.xlsx", "A 49374-2024")</f>
        <v/>
      </c>
      <c r="T279">
        <f>HYPERLINK("https://klasma.github.io/Logging_2313/kartor/A 49374-2024 karta.png", "A 49374-2024")</f>
        <v/>
      </c>
      <c r="V279">
        <f>HYPERLINK("https://klasma.github.io/Logging_2313/klagomål/A 49374-2024 FSC-klagomål.docx", "A 49374-2024")</f>
        <v/>
      </c>
      <c r="W279">
        <f>HYPERLINK("https://klasma.github.io/Logging_2313/klagomålsmail/A 49374-2024 FSC-klagomål mail.docx", "A 49374-2024")</f>
        <v/>
      </c>
      <c r="X279">
        <f>HYPERLINK("https://klasma.github.io/Logging_2313/tillsyn/A 49374-2024 tillsynsbegäran.docx", "A 49374-2024")</f>
        <v/>
      </c>
      <c r="Y279">
        <f>HYPERLINK("https://klasma.github.io/Logging_2313/tillsynsmail/A 49374-2024 tillsynsbegäran mail.docx", "A 49374-2024")</f>
        <v/>
      </c>
    </row>
    <row r="280" ht="15" customHeight="1">
      <c r="A280" t="inlineStr">
        <is>
          <t>A 56-2024</t>
        </is>
      </c>
      <c r="B280" s="1" t="n">
        <v>45293</v>
      </c>
      <c r="C280" s="1" t="n">
        <v>45972</v>
      </c>
      <c r="D280" t="inlineStr">
        <is>
          <t>JÄMTLANDS LÄN</t>
        </is>
      </c>
      <c r="E280" t="inlineStr">
        <is>
          <t>STRÖMSUND</t>
        </is>
      </c>
      <c r="G280" t="n">
        <v>4.9</v>
      </c>
      <c r="H280" t="n">
        <v>0</v>
      </c>
      <c r="I280" t="n">
        <v>0</v>
      </c>
      <c r="J280" t="n">
        <v>0</v>
      </c>
      <c r="K280" t="n">
        <v>1</v>
      </c>
      <c r="L280" t="n">
        <v>0</v>
      </c>
      <c r="M280" t="n">
        <v>0</v>
      </c>
      <c r="N280" t="n">
        <v>0</v>
      </c>
      <c r="O280" t="n">
        <v>1</v>
      </c>
      <c r="P280" t="n">
        <v>1</v>
      </c>
      <c r="Q280" t="n">
        <v>1</v>
      </c>
      <c r="R280" s="2" t="inlineStr">
        <is>
          <t>Liten sotlav</t>
        </is>
      </c>
      <c r="S280">
        <f>HYPERLINK("https://klasma.github.io/Logging_2313/artfynd/A 56-2024 artfynd.xlsx", "A 56-2024")</f>
        <v/>
      </c>
      <c r="T280">
        <f>HYPERLINK("https://klasma.github.io/Logging_2313/kartor/A 56-2024 karta.png", "A 56-2024")</f>
        <v/>
      </c>
      <c r="V280">
        <f>HYPERLINK("https://klasma.github.io/Logging_2313/klagomål/A 56-2024 FSC-klagomål.docx", "A 56-2024")</f>
        <v/>
      </c>
      <c r="W280">
        <f>HYPERLINK("https://klasma.github.io/Logging_2313/klagomålsmail/A 56-2024 FSC-klagomål mail.docx", "A 56-2024")</f>
        <v/>
      </c>
      <c r="X280">
        <f>HYPERLINK("https://klasma.github.io/Logging_2313/tillsyn/A 56-2024 tillsynsbegäran.docx", "A 56-2024")</f>
        <v/>
      </c>
      <c r="Y280">
        <f>HYPERLINK("https://klasma.github.io/Logging_2313/tillsynsmail/A 56-2024 tillsynsbegäran mail.docx", "A 56-2024")</f>
        <v/>
      </c>
    </row>
    <row r="281" ht="15" customHeight="1">
      <c r="A281" t="inlineStr">
        <is>
          <t>A 13897-2023</t>
        </is>
      </c>
      <c r="B281" s="1" t="n">
        <v>45008</v>
      </c>
      <c r="C281" s="1" t="n">
        <v>45972</v>
      </c>
      <c r="D281" t="inlineStr">
        <is>
          <t>JÄMTLANDS LÄN</t>
        </is>
      </c>
      <c r="E281" t="inlineStr">
        <is>
          <t>STRÖMSUND</t>
        </is>
      </c>
      <c r="F281" t="inlineStr">
        <is>
          <t>Holmen skog AB</t>
        </is>
      </c>
      <c r="G281" t="n">
        <v>2.6</v>
      </c>
      <c r="H281" t="n">
        <v>0</v>
      </c>
      <c r="I281" t="n">
        <v>0</v>
      </c>
      <c r="J281" t="n">
        <v>1</v>
      </c>
      <c r="K281" t="n">
        <v>0</v>
      </c>
      <c r="L281" t="n">
        <v>0</v>
      </c>
      <c r="M281" t="n">
        <v>0</v>
      </c>
      <c r="N281" t="n">
        <v>0</v>
      </c>
      <c r="O281" t="n">
        <v>1</v>
      </c>
      <c r="P281" t="n">
        <v>0</v>
      </c>
      <c r="Q281" t="n">
        <v>1</v>
      </c>
      <c r="R281" s="2" t="inlineStr">
        <is>
          <t>Kolflarnlav</t>
        </is>
      </c>
      <c r="S281">
        <f>HYPERLINK("https://klasma.github.io/Logging_2313/artfynd/A 13897-2023 artfynd.xlsx", "A 13897-2023")</f>
        <v/>
      </c>
      <c r="T281">
        <f>HYPERLINK("https://klasma.github.io/Logging_2313/kartor/A 13897-2023 karta.png", "A 13897-2023")</f>
        <v/>
      </c>
      <c r="V281">
        <f>HYPERLINK("https://klasma.github.io/Logging_2313/klagomål/A 13897-2023 FSC-klagomål.docx", "A 13897-2023")</f>
        <v/>
      </c>
      <c r="W281">
        <f>HYPERLINK("https://klasma.github.io/Logging_2313/klagomålsmail/A 13897-2023 FSC-klagomål mail.docx", "A 13897-2023")</f>
        <v/>
      </c>
      <c r="X281">
        <f>HYPERLINK("https://klasma.github.io/Logging_2313/tillsyn/A 13897-2023 tillsynsbegäran.docx", "A 13897-2023")</f>
        <v/>
      </c>
      <c r="Y281">
        <f>HYPERLINK("https://klasma.github.io/Logging_2313/tillsynsmail/A 13897-2023 tillsynsbegäran mail.docx", "A 13897-2023")</f>
        <v/>
      </c>
    </row>
    <row r="282" ht="15" customHeight="1">
      <c r="A282" t="inlineStr">
        <is>
          <t>A 49524-2023</t>
        </is>
      </c>
      <c r="B282" s="1" t="n">
        <v>45211</v>
      </c>
      <c r="C282" s="1" t="n">
        <v>45972</v>
      </c>
      <c r="D282" t="inlineStr">
        <is>
          <t>JÄMTLANDS LÄN</t>
        </is>
      </c>
      <c r="E282" t="inlineStr">
        <is>
          <t>STRÖMSUND</t>
        </is>
      </c>
      <c r="F282" t="inlineStr">
        <is>
          <t>Holmen skog AB</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HYPERLINK("https://klasma.github.io/Logging_2313/artfynd/A 49524-2023 artfynd.xlsx", "A 49524-2023")</f>
        <v/>
      </c>
      <c r="T282">
        <f>HYPERLINK("https://klasma.github.io/Logging_2313/kartor/A 49524-2023 karta.png", "A 49524-2023")</f>
        <v/>
      </c>
      <c r="V282">
        <f>HYPERLINK("https://klasma.github.io/Logging_2313/klagomål/A 49524-2023 FSC-klagomål.docx", "A 49524-2023")</f>
        <v/>
      </c>
      <c r="W282">
        <f>HYPERLINK("https://klasma.github.io/Logging_2313/klagomålsmail/A 49524-2023 FSC-klagomål mail.docx", "A 49524-2023")</f>
        <v/>
      </c>
      <c r="X282">
        <f>HYPERLINK("https://klasma.github.io/Logging_2313/tillsyn/A 49524-2023 tillsynsbegäran.docx", "A 49524-2023")</f>
        <v/>
      </c>
      <c r="Y282">
        <f>HYPERLINK("https://klasma.github.io/Logging_2313/tillsynsmail/A 49524-2023 tillsynsbegäran mail.docx", "A 49524-2023")</f>
        <v/>
      </c>
    </row>
    <row r="283" ht="15" customHeight="1">
      <c r="A283" t="inlineStr">
        <is>
          <t>A 20241-2025</t>
        </is>
      </c>
      <c r="B283" s="1" t="n">
        <v>45772.69840277778</v>
      </c>
      <c r="C283" s="1" t="n">
        <v>45972</v>
      </c>
      <c r="D283" t="inlineStr">
        <is>
          <t>JÄMTLANDS LÄN</t>
        </is>
      </c>
      <c r="E283" t="inlineStr">
        <is>
          <t>STRÖMSUND</t>
        </is>
      </c>
      <c r="F283" t="inlineStr">
        <is>
          <t>SCA</t>
        </is>
      </c>
      <c r="G283" t="n">
        <v>2.9</v>
      </c>
      <c r="H283" t="n">
        <v>1</v>
      </c>
      <c r="I283" t="n">
        <v>0</v>
      </c>
      <c r="J283" t="n">
        <v>0</v>
      </c>
      <c r="K283" t="n">
        <v>1</v>
      </c>
      <c r="L283" t="n">
        <v>0</v>
      </c>
      <c r="M283" t="n">
        <v>0</v>
      </c>
      <c r="N283" t="n">
        <v>0</v>
      </c>
      <c r="O283" t="n">
        <v>1</v>
      </c>
      <c r="P283" t="n">
        <v>1</v>
      </c>
      <c r="Q283" t="n">
        <v>1</v>
      </c>
      <c r="R283" s="2" t="inlineStr">
        <is>
          <t>Knärot</t>
        </is>
      </c>
      <c r="S283">
        <f>HYPERLINK("https://klasma.github.io/Logging_2313/artfynd/A 20241-2025 artfynd.xlsx", "A 20241-2025")</f>
        <v/>
      </c>
      <c r="T283">
        <f>HYPERLINK("https://klasma.github.io/Logging_2313/kartor/A 20241-2025 karta.png", "A 20241-2025")</f>
        <v/>
      </c>
      <c r="U283">
        <f>HYPERLINK("https://klasma.github.io/Logging_2313/knärot/A 20241-2025 karta knärot.png", "A 20241-2025")</f>
        <v/>
      </c>
      <c r="V283">
        <f>HYPERLINK("https://klasma.github.io/Logging_2313/klagomål/A 20241-2025 FSC-klagomål.docx", "A 20241-2025")</f>
        <v/>
      </c>
      <c r="W283">
        <f>HYPERLINK("https://klasma.github.io/Logging_2313/klagomålsmail/A 20241-2025 FSC-klagomål mail.docx", "A 20241-2025")</f>
        <v/>
      </c>
      <c r="X283">
        <f>HYPERLINK("https://klasma.github.io/Logging_2313/tillsyn/A 20241-2025 tillsynsbegäran.docx", "A 20241-2025")</f>
        <v/>
      </c>
      <c r="Y283">
        <f>HYPERLINK("https://klasma.github.io/Logging_2313/tillsynsmail/A 20241-2025 tillsynsbegäran mail.docx", "A 20241-2025")</f>
        <v/>
      </c>
    </row>
    <row r="284" ht="15" customHeight="1">
      <c r="A284" t="inlineStr">
        <is>
          <t>A 7929-2023</t>
        </is>
      </c>
      <c r="B284" s="1" t="n">
        <v>44970</v>
      </c>
      <c r="C284" s="1" t="n">
        <v>45972</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23186-2022</t>
        </is>
      </c>
      <c r="B285" s="1" t="n">
        <v>44719</v>
      </c>
      <c r="C285" s="1" t="n">
        <v>45972</v>
      </c>
      <c r="D285" t="inlineStr">
        <is>
          <t>JÄMTLANDS LÄN</t>
        </is>
      </c>
      <c r="E285" t="inlineStr">
        <is>
          <t>STRÖMSUND</t>
        </is>
      </c>
      <c r="G285" t="n">
        <v>14.3</v>
      </c>
      <c r="H285" t="n">
        <v>0</v>
      </c>
      <c r="I285" t="n">
        <v>0</v>
      </c>
      <c r="J285" t="n">
        <v>1</v>
      </c>
      <c r="K285" t="n">
        <v>0</v>
      </c>
      <c r="L285" t="n">
        <v>0</v>
      </c>
      <c r="M285" t="n">
        <v>0</v>
      </c>
      <c r="N285" t="n">
        <v>0</v>
      </c>
      <c r="O285" t="n">
        <v>1</v>
      </c>
      <c r="P285" t="n">
        <v>0</v>
      </c>
      <c r="Q285" t="n">
        <v>1</v>
      </c>
      <c r="R285" s="2" t="inlineStr">
        <is>
          <t>Lunglav</t>
        </is>
      </c>
      <c r="S285">
        <f>HYPERLINK("https://klasma.github.io/Logging_2313/artfynd/A 23186-2022 artfynd.xlsx", "A 23186-2022")</f>
        <v/>
      </c>
      <c r="T285">
        <f>HYPERLINK("https://klasma.github.io/Logging_2313/kartor/A 23186-2022 karta.png", "A 23186-2022")</f>
        <v/>
      </c>
      <c r="V285">
        <f>HYPERLINK("https://klasma.github.io/Logging_2313/klagomål/A 23186-2022 FSC-klagomål.docx", "A 23186-2022")</f>
        <v/>
      </c>
      <c r="W285">
        <f>HYPERLINK("https://klasma.github.io/Logging_2313/klagomålsmail/A 23186-2022 FSC-klagomål mail.docx", "A 23186-2022")</f>
        <v/>
      </c>
      <c r="X285">
        <f>HYPERLINK("https://klasma.github.io/Logging_2313/tillsyn/A 23186-2022 tillsynsbegäran.docx", "A 23186-2022")</f>
        <v/>
      </c>
      <c r="Y285">
        <f>HYPERLINK("https://klasma.github.io/Logging_2313/tillsynsmail/A 23186-2022 tillsynsbegäran mail.docx", "A 23186-2022")</f>
        <v/>
      </c>
    </row>
    <row r="286" ht="15" customHeight="1">
      <c r="A286" t="inlineStr">
        <is>
          <t>A 57619-2023</t>
        </is>
      </c>
      <c r="B286" s="1" t="n">
        <v>45243</v>
      </c>
      <c r="C286" s="1" t="n">
        <v>45972</v>
      </c>
      <c r="D286" t="inlineStr">
        <is>
          <t>JÄMTLANDS LÄN</t>
        </is>
      </c>
      <c r="E286" t="inlineStr">
        <is>
          <t>STRÖMSUND</t>
        </is>
      </c>
      <c r="F286" t="inlineStr">
        <is>
          <t>SCA</t>
        </is>
      </c>
      <c r="G286" t="n">
        <v>17</v>
      </c>
      <c r="H286" t="n">
        <v>0</v>
      </c>
      <c r="I286" t="n">
        <v>0</v>
      </c>
      <c r="J286" t="n">
        <v>1</v>
      </c>
      <c r="K286" t="n">
        <v>0</v>
      </c>
      <c r="L286" t="n">
        <v>0</v>
      </c>
      <c r="M286" t="n">
        <v>0</v>
      </c>
      <c r="N286" t="n">
        <v>0</v>
      </c>
      <c r="O286" t="n">
        <v>1</v>
      </c>
      <c r="P286" t="n">
        <v>0</v>
      </c>
      <c r="Q286" t="n">
        <v>1</v>
      </c>
      <c r="R286" s="2" t="inlineStr">
        <is>
          <t>Harticka</t>
        </is>
      </c>
      <c r="S286">
        <f>HYPERLINK("https://klasma.github.io/Logging_2313/artfynd/A 57619-2023 artfynd.xlsx", "A 57619-2023")</f>
        <v/>
      </c>
      <c r="T286">
        <f>HYPERLINK("https://klasma.github.io/Logging_2313/kartor/A 57619-2023 karta.png", "A 57619-2023")</f>
        <v/>
      </c>
      <c r="V286">
        <f>HYPERLINK("https://klasma.github.io/Logging_2313/klagomål/A 57619-2023 FSC-klagomål.docx", "A 57619-2023")</f>
        <v/>
      </c>
      <c r="W286">
        <f>HYPERLINK("https://klasma.github.io/Logging_2313/klagomålsmail/A 57619-2023 FSC-klagomål mail.docx", "A 57619-2023")</f>
        <v/>
      </c>
      <c r="X286">
        <f>HYPERLINK("https://klasma.github.io/Logging_2313/tillsyn/A 57619-2023 tillsynsbegäran.docx", "A 57619-2023")</f>
        <v/>
      </c>
      <c r="Y286">
        <f>HYPERLINK("https://klasma.github.io/Logging_2313/tillsynsmail/A 57619-2023 tillsynsbegäran mail.docx", "A 57619-2023")</f>
        <v/>
      </c>
    </row>
    <row r="287" ht="15" customHeight="1">
      <c r="A287" t="inlineStr">
        <is>
          <t>A 57664-2023</t>
        </is>
      </c>
      <c r="B287" s="1" t="n">
        <v>45243</v>
      </c>
      <c r="C287" s="1" t="n">
        <v>45972</v>
      </c>
      <c r="D287" t="inlineStr">
        <is>
          <t>JÄMTLANDS LÄN</t>
        </is>
      </c>
      <c r="E287" t="inlineStr">
        <is>
          <t>STRÖMSUND</t>
        </is>
      </c>
      <c r="F287" t="inlineStr">
        <is>
          <t>SCA</t>
        </is>
      </c>
      <c r="G287" t="n">
        <v>6.2</v>
      </c>
      <c r="H287" t="n">
        <v>0</v>
      </c>
      <c r="I287" t="n">
        <v>0</v>
      </c>
      <c r="J287" t="n">
        <v>0</v>
      </c>
      <c r="K287" t="n">
        <v>1</v>
      </c>
      <c r="L287" t="n">
        <v>0</v>
      </c>
      <c r="M287" t="n">
        <v>0</v>
      </c>
      <c r="N287" t="n">
        <v>0</v>
      </c>
      <c r="O287" t="n">
        <v>1</v>
      </c>
      <c r="P287" t="n">
        <v>1</v>
      </c>
      <c r="Q287" t="n">
        <v>1</v>
      </c>
      <c r="R287" s="2" t="inlineStr">
        <is>
          <t>Norsk näverlav</t>
        </is>
      </c>
      <c r="S287">
        <f>HYPERLINK("https://klasma.github.io/Logging_2313/artfynd/A 57664-2023 artfynd.xlsx", "A 57664-2023")</f>
        <v/>
      </c>
      <c r="T287">
        <f>HYPERLINK("https://klasma.github.io/Logging_2313/kartor/A 57664-2023 karta.png", "A 57664-2023")</f>
        <v/>
      </c>
      <c r="V287">
        <f>HYPERLINK("https://klasma.github.io/Logging_2313/klagomål/A 57664-2023 FSC-klagomål.docx", "A 57664-2023")</f>
        <v/>
      </c>
      <c r="W287">
        <f>HYPERLINK("https://klasma.github.io/Logging_2313/klagomålsmail/A 57664-2023 FSC-klagomål mail.docx", "A 57664-2023")</f>
        <v/>
      </c>
      <c r="X287">
        <f>HYPERLINK("https://klasma.github.io/Logging_2313/tillsyn/A 57664-2023 tillsynsbegäran.docx", "A 57664-2023")</f>
        <v/>
      </c>
      <c r="Y287">
        <f>HYPERLINK("https://klasma.github.io/Logging_2313/tillsynsmail/A 57664-2023 tillsynsbegäran mail.docx", "A 57664-2023")</f>
        <v/>
      </c>
    </row>
    <row r="288" ht="15" customHeight="1">
      <c r="A288" t="inlineStr">
        <is>
          <t>A 43105-2023</t>
        </is>
      </c>
      <c r="B288" s="1" t="n">
        <v>45182</v>
      </c>
      <c r="C288" s="1" t="n">
        <v>45972</v>
      </c>
      <c r="D288" t="inlineStr">
        <is>
          <t>JÄMTLANDS LÄN</t>
        </is>
      </c>
      <c r="E288" t="inlineStr">
        <is>
          <t>STRÖMSUND</t>
        </is>
      </c>
      <c r="F288" t="inlineStr">
        <is>
          <t>SCA</t>
        </is>
      </c>
      <c r="G288" t="n">
        <v>6.3</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43105-2023 artfynd.xlsx", "A 43105-2023")</f>
        <v/>
      </c>
      <c r="T288">
        <f>HYPERLINK("https://klasma.github.io/Logging_2313/kartor/A 43105-2023 karta.png", "A 43105-2023")</f>
        <v/>
      </c>
      <c r="V288">
        <f>HYPERLINK("https://klasma.github.io/Logging_2313/klagomål/A 43105-2023 FSC-klagomål.docx", "A 43105-2023")</f>
        <v/>
      </c>
      <c r="W288">
        <f>HYPERLINK("https://klasma.github.io/Logging_2313/klagomålsmail/A 43105-2023 FSC-klagomål mail.docx", "A 43105-2023")</f>
        <v/>
      </c>
      <c r="X288">
        <f>HYPERLINK("https://klasma.github.io/Logging_2313/tillsyn/A 43105-2023 tillsynsbegäran.docx", "A 43105-2023")</f>
        <v/>
      </c>
      <c r="Y288">
        <f>HYPERLINK("https://klasma.github.io/Logging_2313/tillsynsmail/A 43105-2023 tillsynsbegäran mail.docx", "A 43105-2023")</f>
        <v/>
      </c>
    </row>
    <row r="289" ht="15" customHeight="1">
      <c r="A289" t="inlineStr">
        <is>
          <t>A 41811-2022</t>
        </is>
      </c>
      <c r="B289" s="1" t="n">
        <v>44827</v>
      </c>
      <c r="C289" s="1" t="n">
        <v>45972</v>
      </c>
      <c r="D289" t="inlineStr">
        <is>
          <t>JÄMTLANDS LÄN</t>
        </is>
      </c>
      <c r="E289" t="inlineStr">
        <is>
          <t>STRÖMSUND</t>
        </is>
      </c>
      <c r="F289" t="inlineStr">
        <is>
          <t>SCA</t>
        </is>
      </c>
      <c r="G289" t="n">
        <v>7.6</v>
      </c>
      <c r="H289" t="n">
        <v>1</v>
      </c>
      <c r="I289" t="n">
        <v>0</v>
      </c>
      <c r="J289" t="n">
        <v>0</v>
      </c>
      <c r="K289" t="n">
        <v>1</v>
      </c>
      <c r="L289" t="n">
        <v>0</v>
      </c>
      <c r="M289" t="n">
        <v>0</v>
      </c>
      <c r="N289" t="n">
        <v>0</v>
      </c>
      <c r="O289" t="n">
        <v>1</v>
      </c>
      <c r="P289" t="n">
        <v>1</v>
      </c>
      <c r="Q289" t="n">
        <v>1</v>
      </c>
      <c r="R289" s="2" t="inlineStr">
        <is>
          <t>Knärot</t>
        </is>
      </c>
      <c r="S289">
        <f>HYPERLINK("https://klasma.github.io/Logging_2313/artfynd/A 41811-2022 artfynd.xlsx", "A 41811-2022")</f>
        <v/>
      </c>
      <c r="T289">
        <f>HYPERLINK("https://klasma.github.io/Logging_2313/kartor/A 41811-2022 karta.png", "A 41811-2022")</f>
        <v/>
      </c>
      <c r="U289">
        <f>HYPERLINK("https://klasma.github.io/Logging_2313/knärot/A 41811-2022 karta knärot.png", "A 41811-2022")</f>
        <v/>
      </c>
      <c r="V289">
        <f>HYPERLINK("https://klasma.github.io/Logging_2313/klagomål/A 41811-2022 FSC-klagomål.docx", "A 41811-2022")</f>
        <v/>
      </c>
      <c r="W289">
        <f>HYPERLINK("https://klasma.github.io/Logging_2313/klagomålsmail/A 41811-2022 FSC-klagomål mail.docx", "A 41811-2022")</f>
        <v/>
      </c>
      <c r="X289">
        <f>HYPERLINK("https://klasma.github.io/Logging_2313/tillsyn/A 41811-2022 tillsynsbegäran.docx", "A 41811-2022")</f>
        <v/>
      </c>
      <c r="Y289">
        <f>HYPERLINK("https://klasma.github.io/Logging_2313/tillsynsmail/A 41811-2022 tillsynsbegäran mail.docx", "A 41811-2022")</f>
        <v/>
      </c>
    </row>
    <row r="290" ht="15" customHeight="1">
      <c r="A290" t="inlineStr">
        <is>
          <t>A 18767-2023</t>
        </is>
      </c>
      <c r="B290" s="1" t="n">
        <v>45043</v>
      </c>
      <c r="C290" s="1" t="n">
        <v>45972</v>
      </c>
      <c r="D290" t="inlineStr">
        <is>
          <t>JÄMTLANDS LÄN</t>
        </is>
      </c>
      <c r="E290" t="inlineStr">
        <is>
          <t>STRÖMSUND</t>
        </is>
      </c>
      <c r="F290" t="inlineStr">
        <is>
          <t>SCA</t>
        </is>
      </c>
      <c r="G290" t="n">
        <v>7.5</v>
      </c>
      <c r="H290" t="n">
        <v>0</v>
      </c>
      <c r="I290" t="n">
        <v>0</v>
      </c>
      <c r="J290" t="n">
        <v>1</v>
      </c>
      <c r="K290" t="n">
        <v>0</v>
      </c>
      <c r="L290" t="n">
        <v>0</v>
      </c>
      <c r="M290" t="n">
        <v>0</v>
      </c>
      <c r="N290" t="n">
        <v>0</v>
      </c>
      <c r="O290" t="n">
        <v>1</v>
      </c>
      <c r="P290" t="n">
        <v>0</v>
      </c>
      <c r="Q290" t="n">
        <v>1</v>
      </c>
      <c r="R290" s="2" t="inlineStr">
        <is>
          <t>Vedtrappmossa</t>
        </is>
      </c>
      <c r="S290">
        <f>HYPERLINK("https://klasma.github.io/Logging_2313/artfynd/A 18767-2023 artfynd.xlsx", "A 18767-2023")</f>
        <v/>
      </c>
      <c r="T290">
        <f>HYPERLINK("https://klasma.github.io/Logging_2313/kartor/A 18767-2023 karta.png", "A 18767-2023")</f>
        <v/>
      </c>
      <c r="V290">
        <f>HYPERLINK("https://klasma.github.io/Logging_2313/klagomål/A 18767-2023 FSC-klagomål.docx", "A 18767-2023")</f>
        <v/>
      </c>
      <c r="W290">
        <f>HYPERLINK("https://klasma.github.io/Logging_2313/klagomålsmail/A 18767-2023 FSC-klagomål mail.docx", "A 18767-2023")</f>
        <v/>
      </c>
      <c r="X290">
        <f>HYPERLINK("https://klasma.github.io/Logging_2313/tillsyn/A 18767-2023 tillsynsbegäran.docx", "A 18767-2023")</f>
        <v/>
      </c>
      <c r="Y290">
        <f>HYPERLINK("https://klasma.github.io/Logging_2313/tillsynsmail/A 18767-2023 tillsynsbegäran mail.docx", "A 18767-2023")</f>
        <v/>
      </c>
    </row>
    <row r="291" ht="15" customHeight="1">
      <c r="A291" t="inlineStr">
        <is>
          <t>A 30067-2024</t>
        </is>
      </c>
      <c r="B291" s="1" t="n">
        <v>45488.94876157407</v>
      </c>
      <c r="C291" s="1" t="n">
        <v>45972</v>
      </c>
      <c r="D291" t="inlineStr">
        <is>
          <t>JÄMTLANDS LÄN</t>
        </is>
      </c>
      <c r="E291" t="inlineStr">
        <is>
          <t>STRÖMSUND</t>
        </is>
      </c>
      <c r="F291" t="inlineStr">
        <is>
          <t>SCA</t>
        </is>
      </c>
      <c r="G291" t="n">
        <v>4.8</v>
      </c>
      <c r="H291" t="n">
        <v>0</v>
      </c>
      <c r="I291" t="n">
        <v>0</v>
      </c>
      <c r="J291" t="n">
        <v>1</v>
      </c>
      <c r="K291" t="n">
        <v>0</v>
      </c>
      <c r="L291" t="n">
        <v>0</v>
      </c>
      <c r="M291" t="n">
        <v>0</v>
      </c>
      <c r="N291" t="n">
        <v>0</v>
      </c>
      <c r="O291" t="n">
        <v>1</v>
      </c>
      <c r="P291" t="n">
        <v>0</v>
      </c>
      <c r="Q291" t="n">
        <v>1</v>
      </c>
      <c r="R291" s="2" t="inlineStr">
        <is>
          <t>Doftskinn</t>
        </is>
      </c>
      <c r="S291">
        <f>HYPERLINK("https://klasma.github.io/Logging_2313/artfynd/A 30067-2024 artfynd.xlsx", "A 30067-2024")</f>
        <v/>
      </c>
      <c r="T291">
        <f>HYPERLINK("https://klasma.github.io/Logging_2313/kartor/A 30067-2024 karta.png", "A 30067-2024")</f>
        <v/>
      </c>
      <c r="V291">
        <f>HYPERLINK("https://klasma.github.io/Logging_2313/klagomål/A 30067-2024 FSC-klagomål.docx", "A 30067-2024")</f>
        <v/>
      </c>
      <c r="W291">
        <f>HYPERLINK("https://klasma.github.io/Logging_2313/klagomålsmail/A 30067-2024 FSC-klagomål mail.docx", "A 30067-2024")</f>
        <v/>
      </c>
      <c r="X291">
        <f>HYPERLINK("https://klasma.github.io/Logging_2313/tillsyn/A 30067-2024 tillsynsbegäran.docx", "A 30067-2024")</f>
        <v/>
      </c>
      <c r="Y291">
        <f>HYPERLINK("https://klasma.github.io/Logging_2313/tillsynsmail/A 30067-2024 tillsynsbegäran mail.docx", "A 30067-2024")</f>
        <v/>
      </c>
    </row>
    <row r="292" ht="15" customHeight="1">
      <c r="A292" t="inlineStr">
        <is>
          <t>A 8896-2024</t>
        </is>
      </c>
      <c r="B292" s="1" t="n">
        <v>45357</v>
      </c>
      <c r="C292" s="1" t="n">
        <v>45972</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64658-2021</t>
        </is>
      </c>
      <c r="B293" s="1" t="n">
        <v>44511</v>
      </c>
      <c r="C293" s="1" t="n">
        <v>45972</v>
      </c>
      <c r="D293" t="inlineStr">
        <is>
          <t>JÄMTLANDS LÄN</t>
        </is>
      </c>
      <c r="E293" t="inlineStr">
        <is>
          <t>STRÖMSUND</t>
        </is>
      </c>
      <c r="F293" t="inlineStr">
        <is>
          <t>SCA</t>
        </is>
      </c>
      <c r="G293" t="n">
        <v>4.7</v>
      </c>
      <c r="H293" t="n">
        <v>0</v>
      </c>
      <c r="I293" t="n">
        <v>0</v>
      </c>
      <c r="J293" t="n">
        <v>1</v>
      </c>
      <c r="K293" t="n">
        <v>0</v>
      </c>
      <c r="L293" t="n">
        <v>0</v>
      </c>
      <c r="M293" t="n">
        <v>0</v>
      </c>
      <c r="N293" t="n">
        <v>0</v>
      </c>
      <c r="O293" t="n">
        <v>1</v>
      </c>
      <c r="P293" t="n">
        <v>0</v>
      </c>
      <c r="Q293" t="n">
        <v>1</v>
      </c>
      <c r="R293" s="2" t="inlineStr">
        <is>
          <t>Harticka</t>
        </is>
      </c>
      <c r="S293">
        <f>HYPERLINK("https://klasma.github.io/Logging_2313/artfynd/A 64658-2021 artfynd.xlsx", "A 64658-2021")</f>
        <v/>
      </c>
      <c r="T293">
        <f>HYPERLINK("https://klasma.github.io/Logging_2313/kartor/A 64658-2021 karta.png", "A 64658-2021")</f>
        <v/>
      </c>
      <c r="V293">
        <f>HYPERLINK("https://klasma.github.io/Logging_2313/klagomål/A 64658-2021 FSC-klagomål.docx", "A 64658-2021")</f>
        <v/>
      </c>
      <c r="W293">
        <f>HYPERLINK("https://klasma.github.io/Logging_2313/klagomålsmail/A 64658-2021 FSC-klagomål mail.docx", "A 64658-2021")</f>
        <v/>
      </c>
      <c r="X293">
        <f>HYPERLINK("https://klasma.github.io/Logging_2313/tillsyn/A 64658-2021 tillsynsbegäran.docx", "A 64658-2021")</f>
        <v/>
      </c>
      <c r="Y293">
        <f>HYPERLINK("https://klasma.github.io/Logging_2313/tillsynsmail/A 64658-2021 tillsynsbegäran mail.docx", "A 64658-2021")</f>
        <v/>
      </c>
    </row>
    <row r="294" ht="15" customHeight="1">
      <c r="A294" t="inlineStr">
        <is>
          <t>A 24832-2023</t>
        </is>
      </c>
      <c r="B294" s="1" t="n">
        <v>45084</v>
      </c>
      <c r="C294" s="1" t="n">
        <v>45972</v>
      </c>
      <c r="D294" t="inlineStr">
        <is>
          <t>JÄMTLANDS LÄN</t>
        </is>
      </c>
      <c r="E294" t="inlineStr">
        <is>
          <t>STRÖMSUND</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HYPERLINK("https://klasma.github.io/Logging_2313/artfynd/A 24832-2023 artfynd.xlsx", "A 24832-2023")</f>
        <v/>
      </c>
      <c r="T294">
        <f>HYPERLINK("https://klasma.github.io/Logging_2313/kartor/A 24832-2023 karta.png", "A 24832-2023")</f>
        <v/>
      </c>
      <c r="V294">
        <f>HYPERLINK("https://klasma.github.io/Logging_2313/klagomål/A 24832-2023 FSC-klagomål.docx", "A 24832-2023")</f>
        <v/>
      </c>
      <c r="W294">
        <f>HYPERLINK("https://klasma.github.io/Logging_2313/klagomålsmail/A 24832-2023 FSC-klagomål mail.docx", "A 24832-2023")</f>
        <v/>
      </c>
      <c r="X294">
        <f>HYPERLINK("https://klasma.github.io/Logging_2313/tillsyn/A 24832-2023 tillsynsbegäran.docx", "A 24832-2023")</f>
        <v/>
      </c>
      <c r="Y294">
        <f>HYPERLINK("https://klasma.github.io/Logging_2313/tillsynsmail/A 24832-2023 tillsynsbegäran mail.docx", "A 24832-2023")</f>
        <v/>
      </c>
    </row>
    <row r="295" ht="15" customHeight="1">
      <c r="A295" t="inlineStr">
        <is>
          <t>A 55604-2021</t>
        </is>
      </c>
      <c r="B295" s="1" t="n">
        <v>44475</v>
      </c>
      <c r="C295" s="1" t="n">
        <v>45972</v>
      </c>
      <c r="D295" t="inlineStr">
        <is>
          <t>JÄMTLANDS LÄN</t>
        </is>
      </c>
      <c r="E295" t="inlineStr">
        <is>
          <t>STRÖMSUND</t>
        </is>
      </c>
      <c r="F295" t="inlineStr">
        <is>
          <t>SCA</t>
        </is>
      </c>
      <c r="G295" t="n">
        <v>4.9</v>
      </c>
      <c r="H295" t="n">
        <v>0</v>
      </c>
      <c r="I295" t="n">
        <v>1</v>
      </c>
      <c r="J295" t="n">
        <v>0</v>
      </c>
      <c r="K295" t="n">
        <v>0</v>
      </c>
      <c r="L295" t="n">
        <v>0</v>
      </c>
      <c r="M295" t="n">
        <v>0</v>
      </c>
      <c r="N295" t="n">
        <v>0</v>
      </c>
      <c r="O295" t="n">
        <v>0</v>
      </c>
      <c r="P295" t="n">
        <v>0</v>
      </c>
      <c r="Q295" t="n">
        <v>1</v>
      </c>
      <c r="R295" s="2" t="inlineStr">
        <is>
          <t>Stor aspticka</t>
        </is>
      </c>
      <c r="S295">
        <f>HYPERLINK("https://klasma.github.io/Logging_2313/artfynd/A 55604-2021 artfynd.xlsx", "A 55604-2021")</f>
        <v/>
      </c>
      <c r="T295">
        <f>HYPERLINK("https://klasma.github.io/Logging_2313/kartor/A 55604-2021 karta.png", "A 55604-2021")</f>
        <v/>
      </c>
      <c r="V295">
        <f>HYPERLINK("https://klasma.github.io/Logging_2313/klagomål/A 55604-2021 FSC-klagomål.docx", "A 55604-2021")</f>
        <v/>
      </c>
      <c r="W295">
        <f>HYPERLINK("https://klasma.github.io/Logging_2313/klagomålsmail/A 55604-2021 FSC-klagomål mail.docx", "A 55604-2021")</f>
        <v/>
      </c>
      <c r="X295">
        <f>HYPERLINK("https://klasma.github.io/Logging_2313/tillsyn/A 55604-2021 tillsynsbegäran.docx", "A 55604-2021")</f>
        <v/>
      </c>
      <c r="Y295">
        <f>HYPERLINK("https://klasma.github.io/Logging_2313/tillsynsmail/A 55604-2021 tillsynsbegäran mail.docx", "A 55604-2021")</f>
        <v/>
      </c>
    </row>
    <row r="296" ht="15" customHeight="1">
      <c r="A296" t="inlineStr">
        <is>
          <t>A 44386-2023</t>
        </is>
      </c>
      <c r="B296" s="1" t="n">
        <v>45188</v>
      </c>
      <c r="C296" s="1" t="n">
        <v>45972</v>
      </c>
      <c r="D296" t="inlineStr">
        <is>
          <t>JÄMTLANDS LÄN</t>
        </is>
      </c>
      <c r="E296" t="inlineStr">
        <is>
          <t>STRÖMSUND</t>
        </is>
      </c>
      <c r="F296" t="inlineStr">
        <is>
          <t>SCA</t>
        </is>
      </c>
      <c r="G296" t="n">
        <v>2.5</v>
      </c>
      <c r="H296" t="n">
        <v>0</v>
      </c>
      <c r="I296" t="n">
        <v>0</v>
      </c>
      <c r="J296" t="n">
        <v>1</v>
      </c>
      <c r="K296" t="n">
        <v>0</v>
      </c>
      <c r="L296" t="n">
        <v>0</v>
      </c>
      <c r="M296" t="n">
        <v>0</v>
      </c>
      <c r="N296" t="n">
        <v>0</v>
      </c>
      <c r="O296" t="n">
        <v>1</v>
      </c>
      <c r="P296" t="n">
        <v>0</v>
      </c>
      <c r="Q296" t="n">
        <v>1</v>
      </c>
      <c r="R296" s="2" t="inlineStr">
        <is>
          <t>Stjärntagging</t>
        </is>
      </c>
      <c r="S296">
        <f>HYPERLINK("https://klasma.github.io/Logging_2313/artfynd/A 44386-2023 artfynd.xlsx", "A 44386-2023")</f>
        <v/>
      </c>
      <c r="T296">
        <f>HYPERLINK("https://klasma.github.io/Logging_2313/kartor/A 44386-2023 karta.png", "A 44386-2023")</f>
        <v/>
      </c>
      <c r="V296">
        <f>HYPERLINK("https://klasma.github.io/Logging_2313/klagomål/A 44386-2023 FSC-klagomål.docx", "A 44386-2023")</f>
        <v/>
      </c>
      <c r="W296">
        <f>HYPERLINK("https://klasma.github.io/Logging_2313/klagomålsmail/A 44386-2023 FSC-klagomål mail.docx", "A 44386-2023")</f>
        <v/>
      </c>
      <c r="X296">
        <f>HYPERLINK("https://klasma.github.io/Logging_2313/tillsyn/A 44386-2023 tillsynsbegäran.docx", "A 44386-2023")</f>
        <v/>
      </c>
      <c r="Y296">
        <f>HYPERLINK("https://klasma.github.io/Logging_2313/tillsynsmail/A 44386-2023 tillsynsbegäran mail.docx", "A 44386-2023")</f>
        <v/>
      </c>
    </row>
    <row r="297" ht="15" customHeight="1">
      <c r="A297" t="inlineStr">
        <is>
          <t>A 14155-2024</t>
        </is>
      </c>
      <c r="B297" s="1" t="n">
        <v>45392.92886574074</v>
      </c>
      <c r="C297" s="1" t="n">
        <v>45972</v>
      </c>
      <c r="D297" t="inlineStr">
        <is>
          <t>JÄMTLANDS LÄN</t>
        </is>
      </c>
      <c r="E297" t="inlineStr">
        <is>
          <t>STRÖMSUND</t>
        </is>
      </c>
      <c r="G297" t="n">
        <v>2.4</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14155-2024 artfynd.xlsx", "A 14155-2024")</f>
        <v/>
      </c>
      <c r="T297">
        <f>HYPERLINK("https://klasma.github.io/Logging_2313/kartor/A 14155-2024 karta.png", "A 14155-2024")</f>
        <v/>
      </c>
      <c r="V297">
        <f>HYPERLINK("https://klasma.github.io/Logging_2313/klagomål/A 14155-2024 FSC-klagomål.docx", "A 14155-2024")</f>
        <v/>
      </c>
      <c r="W297">
        <f>HYPERLINK("https://klasma.github.io/Logging_2313/klagomålsmail/A 14155-2024 FSC-klagomål mail.docx", "A 14155-2024")</f>
        <v/>
      </c>
      <c r="X297">
        <f>HYPERLINK("https://klasma.github.io/Logging_2313/tillsyn/A 14155-2024 tillsynsbegäran.docx", "A 14155-2024")</f>
        <v/>
      </c>
      <c r="Y297">
        <f>HYPERLINK("https://klasma.github.io/Logging_2313/tillsynsmail/A 14155-2024 tillsynsbegäran mail.docx", "A 14155-2024")</f>
        <v/>
      </c>
    </row>
    <row r="298" ht="15" customHeight="1">
      <c r="A298" t="inlineStr">
        <is>
          <t>A 44406-2025</t>
        </is>
      </c>
      <c r="B298" s="1" t="n">
        <v>45916</v>
      </c>
      <c r="C298" s="1" t="n">
        <v>45972</v>
      </c>
      <c r="D298" t="inlineStr">
        <is>
          <t>JÄMTLANDS LÄN</t>
        </is>
      </c>
      <c r="E298" t="inlineStr">
        <is>
          <t>STRÖMSUND</t>
        </is>
      </c>
      <c r="F298" t="inlineStr">
        <is>
          <t>Holmen skog AB</t>
        </is>
      </c>
      <c r="G298" t="n">
        <v>21.8</v>
      </c>
      <c r="H298" t="n">
        <v>1</v>
      </c>
      <c r="I298" t="n">
        <v>0</v>
      </c>
      <c r="J298" t="n">
        <v>0</v>
      </c>
      <c r="K298" t="n">
        <v>0</v>
      </c>
      <c r="L298" t="n">
        <v>0</v>
      </c>
      <c r="M298" t="n">
        <v>0</v>
      </c>
      <c r="N298" t="n">
        <v>0</v>
      </c>
      <c r="O298" t="n">
        <v>0</v>
      </c>
      <c r="P298" t="n">
        <v>0</v>
      </c>
      <c r="Q298" t="n">
        <v>1</v>
      </c>
      <c r="R298" s="2" t="inlineStr">
        <is>
          <t>Fläcknycklar</t>
        </is>
      </c>
      <c r="S298">
        <f>HYPERLINK("https://klasma.github.io/Logging_2313/artfynd/A 44406-2025 artfynd.xlsx", "A 44406-2025")</f>
        <v/>
      </c>
      <c r="T298">
        <f>HYPERLINK("https://klasma.github.io/Logging_2313/kartor/A 44406-2025 karta.png", "A 44406-2025")</f>
        <v/>
      </c>
      <c r="V298">
        <f>HYPERLINK("https://klasma.github.io/Logging_2313/klagomål/A 44406-2025 FSC-klagomål.docx", "A 44406-2025")</f>
        <v/>
      </c>
      <c r="W298">
        <f>HYPERLINK("https://klasma.github.io/Logging_2313/klagomålsmail/A 44406-2025 FSC-klagomål mail.docx", "A 44406-2025")</f>
        <v/>
      </c>
      <c r="X298">
        <f>HYPERLINK("https://klasma.github.io/Logging_2313/tillsyn/A 44406-2025 tillsynsbegäran.docx", "A 44406-2025")</f>
        <v/>
      </c>
      <c r="Y298">
        <f>HYPERLINK("https://klasma.github.io/Logging_2313/tillsynsmail/A 44406-2025 tillsynsbegäran mail.docx", "A 44406-2025")</f>
        <v/>
      </c>
    </row>
    <row r="299" ht="15" customHeight="1">
      <c r="A299" t="inlineStr">
        <is>
          <t>A 49651-2023</t>
        </is>
      </c>
      <c r="B299" s="1" t="n">
        <v>45211</v>
      </c>
      <c r="C299" s="1" t="n">
        <v>45972</v>
      </c>
      <c r="D299" t="inlineStr">
        <is>
          <t>JÄMTLANDS LÄN</t>
        </is>
      </c>
      <c r="E299" t="inlineStr">
        <is>
          <t>STRÖMSUND</t>
        </is>
      </c>
      <c r="F299" t="inlineStr">
        <is>
          <t>SCA</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HYPERLINK("https://klasma.github.io/Logging_2313/artfynd/A 49651-2023 artfynd.xlsx", "A 49651-2023")</f>
        <v/>
      </c>
      <c r="T299">
        <f>HYPERLINK("https://klasma.github.io/Logging_2313/kartor/A 49651-2023 karta.png", "A 49651-2023")</f>
        <v/>
      </c>
      <c r="V299">
        <f>HYPERLINK("https://klasma.github.io/Logging_2313/klagomål/A 49651-2023 FSC-klagomål.docx", "A 49651-2023")</f>
        <v/>
      </c>
      <c r="W299">
        <f>HYPERLINK("https://klasma.github.io/Logging_2313/klagomålsmail/A 49651-2023 FSC-klagomål mail.docx", "A 49651-2023")</f>
        <v/>
      </c>
      <c r="X299">
        <f>HYPERLINK("https://klasma.github.io/Logging_2313/tillsyn/A 49651-2023 tillsynsbegäran.docx", "A 49651-2023")</f>
        <v/>
      </c>
      <c r="Y299">
        <f>HYPERLINK("https://klasma.github.io/Logging_2313/tillsynsmail/A 49651-2023 tillsynsbegäran mail.docx", "A 49651-2023")</f>
        <v/>
      </c>
      <c r="Z299">
        <f>HYPERLINK("https://klasma.github.io/Logging_2313/fåglar/A 49651-2023 prioriterade fågelarter.docx", "A 49651-2023")</f>
        <v/>
      </c>
    </row>
    <row r="300" ht="15" customHeight="1">
      <c r="A300" t="inlineStr">
        <is>
          <t>A 51487-2024</t>
        </is>
      </c>
      <c r="B300" s="1" t="n">
        <v>45604</v>
      </c>
      <c r="C300" s="1" t="n">
        <v>45972</v>
      </c>
      <c r="D300" t="inlineStr">
        <is>
          <t>JÄMTLANDS LÄN</t>
        </is>
      </c>
      <c r="E300" t="inlineStr">
        <is>
          <t>STRÖMSUND</t>
        </is>
      </c>
      <c r="F300" t="inlineStr">
        <is>
          <t>Kommuner</t>
        </is>
      </c>
      <c r="G300" t="n">
        <v>6.8</v>
      </c>
      <c r="H300" t="n">
        <v>1</v>
      </c>
      <c r="I300" t="n">
        <v>0</v>
      </c>
      <c r="J300" t="n">
        <v>1</v>
      </c>
      <c r="K300" t="n">
        <v>0</v>
      </c>
      <c r="L300" t="n">
        <v>0</v>
      </c>
      <c r="M300" t="n">
        <v>0</v>
      </c>
      <c r="N300" t="n">
        <v>0</v>
      </c>
      <c r="O300" t="n">
        <v>1</v>
      </c>
      <c r="P300" t="n">
        <v>0</v>
      </c>
      <c r="Q300" t="n">
        <v>1</v>
      </c>
      <c r="R300" s="2" t="inlineStr">
        <is>
          <t>Spillkråka</t>
        </is>
      </c>
      <c r="S300">
        <f>HYPERLINK("https://klasma.github.io/Logging_2313/artfynd/A 51487-2024 artfynd.xlsx", "A 51487-2024")</f>
        <v/>
      </c>
      <c r="T300">
        <f>HYPERLINK("https://klasma.github.io/Logging_2313/kartor/A 51487-2024 karta.png", "A 51487-2024")</f>
        <v/>
      </c>
      <c r="V300">
        <f>HYPERLINK("https://klasma.github.io/Logging_2313/klagomål/A 51487-2024 FSC-klagomål.docx", "A 51487-2024")</f>
        <v/>
      </c>
      <c r="W300">
        <f>HYPERLINK("https://klasma.github.io/Logging_2313/klagomålsmail/A 51487-2024 FSC-klagomål mail.docx", "A 51487-2024")</f>
        <v/>
      </c>
      <c r="X300">
        <f>HYPERLINK("https://klasma.github.io/Logging_2313/tillsyn/A 51487-2024 tillsynsbegäran.docx", "A 51487-2024")</f>
        <v/>
      </c>
      <c r="Y300">
        <f>HYPERLINK("https://klasma.github.io/Logging_2313/tillsynsmail/A 51487-2024 tillsynsbegäran mail.docx", "A 51487-2024")</f>
        <v/>
      </c>
      <c r="Z300">
        <f>HYPERLINK("https://klasma.github.io/Logging_2313/fåglar/A 51487-2024 prioriterade fågelarter.docx", "A 51487-2024")</f>
        <v/>
      </c>
    </row>
    <row r="301" ht="15" customHeight="1">
      <c r="A301" t="inlineStr">
        <is>
          <t>A 15625-2025</t>
        </is>
      </c>
      <c r="B301" s="1" t="n">
        <v>45748.36033564815</v>
      </c>
      <c r="C301" s="1" t="n">
        <v>45972</v>
      </c>
      <c r="D301" t="inlineStr">
        <is>
          <t>JÄMTLANDS LÄN</t>
        </is>
      </c>
      <c r="E301" t="inlineStr">
        <is>
          <t>STRÖMSUND</t>
        </is>
      </c>
      <c r="F301" t="inlineStr">
        <is>
          <t>SCA</t>
        </is>
      </c>
      <c r="G301" t="n">
        <v>1.5</v>
      </c>
      <c r="H301" t="n">
        <v>0</v>
      </c>
      <c r="I301" t="n">
        <v>0</v>
      </c>
      <c r="J301" t="n">
        <v>0</v>
      </c>
      <c r="K301" t="n">
        <v>1</v>
      </c>
      <c r="L301" t="n">
        <v>0</v>
      </c>
      <c r="M301" t="n">
        <v>0</v>
      </c>
      <c r="N301" t="n">
        <v>0</v>
      </c>
      <c r="O301" t="n">
        <v>1</v>
      </c>
      <c r="P301" t="n">
        <v>1</v>
      </c>
      <c r="Q301" t="n">
        <v>1</v>
      </c>
      <c r="R301" s="2" t="inlineStr">
        <is>
          <t>Fläckporing</t>
        </is>
      </c>
      <c r="S301">
        <f>HYPERLINK("https://klasma.github.io/Logging_2313/artfynd/A 15625-2025 artfynd.xlsx", "A 15625-2025")</f>
        <v/>
      </c>
      <c r="T301">
        <f>HYPERLINK("https://klasma.github.io/Logging_2313/kartor/A 15625-2025 karta.png", "A 15625-2025")</f>
        <v/>
      </c>
      <c r="V301">
        <f>HYPERLINK("https://klasma.github.io/Logging_2313/klagomål/A 15625-2025 FSC-klagomål.docx", "A 15625-2025")</f>
        <v/>
      </c>
      <c r="W301">
        <f>HYPERLINK("https://klasma.github.io/Logging_2313/klagomålsmail/A 15625-2025 FSC-klagomål mail.docx", "A 15625-2025")</f>
        <v/>
      </c>
      <c r="X301">
        <f>HYPERLINK("https://klasma.github.io/Logging_2313/tillsyn/A 15625-2025 tillsynsbegäran.docx", "A 15625-2025")</f>
        <v/>
      </c>
      <c r="Y301">
        <f>HYPERLINK("https://klasma.github.io/Logging_2313/tillsynsmail/A 15625-2025 tillsynsbegäran mail.docx", "A 15625-2025")</f>
        <v/>
      </c>
    </row>
    <row r="302" ht="15" customHeight="1">
      <c r="A302" t="inlineStr">
        <is>
          <t>A 46814-2023</t>
        </is>
      </c>
      <c r="B302" s="1" t="n">
        <v>45198</v>
      </c>
      <c r="C302" s="1" t="n">
        <v>45972</v>
      </c>
      <c r="D302" t="inlineStr">
        <is>
          <t>JÄMTLANDS LÄN</t>
        </is>
      </c>
      <c r="E302" t="inlineStr">
        <is>
          <t>STRÖMSUND</t>
        </is>
      </c>
      <c r="F302" t="inlineStr">
        <is>
          <t>SCA</t>
        </is>
      </c>
      <c r="G302" t="n">
        <v>9.5</v>
      </c>
      <c r="H302" t="n">
        <v>0</v>
      </c>
      <c r="I302" t="n">
        <v>0</v>
      </c>
      <c r="J302" t="n">
        <v>0</v>
      </c>
      <c r="K302" t="n">
        <v>0</v>
      </c>
      <c r="L302" t="n">
        <v>0</v>
      </c>
      <c r="M302" t="n">
        <v>0</v>
      </c>
      <c r="N302" t="n">
        <v>0</v>
      </c>
      <c r="O302" t="n">
        <v>1</v>
      </c>
      <c r="P302" t="n">
        <v>0</v>
      </c>
      <c r="Q302" t="n">
        <v>1</v>
      </c>
      <c r="R302" s="2" t="inlineStr">
        <is>
          <t>Liten klubbdyna</t>
        </is>
      </c>
      <c r="S302">
        <f>HYPERLINK("https://klasma.github.io/Logging_2313/artfynd/A 46814-2023 artfynd.xlsx", "A 46814-2023")</f>
        <v/>
      </c>
      <c r="T302">
        <f>HYPERLINK("https://klasma.github.io/Logging_2313/kartor/A 46814-2023 karta.png", "A 46814-2023")</f>
        <v/>
      </c>
      <c r="V302">
        <f>HYPERLINK("https://klasma.github.io/Logging_2313/klagomål/A 46814-2023 FSC-klagomål.docx", "A 46814-2023")</f>
        <v/>
      </c>
      <c r="W302">
        <f>HYPERLINK("https://klasma.github.io/Logging_2313/klagomålsmail/A 46814-2023 FSC-klagomål mail.docx", "A 46814-2023")</f>
        <v/>
      </c>
      <c r="X302">
        <f>HYPERLINK("https://klasma.github.io/Logging_2313/tillsyn/A 46814-2023 tillsynsbegäran.docx", "A 46814-2023")</f>
        <v/>
      </c>
      <c r="Y302">
        <f>HYPERLINK("https://klasma.github.io/Logging_2313/tillsynsmail/A 46814-2023 tillsynsbegäran mail.docx", "A 46814-2023")</f>
        <v/>
      </c>
    </row>
    <row r="303" ht="15" customHeight="1">
      <c r="A303" t="inlineStr">
        <is>
          <t>A 64823-2020</t>
        </is>
      </c>
      <c r="B303" s="1" t="n">
        <v>44169</v>
      </c>
      <c r="C303" s="1" t="n">
        <v>45972</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15149-2022</t>
        </is>
      </c>
      <c r="B304" s="1" t="n">
        <v>44658</v>
      </c>
      <c r="C304" s="1" t="n">
        <v>45972</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69134-2021</t>
        </is>
      </c>
      <c r="B305" s="1" t="n">
        <v>44530</v>
      </c>
      <c r="C305" s="1" t="n">
        <v>45972</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45972</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45972</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45972</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40305-2025</t>
        </is>
      </c>
      <c r="B309" s="1" t="n">
        <v>45895.40702546296</v>
      </c>
      <c r="C309" s="1" t="n">
        <v>45972</v>
      </c>
      <c r="D309" t="inlineStr">
        <is>
          <t>JÄMTLANDS LÄN</t>
        </is>
      </c>
      <c r="E309" t="inlineStr">
        <is>
          <t>STRÖMSUND</t>
        </is>
      </c>
      <c r="F309" t="inlineStr">
        <is>
          <t>SCA</t>
        </is>
      </c>
      <c r="G309" t="n">
        <v>4.5</v>
      </c>
      <c r="H309" t="n">
        <v>0</v>
      </c>
      <c r="I309" t="n">
        <v>0</v>
      </c>
      <c r="J309" t="n">
        <v>1</v>
      </c>
      <c r="K309" t="n">
        <v>0</v>
      </c>
      <c r="L309" t="n">
        <v>0</v>
      </c>
      <c r="M309" t="n">
        <v>0</v>
      </c>
      <c r="N309" t="n">
        <v>0</v>
      </c>
      <c r="O309" t="n">
        <v>1</v>
      </c>
      <c r="P309" t="n">
        <v>0</v>
      </c>
      <c r="Q309" t="n">
        <v>1</v>
      </c>
      <c r="R309" s="2" t="inlineStr">
        <is>
          <t>Granticka</t>
        </is>
      </c>
      <c r="S309">
        <f>HYPERLINK("https://klasma.github.io/Logging_2313/artfynd/A 40305-2025 artfynd.xlsx", "A 40305-2025")</f>
        <v/>
      </c>
      <c r="T309">
        <f>HYPERLINK("https://klasma.github.io/Logging_2313/kartor/A 40305-2025 karta.png", "A 40305-2025")</f>
        <v/>
      </c>
      <c r="V309">
        <f>HYPERLINK("https://klasma.github.io/Logging_2313/klagomål/A 40305-2025 FSC-klagomål.docx", "A 40305-2025")</f>
        <v/>
      </c>
      <c r="W309">
        <f>HYPERLINK("https://klasma.github.io/Logging_2313/klagomålsmail/A 40305-2025 FSC-klagomål mail.docx", "A 40305-2025")</f>
        <v/>
      </c>
      <c r="X309">
        <f>HYPERLINK("https://klasma.github.io/Logging_2313/tillsyn/A 40305-2025 tillsynsbegäran.docx", "A 40305-2025")</f>
        <v/>
      </c>
      <c r="Y309">
        <f>HYPERLINK("https://klasma.github.io/Logging_2313/tillsynsmail/A 40305-2025 tillsynsbegäran mail.docx", "A 40305-2025")</f>
        <v/>
      </c>
    </row>
    <row r="310" ht="15" customHeight="1">
      <c r="A310" t="inlineStr">
        <is>
          <t>A 24807-2024</t>
        </is>
      </c>
      <c r="B310" s="1" t="n">
        <v>45460.95350694445</v>
      </c>
      <c r="C310" s="1" t="n">
        <v>45972</v>
      </c>
      <c r="D310" t="inlineStr">
        <is>
          <t>JÄMTLANDS LÄN</t>
        </is>
      </c>
      <c r="E310" t="inlineStr">
        <is>
          <t>STRÖMSUND</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HYPERLINK("https://klasma.github.io/Logging_2313/artfynd/A 24807-2024 artfynd.xlsx", "A 24807-2024")</f>
        <v/>
      </c>
      <c r="T310">
        <f>HYPERLINK("https://klasma.github.io/Logging_2313/kartor/A 24807-2024 karta.png", "A 24807-2024")</f>
        <v/>
      </c>
      <c r="V310">
        <f>HYPERLINK("https://klasma.github.io/Logging_2313/klagomål/A 24807-2024 FSC-klagomål.docx", "A 24807-2024")</f>
        <v/>
      </c>
      <c r="W310">
        <f>HYPERLINK("https://klasma.github.io/Logging_2313/klagomålsmail/A 24807-2024 FSC-klagomål mail.docx", "A 24807-2024")</f>
        <v/>
      </c>
      <c r="X310">
        <f>HYPERLINK("https://klasma.github.io/Logging_2313/tillsyn/A 24807-2024 tillsynsbegäran.docx", "A 24807-2024")</f>
        <v/>
      </c>
      <c r="Y310">
        <f>HYPERLINK("https://klasma.github.io/Logging_2313/tillsynsmail/A 24807-2024 tillsynsbegäran mail.docx", "A 24807-2024")</f>
        <v/>
      </c>
    </row>
    <row r="311" ht="15" customHeight="1">
      <c r="A311" t="inlineStr">
        <is>
          <t>A 29604-2023</t>
        </is>
      </c>
      <c r="B311" s="1" t="n">
        <v>45106</v>
      </c>
      <c r="C311" s="1" t="n">
        <v>45972</v>
      </c>
      <c r="D311" t="inlineStr">
        <is>
          <t>JÄMTLANDS LÄN</t>
        </is>
      </c>
      <c r="E311" t="inlineStr">
        <is>
          <t>STRÖMSUND</t>
        </is>
      </c>
      <c r="F311" t="inlineStr">
        <is>
          <t>SCA</t>
        </is>
      </c>
      <c r="G311" t="n">
        <v>1.9</v>
      </c>
      <c r="H311" t="n">
        <v>0</v>
      </c>
      <c r="I311" t="n">
        <v>0</v>
      </c>
      <c r="J311" t="n">
        <v>1</v>
      </c>
      <c r="K311" t="n">
        <v>0</v>
      </c>
      <c r="L311" t="n">
        <v>0</v>
      </c>
      <c r="M311" t="n">
        <v>0</v>
      </c>
      <c r="N311" t="n">
        <v>0</v>
      </c>
      <c r="O311" t="n">
        <v>1</v>
      </c>
      <c r="P311" t="n">
        <v>0</v>
      </c>
      <c r="Q311" t="n">
        <v>1</v>
      </c>
      <c r="R311" s="2" t="inlineStr">
        <is>
          <t>Rosenticka</t>
        </is>
      </c>
      <c r="S311">
        <f>HYPERLINK("https://klasma.github.io/Logging_2313/artfynd/A 29604-2023 artfynd.xlsx", "A 29604-2023")</f>
        <v/>
      </c>
      <c r="T311">
        <f>HYPERLINK("https://klasma.github.io/Logging_2313/kartor/A 29604-2023 karta.png", "A 29604-2023")</f>
        <v/>
      </c>
      <c r="V311">
        <f>HYPERLINK("https://klasma.github.io/Logging_2313/klagomål/A 29604-2023 FSC-klagomål.docx", "A 29604-2023")</f>
        <v/>
      </c>
      <c r="W311">
        <f>HYPERLINK("https://klasma.github.io/Logging_2313/klagomålsmail/A 29604-2023 FSC-klagomål mail.docx", "A 29604-2023")</f>
        <v/>
      </c>
      <c r="X311">
        <f>HYPERLINK("https://klasma.github.io/Logging_2313/tillsyn/A 29604-2023 tillsynsbegäran.docx", "A 29604-2023")</f>
        <v/>
      </c>
      <c r="Y311">
        <f>HYPERLINK("https://klasma.github.io/Logging_2313/tillsynsmail/A 29604-2023 tillsynsbegäran mail.docx", "A 29604-2023")</f>
        <v/>
      </c>
    </row>
    <row r="312" ht="15" customHeight="1">
      <c r="A312" t="inlineStr">
        <is>
          <t>A 15457-2023</t>
        </is>
      </c>
      <c r="B312" s="1" t="n">
        <v>45019</v>
      </c>
      <c r="C312" s="1" t="n">
        <v>45972</v>
      </c>
      <c r="D312" t="inlineStr">
        <is>
          <t>JÄMTLANDS LÄN</t>
        </is>
      </c>
      <c r="E312" t="inlineStr">
        <is>
          <t>STRÖMSUND</t>
        </is>
      </c>
      <c r="G312" t="n">
        <v>17.2</v>
      </c>
      <c r="H312" t="n">
        <v>0</v>
      </c>
      <c r="I312" t="n">
        <v>1</v>
      </c>
      <c r="J312" t="n">
        <v>0</v>
      </c>
      <c r="K312" t="n">
        <v>0</v>
      </c>
      <c r="L312" t="n">
        <v>0</v>
      </c>
      <c r="M312" t="n">
        <v>0</v>
      </c>
      <c r="N312" t="n">
        <v>0</v>
      </c>
      <c r="O312" t="n">
        <v>0</v>
      </c>
      <c r="P312" t="n">
        <v>0</v>
      </c>
      <c r="Q312" t="n">
        <v>1</v>
      </c>
      <c r="R312" s="2" t="inlineStr">
        <is>
          <t>Taggbräken</t>
        </is>
      </c>
      <c r="S312">
        <f>HYPERLINK("https://klasma.github.io/Logging_2313/artfynd/A 15457-2023 artfynd.xlsx", "A 15457-2023")</f>
        <v/>
      </c>
      <c r="T312">
        <f>HYPERLINK("https://klasma.github.io/Logging_2313/kartor/A 15457-2023 karta.png", "A 15457-2023")</f>
        <v/>
      </c>
      <c r="V312">
        <f>HYPERLINK("https://klasma.github.io/Logging_2313/klagomål/A 15457-2023 FSC-klagomål.docx", "A 15457-2023")</f>
        <v/>
      </c>
      <c r="W312">
        <f>HYPERLINK("https://klasma.github.io/Logging_2313/klagomålsmail/A 15457-2023 FSC-klagomål mail.docx", "A 15457-2023")</f>
        <v/>
      </c>
      <c r="X312">
        <f>HYPERLINK("https://klasma.github.io/Logging_2313/tillsyn/A 15457-2023 tillsynsbegäran.docx", "A 15457-2023")</f>
        <v/>
      </c>
      <c r="Y312">
        <f>HYPERLINK("https://klasma.github.io/Logging_2313/tillsynsmail/A 15457-2023 tillsynsbegäran mail.docx", "A 15457-2023")</f>
        <v/>
      </c>
    </row>
    <row r="313" ht="15" customHeight="1">
      <c r="A313" t="inlineStr">
        <is>
          <t>A 21789-2025</t>
        </is>
      </c>
      <c r="B313" s="1" t="n">
        <v>45783.67741898148</v>
      </c>
      <c r="C313" s="1" t="n">
        <v>45972</v>
      </c>
      <c r="D313" t="inlineStr">
        <is>
          <t>JÄMTLANDS LÄN</t>
        </is>
      </c>
      <c r="E313" t="inlineStr">
        <is>
          <t>STRÖMSUND</t>
        </is>
      </c>
      <c r="F313" t="inlineStr">
        <is>
          <t>SCA</t>
        </is>
      </c>
      <c r="G313" t="n">
        <v>4.5</v>
      </c>
      <c r="H313" t="n">
        <v>0</v>
      </c>
      <c r="I313" t="n">
        <v>0</v>
      </c>
      <c r="J313" t="n">
        <v>1</v>
      </c>
      <c r="K313" t="n">
        <v>0</v>
      </c>
      <c r="L313" t="n">
        <v>0</v>
      </c>
      <c r="M313" t="n">
        <v>0</v>
      </c>
      <c r="N313" t="n">
        <v>0</v>
      </c>
      <c r="O313" t="n">
        <v>1</v>
      </c>
      <c r="P313" t="n">
        <v>0</v>
      </c>
      <c r="Q313" t="n">
        <v>1</v>
      </c>
      <c r="R313" s="2" t="inlineStr">
        <is>
          <t>Lunglav</t>
        </is>
      </c>
      <c r="S313">
        <f>HYPERLINK("https://klasma.github.io/Logging_2313/artfynd/A 21789-2025 artfynd.xlsx", "A 21789-2025")</f>
        <v/>
      </c>
      <c r="T313">
        <f>HYPERLINK("https://klasma.github.io/Logging_2313/kartor/A 21789-2025 karta.png", "A 21789-2025")</f>
        <v/>
      </c>
      <c r="V313">
        <f>HYPERLINK("https://klasma.github.io/Logging_2313/klagomål/A 21789-2025 FSC-klagomål.docx", "A 21789-2025")</f>
        <v/>
      </c>
      <c r="W313">
        <f>HYPERLINK("https://klasma.github.io/Logging_2313/klagomålsmail/A 21789-2025 FSC-klagomål mail.docx", "A 21789-2025")</f>
        <v/>
      </c>
      <c r="X313">
        <f>HYPERLINK("https://klasma.github.io/Logging_2313/tillsyn/A 21789-2025 tillsynsbegäran.docx", "A 21789-2025")</f>
        <v/>
      </c>
      <c r="Y313">
        <f>HYPERLINK("https://klasma.github.io/Logging_2313/tillsynsmail/A 21789-2025 tillsynsbegäran mail.docx", "A 21789-2025")</f>
        <v/>
      </c>
    </row>
    <row r="314" ht="15" customHeight="1">
      <c r="A314" t="inlineStr">
        <is>
          <t>A 44603-2024</t>
        </is>
      </c>
      <c r="B314" s="1" t="n">
        <v>45574.51158564815</v>
      </c>
      <c r="C314" s="1" t="n">
        <v>45972</v>
      </c>
      <c r="D314" t="inlineStr">
        <is>
          <t>JÄMTLANDS LÄN</t>
        </is>
      </c>
      <c r="E314" t="inlineStr">
        <is>
          <t>STRÖMSUND</t>
        </is>
      </c>
      <c r="F314" t="inlineStr">
        <is>
          <t>SCA</t>
        </is>
      </c>
      <c r="G314" t="n">
        <v>4.6</v>
      </c>
      <c r="H314" t="n">
        <v>0</v>
      </c>
      <c r="I314" t="n">
        <v>0</v>
      </c>
      <c r="J314" t="n">
        <v>0</v>
      </c>
      <c r="K314" t="n">
        <v>1</v>
      </c>
      <c r="L314" t="n">
        <v>0</v>
      </c>
      <c r="M314" t="n">
        <v>0</v>
      </c>
      <c r="N314" t="n">
        <v>0</v>
      </c>
      <c r="O314" t="n">
        <v>1</v>
      </c>
      <c r="P314" t="n">
        <v>1</v>
      </c>
      <c r="Q314" t="n">
        <v>1</v>
      </c>
      <c r="R314" s="2" t="inlineStr">
        <is>
          <t>Norsk näverlav</t>
        </is>
      </c>
      <c r="S314">
        <f>HYPERLINK("https://klasma.github.io/Logging_2313/artfynd/A 44603-2024 artfynd.xlsx", "A 44603-2024")</f>
        <v/>
      </c>
      <c r="T314">
        <f>HYPERLINK("https://klasma.github.io/Logging_2313/kartor/A 44603-2024 karta.png", "A 44603-2024")</f>
        <v/>
      </c>
      <c r="V314">
        <f>HYPERLINK("https://klasma.github.io/Logging_2313/klagomål/A 44603-2024 FSC-klagomål.docx", "A 44603-2024")</f>
        <v/>
      </c>
      <c r="W314">
        <f>HYPERLINK("https://klasma.github.io/Logging_2313/klagomålsmail/A 44603-2024 FSC-klagomål mail.docx", "A 44603-2024")</f>
        <v/>
      </c>
      <c r="X314">
        <f>HYPERLINK("https://klasma.github.io/Logging_2313/tillsyn/A 44603-2024 tillsynsbegäran.docx", "A 44603-2024")</f>
        <v/>
      </c>
      <c r="Y314">
        <f>HYPERLINK("https://klasma.github.io/Logging_2313/tillsynsmail/A 44603-2024 tillsynsbegäran mail.docx", "A 44603-2024")</f>
        <v/>
      </c>
    </row>
    <row r="315" ht="15" customHeight="1">
      <c r="A315" t="inlineStr">
        <is>
          <t>A 22181-2025</t>
        </is>
      </c>
      <c r="B315" s="1" t="n">
        <v>45785.61623842592</v>
      </c>
      <c r="C315" s="1" t="n">
        <v>45972</v>
      </c>
      <c r="D315" t="inlineStr">
        <is>
          <t>JÄMTLANDS LÄN</t>
        </is>
      </c>
      <c r="E315" t="inlineStr">
        <is>
          <t>STRÖMSUND</t>
        </is>
      </c>
      <c r="F315" t="inlineStr">
        <is>
          <t>SCA</t>
        </is>
      </c>
      <c r="G315" t="n">
        <v>5.8</v>
      </c>
      <c r="H315" t="n">
        <v>0</v>
      </c>
      <c r="I315" t="n">
        <v>0</v>
      </c>
      <c r="J315" t="n">
        <v>1</v>
      </c>
      <c r="K315" t="n">
        <v>0</v>
      </c>
      <c r="L315" t="n">
        <v>0</v>
      </c>
      <c r="M315" t="n">
        <v>0</v>
      </c>
      <c r="N315" t="n">
        <v>0</v>
      </c>
      <c r="O315" t="n">
        <v>1</v>
      </c>
      <c r="P315" t="n">
        <v>0</v>
      </c>
      <c r="Q315" t="n">
        <v>1</v>
      </c>
      <c r="R315" s="2" t="inlineStr">
        <is>
          <t>Ullticka</t>
        </is>
      </c>
      <c r="S315">
        <f>HYPERLINK("https://klasma.github.io/Logging_2313/artfynd/A 22181-2025 artfynd.xlsx", "A 22181-2025")</f>
        <v/>
      </c>
      <c r="T315">
        <f>HYPERLINK("https://klasma.github.io/Logging_2313/kartor/A 22181-2025 karta.png", "A 22181-2025")</f>
        <v/>
      </c>
      <c r="V315">
        <f>HYPERLINK("https://klasma.github.io/Logging_2313/klagomål/A 22181-2025 FSC-klagomål.docx", "A 22181-2025")</f>
        <v/>
      </c>
      <c r="W315">
        <f>HYPERLINK("https://klasma.github.io/Logging_2313/klagomålsmail/A 22181-2025 FSC-klagomål mail.docx", "A 22181-2025")</f>
        <v/>
      </c>
      <c r="X315">
        <f>HYPERLINK("https://klasma.github.io/Logging_2313/tillsyn/A 22181-2025 tillsynsbegäran.docx", "A 22181-2025")</f>
        <v/>
      </c>
      <c r="Y315">
        <f>HYPERLINK("https://klasma.github.io/Logging_2313/tillsynsmail/A 22181-2025 tillsynsbegäran mail.docx", "A 22181-2025")</f>
        <v/>
      </c>
    </row>
    <row r="316" ht="15" customHeight="1">
      <c r="A316" t="inlineStr">
        <is>
          <t>A 22051-2025</t>
        </is>
      </c>
      <c r="B316" s="1" t="n">
        <v>45785.34456018519</v>
      </c>
      <c r="C316" s="1" t="n">
        <v>45972</v>
      </c>
      <c r="D316" t="inlineStr">
        <is>
          <t>JÄMTLANDS LÄN</t>
        </is>
      </c>
      <c r="E316" t="inlineStr">
        <is>
          <t>STRÖMSUND</t>
        </is>
      </c>
      <c r="G316" t="n">
        <v>8.1</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22051-2025 artfynd.xlsx", "A 22051-2025")</f>
        <v/>
      </c>
      <c r="T316">
        <f>HYPERLINK("https://klasma.github.io/Logging_2313/kartor/A 22051-2025 karta.png", "A 22051-2025")</f>
        <v/>
      </c>
      <c r="V316">
        <f>HYPERLINK("https://klasma.github.io/Logging_2313/klagomål/A 22051-2025 FSC-klagomål.docx", "A 22051-2025")</f>
        <v/>
      </c>
      <c r="W316">
        <f>HYPERLINK("https://klasma.github.io/Logging_2313/klagomålsmail/A 22051-2025 FSC-klagomål mail.docx", "A 22051-2025")</f>
        <v/>
      </c>
      <c r="X316">
        <f>HYPERLINK("https://klasma.github.io/Logging_2313/tillsyn/A 22051-2025 tillsynsbegäran.docx", "A 22051-2025")</f>
        <v/>
      </c>
      <c r="Y316">
        <f>HYPERLINK("https://klasma.github.io/Logging_2313/tillsynsmail/A 22051-2025 tillsynsbegäran mail.docx", "A 22051-2025")</f>
        <v/>
      </c>
      <c r="Z316">
        <f>HYPERLINK("https://klasma.github.io/Logging_2313/fåglar/A 22051-2025 prioriterade fågelarter.docx", "A 22051-2025")</f>
        <v/>
      </c>
    </row>
    <row r="317" ht="15" customHeight="1">
      <c r="A317" t="inlineStr">
        <is>
          <t>A 31684-2024</t>
        </is>
      </c>
      <c r="B317" s="1" t="n">
        <v>45506.94950231481</v>
      </c>
      <c r="C317" s="1" t="n">
        <v>45972</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Skrovellav</t>
        </is>
      </c>
      <c r="S317">
        <f>HYPERLINK("https://klasma.github.io/Logging_2313/artfynd/A 31684-2024 artfynd.xlsx", "A 31684-2024")</f>
        <v/>
      </c>
      <c r="T317">
        <f>HYPERLINK("https://klasma.github.io/Logging_2313/kartor/A 31684-2024 karta.png", "A 31684-2024")</f>
        <v/>
      </c>
      <c r="V317">
        <f>HYPERLINK("https://klasma.github.io/Logging_2313/klagomål/A 31684-2024 FSC-klagomål.docx", "A 31684-2024")</f>
        <v/>
      </c>
      <c r="W317">
        <f>HYPERLINK("https://klasma.github.io/Logging_2313/klagomålsmail/A 31684-2024 FSC-klagomål mail.docx", "A 31684-2024")</f>
        <v/>
      </c>
      <c r="X317">
        <f>HYPERLINK("https://klasma.github.io/Logging_2313/tillsyn/A 31684-2024 tillsynsbegäran.docx", "A 31684-2024")</f>
        <v/>
      </c>
      <c r="Y317">
        <f>HYPERLINK("https://klasma.github.io/Logging_2313/tillsynsmail/A 31684-2024 tillsynsbegäran mail.docx", "A 31684-2024")</f>
        <v/>
      </c>
    </row>
    <row r="318" ht="15" customHeight="1">
      <c r="A318" t="inlineStr">
        <is>
          <t>A 24315-2025</t>
        </is>
      </c>
      <c r="B318" s="1" t="n">
        <v>45797.53167824074</v>
      </c>
      <c r="C318" s="1" t="n">
        <v>45972</v>
      </c>
      <c r="D318" t="inlineStr">
        <is>
          <t>JÄMTLANDS LÄN</t>
        </is>
      </c>
      <c r="E318" t="inlineStr">
        <is>
          <t>STRÖMSUND</t>
        </is>
      </c>
      <c r="F318" t="inlineStr">
        <is>
          <t>SCA</t>
        </is>
      </c>
      <c r="G318" t="n">
        <v>2.9</v>
      </c>
      <c r="H318" t="n">
        <v>0</v>
      </c>
      <c r="I318" t="n">
        <v>1</v>
      </c>
      <c r="J318" t="n">
        <v>0</v>
      </c>
      <c r="K318" t="n">
        <v>0</v>
      </c>
      <c r="L318" t="n">
        <v>0</v>
      </c>
      <c r="M318" t="n">
        <v>0</v>
      </c>
      <c r="N318" t="n">
        <v>0</v>
      </c>
      <c r="O318" t="n">
        <v>0</v>
      </c>
      <c r="P318" t="n">
        <v>0</v>
      </c>
      <c r="Q318" t="n">
        <v>1</v>
      </c>
      <c r="R318" s="2" t="inlineStr">
        <is>
          <t>Dropptaggsvamp</t>
        </is>
      </c>
      <c r="S318">
        <f>HYPERLINK("https://klasma.github.io/Logging_2313/artfynd/A 24315-2025 artfynd.xlsx", "A 24315-2025")</f>
        <v/>
      </c>
      <c r="T318">
        <f>HYPERLINK("https://klasma.github.io/Logging_2313/kartor/A 24315-2025 karta.png", "A 24315-2025")</f>
        <v/>
      </c>
      <c r="V318">
        <f>HYPERLINK("https://klasma.github.io/Logging_2313/klagomål/A 24315-2025 FSC-klagomål.docx", "A 24315-2025")</f>
        <v/>
      </c>
      <c r="W318">
        <f>HYPERLINK("https://klasma.github.io/Logging_2313/klagomålsmail/A 24315-2025 FSC-klagomål mail.docx", "A 24315-2025")</f>
        <v/>
      </c>
      <c r="X318">
        <f>HYPERLINK("https://klasma.github.io/Logging_2313/tillsyn/A 24315-2025 tillsynsbegäran.docx", "A 24315-2025")</f>
        <v/>
      </c>
      <c r="Y318">
        <f>HYPERLINK("https://klasma.github.io/Logging_2313/tillsynsmail/A 24315-2025 tillsynsbegäran mail.docx", "A 24315-2025")</f>
        <v/>
      </c>
    </row>
    <row r="319" ht="15" customHeight="1">
      <c r="A319" t="inlineStr">
        <is>
          <t>A 58560-2020</t>
        </is>
      </c>
      <c r="B319" s="1" t="n">
        <v>44145</v>
      </c>
      <c r="C319" s="1" t="n">
        <v>45972</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4824-2024</t>
        </is>
      </c>
      <c r="B320" s="1" t="n">
        <v>45328</v>
      </c>
      <c r="C320" s="1" t="n">
        <v>45972</v>
      </c>
      <c r="D320" t="inlineStr">
        <is>
          <t>JÄMTLANDS LÄN</t>
        </is>
      </c>
      <c r="E320" t="inlineStr">
        <is>
          <t>STRÖMSUND</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HYPERLINK("https://klasma.github.io/Logging_2313/artfynd/A 4824-2024 artfynd.xlsx", "A 4824-2024")</f>
        <v/>
      </c>
      <c r="T320">
        <f>HYPERLINK("https://klasma.github.io/Logging_2313/kartor/A 4824-2024 karta.png", "A 4824-2024")</f>
        <v/>
      </c>
      <c r="V320">
        <f>HYPERLINK("https://klasma.github.io/Logging_2313/klagomål/A 4824-2024 FSC-klagomål.docx", "A 4824-2024")</f>
        <v/>
      </c>
      <c r="W320">
        <f>HYPERLINK("https://klasma.github.io/Logging_2313/klagomålsmail/A 4824-2024 FSC-klagomål mail.docx", "A 4824-2024")</f>
        <v/>
      </c>
      <c r="X320">
        <f>HYPERLINK("https://klasma.github.io/Logging_2313/tillsyn/A 4824-2024 tillsynsbegäran.docx", "A 4824-2024")</f>
        <v/>
      </c>
      <c r="Y320">
        <f>HYPERLINK("https://klasma.github.io/Logging_2313/tillsynsmail/A 4824-2024 tillsynsbegäran mail.docx", "A 4824-2024")</f>
        <v/>
      </c>
    </row>
    <row r="321" ht="15" customHeight="1">
      <c r="A321" t="inlineStr">
        <is>
          <t>A 10075-2023</t>
        </is>
      </c>
      <c r="B321" s="1" t="n">
        <v>44985</v>
      </c>
      <c r="C321" s="1" t="n">
        <v>45972</v>
      </c>
      <c r="D321" t="inlineStr">
        <is>
          <t>JÄMTLANDS LÄN</t>
        </is>
      </c>
      <c r="E321" t="inlineStr">
        <is>
          <t>STRÖMSUND</t>
        </is>
      </c>
      <c r="F321" t="inlineStr">
        <is>
          <t>SCA</t>
        </is>
      </c>
      <c r="G321" t="n">
        <v>13.4</v>
      </c>
      <c r="H321" t="n">
        <v>0</v>
      </c>
      <c r="I321" t="n">
        <v>0</v>
      </c>
      <c r="J321" t="n">
        <v>1</v>
      </c>
      <c r="K321" t="n">
        <v>0</v>
      </c>
      <c r="L321" t="n">
        <v>0</v>
      </c>
      <c r="M321" t="n">
        <v>0</v>
      </c>
      <c r="N321" t="n">
        <v>0</v>
      </c>
      <c r="O321" t="n">
        <v>1</v>
      </c>
      <c r="P321" t="n">
        <v>0</v>
      </c>
      <c r="Q321" t="n">
        <v>1</v>
      </c>
      <c r="R321" s="2" t="inlineStr">
        <is>
          <t>Brunklöver</t>
        </is>
      </c>
      <c r="S321">
        <f>HYPERLINK("https://klasma.github.io/Logging_2313/artfynd/A 10075-2023 artfynd.xlsx", "A 10075-2023")</f>
        <v/>
      </c>
      <c r="T321">
        <f>HYPERLINK("https://klasma.github.io/Logging_2313/kartor/A 10075-2023 karta.png", "A 10075-2023")</f>
        <v/>
      </c>
      <c r="V321">
        <f>HYPERLINK("https://klasma.github.io/Logging_2313/klagomål/A 10075-2023 FSC-klagomål.docx", "A 10075-2023")</f>
        <v/>
      </c>
      <c r="W321">
        <f>HYPERLINK("https://klasma.github.io/Logging_2313/klagomålsmail/A 10075-2023 FSC-klagomål mail.docx", "A 10075-2023")</f>
        <v/>
      </c>
      <c r="X321">
        <f>HYPERLINK("https://klasma.github.io/Logging_2313/tillsyn/A 10075-2023 tillsynsbegäran.docx", "A 10075-2023")</f>
        <v/>
      </c>
      <c r="Y321">
        <f>HYPERLINK("https://klasma.github.io/Logging_2313/tillsynsmail/A 10075-2023 tillsynsbegäran mail.docx", "A 10075-2023")</f>
        <v/>
      </c>
    </row>
    <row r="322" ht="15" customHeight="1">
      <c r="A322" t="inlineStr">
        <is>
          <t>A 39511-2023</t>
        </is>
      </c>
      <c r="B322" s="1" t="n">
        <v>45166</v>
      </c>
      <c r="C322" s="1" t="n">
        <v>45972</v>
      </c>
      <c r="D322" t="inlineStr">
        <is>
          <t>JÄMTLANDS LÄN</t>
        </is>
      </c>
      <c r="E322" t="inlineStr">
        <is>
          <t>STRÖMSUND</t>
        </is>
      </c>
      <c r="F322" t="inlineStr">
        <is>
          <t>SCA</t>
        </is>
      </c>
      <c r="G322" t="n">
        <v>3.7</v>
      </c>
      <c r="H322" t="n">
        <v>0</v>
      </c>
      <c r="I322" t="n">
        <v>0</v>
      </c>
      <c r="J322" t="n">
        <v>1</v>
      </c>
      <c r="K322" t="n">
        <v>0</v>
      </c>
      <c r="L322" t="n">
        <v>0</v>
      </c>
      <c r="M322" t="n">
        <v>0</v>
      </c>
      <c r="N322" t="n">
        <v>0</v>
      </c>
      <c r="O322" t="n">
        <v>1</v>
      </c>
      <c r="P322" t="n">
        <v>0</v>
      </c>
      <c r="Q322" t="n">
        <v>1</v>
      </c>
      <c r="R322" s="2" t="inlineStr">
        <is>
          <t>Rosenticka</t>
        </is>
      </c>
      <c r="S322">
        <f>HYPERLINK("https://klasma.github.io/Logging_2313/artfynd/A 39511-2023 artfynd.xlsx", "A 39511-2023")</f>
        <v/>
      </c>
      <c r="T322">
        <f>HYPERLINK("https://klasma.github.io/Logging_2313/kartor/A 39511-2023 karta.png", "A 39511-2023")</f>
        <v/>
      </c>
      <c r="V322">
        <f>HYPERLINK("https://klasma.github.io/Logging_2313/klagomål/A 39511-2023 FSC-klagomål.docx", "A 39511-2023")</f>
        <v/>
      </c>
      <c r="W322">
        <f>HYPERLINK("https://klasma.github.io/Logging_2313/klagomålsmail/A 39511-2023 FSC-klagomål mail.docx", "A 39511-2023")</f>
        <v/>
      </c>
      <c r="X322">
        <f>HYPERLINK("https://klasma.github.io/Logging_2313/tillsyn/A 39511-2023 tillsynsbegäran.docx", "A 39511-2023")</f>
        <v/>
      </c>
      <c r="Y322">
        <f>HYPERLINK("https://klasma.github.io/Logging_2313/tillsynsmail/A 39511-2023 tillsynsbegäran mail.docx", "A 39511-2023")</f>
        <v/>
      </c>
    </row>
    <row r="323" ht="15" customHeight="1">
      <c r="A323" t="inlineStr">
        <is>
          <t>A 15258-2024</t>
        </is>
      </c>
      <c r="B323" s="1" t="n">
        <v>45400</v>
      </c>
      <c r="C323" s="1" t="n">
        <v>45972</v>
      </c>
      <c r="D323" t="inlineStr">
        <is>
          <t>JÄMTLANDS LÄN</t>
        </is>
      </c>
      <c r="E323" t="inlineStr">
        <is>
          <t>STRÖMSUND</t>
        </is>
      </c>
      <c r="G323" t="n">
        <v>40.8</v>
      </c>
      <c r="H323" t="n">
        <v>0</v>
      </c>
      <c r="I323" t="n">
        <v>1</v>
      </c>
      <c r="J323" t="n">
        <v>0</v>
      </c>
      <c r="K323" t="n">
        <v>0</v>
      </c>
      <c r="L323" t="n">
        <v>0</v>
      </c>
      <c r="M323" t="n">
        <v>0</v>
      </c>
      <c r="N323" t="n">
        <v>0</v>
      </c>
      <c r="O323" t="n">
        <v>0</v>
      </c>
      <c r="P323" t="n">
        <v>0</v>
      </c>
      <c r="Q323" t="n">
        <v>1</v>
      </c>
      <c r="R323" s="2" t="inlineStr">
        <is>
          <t>Finbräken</t>
        </is>
      </c>
      <c r="S323">
        <f>HYPERLINK("https://klasma.github.io/Logging_2313/artfynd/A 15258-2024 artfynd.xlsx", "A 15258-2024")</f>
        <v/>
      </c>
      <c r="T323">
        <f>HYPERLINK("https://klasma.github.io/Logging_2313/kartor/A 15258-2024 karta.png", "A 15258-2024")</f>
        <v/>
      </c>
      <c r="V323">
        <f>HYPERLINK("https://klasma.github.io/Logging_2313/klagomål/A 15258-2024 FSC-klagomål.docx", "A 15258-2024")</f>
        <v/>
      </c>
      <c r="W323">
        <f>HYPERLINK("https://klasma.github.io/Logging_2313/klagomålsmail/A 15258-2024 FSC-klagomål mail.docx", "A 15258-2024")</f>
        <v/>
      </c>
      <c r="X323">
        <f>HYPERLINK("https://klasma.github.io/Logging_2313/tillsyn/A 15258-2024 tillsynsbegäran.docx", "A 15258-2024")</f>
        <v/>
      </c>
      <c r="Y323">
        <f>HYPERLINK("https://klasma.github.io/Logging_2313/tillsynsmail/A 15258-2024 tillsynsbegäran mail.docx", "A 15258-2024")</f>
        <v/>
      </c>
    </row>
    <row r="324" ht="15" customHeight="1">
      <c r="A324" t="inlineStr">
        <is>
          <t>A 4881-2025</t>
        </is>
      </c>
      <c r="B324" s="1" t="n">
        <v>45688.67707175926</v>
      </c>
      <c r="C324" s="1" t="n">
        <v>45972</v>
      </c>
      <c r="D324" t="inlineStr">
        <is>
          <t>JÄMTLANDS LÄN</t>
        </is>
      </c>
      <c r="E324" t="inlineStr">
        <is>
          <t>STRÖMSUND</t>
        </is>
      </c>
      <c r="F324" t="inlineStr">
        <is>
          <t>SCA</t>
        </is>
      </c>
      <c r="G324" t="n">
        <v>11.2</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4881-2025 artfynd.xlsx", "A 4881-2025")</f>
        <v/>
      </c>
      <c r="T324">
        <f>HYPERLINK("https://klasma.github.io/Logging_2313/kartor/A 4881-2025 karta.png", "A 4881-2025")</f>
        <v/>
      </c>
      <c r="V324">
        <f>HYPERLINK("https://klasma.github.io/Logging_2313/klagomål/A 4881-2025 FSC-klagomål.docx", "A 4881-2025")</f>
        <v/>
      </c>
      <c r="W324">
        <f>HYPERLINK("https://klasma.github.io/Logging_2313/klagomålsmail/A 4881-2025 FSC-klagomål mail.docx", "A 4881-2025")</f>
        <v/>
      </c>
      <c r="X324">
        <f>HYPERLINK("https://klasma.github.io/Logging_2313/tillsyn/A 4881-2025 tillsynsbegäran.docx", "A 4881-2025")</f>
        <v/>
      </c>
      <c r="Y324">
        <f>HYPERLINK("https://klasma.github.io/Logging_2313/tillsynsmail/A 4881-2025 tillsynsbegäran mail.docx", "A 4881-2025")</f>
        <v/>
      </c>
      <c r="Z324">
        <f>HYPERLINK("https://klasma.github.io/Logging_2313/fåglar/A 4881-2025 prioriterade fågelarter.docx", "A 4881-2025")</f>
        <v/>
      </c>
    </row>
    <row r="325" ht="15" customHeight="1">
      <c r="A325" t="inlineStr">
        <is>
          <t>A 21938-2021</t>
        </is>
      </c>
      <c r="B325" s="1" t="n">
        <v>44322</v>
      </c>
      <c r="C325" s="1" t="n">
        <v>45972</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28018-2025</t>
        </is>
      </c>
      <c r="B326" s="1" t="n">
        <v>45817.61528935185</v>
      </c>
      <c r="C326" s="1" t="n">
        <v>45972</v>
      </c>
      <c r="D326" t="inlineStr">
        <is>
          <t>JÄMTLANDS LÄN</t>
        </is>
      </c>
      <c r="E326" t="inlineStr">
        <is>
          <t>STRÖMSUND</t>
        </is>
      </c>
      <c r="F326" t="inlineStr">
        <is>
          <t>SCA</t>
        </is>
      </c>
      <c r="G326" t="n">
        <v>5</v>
      </c>
      <c r="H326" t="n">
        <v>0</v>
      </c>
      <c r="I326" t="n">
        <v>0</v>
      </c>
      <c r="J326" t="n">
        <v>1</v>
      </c>
      <c r="K326" t="n">
        <v>0</v>
      </c>
      <c r="L326" t="n">
        <v>0</v>
      </c>
      <c r="M326" t="n">
        <v>0</v>
      </c>
      <c r="N326" t="n">
        <v>0</v>
      </c>
      <c r="O326" t="n">
        <v>1</v>
      </c>
      <c r="P326" t="n">
        <v>0</v>
      </c>
      <c r="Q326" t="n">
        <v>1</v>
      </c>
      <c r="R326" s="2" t="inlineStr">
        <is>
          <t>Skrovellav</t>
        </is>
      </c>
      <c r="S326">
        <f>HYPERLINK("https://klasma.github.io/Logging_2313/artfynd/A 28018-2025 artfynd.xlsx", "A 28018-2025")</f>
        <v/>
      </c>
      <c r="T326">
        <f>HYPERLINK("https://klasma.github.io/Logging_2313/kartor/A 28018-2025 karta.png", "A 28018-2025")</f>
        <v/>
      </c>
      <c r="V326">
        <f>HYPERLINK("https://klasma.github.io/Logging_2313/klagomål/A 28018-2025 FSC-klagomål.docx", "A 28018-2025")</f>
        <v/>
      </c>
      <c r="W326">
        <f>HYPERLINK("https://klasma.github.io/Logging_2313/klagomålsmail/A 28018-2025 FSC-klagomål mail.docx", "A 28018-2025")</f>
        <v/>
      </c>
      <c r="X326">
        <f>HYPERLINK("https://klasma.github.io/Logging_2313/tillsyn/A 28018-2025 tillsynsbegäran.docx", "A 28018-2025")</f>
        <v/>
      </c>
      <c r="Y326">
        <f>HYPERLINK("https://klasma.github.io/Logging_2313/tillsynsmail/A 28018-2025 tillsynsbegäran mail.docx", "A 28018-2025")</f>
        <v/>
      </c>
    </row>
    <row r="327" ht="15" customHeight="1">
      <c r="A327" t="inlineStr">
        <is>
          <t>A 36754-2023</t>
        </is>
      </c>
      <c r="B327" s="1" t="n">
        <v>45153</v>
      </c>
      <c r="C327" s="1" t="n">
        <v>45972</v>
      </c>
      <c r="D327" t="inlineStr">
        <is>
          <t>JÄMTLANDS LÄN</t>
        </is>
      </c>
      <c r="E327" t="inlineStr">
        <is>
          <t>STRÖMSUND</t>
        </is>
      </c>
      <c r="F327" t="inlineStr">
        <is>
          <t>SCA</t>
        </is>
      </c>
      <c r="G327" t="n">
        <v>2.7</v>
      </c>
      <c r="H327" t="n">
        <v>1</v>
      </c>
      <c r="I327" t="n">
        <v>1</v>
      </c>
      <c r="J327" t="n">
        <v>0</v>
      </c>
      <c r="K327" t="n">
        <v>0</v>
      </c>
      <c r="L327" t="n">
        <v>0</v>
      </c>
      <c r="M327" t="n">
        <v>0</v>
      </c>
      <c r="N327" t="n">
        <v>0</v>
      </c>
      <c r="O327" t="n">
        <v>0</v>
      </c>
      <c r="P327" t="n">
        <v>0</v>
      </c>
      <c r="Q327" t="n">
        <v>1</v>
      </c>
      <c r="R327" s="2" t="inlineStr">
        <is>
          <t>Lappranunkel</t>
        </is>
      </c>
      <c r="S327">
        <f>HYPERLINK("https://klasma.github.io/Logging_2313/artfynd/A 36754-2023 artfynd.xlsx", "A 36754-2023")</f>
        <v/>
      </c>
      <c r="T327">
        <f>HYPERLINK("https://klasma.github.io/Logging_2313/kartor/A 36754-2023 karta.png", "A 36754-2023")</f>
        <v/>
      </c>
      <c r="V327">
        <f>HYPERLINK("https://klasma.github.io/Logging_2313/klagomål/A 36754-2023 FSC-klagomål.docx", "A 36754-2023")</f>
        <v/>
      </c>
      <c r="W327">
        <f>HYPERLINK("https://klasma.github.io/Logging_2313/klagomålsmail/A 36754-2023 FSC-klagomål mail.docx", "A 36754-2023")</f>
        <v/>
      </c>
      <c r="X327">
        <f>HYPERLINK("https://klasma.github.io/Logging_2313/tillsyn/A 36754-2023 tillsynsbegäran.docx", "A 36754-2023")</f>
        <v/>
      </c>
      <c r="Y327">
        <f>HYPERLINK("https://klasma.github.io/Logging_2313/tillsynsmail/A 36754-2023 tillsynsbegäran mail.docx", "A 36754-2023")</f>
        <v/>
      </c>
    </row>
    <row r="328" ht="15" customHeight="1">
      <c r="A328" t="inlineStr">
        <is>
          <t>A 24729-2022</t>
        </is>
      </c>
      <c r="B328" s="1" t="n">
        <v>44727</v>
      </c>
      <c r="C328" s="1" t="n">
        <v>45972</v>
      </c>
      <c r="D328" t="inlineStr">
        <is>
          <t>JÄMTLANDS LÄN</t>
        </is>
      </c>
      <c r="E328" t="inlineStr">
        <is>
          <t>STRÖMSUND</t>
        </is>
      </c>
      <c r="F328" t="inlineStr">
        <is>
          <t>SCA</t>
        </is>
      </c>
      <c r="G328" t="n">
        <v>1.3</v>
      </c>
      <c r="H328" t="n">
        <v>0</v>
      </c>
      <c r="I328" t="n">
        <v>0</v>
      </c>
      <c r="J328" t="n">
        <v>1</v>
      </c>
      <c r="K328" t="n">
        <v>0</v>
      </c>
      <c r="L328" t="n">
        <v>0</v>
      </c>
      <c r="M328" t="n">
        <v>0</v>
      </c>
      <c r="N328" t="n">
        <v>0</v>
      </c>
      <c r="O328" t="n">
        <v>1</v>
      </c>
      <c r="P328" t="n">
        <v>0</v>
      </c>
      <c r="Q328" t="n">
        <v>1</v>
      </c>
      <c r="R328" s="2" t="inlineStr">
        <is>
          <t>Granticka</t>
        </is>
      </c>
      <c r="S328">
        <f>HYPERLINK("https://klasma.github.io/Logging_2313/artfynd/A 24729-2022 artfynd.xlsx", "A 24729-2022")</f>
        <v/>
      </c>
      <c r="T328">
        <f>HYPERLINK("https://klasma.github.io/Logging_2313/kartor/A 24729-2022 karta.png", "A 24729-2022")</f>
        <v/>
      </c>
      <c r="U328">
        <f>HYPERLINK("https://klasma.github.io/Logging_2313/knärot/A 24729-2022 karta knärot.png", "A 24729-2022")</f>
        <v/>
      </c>
      <c r="V328">
        <f>HYPERLINK("https://klasma.github.io/Logging_2313/klagomål/A 24729-2022 FSC-klagomål.docx", "A 24729-2022")</f>
        <v/>
      </c>
      <c r="W328">
        <f>HYPERLINK("https://klasma.github.io/Logging_2313/klagomålsmail/A 24729-2022 FSC-klagomål mail.docx", "A 24729-2022")</f>
        <v/>
      </c>
      <c r="X328">
        <f>HYPERLINK("https://klasma.github.io/Logging_2313/tillsyn/A 24729-2022 tillsynsbegäran.docx", "A 24729-2022")</f>
        <v/>
      </c>
      <c r="Y328">
        <f>HYPERLINK("https://klasma.github.io/Logging_2313/tillsynsmail/A 24729-2022 tillsynsbegäran mail.docx", "A 24729-2022")</f>
        <v/>
      </c>
    </row>
    <row r="329" ht="15" customHeight="1">
      <c r="A329" t="inlineStr">
        <is>
          <t>A 29721-2025</t>
        </is>
      </c>
      <c r="B329" s="1" t="n">
        <v>45825.57422453703</v>
      </c>
      <c r="C329" s="1" t="n">
        <v>45972</v>
      </c>
      <c r="D329" t="inlineStr">
        <is>
          <t>JÄMTLANDS LÄN</t>
        </is>
      </c>
      <c r="E329" t="inlineStr">
        <is>
          <t>STRÖMSUND</t>
        </is>
      </c>
      <c r="F329" t="inlineStr">
        <is>
          <t>SCA</t>
        </is>
      </c>
      <c r="G329" t="n">
        <v>25.2</v>
      </c>
      <c r="H329" t="n">
        <v>1</v>
      </c>
      <c r="I329" t="n">
        <v>0</v>
      </c>
      <c r="J329" t="n">
        <v>0</v>
      </c>
      <c r="K329" t="n">
        <v>0</v>
      </c>
      <c r="L329" t="n">
        <v>1</v>
      </c>
      <c r="M329" t="n">
        <v>0</v>
      </c>
      <c r="N329" t="n">
        <v>0</v>
      </c>
      <c r="O329" t="n">
        <v>1</v>
      </c>
      <c r="P329" t="n">
        <v>1</v>
      </c>
      <c r="Q329" t="n">
        <v>1</v>
      </c>
      <c r="R329" s="2" t="inlineStr">
        <is>
          <t>Violett guldvinge</t>
        </is>
      </c>
      <c r="S329">
        <f>HYPERLINK("https://klasma.github.io/Logging_2313/artfynd/A 29721-2025 artfynd.xlsx", "A 29721-2025")</f>
        <v/>
      </c>
      <c r="T329">
        <f>HYPERLINK("https://klasma.github.io/Logging_2313/kartor/A 29721-2025 karta.png", "A 29721-2025")</f>
        <v/>
      </c>
      <c r="V329">
        <f>HYPERLINK("https://klasma.github.io/Logging_2313/klagomål/A 29721-2025 FSC-klagomål.docx", "A 29721-2025")</f>
        <v/>
      </c>
      <c r="W329">
        <f>HYPERLINK("https://klasma.github.io/Logging_2313/klagomålsmail/A 29721-2025 FSC-klagomål mail.docx", "A 29721-2025")</f>
        <v/>
      </c>
      <c r="X329">
        <f>HYPERLINK("https://klasma.github.io/Logging_2313/tillsyn/A 29721-2025 tillsynsbegäran.docx", "A 29721-2025")</f>
        <v/>
      </c>
      <c r="Y329">
        <f>HYPERLINK("https://klasma.github.io/Logging_2313/tillsynsmail/A 29721-2025 tillsynsbegäran mail.docx", "A 29721-2025")</f>
        <v/>
      </c>
    </row>
    <row r="330" ht="15" customHeight="1">
      <c r="A330" t="inlineStr">
        <is>
          <t>A 59523-2023</t>
        </is>
      </c>
      <c r="B330" s="1" t="n">
        <v>45254</v>
      </c>
      <c r="C330" s="1" t="n">
        <v>45972</v>
      </c>
      <c r="D330" t="inlineStr">
        <is>
          <t>JÄMTLANDS LÄN</t>
        </is>
      </c>
      <c r="E330" t="inlineStr">
        <is>
          <t>STRÖMSUND</t>
        </is>
      </c>
      <c r="F330" t="inlineStr">
        <is>
          <t>Holmen skog AB</t>
        </is>
      </c>
      <c r="G330" t="n">
        <v>51.2</v>
      </c>
      <c r="H330" t="n">
        <v>0</v>
      </c>
      <c r="I330" t="n">
        <v>0</v>
      </c>
      <c r="J330" t="n">
        <v>1</v>
      </c>
      <c r="K330" t="n">
        <v>0</v>
      </c>
      <c r="L330" t="n">
        <v>0</v>
      </c>
      <c r="M330" t="n">
        <v>0</v>
      </c>
      <c r="N330" t="n">
        <v>0</v>
      </c>
      <c r="O330" t="n">
        <v>1</v>
      </c>
      <c r="P330" t="n">
        <v>0</v>
      </c>
      <c r="Q330" t="n">
        <v>1</v>
      </c>
      <c r="R330" s="2" t="inlineStr">
        <is>
          <t>Granticka</t>
        </is>
      </c>
      <c r="S330">
        <f>HYPERLINK("https://klasma.github.io/Logging_2313/artfynd/A 59523-2023 artfynd.xlsx", "A 59523-2023")</f>
        <v/>
      </c>
      <c r="T330">
        <f>HYPERLINK("https://klasma.github.io/Logging_2313/kartor/A 59523-2023 karta.png", "A 59523-2023")</f>
        <v/>
      </c>
      <c r="V330">
        <f>HYPERLINK("https://klasma.github.io/Logging_2313/klagomål/A 59523-2023 FSC-klagomål.docx", "A 59523-2023")</f>
        <v/>
      </c>
      <c r="W330">
        <f>HYPERLINK("https://klasma.github.io/Logging_2313/klagomålsmail/A 59523-2023 FSC-klagomål mail.docx", "A 59523-2023")</f>
        <v/>
      </c>
      <c r="X330">
        <f>HYPERLINK("https://klasma.github.io/Logging_2313/tillsyn/A 59523-2023 tillsynsbegäran.docx", "A 59523-2023")</f>
        <v/>
      </c>
      <c r="Y330">
        <f>HYPERLINK("https://klasma.github.io/Logging_2313/tillsynsmail/A 59523-2023 tillsynsbegäran mail.docx", "A 59523-2023")</f>
        <v/>
      </c>
    </row>
    <row r="331" ht="15" customHeight="1">
      <c r="A331" t="inlineStr">
        <is>
          <t>A 30142-2025</t>
        </is>
      </c>
      <c r="B331" s="1" t="n">
        <v>45826.9224537037</v>
      </c>
      <c r="C331" s="1" t="n">
        <v>45972</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14290-2022</t>
        </is>
      </c>
      <c r="B332" s="1" t="n">
        <v>44651</v>
      </c>
      <c r="C332" s="1" t="n">
        <v>45972</v>
      </c>
      <c r="D332" t="inlineStr">
        <is>
          <t>JÄMTLANDS LÄN</t>
        </is>
      </c>
      <c r="E332" t="inlineStr">
        <is>
          <t>STRÖMSUND</t>
        </is>
      </c>
      <c r="F332" t="inlineStr">
        <is>
          <t>SCA</t>
        </is>
      </c>
      <c r="G332" t="n">
        <v>0.3</v>
      </c>
      <c r="H332" t="n">
        <v>0</v>
      </c>
      <c r="I332" t="n">
        <v>0</v>
      </c>
      <c r="J332" t="n">
        <v>1</v>
      </c>
      <c r="K332" t="n">
        <v>0</v>
      </c>
      <c r="L332" t="n">
        <v>0</v>
      </c>
      <c r="M332" t="n">
        <v>0</v>
      </c>
      <c r="N332" t="n">
        <v>0</v>
      </c>
      <c r="O332" t="n">
        <v>1</v>
      </c>
      <c r="P332" t="n">
        <v>0</v>
      </c>
      <c r="Q332" t="n">
        <v>1</v>
      </c>
      <c r="R332" s="2" t="inlineStr">
        <is>
          <t>Garnlav</t>
        </is>
      </c>
      <c r="S332">
        <f>HYPERLINK("https://klasma.github.io/Logging_2313/artfynd/A 14290-2022 artfynd.xlsx", "A 14290-2022")</f>
        <v/>
      </c>
      <c r="T332">
        <f>HYPERLINK("https://klasma.github.io/Logging_2313/kartor/A 14290-2022 karta.png", "A 14290-2022")</f>
        <v/>
      </c>
      <c r="U332">
        <f>HYPERLINK("https://klasma.github.io/Logging_2313/knärot/A 14290-2022 karta knärot.png", "A 14290-2022")</f>
        <v/>
      </c>
      <c r="V332">
        <f>HYPERLINK("https://klasma.github.io/Logging_2313/klagomål/A 14290-2022 FSC-klagomål.docx", "A 14290-2022")</f>
        <v/>
      </c>
      <c r="W332">
        <f>HYPERLINK("https://klasma.github.io/Logging_2313/klagomålsmail/A 14290-2022 FSC-klagomål mail.docx", "A 14290-2022")</f>
        <v/>
      </c>
      <c r="X332">
        <f>HYPERLINK("https://klasma.github.io/Logging_2313/tillsyn/A 14290-2022 tillsynsbegäran.docx", "A 14290-2022")</f>
        <v/>
      </c>
      <c r="Y332">
        <f>HYPERLINK("https://klasma.github.io/Logging_2313/tillsynsmail/A 14290-2022 tillsynsbegäran mail.docx", "A 14290-2022")</f>
        <v/>
      </c>
    </row>
    <row r="333" ht="15" customHeight="1">
      <c r="A333" t="inlineStr">
        <is>
          <t>A 52809-2025</t>
        </is>
      </c>
      <c r="B333" s="1" t="n">
        <v>45957.44869212963</v>
      </c>
      <c r="C333" s="1" t="n">
        <v>45972</v>
      </c>
      <c r="D333" t="inlineStr">
        <is>
          <t>JÄMTLANDS LÄN</t>
        </is>
      </c>
      <c r="E333" t="inlineStr">
        <is>
          <t>STRÖMSUND</t>
        </is>
      </c>
      <c r="F333" t="inlineStr">
        <is>
          <t>SCA</t>
        </is>
      </c>
      <c r="G333" t="n">
        <v>3.6</v>
      </c>
      <c r="H333" t="n">
        <v>0</v>
      </c>
      <c r="I333" t="n">
        <v>0</v>
      </c>
      <c r="J333" t="n">
        <v>1</v>
      </c>
      <c r="K333" t="n">
        <v>0</v>
      </c>
      <c r="L333" t="n">
        <v>0</v>
      </c>
      <c r="M333" t="n">
        <v>0</v>
      </c>
      <c r="N333" t="n">
        <v>0</v>
      </c>
      <c r="O333" t="n">
        <v>1</v>
      </c>
      <c r="P333" t="n">
        <v>0</v>
      </c>
      <c r="Q333" t="n">
        <v>1</v>
      </c>
      <c r="R333" s="2" t="inlineStr">
        <is>
          <t>Skogshare</t>
        </is>
      </c>
      <c r="S333">
        <f>HYPERLINK("https://klasma.github.io/Logging_2313/artfynd/A 52809-2025 artfynd.xlsx", "A 52809-2025")</f>
        <v/>
      </c>
      <c r="T333">
        <f>HYPERLINK("https://klasma.github.io/Logging_2313/kartor/A 52809-2025 karta.png", "A 52809-2025")</f>
        <v/>
      </c>
      <c r="V333">
        <f>HYPERLINK("https://klasma.github.io/Logging_2313/klagomål/A 52809-2025 FSC-klagomål.docx", "A 52809-2025")</f>
        <v/>
      </c>
      <c r="W333">
        <f>HYPERLINK("https://klasma.github.io/Logging_2313/klagomålsmail/A 52809-2025 FSC-klagomål mail.docx", "A 52809-2025")</f>
        <v/>
      </c>
      <c r="X333">
        <f>HYPERLINK("https://klasma.github.io/Logging_2313/tillsyn/A 52809-2025 tillsynsbegäran.docx", "A 52809-2025")</f>
        <v/>
      </c>
      <c r="Y333">
        <f>HYPERLINK("https://klasma.github.io/Logging_2313/tillsynsmail/A 52809-2025 tillsynsbegäran mail.docx", "A 52809-2025")</f>
        <v/>
      </c>
    </row>
    <row r="334" ht="15" customHeight="1">
      <c r="A334" t="inlineStr">
        <is>
          <t>A 22057-2025</t>
        </is>
      </c>
      <c r="B334" s="1" t="n">
        <v>45785.3699537037</v>
      </c>
      <c r="C334" s="1" t="n">
        <v>45972</v>
      </c>
      <c r="D334" t="inlineStr">
        <is>
          <t>JÄMTLANDS LÄN</t>
        </is>
      </c>
      <c r="E334" t="inlineStr">
        <is>
          <t>STRÖMSUND</t>
        </is>
      </c>
      <c r="G334" t="n">
        <v>38.5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22057-2025 artfynd.xlsx", "A 22057-2025")</f>
        <v/>
      </c>
      <c r="T334">
        <f>HYPERLINK("https://klasma.github.io/Logging_2313/kartor/A 22057-2025 karta.png", "A 22057-2025")</f>
        <v/>
      </c>
      <c r="V334">
        <f>HYPERLINK("https://klasma.github.io/Logging_2313/klagomål/A 22057-2025 FSC-klagomål.docx", "A 22057-2025")</f>
        <v/>
      </c>
      <c r="W334">
        <f>HYPERLINK("https://klasma.github.io/Logging_2313/klagomålsmail/A 22057-2025 FSC-klagomål mail.docx", "A 22057-2025")</f>
        <v/>
      </c>
      <c r="X334">
        <f>HYPERLINK("https://klasma.github.io/Logging_2313/tillsyn/A 22057-2025 tillsynsbegäran.docx", "A 22057-2025")</f>
        <v/>
      </c>
      <c r="Y334">
        <f>HYPERLINK("https://klasma.github.io/Logging_2313/tillsynsmail/A 22057-2025 tillsynsbegäran mail.docx", "A 22057-2025")</f>
        <v/>
      </c>
      <c r="Z334">
        <f>HYPERLINK("https://klasma.github.io/Logging_2313/fåglar/A 22057-2025 prioriterade fågelarter.docx", "A 22057-2025")</f>
        <v/>
      </c>
    </row>
    <row r="335" ht="15" customHeight="1">
      <c r="A335" t="inlineStr">
        <is>
          <t>A 32965-2022</t>
        </is>
      </c>
      <c r="B335" s="1" t="n">
        <v>44784</v>
      </c>
      <c r="C335" s="1" t="n">
        <v>45972</v>
      </c>
      <c r="D335" t="inlineStr">
        <is>
          <t>JÄMTLANDS LÄN</t>
        </is>
      </c>
      <c r="E335" t="inlineStr">
        <is>
          <t>STRÖMSUND</t>
        </is>
      </c>
      <c r="G335" t="n">
        <v>5.8</v>
      </c>
      <c r="H335" t="n">
        <v>0</v>
      </c>
      <c r="I335" t="n">
        <v>0</v>
      </c>
      <c r="J335" t="n">
        <v>1</v>
      </c>
      <c r="K335" t="n">
        <v>0</v>
      </c>
      <c r="L335" t="n">
        <v>0</v>
      </c>
      <c r="M335" t="n">
        <v>0</v>
      </c>
      <c r="N335" t="n">
        <v>0</v>
      </c>
      <c r="O335" t="n">
        <v>1</v>
      </c>
      <c r="P335" t="n">
        <v>0</v>
      </c>
      <c r="Q335" t="n">
        <v>1</v>
      </c>
      <c r="R335" s="2" t="inlineStr">
        <is>
          <t>Vitgrynig nållav</t>
        </is>
      </c>
      <c r="S335">
        <f>HYPERLINK("https://klasma.github.io/Logging_2313/artfynd/A 32965-2022 artfynd.xlsx", "A 32965-2022")</f>
        <v/>
      </c>
      <c r="T335">
        <f>HYPERLINK("https://klasma.github.io/Logging_2313/kartor/A 32965-2022 karta.png", "A 32965-2022")</f>
        <v/>
      </c>
      <c r="V335">
        <f>HYPERLINK("https://klasma.github.io/Logging_2313/klagomål/A 32965-2022 FSC-klagomål.docx", "A 32965-2022")</f>
        <v/>
      </c>
      <c r="W335">
        <f>HYPERLINK("https://klasma.github.io/Logging_2313/klagomålsmail/A 32965-2022 FSC-klagomål mail.docx", "A 32965-2022")</f>
        <v/>
      </c>
      <c r="X335">
        <f>HYPERLINK("https://klasma.github.io/Logging_2313/tillsyn/A 32965-2022 tillsynsbegäran.docx", "A 32965-2022")</f>
        <v/>
      </c>
      <c r="Y335">
        <f>HYPERLINK("https://klasma.github.io/Logging_2313/tillsynsmail/A 32965-2022 tillsynsbegäran mail.docx", "A 32965-2022")</f>
        <v/>
      </c>
    </row>
    <row r="336" ht="15" customHeight="1">
      <c r="A336" t="inlineStr">
        <is>
          <t>A 9710-2021</t>
        </is>
      </c>
      <c r="B336" s="1" t="n">
        <v>44252</v>
      </c>
      <c r="C336" s="1" t="n">
        <v>45972</v>
      </c>
      <c r="D336" t="inlineStr">
        <is>
          <t>JÄMTLANDS LÄN</t>
        </is>
      </c>
      <c r="E336" t="inlineStr">
        <is>
          <t>STRÖMSUND</t>
        </is>
      </c>
      <c r="G336" t="n">
        <v>18.5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9710-2021 artfynd.xlsx", "A 9710-2021")</f>
        <v/>
      </c>
      <c r="T336">
        <f>HYPERLINK("https://klasma.github.io/Logging_2313/kartor/A 9710-2021 karta.png", "A 9710-2021")</f>
        <v/>
      </c>
      <c r="V336">
        <f>HYPERLINK("https://klasma.github.io/Logging_2313/klagomål/A 9710-2021 FSC-klagomål.docx", "A 9710-2021")</f>
        <v/>
      </c>
      <c r="W336">
        <f>HYPERLINK("https://klasma.github.io/Logging_2313/klagomålsmail/A 9710-2021 FSC-klagomål mail.docx", "A 9710-2021")</f>
        <v/>
      </c>
      <c r="X336">
        <f>HYPERLINK("https://klasma.github.io/Logging_2313/tillsyn/A 9710-2021 tillsynsbegäran.docx", "A 9710-2021")</f>
        <v/>
      </c>
      <c r="Y336">
        <f>HYPERLINK("https://klasma.github.io/Logging_2313/tillsynsmail/A 9710-2021 tillsynsbegäran mail.docx", "A 9710-2021")</f>
        <v/>
      </c>
      <c r="Z336">
        <f>HYPERLINK("https://klasma.github.io/Logging_2313/fåglar/A 9710-2021 prioriterade fågelarter.docx", "A 9710-2021")</f>
        <v/>
      </c>
    </row>
    <row r="337" ht="15" customHeight="1">
      <c r="A337" t="inlineStr">
        <is>
          <t>A 53447-2023</t>
        </is>
      </c>
      <c r="B337" s="1" t="n">
        <v>45229</v>
      </c>
      <c r="C337" s="1" t="n">
        <v>45972</v>
      </c>
      <c r="D337" t="inlineStr">
        <is>
          <t>JÄMTLANDS LÄN</t>
        </is>
      </c>
      <c r="E337" t="inlineStr">
        <is>
          <t>STRÖMSUND</t>
        </is>
      </c>
      <c r="F337" t="inlineStr">
        <is>
          <t>SCA</t>
        </is>
      </c>
      <c r="G337" t="n">
        <v>3.4</v>
      </c>
      <c r="H337" t="n">
        <v>0</v>
      </c>
      <c r="I337" t="n">
        <v>0</v>
      </c>
      <c r="J337" t="n">
        <v>1</v>
      </c>
      <c r="K337" t="n">
        <v>0</v>
      </c>
      <c r="L337" t="n">
        <v>0</v>
      </c>
      <c r="M337" t="n">
        <v>0</v>
      </c>
      <c r="N337" t="n">
        <v>0</v>
      </c>
      <c r="O337" t="n">
        <v>1</v>
      </c>
      <c r="P337" t="n">
        <v>0</v>
      </c>
      <c r="Q337" t="n">
        <v>1</v>
      </c>
      <c r="R337" s="2" t="inlineStr">
        <is>
          <t>Harticka</t>
        </is>
      </c>
      <c r="S337">
        <f>HYPERLINK("https://klasma.github.io/Logging_2313/artfynd/A 53447-2023 artfynd.xlsx", "A 53447-2023")</f>
        <v/>
      </c>
      <c r="T337">
        <f>HYPERLINK("https://klasma.github.io/Logging_2313/kartor/A 53447-2023 karta.png", "A 53447-2023")</f>
        <v/>
      </c>
      <c r="V337">
        <f>HYPERLINK("https://klasma.github.io/Logging_2313/klagomål/A 53447-2023 FSC-klagomål.docx", "A 53447-2023")</f>
        <v/>
      </c>
      <c r="W337">
        <f>HYPERLINK("https://klasma.github.io/Logging_2313/klagomålsmail/A 53447-2023 FSC-klagomål mail.docx", "A 53447-2023")</f>
        <v/>
      </c>
      <c r="X337">
        <f>HYPERLINK("https://klasma.github.io/Logging_2313/tillsyn/A 53447-2023 tillsynsbegäran.docx", "A 53447-2023")</f>
        <v/>
      </c>
      <c r="Y337">
        <f>HYPERLINK("https://klasma.github.io/Logging_2313/tillsynsmail/A 53447-2023 tillsynsbegäran mail.docx", "A 53447-2023")</f>
        <v/>
      </c>
    </row>
    <row r="338" ht="15" customHeight="1">
      <c r="A338" t="inlineStr">
        <is>
          <t>A 31481-2025</t>
        </is>
      </c>
      <c r="B338" s="1" t="n">
        <v>45833.57373842593</v>
      </c>
      <c r="C338" s="1" t="n">
        <v>45972</v>
      </c>
      <c r="D338" t="inlineStr">
        <is>
          <t>JÄMTLANDS LÄN</t>
        </is>
      </c>
      <c r="E338" t="inlineStr">
        <is>
          <t>STRÖMSUND</t>
        </is>
      </c>
      <c r="F338" t="inlineStr">
        <is>
          <t>SCA</t>
        </is>
      </c>
      <c r="G338" t="n">
        <v>2.7</v>
      </c>
      <c r="H338" t="n">
        <v>1</v>
      </c>
      <c r="I338" t="n">
        <v>0</v>
      </c>
      <c r="J338" t="n">
        <v>0</v>
      </c>
      <c r="K338" t="n">
        <v>1</v>
      </c>
      <c r="L338" t="n">
        <v>0</v>
      </c>
      <c r="M338" t="n">
        <v>0</v>
      </c>
      <c r="N338" t="n">
        <v>0</v>
      </c>
      <c r="O338" t="n">
        <v>1</v>
      </c>
      <c r="P338" t="n">
        <v>1</v>
      </c>
      <c r="Q338" t="n">
        <v>1</v>
      </c>
      <c r="R338" s="2" t="inlineStr">
        <is>
          <t>Doftticka</t>
        </is>
      </c>
      <c r="S338">
        <f>HYPERLINK("https://klasma.github.io/Logging_2313/artfynd/A 31481-2025 artfynd.xlsx", "A 31481-2025")</f>
        <v/>
      </c>
      <c r="T338">
        <f>HYPERLINK("https://klasma.github.io/Logging_2313/kartor/A 31481-2025 karta.png", "A 31481-2025")</f>
        <v/>
      </c>
      <c r="V338">
        <f>HYPERLINK("https://klasma.github.io/Logging_2313/klagomål/A 31481-2025 FSC-klagomål.docx", "A 31481-2025")</f>
        <v/>
      </c>
      <c r="W338">
        <f>HYPERLINK("https://klasma.github.io/Logging_2313/klagomålsmail/A 31481-2025 FSC-klagomål mail.docx", "A 31481-2025")</f>
        <v/>
      </c>
      <c r="X338">
        <f>HYPERLINK("https://klasma.github.io/Logging_2313/tillsyn/A 31481-2025 tillsynsbegäran.docx", "A 31481-2025")</f>
        <v/>
      </c>
      <c r="Y338">
        <f>HYPERLINK("https://klasma.github.io/Logging_2313/tillsynsmail/A 31481-2025 tillsynsbegäran mail.docx", "A 31481-2025")</f>
        <v/>
      </c>
    </row>
    <row r="339" ht="15" customHeight="1">
      <c r="A339" t="inlineStr">
        <is>
          <t>A 32474-2025</t>
        </is>
      </c>
      <c r="B339" s="1" t="n">
        <v>45838.42800925926</v>
      </c>
      <c r="C339" s="1" t="n">
        <v>45972</v>
      </c>
      <c r="D339" t="inlineStr">
        <is>
          <t>JÄMTLANDS LÄN</t>
        </is>
      </c>
      <c r="E339" t="inlineStr">
        <is>
          <t>STRÖMSUND</t>
        </is>
      </c>
      <c r="F339" t="inlineStr">
        <is>
          <t>SCA</t>
        </is>
      </c>
      <c r="G339" t="n">
        <v>0.9</v>
      </c>
      <c r="H339" t="n">
        <v>0</v>
      </c>
      <c r="I339" t="n">
        <v>0</v>
      </c>
      <c r="J339" t="n">
        <v>1</v>
      </c>
      <c r="K339" t="n">
        <v>0</v>
      </c>
      <c r="L339" t="n">
        <v>0</v>
      </c>
      <c r="M339" t="n">
        <v>0</v>
      </c>
      <c r="N339" t="n">
        <v>0</v>
      </c>
      <c r="O339" t="n">
        <v>1</v>
      </c>
      <c r="P339" t="n">
        <v>0</v>
      </c>
      <c r="Q339" t="n">
        <v>1</v>
      </c>
      <c r="R339" s="2" t="inlineStr">
        <is>
          <t>Vitgrynig nållav</t>
        </is>
      </c>
      <c r="S339">
        <f>HYPERLINK("https://klasma.github.io/Logging_2313/artfynd/A 32474-2025 artfynd.xlsx", "A 32474-2025")</f>
        <v/>
      </c>
      <c r="T339">
        <f>HYPERLINK("https://klasma.github.io/Logging_2313/kartor/A 32474-2025 karta.png", "A 32474-2025")</f>
        <v/>
      </c>
      <c r="V339">
        <f>HYPERLINK("https://klasma.github.io/Logging_2313/klagomål/A 32474-2025 FSC-klagomål.docx", "A 32474-2025")</f>
        <v/>
      </c>
      <c r="W339">
        <f>HYPERLINK("https://klasma.github.io/Logging_2313/klagomålsmail/A 32474-2025 FSC-klagomål mail.docx", "A 32474-2025")</f>
        <v/>
      </c>
      <c r="X339">
        <f>HYPERLINK("https://klasma.github.io/Logging_2313/tillsyn/A 32474-2025 tillsynsbegäran.docx", "A 32474-2025")</f>
        <v/>
      </c>
      <c r="Y339">
        <f>HYPERLINK("https://klasma.github.io/Logging_2313/tillsynsmail/A 32474-2025 tillsynsbegäran mail.docx", "A 32474-2025")</f>
        <v/>
      </c>
    </row>
    <row r="340" ht="15" customHeight="1">
      <c r="A340" t="inlineStr">
        <is>
          <t>A 14322-2025</t>
        </is>
      </c>
      <c r="B340" s="1" t="n">
        <v>45740.76611111111</v>
      </c>
      <c r="C340" s="1" t="n">
        <v>45972</v>
      </c>
      <c r="D340" t="inlineStr">
        <is>
          <t>JÄMTLANDS LÄN</t>
        </is>
      </c>
      <c r="E340" t="inlineStr">
        <is>
          <t>STRÖMSUND</t>
        </is>
      </c>
      <c r="G340" t="n">
        <v>5.4</v>
      </c>
      <c r="H340" t="n">
        <v>1</v>
      </c>
      <c r="I340" t="n">
        <v>0</v>
      </c>
      <c r="J340" t="n">
        <v>1</v>
      </c>
      <c r="K340" t="n">
        <v>0</v>
      </c>
      <c r="L340" t="n">
        <v>0</v>
      </c>
      <c r="M340" t="n">
        <v>0</v>
      </c>
      <c r="N340" t="n">
        <v>0</v>
      </c>
      <c r="O340" t="n">
        <v>1</v>
      </c>
      <c r="P340" t="n">
        <v>0</v>
      </c>
      <c r="Q340" t="n">
        <v>1</v>
      </c>
      <c r="R340" s="2" t="inlineStr">
        <is>
          <t>Nordfladdermus</t>
        </is>
      </c>
      <c r="S340">
        <f>HYPERLINK("https://klasma.github.io/Logging_2313/artfynd/A 14322-2025 artfynd.xlsx", "A 14322-2025")</f>
        <v/>
      </c>
      <c r="T340">
        <f>HYPERLINK("https://klasma.github.io/Logging_2313/kartor/A 14322-2025 karta.png", "A 14322-2025")</f>
        <v/>
      </c>
      <c r="V340">
        <f>HYPERLINK("https://klasma.github.io/Logging_2313/klagomål/A 14322-2025 FSC-klagomål.docx", "A 14322-2025")</f>
        <v/>
      </c>
      <c r="W340">
        <f>HYPERLINK("https://klasma.github.io/Logging_2313/klagomålsmail/A 14322-2025 FSC-klagomål mail.docx", "A 14322-2025")</f>
        <v/>
      </c>
      <c r="X340">
        <f>HYPERLINK("https://klasma.github.io/Logging_2313/tillsyn/A 14322-2025 tillsynsbegäran.docx", "A 14322-2025")</f>
        <v/>
      </c>
      <c r="Y340">
        <f>HYPERLINK("https://klasma.github.io/Logging_2313/tillsynsmail/A 14322-2025 tillsynsbegäran mail.docx", "A 14322-2025")</f>
        <v/>
      </c>
    </row>
    <row r="341" ht="15" customHeight="1">
      <c r="A341" t="inlineStr">
        <is>
          <t>A 32849-2025</t>
        </is>
      </c>
      <c r="B341" s="1" t="n">
        <v>45839.57371527778</v>
      </c>
      <c r="C341" s="1" t="n">
        <v>45972</v>
      </c>
      <c r="D341" t="inlineStr">
        <is>
          <t>JÄMTLANDS LÄN</t>
        </is>
      </c>
      <c r="E341" t="inlineStr">
        <is>
          <t>STRÖMSUND</t>
        </is>
      </c>
      <c r="F341" t="inlineStr">
        <is>
          <t>SCA</t>
        </is>
      </c>
      <c r="G341" t="n">
        <v>8.5</v>
      </c>
      <c r="H341" t="n">
        <v>1</v>
      </c>
      <c r="I341" t="n">
        <v>0</v>
      </c>
      <c r="J341" t="n">
        <v>0</v>
      </c>
      <c r="K341" t="n">
        <v>0</v>
      </c>
      <c r="L341" t="n">
        <v>0</v>
      </c>
      <c r="M341" t="n">
        <v>0</v>
      </c>
      <c r="N341" t="n">
        <v>0</v>
      </c>
      <c r="O341" t="n">
        <v>0</v>
      </c>
      <c r="P341" t="n">
        <v>0</v>
      </c>
      <c r="Q341" t="n">
        <v>1</v>
      </c>
      <c r="R341" s="2" t="inlineStr">
        <is>
          <t>Tjäder</t>
        </is>
      </c>
      <c r="S341">
        <f>HYPERLINK("https://klasma.github.io/Logging_2313/artfynd/A 32849-2025 artfynd.xlsx", "A 32849-2025")</f>
        <v/>
      </c>
      <c r="T341">
        <f>HYPERLINK("https://klasma.github.io/Logging_2313/kartor/A 32849-2025 karta.png", "A 32849-2025")</f>
        <v/>
      </c>
      <c r="V341">
        <f>HYPERLINK("https://klasma.github.io/Logging_2313/klagomål/A 32849-2025 FSC-klagomål.docx", "A 32849-2025")</f>
        <v/>
      </c>
      <c r="W341">
        <f>HYPERLINK("https://klasma.github.io/Logging_2313/klagomålsmail/A 32849-2025 FSC-klagomål mail.docx", "A 32849-2025")</f>
        <v/>
      </c>
      <c r="X341">
        <f>HYPERLINK("https://klasma.github.io/Logging_2313/tillsyn/A 32849-2025 tillsynsbegäran.docx", "A 32849-2025")</f>
        <v/>
      </c>
      <c r="Y341">
        <f>HYPERLINK("https://klasma.github.io/Logging_2313/tillsynsmail/A 32849-2025 tillsynsbegäran mail.docx", "A 32849-2025")</f>
        <v/>
      </c>
      <c r="Z341">
        <f>HYPERLINK("https://klasma.github.io/Logging_2313/fåglar/A 32849-2025 prioriterade fågelarter.docx", "A 32849-2025")</f>
        <v/>
      </c>
    </row>
    <row r="342" ht="15" customHeight="1">
      <c r="A342" t="inlineStr">
        <is>
          <t>A 32939-2025</t>
        </is>
      </c>
      <c r="B342" s="1" t="n">
        <v>45839.67765046296</v>
      </c>
      <c r="C342" s="1" t="n">
        <v>45972</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Harticka</t>
        </is>
      </c>
      <c r="S342">
        <f>HYPERLINK("https://klasma.github.io/Logging_2313/artfynd/A 32939-2025 artfynd.xlsx", "A 32939-2025")</f>
        <v/>
      </c>
      <c r="T342">
        <f>HYPERLINK("https://klasma.github.io/Logging_2313/kartor/A 32939-2025 karta.png", "A 32939-2025")</f>
        <v/>
      </c>
      <c r="U342">
        <f>HYPERLINK("https://klasma.github.io/Logging_2313/knärot/A 32939-2025 karta knärot.png", "A 32939-2025")</f>
        <v/>
      </c>
      <c r="V342">
        <f>HYPERLINK("https://klasma.github.io/Logging_2313/klagomål/A 32939-2025 FSC-klagomål.docx", "A 32939-2025")</f>
        <v/>
      </c>
      <c r="W342">
        <f>HYPERLINK("https://klasma.github.io/Logging_2313/klagomålsmail/A 32939-2025 FSC-klagomål mail.docx", "A 32939-2025")</f>
        <v/>
      </c>
      <c r="X342">
        <f>HYPERLINK("https://klasma.github.io/Logging_2313/tillsyn/A 32939-2025 tillsynsbegäran.docx", "A 32939-2025")</f>
        <v/>
      </c>
      <c r="Y342">
        <f>HYPERLINK("https://klasma.github.io/Logging_2313/tillsynsmail/A 32939-2025 tillsynsbegäran mail.docx", "A 32939-2025")</f>
        <v/>
      </c>
    </row>
    <row r="343" ht="15" customHeight="1">
      <c r="A343" t="inlineStr">
        <is>
          <t>A 53772-2025</t>
        </is>
      </c>
      <c r="B343" s="1" t="n">
        <v>45960.68502314815</v>
      </c>
      <c r="C343" s="1" t="n">
        <v>45972</v>
      </c>
      <c r="D343" t="inlineStr">
        <is>
          <t>JÄMTLANDS LÄN</t>
        </is>
      </c>
      <c r="E343" t="inlineStr">
        <is>
          <t>STRÖMSUND</t>
        </is>
      </c>
      <c r="G343" t="n">
        <v>3.1</v>
      </c>
      <c r="H343" t="n">
        <v>0</v>
      </c>
      <c r="I343" t="n">
        <v>1</v>
      </c>
      <c r="J343" t="n">
        <v>0</v>
      </c>
      <c r="K343" t="n">
        <v>0</v>
      </c>
      <c r="L343" t="n">
        <v>0</v>
      </c>
      <c r="M343" t="n">
        <v>0</v>
      </c>
      <c r="N343" t="n">
        <v>0</v>
      </c>
      <c r="O343" t="n">
        <v>0</v>
      </c>
      <c r="P343" t="n">
        <v>0</v>
      </c>
      <c r="Q343" t="n">
        <v>1</v>
      </c>
      <c r="R343" s="2" t="inlineStr">
        <is>
          <t>Skinnlav</t>
        </is>
      </c>
      <c r="S343">
        <f>HYPERLINK("https://klasma.github.io/Logging_2313/artfynd/A 53772-2025 artfynd.xlsx", "A 53772-2025")</f>
        <v/>
      </c>
      <c r="T343">
        <f>HYPERLINK("https://klasma.github.io/Logging_2313/kartor/A 53772-2025 karta.png", "A 53772-2025")</f>
        <v/>
      </c>
      <c r="V343">
        <f>HYPERLINK("https://klasma.github.io/Logging_2313/klagomål/A 53772-2025 FSC-klagomål.docx", "A 53772-2025")</f>
        <v/>
      </c>
      <c r="W343">
        <f>HYPERLINK("https://klasma.github.io/Logging_2313/klagomålsmail/A 53772-2025 FSC-klagomål mail.docx", "A 53772-2025")</f>
        <v/>
      </c>
      <c r="X343">
        <f>HYPERLINK("https://klasma.github.io/Logging_2313/tillsyn/A 53772-2025 tillsynsbegäran.docx", "A 53772-2025")</f>
        <v/>
      </c>
      <c r="Y343">
        <f>HYPERLINK("https://klasma.github.io/Logging_2313/tillsynsmail/A 53772-2025 tillsynsbegäran mail.docx", "A 53772-2025")</f>
        <v/>
      </c>
    </row>
    <row r="344" ht="15" customHeight="1">
      <c r="A344" t="inlineStr">
        <is>
          <t>A 55530-2022</t>
        </is>
      </c>
      <c r="B344" s="1" t="n">
        <v>44887</v>
      </c>
      <c r="C344" s="1" t="n">
        <v>45972</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34298-2025</t>
        </is>
      </c>
      <c r="B345" s="1" t="n">
        <v>45846</v>
      </c>
      <c r="C345" s="1" t="n">
        <v>45972</v>
      </c>
      <c r="D345" t="inlineStr">
        <is>
          <t>JÄMTLANDS LÄN</t>
        </is>
      </c>
      <c r="E345" t="inlineStr">
        <is>
          <t>STRÖMSUND</t>
        </is>
      </c>
      <c r="F345" t="inlineStr">
        <is>
          <t>SCA</t>
        </is>
      </c>
      <c r="G345" t="n">
        <v>16.3</v>
      </c>
      <c r="H345" t="n">
        <v>1</v>
      </c>
      <c r="I345" t="n">
        <v>0</v>
      </c>
      <c r="J345" t="n">
        <v>0</v>
      </c>
      <c r="K345" t="n">
        <v>1</v>
      </c>
      <c r="L345" t="n">
        <v>0</v>
      </c>
      <c r="M345" t="n">
        <v>0</v>
      </c>
      <c r="N345" t="n">
        <v>0</v>
      </c>
      <c r="O345" t="n">
        <v>1</v>
      </c>
      <c r="P345" t="n">
        <v>1</v>
      </c>
      <c r="Q345" t="n">
        <v>1</v>
      </c>
      <c r="R345" s="2" t="inlineStr">
        <is>
          <t>Doftticka</t>
        </is>
      </c>
      <c r="S345">
        <f>HYPERLINK("https://klasma.github.io/Logging_2313/artfynd/A 34298-2025 artfynd.xlsx", "A 34298-2025")</f>
        <v/>
      </c>
      <c r="T345">
        <f>HYPERLINK("https://klasma.github.io/Logging_2313/kartor/A 34298-2025 karta.png", "A 34298-2025")</f>
        <v/>
      </c>
      <c r="V345">
        <f>HYPERLINK("https://klasma.github.io/Logging_2313/klagomål/A 34298-2025 FSC-klagomål.docx", "A 34298-2025")</f>
        <v/>
      </c>
      <c r="W345">
        <f>HYPERLINK("https://klasma.github.io/Logging_2313/klagomålsmail/A 34298-2025 FSC-klagomål mail.docx", "A 34298-2025")</f>
        <v/>
      </c>
      <c r="X345">
        <f>HYPERLINK("https://klasma.github.io/Logging_2313/tillsyn/A 34298-2025 tillsynsbegäran.docx", "A 34298-2025")</f>
        <v/>
      </c>
      <c r="Y345">
        <f>HYPERLINK("https://klasma.github.io/Logging_2313/tillsynsmail/A 34298-2025 tillsynsbegäran mail.docx", "A 34298-2025")</f>
        <v/>
      </c>
    </row>
    <row r="346" ht="15" customHeight="1">
      <c r="A346" t="inlineStr">
        <is>
          <t>A 34890-2025</t>
        </is>
      </c>
      <c r="B346" s="1" t="n">
        <v>45849.49013888889</v>
      </c>
      <c r="C346" s="1" t="n">
        <v>45972</v>
      </c>
      <c r="D346" t="inlineStr">
        <is>
          <t>JÄMTLANDS LÄN</t>
        </is>
      </c>
      <c r="E346" t="inlineStr">
        <is>
          <t>STRÖMSUND</t>
        </is>
      </c>
      <c r="F346" t="inlineStr">
        <is>
          <t>SCA</t>
        </is>
      </c>
      <c r="G346" t="n">
        <v>15.7</v>
      </c>
      <c r="H346" t="n">
        <v>1</v>
      </c>
      <c r="I346" t="n">
        <v>0</v>
      </c>
      <c r="J346" t="n">
        <v>0</v>
      </c>
      <c r="K346" t="n">
        <v>1</v>
      </c>
      <c r="L346" t="n">
        <v>0</v>
      </c>
      <c r="M346" t="n">
        <v>0</v>
      </c>
      <c r="N346" t="n">
        <v>0</v>
      </c>
      <c r="O346" t="n">
        <v>1</v>
      </c>
      <c r="P346" t="n">
        <v>1</v>
      </c>
      <c r="Q346" t="n">
        <v>1</v>
      </c>
      <c r="R346" s="2" t="inlineStr">
        <is>
          <t>Doftticka</t>
        </is>
      </c>
      <c r="S346">
        <f>HYPERLINK("https://klasma.github.io/Logging_2313/artfynd/A 34890-2025 artfynd.xlsx", "A 34890-2025")</f>
        <v/>
      </c>
      <c r="T346">
        <f>HYPERLINK("https://klasma.github.io/Logging_2313/kartor/A 34890-2025 karta.png", "A 34890-2025")</f>
        <v/>
      </c>
      <c r="V346">
        <f>HYPERLINK("https://klasma.github.io/Logging_2313/klagomål/A 34890-2025 FSC-klagomål.docx", "A 34890-2025")</f>
        <v/>
      </c>
      <c r="W346">
        <f>HYPERLINK("https://klasma.github.io/Logging_2313/klagomålsmail/A 34890-2025 FSC-klagomål mail.docx", "A 34890-2025")</f>
        <v/>
      </c>
      <c r="X346">
        <f>HYPERLINK("https://klasma.github.io/Logging_2313/tillsyn/A 34890-2025 tillsynsbegäran.docx", "A 34890-2025")</f>
        <v/>
      </c>
      <c r="Y346">
        <f>HYPERLINK("https://klasma.github.io/Logging_2313/tillsynsmail/A 34890-2025 tillsynsbegäran mail.docx", "A 34890-2025")</f>
        <v/>
      </c>
    </row>
    <row r="347" ht="15" customHeight="1">
      <c r="A347" t="inlineStr">
        <is>
          <t>A 45289-2025</t>
        </is>
      </c>
      <c r="B347" s="1" t="n">
        <v>45920.34424768519</v>
      </c>
      <c r="C347" s="1" t="n">
        <v>45972</v>
      </c>
      <c r="D347" t="inlineStr">
        <is>
          <t>JÄMTLANDS LÄN</t>
        </is>
      </c>
      <c r="E347" t="inlineStr">
        <is>
          <t>STRÖMSUND</t>
        </is>
      </c>
      <c r="F347" t="inlineStr">
        <is>
          <t>SCA</t>
        </is>
      </c>
      <c r="G347" t="n">
        <v>4.1</v>
      </c>
      <c r="H347" t="n">
        <v>0</v>
      </c>
      <c r="I347" t="n">
        <v>0</v>
      </c>
      <c r="J347" t="n">
        <v>1</v>
      </c>
      <c r="K347" t="n">
        <v>0</v>
      </c>
      <c r="L347" t="n">
        <v>0</v>
      </c>
      <c r="M347" t="n">
        <v>0</v>
      </c>
      <c r="N347" t="n">
        <v>0</v>
      </c>
      <c r="O347" t="n">
        <v>1</v>
      </c>
      <c r="P347" t="n">
        <v>0</v>
      </c>
      <c r="Q347" t="n">
        <v>1</v>
      </c>
      <c r="R347" s="2" t="inlineStr">
        <is>
          <t>Mörk kolflarnlav</t>
        </is>
      </c>
      <c r="S347">
        <f>HYPERLINK("https://klasma.github.io/Logging_2313/artfynd/A 45289-2025 artfynd.xlsx", "A 45289-2025")</f>
        <v/>
      </c>
      <c r="T347">
        <f>HYPERLINK("https://klasma.github.io/Logging_2313/kartor/A 45289-2025 karta.png", "A 45289-2025")</f>
        <v/>
      </c>
      <c r="V347">
        <f>HYPERLINK("https://klasma.github.io/Logging_2313/klagomål/A 45289-2025 FSC-klagomål.docx", "A 45289-2025")</f>
        <v/>
      </c>
      <c r="W347">
        <f>HYPERLINK("https://klasma.github.io/Logging_2313/klagomålsmail/A 45289-2025 FSC-klagomål mail.docx", "A 45289-2025")</f>
        <v/>
      </c>
      <c r="X347">
        <f>HYPERLINK("https://klasma.github.io/Logging_2313/tillsyn/A 45289-2025 tillsynsbegäran.docx", "A 45289-2025")</f>
        <v/>
      </c>
      <c r="Y347">
        <f>HYPERLINK("https://klasma.github.io/Logging_2313/tillsynsmail/A 45289-2025 tillsynsbegäran mail.docx", "A 45289-2025")</f>
        <v/>
      </c>
    </row>
    <row r="348" ht="15" customHeight="1">
      <c r="A348" t="inlineStr">
        <is>
          <t>A 45454-2025</t>
        </is>
      </c>
      <c r="B348" s="1" t="n">
        <v>45922.49015046296</v>
      </c>
      <c r="C348" s="1" t="n">
        <v>45972</v>
      </c>
      <c r="D348" t="inlineStr">
        <is>
          <t>JÄMTLANDS LÄN</t>
        </is>
      </c>
      <c r="E348" t="inlineStr">
        <is>
          <t>STRÖMSUND</t>
        </is>
      </c>
      <c r="F348" t="inlineStr">
        <is>
          <t>SCA</t>
        </is>
      </c>
      <c r="G348" t="n">
        <v>3.7</v>
      </c>
      <c r="H348" t="n">
        <v>0</v>
      </c>
      <c r="I348" t="n">
        <v>0</v>
      </c>
      <c r="J348" t="n">
        <v>1</v>
      </c>
      <c r="K348" t="n">
        <v>0</v>
      </c>
      <c r="L348" t="n">
        <v>0</v>
      </c>
      <c r="M348" t="n">
        <v>0</v>
      </c>
      <c r="N348" t="n">
        <v>0</v>
      </c>
      <c r="O348" t="n">
        <v>1</v>
      </c>
      <c r="P348" t="n">
        <v>0</v>
      </c>
      <c r="Q348" t="n">
        <v>1</v>
      </c>
      <c r="R348" s="2" t="inlineStr">
        <is>
          <t>Gammelgransskål</t>
        </is>
      </c>
      <c r="S348">
        <f>HYPERLINK("https://klasma.github.io/Logging_2313/artfynd/A 45454-2025 artfynd.xlsx", "A 45454-2025")</f>
        <v/>
      </c>
      <c r="T348">
        <f>HYPERLINK("https://klasma.github.io/Logging_2313/kartor/A 45454-2025 karta.png", "A 45454-2025")</f>
        <v/>
      </c>
      <c r="V348">
        <f>HYPERLINK("https://klasma.github.io/Logging_2313/klagomål/A 45454-2025 FSC-klagomål.docx", "A 45454-2025")</f>
        <v/>
      </c>
      <c r="W348">
        <f>HYPERLINK("https://klasma.github.io/Logging_2313/klagomålsmail/A 45454-2025 FSC-klagomål mail.docx", "A 45454-2025")</f>
        <v/>
      </c>
      <c r="X348">
        <f>HYPERLINK("https://klasma.github.io/Logging_2313/tillsyn/A 45454-2025 tillsynsbegäran.docx", "A 45454-2025")</f>
        <v/>
      </c>
      <c r="Y348">
        <f>HYPERLINK("https://klasma.github.io/Logging_2313/tillsynsmail/A 45454-2025 tillsynsbegäran mail.docx", "A 45454-2025")</f>
        <v/>
      </c>
    </row>
    <row r="349" ht="15" customHeight="1">
      <c r="A349" t="inlineStr">
        <is>
          <t>A 54064-2023</t>
        </is>
      </c>
      <c r="B349" s="1" t="n">
        <v>45231</v>
      </c>
      <c r="C349" s="1" t="n">
        <v>45972</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27998-2025</t>
        </is>
      </c>
      <c r="B350" s="1" t="n">
        <v>45817.59481481482</v>
      </c>
      <c r="C350" s="1" t="n">
        <v>45972</v>
      </c>
      <c r="D350" t="inlineStr">
        <is>
          <t>JÄMTLANDS LÄN</t>
        </is>
      </c>
      <c r="E350" t="inlineStr">
        <is>
          <t>STRÖMSUND</t>
        </is>
      </c>
      <c r="F350" t="inlineStr">
        <is>
          <t>SCA</t>
        </is>
      </c>
      <c r="G350" t="n">
        <v>1.5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27998-2025 artfynd.xlsx", "A 27998-2025")</f>
        <v/>
      </c>
      <c r="T350">
        <f>HYPERLINK("https://klasma.github.io/Logging_2313/kartor/A 27998-2025 karta.png", "A 27998-2025")</f>
        <v/>
      </c>
      <c r="U350">
        <f>HYPERLINK("https://klasma.github.io/Logging_2313/knärot/A 27998-2025 karta knärot.png", "A 27998-2025")</f>
        <v/>
      </c>
      <c r="V350">
        <f>HYPERLINK("https://klasma.github.io/Logging_2313/klagomål/A 27998-2025 FSC-klagomål.docx", "A 27998-2025")</f>
        <v/>
      </c>
      <c r="W350">
        <f>HYPERLINK("https://klasma.github.io/Logging_2313/klagomålsmail/A 27998-2025 FSC-klagomål mail.docx", "A 27998-2025")</f>
        <v/>
      </c>
      <c r="X350">
        <f>HYPERLINK("https://klasma.github.io/Logging_2313/tillsyn/A 27998-2025 tillsynsbegäran.docx", "A 27998-2025")</f>
        <v/>
      </c>
      <c r="Y350">
        <f>HYPERLINK("https://klasma.github.io/Logging_2313/tillsynsmail/A 27998-2025 tillsynsbegäran mail.docx", "A 27998-2025")</f>
        <v/>
      </c>
      <c r="Z350">
        <f>HYPERLINK("https://klasma.github.io/Logging_2313/fåglar/A 27998-2025 prioriterade fågelarter.docx", "A 27998-2025")</f>
        <v/>
      </c>
    </row>
    <row r="351" ht="15" customHeight="1">
      <c r="A351" t="inlineStr">
        <is>
          <t>A 43406-2023</t>
        </is>
      </c>
      <c r="B351" s="1" t="n">
        <v>45183</v>
      </c>
      <c r="C351" s="1" t="n">
        <v>45972</v>
      </c>
      <c r="D351" t="inlineStr">
        <is>
          <t>JÄMTLANDS LÄN</t>
        </is>
      </c>
      <c r="E351" t="inlineStr">
        <is>
          <t>STRÖMSUND</t>
        </is>
      </c>
      <c r="F351" t="inlineStr">
        <is>
          <t>SCA</t>
        </is>
      </c>
      <c r="G351" t="n">
        <v>3.6</v>
      </c>
      <c r="H351" t="n">
        <v>0</v>
      </c>
      <c r="I351" t="n">
        <v>0</v>
      </c>
      <c r="J351" t="n">
        <v>1</v>
      </c>
      <c r="K351" t="n">
        <v>0</v>
      </c>
      <c r="L351" t="n">
        <v>0</v>
      </c>
      <c r="M351" t="n">
        <v>0</v>
      </c>
      <c r="N351" t="n">
        <v>0</v>
      </c>
      <c r="O351" t="n">
        <v>1</v>
      </c>
      <c r="P351" t="n">
        <v>0</v>
      </c>
      <c r="Q351" t="n">
        <v>1</v>
      </c>
      <c r="R351" s="2" t="inlineStr">
        <is>
          <t>Lunglav</t>
        </is>
      </c>
      <c r="S351">
        <f>HYPERLINK("https://klasma.github.io/Logging_2313/artfynd/A 43406-2023 artfynd.xlsx", "A 43406-2023")</f>
        <v/>
      </c>
      <c r="T351">
        <f>HYPERLINK("https://klasma.github.io/Logging_2313/kartor/A 43406-2023 karta.png", "A 43406-2023")</f>
        <v/>
      </c>
      <c r="V351">
        <f>HYPERLINK("https://klasma.github.io/Logging_2313/klagomål/A 43406-2023 FSC-klagomål.docx", "A 43406-2023")</f>
        <v/>
      </c>
      <c r="W351">
        <f>HYPERLINK("https://klasma.github.io/Logging_2313/klagomålsmail/A 43406-2023 FSC-klagomål mail.docx", "A 43406-2023")</f>
        <v/>
      </c>
      <c r="X351">
        <f>HYPERLINK("https://klasma.github.io/Logging_2313/tillsyn/A 43406-2023 tillsynsbegäran.docx", "A 43406-2023")</f>
        <v/>
      </c>
      <c r="Y351">
        <f>HYPERLINK("https://klasma.github.io/Logging_2313/tillsynsmail/A 43406-2023 tillsynsbegäran mail.docx", "A 43406-2023")</f>
        <v/>
      </c>
    </row>
    <row r="352" ht="15" customHeight="1">
      <c r="A352" t="inlineStr">
        <is>
          <t>A 59845-2024</t>
        </is>
      </c>
      <c r="B352" s="1" t="n">
        <v>45639.67739583334</v>
      </c>
      <c r="C352" s="1" t="n">
        <v>45972</v>
      </c>
      <c r="D352" t="inlineStr">
        <is>
          <t>JÄMTLANDS LÄN</t>
        </is>
      </c>
      <c r="E352" t="inlineStr">
        <is>
          <t>STRÖMSUND</t>
        </is>
      </c>
      <c r="F352" t="inlineStr">
        <is>
          <t>SCA</t>
        </is>
      </c>
      <c r="G352" t="n">
        <v>4.2</v>
      </c>
      <c r="H352" t="n">
        <v>0</v>
      </c>
      <c r="I352" t="n">
        <v>0</v>
      </c>
      <c r="J352" t="n">
        <v>1</v>
      </c>
      <c r="K352" t="n">
        <v>0</v>
      </c>
      <c r="L352" t="n">
        <v>0</v>
      </c>
      <c r="M352" t="n">
        <v>0</v>
      </c>
      <c r="N352" t="n">
        <v>0</v>
      </c>
      <c r="O352" t="n">
        <v>1</v>
      </c>
      <c r="P352" t="n">
        <v>0</v>
      </c>
      <c r="Q352" t="n">
        <v>1</v>
      </c>
      <c r="R352" s="2" t="inlineStr">
        <is>
          <t>Lunglav</t>
        </is>
      </c>
      <c r="S352">
        <f>HYPERLINK("https://klasma.github.io/Logging_2313/artfynd/A 59845-2024 artfynd.xlsx", "A 59845-2024")</f>
        <v/>
      </c>
      <c r="T352">
        <f>HYPERLINK("https://klasma.github.io/Logging_2313/kartor/A 59845-2024 karta.png", "A 59845-2024")</f>
        <v/>
      </c>
      <c r="V352">
        <f>HYPERLINK("https://klasma.github.io/Logging_2313/klagomål/A 59845-2024 FSC-klagomål.docx", "A 59845-2024")</f>
        <v/>
      </c>
      <c r="W352">
        <f>HYPERLINK("https://klasma.github.io/Logging_2313/klagomålsmail/A 59845-2024 FSC-klagomål mail.docx", "A 59845-2024")</f>
        <v/>
      </c>
      <c r="X352">
        <f>HYPERLINK("https://klasma.github.io/Logging_2313/tillsyn/A 59845-2024 tillsynsbegäran.docx", "A 59845-2024")</f>
        <v/>
      </c>
      <c r="Y352">
        <f>HYPERLINK("https://klasma.github.io/Logging_2313/tillsynsmail/A 59845-2024 tillsynsbegäran mail.docx", "A 59845-2024")</f>
        <v/>
      </c>
    </row>
    <row r="353" ht="15" customHeight="1">
      <c r="A353" t="inlineStr">
        <is>
          <t>A 36874-2025</t>
        </is>
      </c>
      <c r="B353" s="1" t="n">
        <v>45874.42949074074</v>
      </c>
      <c r="C353" s="1" t="n">
        <v>45972</v>
      </c>
      <c r="D353" t="inlineStr">
        <is>
          <t>JÄMTLANDS LÄN</t>
        </is>
      </c>
      <c r="E353" t="inlineStr">
        <is>
          <t>STRÖMSUND</t>
        </is>
      </c>
      <c r="F353" t="inlineStr">
        <is>
          <t>SCA</t>
        </is>
      </c>
      <c r="G353" t="n">
        <v>6.2</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36874-2025 artfynd.xlsx", "A 36874-2025")</f>
        <v/>
      </c>
      <c r="T353">
        <f>HYPERLINK("https://klasma.github.io/Logging_2313/kartor/A 36874-2025 karta.png", "A 36874-2025")</f>
        <v/>
      </c>
      <c r="V353">
        <f>HYPERLINK("https://klasma.github.io/Logging_2313/klagomål/A 36874-2025 FSC-klagomål.docx", "A 36874-2025")</f>
        <v/>
      </c>
      <c r="W353">
        <f>HYPERLINK("https://klasma.github.io/Logging_2313/klagomålsmail/A 36874-2025 FSC-klagomål mail.docx", "A 36874-2025")</f>
        <v/>
      </c>
      <c r="X353">
        <f>HYPERLINK("https://klasma.github.io/Logging_2313/tillsyn/A 36874-2025 tillsynsbegäran.docx", "A 36874-2025")</f>
        <v/>
      </c>
      <c r="Y353">
        <f>HYPERLINK("https://klasma.github.io/Logging_2313/tillsynsmail/A 36874-2025 tillsynsbegäran mail.docx", "A 36874-2025")</f>
        <v/>
      </c>
      <c r="Z353">
        <f>HYPERLINK("https://klasma.github.io/Logging_2313/fåglar/A 36874-2025 prioriterade fågelarter.docx", "A 36874-2025")</f>
        <v/>
      </c>
    </row>
    <row r="354" ht="15" customHeight="1">
      <c r="A354" t="inlineStr">
        <is>
          <t>A 32913-2021</t>
        </is>
      </c>
      <c r="B354" s="1" t="n">
        <v>44375</v>
      </c>
      <c r="C354" s="1" t="n">
        <v>45972</v>
      </c>
      <c r="D354" t="inlineStr">
        <is>
          <t>JÄMTLANDS LÄN</t>
        </is>
      </c>
      <c r="E354" t="inlineStr">
        <is>
          <t>STRÖMSUND</t>
        </is>
      </c>
      <c r="F354" t="inlineStr">
        <is>
          <t>SCA</t>
        </is>
      </c>
      <c r="G354" t="n">
        <v>22</v>
      </c>
      <c r="H354" t="n">
        <v>0</v>
      </c>
      <c r="I354" t="n">
        <v>1</v>
      </c>
      <c r="J354" t="n">
        <v>0</v>
      </c>
      <c r="K354" t="n">
        <v>0</v>
      </c>
      <c r="L354" t="n">
        <v>0</v>
      </c>
      <c r="M354" t="n">
        <v>0</v>
      </c>
      <c r="N354" t="n">
        <v>0</v>
      </c>
      <c r="O354" t="n">
        <v>0</v>
      </c>
      <c r="P354" t="n">
        <v>0</v>
      </c>
      <c r="Q354" t="n">
        <v>1</v>
      </c>
      <c r="R354" s="2" t="inlineStr">
        <is>
          <t>Korallblylav</t>
        </is>
      </c>
      <c r="S354">
        <f>HYPERLINK("https://klasma.github.io/Logging_2313/artfynd/A 32913-2021 artfynd.xlsx", "A 32913-2021")</f>
        <v/>
      </c>
      <c r="T354">
        <f>HYPERLINK("https://klasma.github.io/Logging_2313/kartor/A 32913-2021 karta.png", "A 32913-2021")</f>
        <v/>
      </c>
      <c r="V354">
        <f>HYPERLINK("https://klasma.github.io/Logging_2313/klagomål/A 32913-2021 FSC-klagomål.docx", "A 32913-2021")</f>
        <v/>
      </c>
      <c r="W354">
        <f>HYPERLINK("https://klasma.github.io/Logging_2313/klagomålsmail/A 32913-2021 FSC-klagomål mail.docx", "A 32913-2021")</f>
        <v/>
      </c>
      <c r="X354">
        <f>HYPERLINK("https://klasma.github.io/Logging_2313/tillsyn/A 32913-2021 tillsynsbegäran.docx", "A 32913-2021")</f>
        <v/>
      </c>
      <c r="Y354">
        <f>HYPERLINK("https://klasma.github.io/Logging_2313/tillsynsmail/A 32913-2021 tillsynsbegäran mail.docx", "A 32913-2021")</f>
        <v/>
      </c>
    </row>
    <row r="355" ht="15" customHeight="1">
      <c r="A355" t="inlineStr">
        <is>
          <t>A 36890-2025</t>
        </is>
      </c>
      <c r="B355" s="1" t="n">
        <v>45874.46942129629</v>
      </c>
      <c r="C355" s="1" t="n">
        <v>45972</v>
      </c>
      <c r="D355" t="inlineStr">
        <is>
          <t>JÄMTLANDS LÄN</t>
        </is>
      </c>
      <c r="E355" t="inlineStr">
        <is>
          <t>STRÖMSUND</t>
        </is>
      </c>
      <c r="F355" t="inlineStr">
        <is>
          <t>SCA</t>
        </is>
      </c>
      <c r="G355" t="n">
        <v>2.7</v>
      </c>
      <c r="H355" t="n">
        <v>0</v>
      </c>
      <c r="I355" t="n">
        <v>0</v>
      </c>
      <c r="J355" t="n">
        <v>1</v>
      </c>
      <c r="K355" t="n">
        <v>0</v>
      </c>
      <c r="L355" t="n">
        <v>0</v>
      </c>
      <c r="M355" t="n">
        <v>0</v>
      </c>
      <c r="N355" t="n">
        <v>0</v>
      </c>
      <c r="O355" t="n">
        <v>1</v>
      </c>
      <c r="P355" t="n">
        <v>0</v>
      </c>
      <c r="Q355" t="n">
        <v>1</v>
      </c>
      <c r="R355" s="2" t="inlineStr">
        <is>
          <t>Lunglav</t>
        </is>
      </c>
      <c r="S355">
        <f>HYPERLINK("https://klasma.github.io/Logging_2313/artfynd/A 36890-2025 artfynd.xlsx", "A 36890-2025")</f>
        <v/>
      </c>
      <c r="T355">
        <f>HYPERLINK("https://klasma.github.io/Logging_2313/kartor/A 36890-2025 karta.png", "A 36890-2025")</f>
        <v/>
      </c>
      <c r="V355">
        <f>HYPERLINK("https://klasma.github.io/Logging_2313/klagomål/A 36890-2025 FSC-klagomål.docx", "A 36890-2025")</f>
        <v/>
      </c>
      <c r="W355">
        <f>HYPERLINK("https://klasma.github.io/Logging_2313/klagomålsmail/A 36890-2025 FSC-klagomål mail.docx", "A 36890-2025")</f>
        <v/>
      </c>
      <c r="X355">
        <f>HYPERLINK("https://klasma.github.io/Logging_2313/tillsyn/A 36890-2025 tillsynsbegäran.docx", "A 36890-2025")</f>
        <v/>
      </c>
      <c r="Y355">
        <f>HYPERLINK("https://klasma.github.io/Logging_2313/tillsynsmail/A 36890-2025 tillsynsbegäran mail.docx", "A 36890-2025")</f>
        <v/>
      </c>
    </row>
    <row r="356" ht="15" customHeight="1">
      <c r="A356" t="inlineStr">
        <is>
          <t>A 36334-2024</t>
        </is>
      </c>
      <c r="B356" s="1" t="n">
        <v>45534.64203703704</v>
      </c>
      <c r="C356" s="1" t="n">
        <v>45972</v>
      </c>
      <c r="D356" t="inlineStr">
        <is>
          <t>JÄMTLANDS LÄN</t>
        </is>
      </c>
      <c r="E356" t="inlineStr">
        <is>
          <t>STRÖMSUND</t>
        </is>
      </c>
      <c r="F356" t="inlineStr">
        <is>
          <t>SCA</t>
        </is>
      </c>
      <c r="G356" t="n">
        <v>9.699999999999999</v>
      </c>
      <c r="H356" t="n">
        <v>1</v>
      </c>
      <c r="I356" t="n">
        <v>0</v>
      </c>
      <c r="J356" t="n">
        <v>0</v>
      </c>
      <c r="K356" t="n">
        <v>1</v>
      </c>
      <c r="L356" t="n">
        <v>0</v>
      </c>
      <c r="M356" t="n">
        <v>0</v>
      </c>
      <c r="N356" t="n">
        <v>0</v>
      </c>
      <c r="O356" t="n">
        <v>1</v>
      </c>
      <c r="P356" t="n">
        <v>1</v>
      </c>
      <c r="Q356" t="n">
        <v>1</v>
      </c>
      <c r="R356" s="2" t="inlineStr">
        <is>
          <t>Doftticka</t>
        </is>
      </c>
      <c r="S356">
        <f>HYPERLINK("https://klasma.github.io/Logging_2313/artfynd/A 36334-2024 artfynd.xlsx", "A 36334-2024")</f>
        <v/>
      </c>
      <c r="T356">
        <f>HYPERLINK("https://klasma.github.io/Logging_2313/kartor/A 36334-2024 karta.png", "A 36334-2024")</f>
        <v/>
      </c>
      <c r="V356">
        <f>HYPERLINK("https://klasma.github.io/Logging_2313/klagomål/A 36334-2024 FSC-klagomål.docx", "A 36334-2024")</f>
        <v/>
      </c>
      <c r="W356">
        <f>HYPERLINK("https://klasma.github.io/Logging_2313/klagomålsmail/A 36334-2024 FSC-klagomål mail.docx", "A 36334-2024")</f>
        <v/>
      </c>
      <c r="X356">
        <f>HYPERLINK("https://klasma.github.io/Logging_2313/tillsyn/A 36334-2024 tillsynsbegäran.docx", "A 36334-2024")</f>
        <v/>
      </c>
      <c r="Y356">
        <f>HYPERLINK("https://klasma.github.io/Logging_2313/tillsynsmail/A 36334-2024 tillsynsbegäran mail.docx", "A 36334-2024")</f>
        <v/>
      </c>
    </row>
    <row r="357" ht="15" customHeight="1">
      <c r="A357" t="inlineStr">
        <is>
          <t>A 38022-2025</t>
        </is>
      </c>
      <c r="B357" s="1" t="n">
        <v>45882.34482638889</v>
      </c>
      <c r="C357" s="1" t="n">
        <v>45972</v>
      </c>
      <c r="D357" t="inlineStr">
        <is>
          <t>JÄMTLANDS LÄN</t>
        </is>
      </c>
      <c r="E357" t="inlineStr">
        <is>
          <t>STRÖMSUND</t>
        </is>
      </c>
      <c r="F357" t="inlineStr">
        <is>
          <t>SCA</t>
        </is>
      </c>
      <c r="G357" t="n">
        <v>0.7</v>
      </c>
      <c r="H357" t="n">
        <v>0</v>
      </c>
      <c r="I357" t="n">
        <v>0</v>
      </c>
      <c r="J357" t="n">
        <v>1</v>
      </c>
      <c r="K357" t="n">
        <v>0</v>
      </c>
      <c r="L357" t="n">
        <v>0</v>
      </c>
      <c r="M357" t="n">
        <v>0</v>
      </c>
      <c r="N357" t="n">
        <v>0</v>
      </c>
      <c r="O357" t="n">
        <v>1</v>
      </c>
      <c r="P357" t="n">
        <v>0</v>
      </c>
      <c r="Q357" t="n">
        <v>1</v>
      </c>
      <c r="R357" s="2" t="inlineStr">
        <is>
          <t>Ullticka</t>
        </is>
      </c>
      <c r="S357">
        <f>HYPERLINK("https://klasma.github.io/Logging_2313/artfynd/A 38022-2025 artfynd.xlsx", "A 38022-2025")</f>
        <v/>
      </c>
      <c r="T357">
        <f>HYPERLINK("https://klasma.github.io/Logging_2313/kartor/A 38022-2025 karta.png", "A 38022-2025")</f>
        <v/>
      </c>
      <c r="V357">
        <f>HYPERLINK("https://klasma.github.io/Logging_2313/klagomål/A 38022-2025 FSC-klagomål.docx", "A 38022-2025")</f>
        <v/>
      </c>
      <c r="W357">
        <f>HYPERLINK("https://klasma.github.io/Logging_2313/klagomålsmail/A 38022-2025 FSC-klagomål mail.docx", "A 38022-2025")</f>
        <v/>
      </c>
      <c r="X357">
        <f>HYPERLINK("https://klasma.github.io/Logging_2313/tillsyn/A 38022-2025 tillsynsbegäran.docx", "A 38022-2025")</f>
        <v/>
      </c>
      <c r="Y357">
        <f>HYPERLINK("https://klasma.github.io/Logging_2313/tillsynsmail/A 38022-2025 tillsynsbegäran mail.docx", "A 38022-2025")</f>
        <v/>
      </c>
    </row>
    <row r="358" ht="15" customHeight="1">
      <c r="A358" t="inlineStr">
        <is>
          <t>A 42384-2024</t>
        </is>
      </c>
      <c r="B358" s="1" t="n">
        <v>45562</v>
      </c>
      <c r="C358" s="1" t="n">
        <v>45972</v>
      </c>
      <c r="D358" t="inlineStr">
        <is>
          <t>JÄMTLANDS LÄN</t>
        </is>
      </c>
      <c r="E358" t="inlineStr">
        <is>
          <t>STRÖMSUND</t>
        </is>
      </c>
      <c r="F358" t="inlineStr">
        <is>
          <t>Övriga statliga verk och myndigheter</t>
        </is>
      </c>
      <c r="G358" t="n">
        <v>6.1</v>
      </c>
      <c r="H358" t="n">
        <v>0</v>
      </c>
      <c r="I358" t="n">
        <v>0</v>
      </c>
      <c r="J358" t="n">
        <v>1</v>
      </c>
      <c r="K358" t="n">
        <v>0</v>
      </c>
      <c r="L358" t="n">
        <v>0</v>
      </c>
      <c r="M358" t="n">
        <v>0</v>
      </c>
      <c r="N358" t="n">
        <v>0</v>
      </c>
      <c r="O358" t="n">
        <v>1</v>
      </c>
      <c r="P358" t="n">
        <v>0</v>
      </c>
      <c r="Q358" t="n">
        <v>1</v>
      </c>
      <c r="R358" s="2" t="inlineStr">
        <is>
          <t>Granticka</t>
        </is>
      </c>
      <c r="S358">
        <f>HYPERLINK("https://klasma.github.io/Logging_2313/artfynd/A 42384-2024 artfynd.xlsx", "A 42384-2024")</f>
        <v/>
      </c>
      <c r="T358">
        <f>HYPERLINK("https://klasma.github.io/Logging_2313/kartor/A 42384-2024 karta.png", "A 42384-2024")</f>
        <v/>
      </c>
      <c r="V358">
        <f>HYPERLINK("https://klasma.github.io/Logging_2313/klagomål/A 42384-2024 FSC-klagomål.docx", "A 42384-2024")</f>
        <v/>
      </c>
      <c r="W358">
        <f>HYPERLINK("https://klasma.github.io/Logging_2313/klagomålsmail/A 42384-2024 FSC-klagomål mail.docx", "A 42384-2024")</f>
        <v/>
      </c>
      <c r="X358">
        <f>HYPERLINK("https://klasma.github.io/Logging_2313/tillsyn/A 42384-2024 tillsynsbegäran.docx", "A 42384-2024")</f>
        <v/>
      </c>
      <c r="Y358">
        <f>HYPERLINK("https://klasma.github.io/Logging_2313/tillsynsmail/A 42384-2024 tillsynsbegäran mail.docx", "A 42384-2024")</f>
        <v/>
      </c>
    </row>
    <row r="359" ht="15" customHeight="1">
      <c r="A359" t="inlineStr">
        <is>
          <t>A 46570-2025</t>
        </is>
      </c>
      <c r="B359" s="1" t="n">
        <v>45926.36619212963</v>
      </c>
      <c r="C359" s="1" t="n">
        <v>45972</v>
      </c>
      <c r="D359" t="inlineStr">
        <is>
          <t>JÄMTLANDS LÄN</t>
        </is>
      </c>
      <c r="E359" t="inlineStr">
        <is>
          <t>STRÖMSUND</t>
        </is>
      </c>
      <c r="G359" t="n">
        <v>4.6</v>
      </c>
      <c r="H359" t="n">
        <v>0</v>
      </c>
      <c r="I359" t="n">
        <v>1</v>
      </c>
      <c r="J359" t="n">
        <v>0</v>
      </c>
      <c r="K359" t="n">
        <v>0</v>
      </c>
      <c r="L359" t="n">
        <v>0</v>
      </c>
      <c r="M359" t="n">
        <v>0</v>
      </c>
      <c r="N359" t="n">
        <v>0</v>
      </c>
      <c r="O359" t="n">
        <v>0</v>
      </c>
      <c r="P359" t="n">
        <v>0</v>
      </c>
      <c r="Q359" t="n">
        <v>1</v>
      </c>
      <c r="R359" s="2" t="inlineStr">
        <is>
          <t>Svavelriska</t>
        </is>
      </c>
      <c r="S359">
        <f>HYPERLINK("https://klasma.github.io/Logging_2313/artfynd/A 46570-2025 artfynd.xlsx", "A 46570-2025")</f>
        <v/>
      </c>
      <c r="T359">
        <f>HYPERLINK("https://klasma.github.io/Logging_2313/kartor/A 46570-2025 karta.png", "A 46570-2025")</f>
        <v/>
      </c>
      <c r="V359">
        <f>HYPERLINK("https://klasma.github.io/Logging_2313/klagomål/A 46570-2025 FSC-klagomål.docx", "A 46570-2025")</f>
        <v/>
      </c>
      <c r="W359">
        <f>HYPERLINK("https://klasma.github.io/Logging_2313/klagomålsmail/A 46570-2025 FSC-klagomål mail.docx", "A 46570-2025")</f>
        <v/>
      </c>
      <c r="X359">
        <f>HYPERLINK("https://klasma.github.io/Logging_2313/tillsyn/A 46570-2025 tillsynsbegäran.docx", "A 46570-2025")</f>
        <v/>
      </c>
      <c r="Y359">
        <f>HYPERLINK("https://klasma.github.io/Logging_2313/tillsynsmail/A 46570-2025 tillsynsbegäran mail.docx", "A 46570-2025")</f>
        <v/>
      </c>
    </row>
    <row r="360" ht="15" customHeight="1">
      <c r="A360" t="inlineStr">
        <is>
          <t>A 54896-2025</t>
        </is>
      </c>
      <c r="B360" s="1" t="n">
        <v>45967.36540509259</v>
      </c>
      <c r="C360" s="1" t="n">
        <v>45972</v>
      </c>
      <c r="D360" t="inlineStr">
        <is>
          <t>JÄMTLANDS LÄN</t>
        </is>
      </c>
      <c r="E360" t="inlineStr">
        <is>
          <t>STRÖMSUND</t>
        </is>
      </c>
      <c r="F360" t="inlineStr">
        <is>
          <t>SCA</t>
        </is>
      </c>
      <c r="G360" t="n">
        <v>8.300000000000001</v>
      </c>
      <c r="H360" t="n">
        <v>1</v>
      </c>
      <c r="I360" t="n">
        <v>0</v>
      </c>
      <c r="J360" t="n">
        <v>0</v>
      </c>
      <c r="K360" t="n">
        <v>1</v>
      </c>
      <c r="L360" t="n">
        <v>0</v>
      </c>
      <c r="M360" t="n">
        <v>0</v>
      </c>
      <c r="N360" t="n">
        <v>0</v>
      </c>
      <c r="O360" t="n">
        <v>1</v>
      </c>
      <c r="P360" t="n">
        <v>1</v>
      </c>
      <c r="Q360" t="n">
        <v>1</v>
      </c>
      <c r="R360" s="2" t="inlineStr">
        <is>
          <t>Knärot</t>
        </is>
      </c>
      <c r="S360">
        <f>HYPERLINK("https://klasma.github.io/Logging_2313/artfynd/A 54896-2025 artfynd.xlsx", "A 54896-2025")</f>
        <v/>
      </c>
      <c r="T360">
        <f>HYPERLINK("https://klasma.github.io/Logging_2313/kartor/A 54896-2025 karta.png", "A 54896-2025")</f>
        <v/>
      </c>
      <c r="U360">
        <f>HYPERLINK("https://klasma.github.io/Logging_2313/knärot/A 54896-2025 karta knärot.png", "A 54896-2025")</f>
        <v/>
      </c>
      <c r="V360">
        <f>HYPERLINK("https://klasma.github.io/Logging_2313/klagomål/A 54896-2025 FSC-klagomål.docx", "A 54896-2025")</f>
        <v/>
      </c>
      <c r="W360">
        <f>HYPERLINK("https://klasma.github.io/Logging_2313/klagomålsmail/A 54896-2025 FSC-klagomål mail.docx", "A 54896-2025")</f>
        <v/>
      </c>
      <c r="X360">
        <f>HYPERLINK("https://klasma.github.io/Logging_2313/tillsyn/A 54896-2025 tillsynsbegäran.docx", "A 54896-2025")</f>
        <v/>
      </c>
      <c r="Y360">
        <f>HYPERLINK("https://klasma.github.io/Logging_2313/tillsynsmail/A 54896-2025 tillsynsbegäran mail.docx", "A 54896-2025")</f>
        <v/>
      </c>
    </row>
    <row r="361" ht="15" customHeight="1">
      <c r="A361" t="inlineStr">
        <is>
          <t>A 37097-2022</t>
        </is>
      </c>
      <c r="B361" s="1" t="n">
        <v>44806</v>
      </c>
      <c r="C361" s="1" t="n">
        <v>45972</v>
      </c>
      <c r="D361" t="inlineStr">
        <is>
          <t>JÄMTLANDS LÄN</t>
        </is>
      </c>
      <c r="E361" t="inlineStr">
        <is>
          <t>STRÖMSUND</t>
        </is>
      </c>
      <c r="F361" t="inlineStr">
        <is>
          <t>Kommuner</t>
        </is>
      </c>
      <c r="G361" t="n">
        <v>3.1</v>
      </c>
      <c r="H361" t="n">
        <v>0</v>
      </c>
      <c r="I361" t="n">
        <v>0</v>
      </c>
      <c r="J361" t="n">
        <v>0</v>
      </c>
      <c r="K361" t="n">
        <v>0</v>
      </c>
      <c r="L361" t="n">
        <v>0</v>
      </c>
      <c r="M361" t="n">
        <v>0</v>
      </c>
      <c r="N361" t="n">
        <v>0</v>
      </c>
      <c r="O361" t="n">
        <v>0</v>
      </c>
      <c r="P361" t="n">
        <v>0</v>
      </c>
      <c r="Q361" t="n">
        <v>0</v>
      </c>
      <c r="R361" s="2" t="inlineStr"/>
    </row>
    <row r="362" ht="15" customHeight="1">
      <c r="A362" t="inlineStr">
        <is>
          <t>A 30044-2022</t>
        </is>
      </c>
      <c r="B362" s="1" t="n">
        <v>44756</v>
      </c>
      <c r="C362" s="1" t="n">
        <v>45972</v>
      </c>
      <c r="D362" t="inlineStr">
        <is>
          <t>JÄMTLANDS LÄN</t>
        </is>
      </c>
      <c r="E362" t="inlineStr">
        <is>
          <t>STRÖMSUND</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44605-2021</t>
        </is>
      </c>
      <c r="B363" s="1" t="n">
        <v>44435.94144675926</v>
      </c>
      <c r="C363" s="1" t="n">
        <v>45972</v>
      </c>
      <c r="D363" t="inlineStr">
        <is>
          <t>JÄMTLANDS LÄN</t>
        </is>
      </c>
      <c r="E363" t="inlineStr">
        <is>
          <t>STRÖMSUND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36690-2022</t>
        </is>
      </c>
      <c r="B364" s="1" t="n">
        <v>44804.94759259259</v>
      </c>
      <c r="C364" s="1" t="n">
        <v>45972</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8016-2021</t>
        </is>
      </c>
      <c r="B365" s="1" t="n">
        <v>44243</v>
      </c>
      <c r="C365" s="1" t="n">
        <v>45972</v>
      </c>
      <c r="D365" t="inlineStr">
        <is>
          <t>JÄMTLANDS LÄN</t>
        </is>
      </c>
      <c r="E365" t="inlineStr">
        <is>
          <t>STRÖMSUND</t>
        </is>
      </c>
      <c r="G365" t="n">
        <v>2.8</v>
      </c>
      <c r="H365" t="n">
        <v>0</v>
      </c>
      <c r="I365" t="n">
        <v>0</v>
      </c>
      <c r="J365" t="n">
        <v>0</v>
      </c>
      <c r="K365" t="n">
        <v>0</v>
      </c>
      <c r="L365" t="n">
        <v>0</v>
      </c>
      <c r="M365" t="n">
        <v>0</v>
      </c>
      <c r="N365" t="n">
        <v>0</v>
      </c>
      <c r="O365" t="n">
        <v>0</v>
      </c>
      <c r="P365" t="n">
        <v>0</v>
      </c>
      <c r="Q365" t="n">
        <v>0</v>
      </c>
      <c r="R365" s="2" t="inlineStr"/>
    </row>
    <row r="366" ht="15" customHeight="1">
      <c r="A366" t="inlineStr">
        <is>
          <t>A 19207-2021</t>
        </is>
      </c>
      <c r="B366" s="1" t="n">
        <v>44308.91864583334</v>
      </c>
      <c r="C366" s="1" t="n">
        <v>45972</v>
      </c>
      <c r="D366" t="inlineStr">
        <is>
          <t>JÄMTLANDS LÄN</t>
        </is>
      </c>
      <c r="E366" t="inlineStr">
        <is>
          <t>STRÖMSUND</t>
        </is>
      </c>
      <c r="G366" t="n">
        <v>1.5</v>
      </c>
      <c r="H366" t="n">
        <v>0</v>
      </c>
      <c r="I366" t="n">
        <v>0</v>
      </c>
      <c r="J366" t="n">
        <v>0</v>
      </c>
      <c r="K366" t="n">
        <v>0</v>
      </c>
      <c r="L366" t="n">
        <v>0</v>
      </c>
      <c r="M366" t="n">
        <v>0</v>
      </c>
      <c r="N366" t="n">
        <v>0</v>
      </c>
      <c r="O366" t="n">
        <v>0</v>
      </c>
      <c r="P366" t="n">
        <v>0</v>
      </c>
      <c r="Q366" t="n">
        <v>0</v>
      </c>
      <c r="R366" s="2" t="inlineStr"/>
    </row>
    <row r="367" ht="15" customHeight="1">
      <c r="A367" t="inlineStr">
        <is>
          <t>A 17368-2021</t>
        </is>
      </c>
      <c r="B367" s="1" t="n">
        <v>44298.91940972222</v>
      </c>
      <c r="C367" s="1" t="n">
        <v>45972</v>
      </c>
      <c r="D367" t="inlineStr">
        <is>
          <t>JÄMTLANDS LÄN</t>
        </is>
      </c>
      <c r="E367" t="inlineStr">
        <is>
          <t>STRÖMSUND</t>
        </is>
      </c>
      <c r="G367" t="n">
        <v>1</v>
      </c>
      <c r="H367" t="n">
        <v>0</v>
      </c>
      <c r="I367" t="n">
        <v>0</v>
      </c>
      <c r="J367" t="n">
        <v>0</v>
      </c>
      <c r="K367" t="n">
        <v>0</v>
      </c>
      <c r="L367" t="n">
        <v>0</v>
      </c>
      <c r="M367" t="n">
        <v>0</v>
      </c>
      <c r="N367" t="n">
        <v>0</v>
      </c>
      <c r="O367" t="n">
        <v>0</v>
      </c>
      <c r="P367" t="n">
        <v>0</v>
      </c>
      <c r="Q367" t="n">
        <v>0</v>
      </c>
      <c r="R367" s="2" t="inlineStr"/>
    </row>
    <row r="368" ht="15" customHeight="1">
      <c r="A368" t="inlineStr">
        <is>
          <t>A 36454-2021</t>
        </is>
      </c>
      <c r="B368" s="1" t="n">
        <v>44390.93842592592</v>
      </c>
      <c r="C368" s="1" t="n">
        <v>45972</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39944-2021</t>
        </is>
      </c>
      <c r="B369" s="1" t="n">
        <v>44417</v>
      </c>
      <c r="C369" s="1" t="n">
        <v>45972</v>
      </c>
      <c r="D369" t="inlineStr">
        <is>
          <t>JÄMTLANDS LÄN</t>
        </is>
      </c>
      <c r="E369" t="inlineStr">
        <is>
          <t>STRÖMSUND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38763-2021</t>
        </is>
      </c>
      <c r="B370" s="1" t="n">
        <v>44410</v>
      </c>
      <c r="C370" s="1" t="n">
        <v>45972</v>
      </c>
      <c r="D370" t="inlineStr">
        <is>
          <t>JÄMTLANDS LÄN</t>
        </is>
      </c>
      <c r="E370" t="inlineStr">
        <is>
          <t>STRÖMSUND</t>
        </is>
      </c>
      <c r="F370" t="inlineStr">
        <is>
          <t>Kyrkan</t>
        </is>
      </c>
      <c r="G370" t="n">
        <v>4.8</v>
      </c>
      <c r="H370" t="n">
        <v>0</v>
      </c>
      <c r="I370" t="n">
        <v>0</v>
      </c>
      <c r="J370" t="n">
        <v>0</v>
      </c>
      <c r="K370" t="n">
        <v>0</v>
      </c>
      <c r="L370" t="n">
        <v>0</v>
      </c>
      <c r="M370" t="n">
        <v>0</v>
      </c>
      <c r="N370" t="n">
        <v>0</v>
      </c>
      <c r="O370" t="n">
        <v>0</v>
      </c>
      <c r="P370" t="n">
        <v>0</v>
      </c>
      <c r="Q370" t="n">
        <v>0</v>
      </c>
      <c r="R370" s="2" t="inlineStr"/>
    </row>
    <row r="371" ht="15" customHeight="1">
      <c r="A371" t="inlineStr">
        <is>
          <t>A 31077-2021</t>
        </is>
      </c>
      <c r="B371" s="1" t="n">
        <v>44365</v>
      </c>
      <c r="C371" s="1" t="n">
        <v>45972</v>
      </c>
      <c r="D371" t="inlineStr">
        <is>
          <t>JÄMTLANDS LÄN</t>
        </is>
      </c>
      <c r="E371" t="inlineStr">
        <is>
          <t>STRÖMSUND</t>
        </is>
      </c>
      <c r="G371" t="n">
        <v>6.8</v>
      </c>
      <c r="H371" t="n">
        <v>0</v>
      </c>
      <c r="I371" t="n">
        <v>0</v>
      </c>
      <c r="J371" t="n">
        <v>0</v>
      </c>
      <c r="K371" t="n">
        <v>0</v>
      </c>
      <c r="L371" t="n">
        <v>0</v>
      </c>
      <c r="M371" t="n">
        <v>0</v>
      </c>
      <c r="N371" t="n">
        <v>0</v>
      </c>
      <c r="O371" t="n">
        <v>0</v>
      </c>
      <c r="P371" t="n">
        <v>0</v>
      </c>
      <c r="Q371" t="n">
        <v>0</v>
      </c>
      <c r="R371" s="2" t="inlineStr"/>
    </row>
    <row r="372" ht="15" customHeight="1">
      <c r="A372" t="inlineStr">
        <is>
          <t>A 4602-2022</t>
        </is>
      </c>
      <c r="B372" s="1" t="n">
        <v>44589</v>
      </c>
      <c r="C372" s="1" t="n">
        <v>45972</v>
      </c>
      <c r="D372" t="inlineStr">
        <is>
          <t>JÄMTLANDS LÄN</t>
        </is>
      </c>
      <c r="E372" t="inlineStr">
        <is>
          <t>STRÖMSUND</t>
        </is>
      </c>
      <c r="G372" t="n">
        <v>9.5</v>
      </c>
      <c r="H372" t="n">
        <v>0</v>
      </c>
      <c r="I372" t="n">
        <v>0</v>
      </c>
      <c r="J372" t="n">
        <v>0</v>
      </c>
      <c r="K372" t="n">
        <v>0</v>
      </c>
      <c r="L372" t="n">
        <v>0</v>
      </c>
      <c r="M372" t="n">
        <v>0</v>
      </c>
      <c r="N372" t="n">
        <v>0</v>
      </c>
      <c r="O372" t="n">
        <v>0</v>
      </c>
      <c r="P372" t="n">
        <v>0</v>
      </c>
      <c r="Q372" t="n">
        <v>0</v>
      </c>
      <c r="R372" s="2" t="inlineStr"/>
    </row>
    <row r="373" ht="15" customHeight="1">
      <c r="A373" t="inlineStr">
        <is>
          <t>A 45421-2022</t>
        </is>
      </c>
      <c r="B373" s="1" t="n">
        <v>44844.95244212963</v>
      </c>
      <c r="C373" s="1" t="n">
        <v>45972</v>
      </c>
      <c r="D373" t="inlineStr">
        <is>
          <t>JÄMTLANDS LÄN</t>
        </is>
      </c>
      <c r="E373" t="inlineStr">
        <is>
          <t>STRÖMSUND</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11158-2022</t>
        </is>
      </c>
      <c r="B374" s="1" t="n">
        <v>44629.40729166667</v>
      </c>
      <c r="C374" s="1" t="n">
        <v>45972</v>
      </c>
      <c r="D374" t="inlineStr">
        <is>
          <t>JÄMTLANDS LÄN</t>
        </is>
      </c>
      <c r="E374" t="inlineStr">
        <is>
          <t>STRÖMSUND</t>
        </is>
      </c>
      <c r="G374" t="n">
        <v>4.5</v>
      </c>
      <c r="H374" t="n">
        <v>0</v>
      </c>
      <c r="I374" t="n">
        <v>0</v>
      </c>
      <c r="J374" t="n">
        <v>0</v>
      </c>
      <c r="K374" t="n">
        <v>0</v>
      </c>
      <c r="L374" t="n">
        <v>0</v>
      </c>
      <c r="M374" t="n">
        <v>0</v>
      </c>
      <c r="N374" t="n">
        <v>0</v>
      </c>
      <c r="O374" t="n">
        <v>0</v>
      </c>
      <c r="P374" t="n">
        <v>0</v>
      </c>
      <c r="Q374" t="n">
        <v>0</v>
      </c>
      <c r="R374" s="2" t="inlineStr"/>
    </row>
    <row r="375" ht="15" customHeight="1">
      <c r="A375" t="inlineStr">
        <is>
          <t>A 52969-2021</t>
        </is>
      </c>
      <c r="B375" s="1" t="n">
        <v>44466</v>
      </c>
      <c r="C375" s="1" t="n">
        <v>45972</v>
      </c>
      <c r="D375" t="inlineStr">
        <is>
          <t>JÄMTLANDS LÄN</t>
        </is>
      </c>
      <c r="E375" t="inlineStr">
        <is>
          <t>STRÖMSUND</t>
        </is>
      </c>
      <c r="G375" t="n">
        <v>0.8</v>
      </c>
      <c r="H375" t="n">
        <v>0</v>
      </c>
      <c r="I375" t="n">
        <v>0</v>
      </c>
      <c r="J375" t="n">
        <v>0</v>
      </c>
      <c r="K375" t="n">
        <v>0</v>
      </c>
      <c r="L375" t="n">
        <v>0</v>
      </c>
      <c r="M375" t="n">
        <v>0</v>
      </c>
      <c r="N375" t="n">
        <v>0</v>
      </c>
      <c r="O375" t="n">
        <v>0</v>
      </c>
      <c r="P375" t="n">
        <v>0</v>
      </c>
      <c r="Q375" t="n">
        <v>0</v>
      </c>
      <c r="R375" s="2" t="inlineStr"/>
    </row>
    <row r="376" ht="15" customHeight="1">
      <c r="A376" t="inlineStr">
        <is>
          <t>A 13099-2022</t>
        </is>
      </c>
      <c r="B376" s="1" t="n">
        <v>44643.93510416667</v>
      </c>
      <c r="C376" s="1" t="n">
        <v>45972</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64656-2021</t>
        </is>
      </c>
      <c r="B377" s="1" t="n">
        <v>44511.94716435186</v>
      </c>
      <c r="C377" s="1" t="n">
        <v>45972</v>
      </c>
      <c r="D377" t="inlineStr">
        <is>
          <t>JÄMTLANDS LÄN</t>
        </is>
      </c>
      <c r="E377" t="inlineStr">
        <is>
          <t>STRÖMSUND</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8421-2022</t>
        </is>
      </c>
      <c r="B378" s="1" t="n">
        <v>44610.94054398148</v>
      </c>
      <c r="C378" s="1" t="n">
        <v>45972</v>
      </c>
      <c r="D378" t="inlineStr">
        <is>
          <t>JÄMTLANDS LÄN</t>
        </is>
      </c>
      <c r="E378" t="inlineStr">
        <is>
          <t>STRÖMSUND</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37791-2022</t>
        </is>
      </c>
      <c r="B379" s="1" t="n">
        <v>44810.68505787037</v>
      </c>
      <c r="C379" s="1" t="n">
        <v>45972</v>
      </c>
      <c r="D379" t="inlineStr">
        <is>
          <t>JÄMTLANDS LÄN</t>
        </is>
      </c>
      <c r="E379" t="inlineStr">
        <is>
          <t>STRÖMSUND</t>
        </is>
      </c>
      <c r="G379" t="n">
        <v>2.2</v>
      </c>
      <c r="H379" t="n">
        <v>0</v>
      </c>
      <c r="I379" t="n">
        <v>0</v>
      </c>
      <c r="J379" t="n">
        <v>0</v>
      </c>
      <c r="K379" t="n">
        <v>0</v>
      </c>
      <c r="L379" t="n">
        <v>0</v>
      </c>
      <c r="M379" t="n">
        <v>0</v>
      </c>
      <c r="N379" t="n">
        <v>0</v>
      </c>
      <c r="O379" t="n">
        <v>0</v>
      </c>
      <c r="P379" t="n">
        <v>0</v>
      </c>
      <c r="Q379" t="n">
        <v>0</v>
      </c>
      <c r="R379" s="2" t="inlineStr"/>
    </row>
    <row r="380" ht="15" customHeight="1">
      <c r="A380" t="inlineStr">
        <is>
          <t>A 44451-2022</t>
        </is>
      </c>
      <c r="B380" s="1" t="n">
        <v>44839.95523148148</v>
      </c>
      <c r="C380" s="1" t="n">
        <v>45972</v>
      </c>
      <c r="D380" t="inlineStr">
        <is>
          <t>JÄMTLANDS LÄN</t>
        </is>
      </c>
      <c r="E380" t="inlineStr">
        <is>
          <t>STRÖMSUND</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42155-2022</t>
        </is>
      </c>
      <c r="B381" s="1" t="n">
        <v>44830.60405092593</v>
      </c>
      <c r="C381" s="1" t="n">
        <v>45972</v>
      </c>
      <c r="D381" t="inlineStr">
        <is>
          <t>JÄMTLANDS LÄN</t>
        </is>
      </c>
      <c r="E381" t="inlineStr">
        <is>
          <t>STRÖMSUND</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41829-2022</t>
        </is>
      </c>
      <c r="B382" s="1" t="n">
        <v>44827.94641203704</v>
      </c>
      <c r="C382" s="1" t="n">
        <v>45972</v>
      </c>
      <c r="D382" t="inlineStr">
        <is>
          <t>JÄMTLANDS LÄN</t>
        </is>
      </c>
      <c r="E382" t="inlineStr">
        <is>
          <t>STRÖMSUND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40275-2022</t>
        </is>
      </c>
      <c r="B383" s="1" t="n">
        <v>44820</v>
      </c>
      <c r="C383" s="1" t="n">
        <v>45972</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15238-2022</t>
        </is>
      </c>
      <c r="B384" s="1" t="n">
        <v>44658.93722222222</v>
      </c>
      <c r="C384" s="1" t="n">
        <v>45972</v>
      </c>
      <c r="D384" t="inlineStr">
        <is>
          <t>JÄMTLANDS LÄN</t>
        </is>
      </c>
      <c r="E384" t="inlineStr">
        <is>
          <t>STRÖMSUND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66475-2021</t>
        </is>
      </c>
      <c r="B385" s="1" t="n">
        <v>44518</v>
      </c>
      <c r="C385" s="1" t="n">
        <v>45972</v>
      </c>
      <c r="D385" t="inlineStr">
        <is>
          <t>JÄMTLANDS LÄN</t>
        </is>
      </c>
      <c r="E385" t="inlineStr">
        <is>
          <t>STRÖMSUND</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138-2021</t>
        </is>
      </c>
      <c r="B386" s="1" t="n">
        <v>44196</v>
      </c>
      <c r="C386" s="1" t="n">
        <v>45972</v>
      </c>
      <c r="D386" t="inlineStr">
        <is>
          <t>JÄMTLANDS LÄN</t>
        </is>
      </c>
      <c r="E386" t="inlineStr">
        <is>
          <t>STRÖMSUND</t>
        </is>
      </c>
      <c r="G386" t="n">
        <v>3.3</v>
      </c>
      <c r="H386" t="n">
        <v>0</v>
      </c>
      <c r="I386" t="n">
        <v>0</v>
      </c>
      <c r="J386" t="n">
        <v>0</v>
      </c>
      <c r="K386" t="n">
        <v>0</v>
      </c>
      <c r="L386" t="n">
        <v>0</v>
      </c>
      <c r="M386" t="n">
        <v>0</v>
      </c>
      <c r="N386" t="n">
        <v>0</v>
      </c>
      <c r="O386" t="n">
        <v>0</v>
      </c>
      <c r="P386" t="n">
        <v>0</v>
      </c>
      <c r="Q386" t="n">
        <v>0</v>
      </c>
      <c r="R386" s="2" t="inlineStr"/>
    </row>
    <row r="387" ht="15" customHeight="1">
      <c r="A387" t="inlineStr">
        <is>
          <t>A 15971-2022</t>
        </is>
      </c>
      <c r="B387" s="1" t="n">
        <v>44664</v>
      </c>
      <c r="C387" s="1" t="n">
        <v>45972</v>
      </c>
      <c r="D387" t="inlineStr">
        <is>
          <t>JÄMTLANDS LÄN</t>
        </is>
      </c>
      <c r="E387" t="inlineStr">
        <is>
          <t>STRÖMSUND</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32357-2022</t>
        </is>
      </c>
      <c r="B388" s="1" t="n">
        <v>44781.94145833333</v>
      </c>
      <c r="C388" s="1" t="n">
        <v>45972</v>
      </c>
      <c r="D388" t="inlineStr">
        <is>
          <t>JÄMTLANDS LÄN</t>
        </is>
      </c>
      <c r="E388" t="inlineStr">
        <is>
          <t>STRÖMSUND</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69508-2020</t>
        </is>
      </c>
      <c r="B389" s="1" t="n">
        <v>44193</v>
      </c>
      <c r="C389" s="1" t="n">
        <v>45972</v>
      </c>
      <c r="D389" t="inlineStr">
        <is>
          <t>JÄMTLANDS LÄN</t>
        </is>
      </c>
      <c r="E389" t="inlineStr">
        <is>
          <t>STRÖMSUND</t>
        </is>
      </c>
      <c r="F389" t="inlineStr">
        <is>
          <t>Övriga statliga verk och myndigheter</t>
        </is>
      </c>
      <c r="G389" t="n">
        <v>6.1</v>
      </c>
      <c r="H389" t="n">
        <v>0</v>
      </c>
      <c r="I389" t="n">
        <v>0</v>
      </c>
      <c r="J389" t="n">
        <v>0</v>
      </c>
      <c r="K389" t="n">
        <v>0</v>
      </c>
      <c r="L389" t="n">
        <v>0</v>
      </c>
      <c r="M389" t="n">
        <v>0</v>
      </c>
      <c r="N389" t="n">
        <v>0</v>
      </c>
      <c r="O389" t="n">
        <v>0</v>
      </c>
      <c r="P389" t="n">
        <v>0</v>
      </c>
      <c r="Q389" t="n">
        <v>0</v>
      </c>
      <c r="R389" s="2" t="inlineStr"/>
    </row>
    <row r="390" ht="15" customHeight="1">
      <c r="A390" t="inlineStr">
        <is>
          <t>A 44025-2021</t>
        </is>
      </c>
      <c r="B390" s="1" t="n">
        <v>44434.52621527778</v>
      </c>
      <c r="C390" s="1" t="n">
        <v>45972</v>
      </c>
      <c r="D390" t="inlineStr">
        <is>
          <t>JÄMTLANDS LÄN</t>
        </is>
      </c>
      <c r="E390" t="inlineStr">
        <is>
          <t>STRÖMSUND</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53518-2021</t>
        </is>
      </c>
      <c r="B391" s="1" t="n">
        <v>44468</v>
      </c>
      <c r="C391" s="1" t="n">
        <v>45972</v>
      </c>
      <c r="D391" t="inlineStr">
        <is>
          <t>JÄMTLANDS LÄN</t>
        </is>
      </c>
      <c r="E391" t="inlineStr">
        <is>
          <t>STRÖMSUND</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50890-2021</t>
        </is>
      </c>
      <c r="B392" s="1" t="n">
        <v>44460.57545138889</v>
      </c>
      <c r="C392" s="1" t="n">
        <v>45972</v>
      </c>
      <c r="D392" t="inlineStr">
        <is>
          <t>JÄMTLANDS LÄN</t>
        </is>
      </c>
      <c r="E392" t="inlineStr">
        <is>
          <t>STRÖMSUND</t>
        </is>
      </c>
      <c r="G392" t="n">
        <v>1</v>
      </c>
      <c r="H392" t="n">
        <v>0</v>
      </c>
      <c r="I392" t="n">
        <v>0</v>
      </c>
      <c r="J392" t="n">
        <v>0</v>
      </c>
      <c r="K392" t="n">
        <v>0</v>
      </c>
      <c r="L392" t="n">
        <v>0</v>
      </c>
      <c r="M392" t="n">
        <v>0</v>
      </c>
      <c r="N392" t="n">
        <v>0</v>
      </c>
      <c r="O392" t="n">
        <v>0</v>
      </c>
      <c r="P392" t="n">
        <v>0</v>
      </c>
      <c r="Q392" t="n">
        <v>0</v>
      </c>
      <c r="R392" s="2" t="inlineStr"/>
    </row>
    <row r="393" ht="15" customHeight="1">
      <c r="A393" t="inlineStr">
        <is>
          <t>A 49208-2021</t>
        </is>
      </c>
      <c r="B393" s="1" t="n">
        <v>44454</v>
      </c>
      <c r="C393" s="1" t="n">
        <v>45972</v>
      </c>
      <c r="D393" t="inlineStr">
        <is>
          <t>JÄMTLANDS LÄN</t>
        </is>
      </c>
      <c r="E393" t="inlineStr">
        <is>
          <t>STRÖMSUND</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61662-2020</t>
        </is>
      </c>
      <c r="B394" s="1" t="n">
        <v>44158</v>
      </c>
      <c r="C394" s="1" t="n">
        <v>45972</v>
      </c>
      <c r="D394" t="inlineStr">
        <is>
          <t>JÄMTLANDS LÄN</t>
        </is>
      </c>
      <c r="E394" t="inlineStr">
        <is>
          <t>STRÖMSUND</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11508-2021</t>
        </is>
      </c>
      <c r="B395" s="1" t="n">
        <v>44264</v>
      </c>
      <c r="C395" s="1" t="n">
        <v>45972</v>
      </c>
      <c r="D395" t="inlineStr">
        <is>
          <t>JÄMTLANDS LÄN</t>
        </is>
      </c>
      <c r="E395" t="inlineStr">
        <is>
          <t>STRÖMSUND</t>
        </is>
      </c>
      <c r="F395" t="inlineStr">
        <is>
          <t>Kyrkan</t>
        </is>
      </c>
      <c r="G395" t="n">
        <v>3.5</v>
      </c>
      <c r="H395" t="n">
        <v>0</v>
      </c>
      <c r="I395" t="n">
        <v>0</v>
      </c>
      <c r="J395" t="n">
        <v>0</v>
      </c>
      <c r="K395" t="n">
        <v>0</v>
      </c>
      <c r="L395" t="n">
        <v>0</v>
      </c>
      <c r="M395" t="n">
        <v>0</v>
      </c>
      <c r="N395" t="n">
        <v>0</v>
      </c>
      <c r="O395" t="n">
        <v>0</v>
      </c>
      <c r="P395" t="n">
        <v>0</v>
      </c>
      <c r="Q395" t="n">
        <v>0</v>
      </c>
      <c r="R395" s="2" t="inlineStr"/>
    </row>
    <row r="396" ht="15" customHeight="1">
      <c r="A396" t="inlineStr">
        <is>
          <t>A 65530-2020</t>
        </is>
      </c>
      <c r="B396" s="1" t="n">
        <v>44173</v>
      </c>
      <c r="C396" s="1" t="n">
        <v>45972</v>
      </c>
      <c r="D396" t="inlineStr">
        <is>
          <t>JÄMTLANDS LÄN</t>
        </is>
      </c>
      <c r="E396" t="inlineStr">
        <is>
          <t>STRÖMSUND</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45972</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22632-2021</t>
        </is>
      </c>
      <c r="B398" s="1" t="n">
        <v>44327</v>
      </c>
      <c r="C398" s="1" t="n">
        <v>45972</v>
      </c>
      <c r="D398" t="inlineStr">
        <is>
          <t>JÄMTLANDS LÄN</t>
        </is>
      </c>
      <c r="E398" t="inlineStr">
        <is>
          <t>STRÖMSUND</t>
        </is>
      </c>
      <c r="G398" t="n">
        <v>3.7</v>
      </c>
      <c r="H398" t="n">
        <v>0</v>
      </c>
      <c r="I398" t="n">
        <v>0</v>
      </c>
      <c r="J398" t="n">
        <v>0</v>
      </c>
      <c r="K398" t="n">
        <v>0</v>
      </c>
      <c r="L398" t="n">
        <v>0</v>
      </c>
      <c r="M398" t="n">
        <v>0</v>
      </c>
      <c r="N398" t="n">
        <v>0</v>
      </c>
      <c r="O398" t="n">
        <v>0</v>
      </c>
      <c r="P398" t="n">
        <v>0</v>
      </c>
      <c r="Q398" t="n">
        <v>0</v>
      </c>
      <c r="R398" s="2" t="inlineStr"/>
    </row>
    <row r="399" ht="15" customHeight="1">
      <c r="A399" t="inlineStr">
        <is>
          <t>A 64124-2020</t>
        </is>
      </c>
      <c r="B399" s="1" t="n">
        <v>44165</v>
      </c>
      <c r="C399" s="1" t="n">
        <v>45972</v>
      </c>
      <c r="D399" t="inlineStr">
        <is>
          <t>JÄMTLANDS LÄN</t>
        </is>
      </c>
      <c r="E399" t="inlineStr">
        <is>
          <t>STRÖMSUND</t>
        </is>
      </c>
      <c r="G399" t="n">
        <v>1.6</v>
      </c>
      <c r="H399" t="n">
        <v>0</v>
      </c>
      <c r="I399" t="n">
        <v>0</v>
      </c>
      <c r="J399" t="n">
        <v>0</v>
      </c>
      <c r="K399" t="n">
        <v>0</v>
      </c>
      <c r="L399" t="n">
        <v>0</v>
      </c>
      <c r="M399" t="n">
        <v>0</v>
      </c>
      <c r="N399" t="n">
        <v>0</v>
      </c>
      <c r="O399" t="n">
        <v>0</v>
      </c>
      <c r="P399" t="n">
        <v>0</v>
      </c>
      <c r="Q399" t="n">
        <v>0</v>
      </c>
      <c r="R399" s="2" t="inlineStr"/>
    </row>
    <row r="400" ht="15" customHeight="1">
      <c r="A400" t="inlineStr">
        <is>
          <t>A 73289-2021</t>
        </is>
      </c>
      <c r="B400" s="1" t="n">
        <v>44550</v>
      </c>
      <c r="C400" s="1" t="n">
        <v>45972</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45972</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64825-2020</t>
        </is>
      </c>
      <c r="B402" s="1" t="n">
        <v>44169</v>
      </c>
      <c r="C402" s="1" t="n">
        <v>45972</v>
      </c>
      <c r="D402" t="inlineStr">
        <is>
          <t>JÄMTLANDS LÄN</t>
        </is>
      </c>
      <c r="E402" t="inlineStr">
        <is>
          <t>STRÖMSUND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29601-2021</t>
        </is>
      </c>
      <c r="B403" s="1" t="n">
        <v>44361.93670138889</v>
      </c>
      <c r="C403" s="1" t="n">
        <v>45972</v>
      </c>
      <c r="D403" t="inlineStr">
        <is>
          <t>JÄMTLANDS LÄN</t>
        </is>
      </c>
      <c r="E403" t="inlineStr">
        <is>
          <t>STRÖMSUND</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45972</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45972</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61731-2021</t>
        </is>
      </c>
      <c r="B406" s="1" t="n">
        <v>44501</v>
      </c>
      <c r="C406" s="1" t="n">
        <v>45972</v>
      </c>
      <c r="D406" t="inlineStr">
        <is>
          <t>JÄMTLANDS LÄN</t>
        </is>
      </c>
      <c r="E406" t="inlineStr">
        <is>
          <t>STRÖMSUND</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62669-2021</t>
        </is>
      </c>
      <c r="B407" s="1" t="n">
        <v>44503.94450231481</v>
      </c>
      <c r="C407" s="1" t="n">
        <v>45972</v>
      </c>
      <c r="D407" t="inlineStr">
        <is>
          <t>JÄMTLANDS LÄN</t>
        </is>
      </c>
      <c r="E407" t="inlineStr">
        <is>
          <t>STRÖMSUND</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50022-2021</t>
        </is>
      </c>
      <c r="B408" s="1" t="n">
        <v>44456.48565972222</v>
      </c>
      <c r="C408" s="1" t="n">
        <v>45972</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34523-2022</t>
        </is>
      </c>
      <c r="B409" s="1" t="n">
        <v>44792.94503472222</v>
      </c>
      <c r="C409" s="1" t="n">
        <v>45972</v>
      </c>
      <c r="D409" t="inlineStr">
        <is>
          <t>JÄMTLANDS LÄN</t>
        </is>
      </c>
      <c r="E409" t="inlineStr">
        <is>
          <t>STRÖMSUND</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57560-2021</t>
        </is>
      </c>
      <c r="B410" s="1" t="n">
        <v>44483</v>
      </c>
      <c r="C410" s="1" t="n">
        <v>45972</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16311-2022</t>
        </is>
      </c>
      <c r="B411" s="1" t="n">
        <v>44670</v>
      </c>
      <c r="C411" s="1" t="n">
        <v>45972</v>
      </c>
      <c r="D411" t="inlineStr">
        <is>
          <t>JÄMTLANDS LÄN</t>
        </is>
      </c>
      <c r="E411" t="inlineStr">
        <is>
          <t>STRÖMSUND</t>
        </is>
      </c>
      <c r="G411" t="n">
        <v>2</v>
      </c>
      <c r="H411" t="n">
        <v>0</v>
      </c>
      <c r="I411" t="n">
        <v>0</v>
      </c>
      <c r="J411" t="n">
        <v>0</v>
      </c>
      <c r="K411" t="n">
        <v>0</v>
      </c>
      <c r="L411" t="n">
        <v>0</v>
      </c>
      <c r="M411" t="n">
        <v>0</v>
      </c>
      <c r="N411" t="n">
        <v>0</v>
      </c>
      <c r="O411" t="n">
        <v>0</v>
      </c>
      <c r="P411" t="n">
        <v>0</v>
      </c>
      <c r="Q411" t="n">
        <v>0</v>
      </c>
      <c r="R411" s="2" t="inlineStr"/>
    </row>
    <row r="412" ht="15" customHeight="1">
      <c r="A412" t="inlineStr">
        <is>
          <t>A 4662-2021</t>
        </is>
      </c>
      <c r="B412" s="1" t="n">
        <v>44224</v>
      </c>
      <c r="C412" s="1" t="n">
        <v>45972</v>
      </c>
      <c r="D412" t="inlineStr">
        <is>
          <t>JÄMTLANDS LÄN</t>
        </is>
      </c>
      <c r="E412" t="inlineStr">
        <is>
          <t>STRÖMSUND</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16359-2022</t>
        </is>
      </c>
      <c r="B413" s="1" t="n">
        <v>44670.9254050926</v>
      </c>
      <c r="C413" s="1" t="n">
        <v>45972</v>
      </c>
      <c r="D413" t="inlineStr">
        <is>
          <t>JÄMTLANDS LÄN</t>
        </is>
      </c>
      <c r="E413" t="inlineStr">
        <is>
          <t>STRÖMSUND</t>
        </is>
      </c>
      <c r="G413" t="n">
        <v>0.2</v>
      </c>
      <c r="H413" t="n">
        <v>0</v>
      </c>
      <c r="I413" t="n">
        <v>0</v>
      </c>
      <c r="J413" t="n">
        <v>0</v>
      </c>
      <c r="K413" t="n">
        <v>0</v>
      </c>
      <c r="L413" t="n">
        <v>0</v>
      </c>
      <c r="M413" t="n">
        <v>0</v>
      </c>
      <c r="N413" t="n">
        <v>0</v>
      </c>
      <c r="O413" t="n">
        <v>0</v>
      </c>
      <c r="P413" t="n">
        <v>0</v>
      </c>
      <c r="Q413" t="n">
        <v>0</v>
      </c>
      <c r="R413" s="2" t="inlineStr"/>
    </row>
    <row r="414" ht="15" customHeight="1">
      <c r="A414" t="inlineStr">
        <is>
          <t>A 8979-2021</t>
        </is>
      </c>
      <c r="B414" s="1" t="n">
        <v>44246</v>
      </c>
      <c r="C414" s="1" t="n">
        <v>45972</v>
      </c>
      <c r="D414" t="inlineStr">
        <is>
          <t>JÄMTLANDS LÄN</t>
        </is>
      </c>
      <c r="E414" t="inlineStr">
        <is>
          <t>STRÖMSUND</t>
        </is>
      </c>
      <c r="G414" t="n">
        <v>40.4</v>
      </c>
      <c r="H414" t="n">
        <v>0</v>
      </c>
      <c r="I414" t="n">
        <v>0</v>
      </c>
      <c r="J414" t="n">
        <v>0</v>
      </c>
      <c r="K414" t="n">
        <v>0</v>
      </c>
      <c r="L414" t="n">
        <v>0</v>
      </c>
      <c r="M414" t="n">
        <v>0</v>
      </c>
      <c r="N414" t="n">
        <v>0</v>
      </c>
      <c r="O414" t="n">
        <v>0</v>
      </c>
      <c r="P414" t="n">
        <v>0</v>
      </c>
      <c r="Q414" t="n">
        <v>0</v>
      </c>
      <c r="R414" s="2" t="inlineStr"/>
    </row>
    <row r="415" ht="15" customHeight="1">
      <c r="A415" t="inlineStr">
        <is>
          <t>A 41822-2022</t>
        </is>
      </c>
      <c r="B415" s="1" t="n">
        <v>44827.94597222222</v>
      </c>
      <c r="C415" s="1" t="n">
        <v>45972</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13041-2021</t>
        </is>
      </c>
      <c r="B416" s="1" t="n">
        <v>44271</v>
      </c>
      <c r="C416" s="1" t="n">
        <v>45972</v>
      </c>
      <c r="D416" t="inlineStr">
        <is>
          <t>JÄMTLANDS LÄN</t>
        </is>
      </c>
      <c r="E416" t="inlineStr">
        <is>
          <t>STRÖMSUND</t>
        </is>
      </c>
      <c r="G416" t="n">
        <v>0.7</v>
      </c>
      <c r="H416" t="n">
        <v>0</v>
      </c>
      <c r="I416" t="n">
        <v>0</v>
      </c>
      <c r="J416" t="n">
        <v>0</v>
      </c>
      <c r="K416" t="n">
        <v>0</v>
      </c>
      <c r="L416" t="n">
        <v>0</v>
      </c>
      <c r="M416" t="n">
        <v>0</v>
      </c>
      <c r="N416" t="n">
        <v>0</v>
      </c>
      <c r="O416" t="n">
        <v>0</v>
      </c>
      <c r="P416" t="n">
        <v>0</v>
      </c>
      <c r="Q416" t="n">
        <v>0</v>
      </c>
      <c r="R416" s="2" t="inlineStr"/>
    </row>
    <row r="417" ht="15" customHeight="1">
      <c r="A417" t="inlineStr">
        <is>
          <t>A 45626-2021</t>
        </is>
      </c>
      <c r="B417" s="1" t="n">
        <v>44440.98006944444</v>
      </c>
      <c r="C417" s="1" t="n">
        <v>45972</v>
      </c>
      <c r="D417" t="inlineStr">
        <is>
          <t>JÄMTLANDS LÄN</t>
        </is>
      </c>
      <c r="E417" t="inlineStr">
        <is>
          <t>STRÖMSUND</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45627-2021</t>
        </is>
      </c>
      <c r="B418" s="1" t="n">
        <v>44440.98012731481</v>
      </c>
      <c r="C418" s="1" t="n">
        <v>45972</v>
      </c>
      <c r="D418" t="inlineStr">
        <is>
          <t>JÄMTLANDS LÄN</t>
        </is>
      </c>
      <c r="E418" t="inlineStr">
        <is>
          <t>STRÖMSUND</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35352-2021</t>
        </is>
      </c>
      <c r="B419" s="1" t="n">
        <v>44384</v>
      </c>
      <c r="C419" s="1" t="n">
        <v>45972</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37229-2021</t>
        </is>
      </c>
      <c r="B420" s="1" t="n">
        <v>44396.93260416666</v>
      </c>
      <c r="C420" s="1" t="n">
        <v>45972</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64608-2020</t>
        </is>
      </c>
      <c r="B421" s="1" t="n">
        <v>44169</v>
      </c>
      <c r="C421" s="1" t="n">
        <v>45972</v>
      </c>
      <c r="D421" t="inlineStr">
        <is>
          <t>JÄMTLANDS LÄN</t>
        </is>
      </c>
      <c r="E421" t="inlineStr">
        <is>
          <t>STRÖMSUND</t>
        </is>
      </c>
      <c r="F421" t="inlineStr">
        <is>
          <t>Holmen skog AB</t>
        </is>
      </c>
      <c r="G421" t="n">
        <v>17.7</v>
      </c>
      <c r="H421" t="n">
        <v>0</v>
      </c>
      <c r="I421" t="n">
        <v>0</v>
      </c>
      <c r="J421" t="n">
        <v>0</v>
      </c>
      <c r="K421" t="n">
        <v>0</v>
      </c>
      <c r="L421" t="n">
        <v>0</v>
      </c>
      <c r="M421" t="n">
        <v>0</v>
      </c>
      <c r="N421" t="n">
        <v>0</v>
      </c>
      <c r="O421" t="n">
        <v>0</v>
      </c>
      <c r="P421" t="n">
        <v>0</v>
      </c>
      <c r="Q421" t="n">
        <v>0</v>
      </c>
      <c r="R421" s="2" t="inlineStr"/>
    </row>
    <row r="422" ht="15" customHeight="1">
      <c r="A422" t="inlineStr">
        <is>
          <t>A 47261-2021</t>
        </is>
      </c>
      <c r="B422" s="1" t="n">
        <v>44447</v>
      </c>
      <c r="C422" s="1" t="n">
        <v>45972</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45972</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45972</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45972</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49620-2021</t>
        </is>
      </c>
      <c r="B426" s="1" t="n">
        <v>44455.43430555556</v>
      </c>
      <c r="C426" s="1" t="n">
        <v>45972</v>
      </c>
      <c r="D426" t="inlineStr">
        <is>
          <t>JÄMTLANDS LÄN</t>
        </is>
      </c>
      <c r="E426" t="inlineStr">
        <is>
          <t>STRÖMSUND</t>
        </is>
      </c>
      <c r="G426" t="n">
        <v>3.9</v>
      </c>
      <c r="H426" t="n">
        <v>0</v>
      </c>
      <c r="I426" t="n">
        <v>0</v>
      </c>
      <c r="J426" t="n">
        <v>0</v>
      </c>
      <c r="K426" t="n">
        <v>0</v>
      </c>
      <c r="L426" t="n">
        <v>0</v>
      </c>
      <c r="M426" t="n">
        <v>0</v>
      </c>
      <c r="N426" t="n">
        <v>0</v>
      </c>
      <c r="O426" t="n">
        <v>0</v>
      </c>
      <c r="P426" t="n">
        <v>0</v>
      </c>
      <c r="Q426" t="n">
        <v>0</v>
      </c>
      <c r="R426" s="2" t="inlineStr"/>
    </row>
    <row r="427" ht="15" customHeight="1">
      <c r="A427" t="inlineStr">
        <is>
          <t>A 3539-2022</t>
        </is>
      </c>
      <c r="B427" s="1" t="n">
        <v>44585.93717592592</v>
      </c>
      <c r="C427" s="1" t="n">
        <v>45972</v>
      </c>
      <c r="D427" t="inlineStr">
        <is>
          <t>JÄMTLANDS LÄN</t>
        </is>
      </c>
      <c r="E427" t="inlineStr">
        <is>
          <t>STRÖMSUND</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35914-2021</t>
        </is>
      </c>
      <c r="B428" s="1" t="n">
        <v>44387.93270833333</v>
      </c>
      <c r="C428" s="1" t="n">
        <v>45972</v>
      </c>
      <c r="D428" t="inlineStr">
        <is>
          <t>JÄMTLANDS LÄN</t>
        </is>
      </c>
      <c r="E428" t="inlineStr">
        <is>
          <t>STRÖMSUND</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29903-2021</t>
        </is>
      </c>
      <c r="B429" s="1" t="n">
        <v>44362.91957175926</v>
      </c>
      <c r="C429" s="1" t="n">
        <v>45972</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45972</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64291-2021</t>
        </is>
      </c>
      <c r="B431" s="1" t="n">
        <v>44510</v>
      </c>
      <c r="C431" s="1" t="n">
        <v>45972</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45972</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48547-2022</t>
        </is>
      </c>
      <c r="B433" s="1" t="n">
        <v>44858</v>
      </c>
      <c r="C433" s="1" t="n">
        <v>45972</v>
      </c>
      <c r="D433" t="inlineStr">
        <is>
          <t>JÄMTLANDS LÄN</t>
        </is>
      </c>
      <c r="E433" t="inlineStr">
        <is>
          <t>STRÖMSUND</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30042-2022</t>
        </is>
      </c>
      <c r="B434" s="1" t="n">
        <v>44756.94591435185</v>
      </c>
      <c r="C434" s="1" t="n">
        <v>45972</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31485-2022</t>
        </is>
      </c>
      <c r="B435" s="1" t="n">
        <v>44774.94420138889</v>
      </c>
      <c r="C435" s="1" t="n">
        <v>45972</v>
      </c>
      <c r="D435" t="inlineStr">
        <is>
          <t>JÄMTLANDS LÄN</t>
        </is>
      </c>
      <c r="E435" t="inlineStr">
        <is>
          <t>STRÖMSUND</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22318-2021</t>
        </is>
      </c>
      <c r="B436" s="1" t="n">
        <v>44321</v>
      </c>
      <c r="C436" s="1" t="n">
        <v>45972</v>
      </c>
      <c r="D436" t="inlineStr">
        <is>
          <t>JÄMTLANDS LÄN</t>
        </is>
      </c>
      <c r="E436" t="inlineStr">
        <is>
          <t>STRÖMSUND</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34005-2022</t>
        </is>
      </c>
      <c r="B437" s="1" t="n">
        <v>44790.94476851852</v>
      </c>
      <c r="C437" s="1" t="n">
        <v>45972</v>
      </c>
      <c r="D437" t="inlineStr">
        <is>
          <t>JÄMTLANDS LÄN</t>
        </is>
      </c>
      <c r="E437" t="inlineStr">
        <is>
          <t>STRÖMSUND</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23501-2021</t>
        </is>
      </c>
      <c r="B438" s="1" t="n">
        <v>44333</v>
      </c>
      <c r="C438" s="1" t="n">
        <v>45972</v>
      </c>
      <c r="D438" t="inlineStr">
        <is>
          <t>JÄMTLANDS LÄN</t>
        </is>
      </c>
      <c r="E438" t="inlineStr">
        <is>
          <t>STRÖMSUND</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27233-2021</t>
        </is>
      </c>
      <c r="B439" s="1" t="n">
        <v>44350</v>
      </c>
      <c r="C439" s="1" t="n">
        <v>45972</v>
      </c>
      <c r="D439" t="inlineStr">
        <is>
          <t>JÄMTLANDS LÄN</t>
        </is>
      </c>
      <c r="E439" t="inlineStr">
        <is>
          <t>STRÖMSUND</t>
        </is>
      </c>
      <c r="G439" t="n">
        <v>3.2</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45972</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58973-2021</t>
        </is>
      </c>
      <c r="B441" s="1" t="n">
        <v>44489</v>
      </c>
      <c r="C441" s="1" t="n">
        <v>45972</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59139-2021</t>
        </is>
      </c>
      <c r="B442" s="1" t="n">
        <v>44490</v>
      </c>
      <c r="C442" s="1" t="n">
        <v>45972</v>
      </c>
      <c r="D442" t="inlineStr">
        <is>
          <t>JÄMTLANDS LÄN</t>
        </is>
      </c>
      <c r="E442" t="inlineStr">
        <is>
          <t>STRÖMSUND</t>
        </is>
      </c>
      <c r="G442" t="n">
        <v>3.7</v>
      </c>
      <c r="H442" t="n">
        <v>0</v>
      </c>
      <c r="I442" t="n">
        <v>0</v>
      </c>
      <c r="J442" t="n">
        <v>0</v>
      </c>
      <c r="K442" t="n">
        <v>0</v>
      </c>
      <c r="L442" t="n">
        <v>0</v>
      </c>
      <c r="M442" t="n">
        <v>0</v>
      </c>
      <c r="N442" t="n">
        <v>0</v>
      </c>
      <c r="O442" t="n">
        <v>0</v>
      </c>
      <c r="P442" t="n">
        <v>0</v>
      </c>
      <c r="Q442" t="n">
        <v>0</v>
      </c>
      <c r="R442" s="2" t="inlineStr"/>
    </row>
    <row r="443" ht="15" customHeight="1">
      <c r="A443" t="inlineStr">
        <is>
          <t>A 35240-2022</t>
        </is>
      </c>
      <c r="B443" s="1" t="n">
        <v>44797</v>
      </c>
      <c r="C443" s="1" t="n">
        <v>45972</v>
      </c>
      <c r="D443" t="inlineStr">
        <is>
          <t>JÄMTLANDS LÄN</t>
        </is>
      </c>
      <c r="E443" t="inlineStr">
        <is>
          <t>STRÖMSUND</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63498-2021</t>
        </is>
      </c>
      <c r="B444" s="1" t="n">
        <v>44508.62822916666</v>
      </c>
      <c r="C444" s="1" t="n">
        <v>45972</v>
      </c>
      <c r="D444" t="inlineStr">
        <is>
          <t>JÄMTLANDS LÄN</t>
        </is>
      </c>
      <c r="E444" t="inlineStr">
        <is>
          <t>STRÖMSUND</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30046-2022</t>
        </is>
      </c>
      <c r="B445" s="1" t="n">
        <v>44756.94616898148</v>
      </c>
      <c r="C445" s="1" t="n">
        <v>45972</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28734-2022</t>
        </is>
      </c>
      <c r="B446" s="1" t="n">
        <v>44748</v>
      </c>
      <c r="C446" s="1" t="n">
        <v>45972</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44641-2022</t>
        </is>
      </c>
      <c r="B447" s="1" t="n">
        <v>44839</v>
      </c>
      <c r="C447" s="1" t="n">
        <v>45972</v>
      </c>
      <c r="D447" t="inlineStr">
        <is>
          <t>JÄMTLANDS LÄN</t>
        </is>
      </c>
      <c r="E447" t="inlineStr">
        <is>
          <t>STRÖMSUND</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47607-2021</t>
        </is>
      </c>
      <c r="B448" s="1" t="n">
        <v>44447</v>
      </c>
      <c r="C448" s="1" t="n">
        <v>45972</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65076-2020</t>
        </is>
      </c>
      <c r="B449" s="1" t="n">
        <v>44165</v>
      </c>
      <c r="C449" s="1" t="n">
        <v>45972</v>
      </c>
      <c r="D449" t="inlineStr">
        <is>
          <t>JÄMTLANDS LÄN</t>
        </is>
      </c>
      <c r="E449" t="inlineStr">
        <is>
          <t>STRÖMSUND</t>
        </is>
      </c>
      <c r="G449" t="n">
        <v>20.3</v>
      </c>
      <c r="H449" t="n">
        <v>0</v>
      </c>
      <c r="I449" t="n">
        <v>0</v>
      </c>
      <c r="J449" t="n">
        <v>0</v>
      </c>
      <c r="K449" t="n">
        <v>0</v>
      </c>
      <c r="L449" t="n">
        <v>0</v>
      </c>
      <c r="M449" t="n">
        <v>0</v>
      </c>
      <c r="N449" t="n">
        <v>0</v>
      </c>
      <c r="O449" t="n">
        <v>0</v>
      </c>
      <c r="P449" t="n">
        <v>0</v>
      </c>
      <c r="Q449" t="n">
        <v>0</v>
      </c>
      <c r="R449" s="2" t="inlineStr"/>
    </row>
    <row r="450" ht="15" customHeight="1">
      <c r="A450" t="inlineStr">
        <is>
          <t>A 135-2021</t>
        </is>
      </c>
      <c r="B450" s="1" t="n">
        <v>44196</v>
      </c>
      <c r="C450" s="1" t="n">
        <v>45972</v>
      </c>
      <c r="D450" t="inlineStr">
        <is>
          <t>JÄMTLANDS LÄN</t>
        </is>
      </c>
      <c r="E450" t="inlineStr">
        <is>
          <t>STRÖMSUND</t>
        </is>
      </c>
      <c r="G450" t="n">
        <v>2.5</v>
      </c>
      <c r="H450" t="n">
        <v>0</v>
      </c>
      <c r="I450" t="n">
        <v>0</v>
      </c>
      <c r="J450" t="n">
        <v>0</v>
      </c>
      <c r="K450" t="n">
        <v>0</v>
      </c>
      <c r="L450" t="n">
        <v>0</v>
      </c>
      <c r="M450" t="n">
        <v>0</v>
      </c>
      <c r="N450" t="n">
        <v>0</v>
      </c>
      <c r="O450" t="n">
        <v>0</v>
      </c>
      <c r="P450" t="n">
        <v>0</v>
      </c>
      <c r="Q450" t="n">
        <v>0</v>
      </c>
      <c r="R450" s="2" t="inlineStr"/>
    </row>
    <row r="451" ht="15" customHeight="1">
      <c r="A451" t="inlineStr">
        <is>
          <t>A 14281-2022</t>
        </is>
      </c>
      <c r="B451" s="1" t="n">
        <v>44651</v>
      </c>
      <c r="C451" s="1" t="n">
        <v>45972</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2432-2021</t>
        </is>
      </c>
      <c r="B452" s="1" t="n">
        <v>44211</v>
      </c>
      <c r="C452" s="1" t="n">
        <v>45972</v>
      </c>
      <c r="D452" t="inlineStr">
        <is>
          <t>JÄMTLANDS LÄN</t>
        </is>
      </c>
      <c r="E452" t="inlineStr">
        <is>
          <t>STRÖMSUND</t>
        </is>
      </c>
      <c r="G452" t="n">
        <v>1.5</v>
      </c>
      <c r="H452" t="n">
        <v>0</v>
      </c>
      <c r="I452" t="n">
        <v>0</v>
      </c>
      <c r="J452" t="n">
        <v>0</v>
      </c>
      <c r="K452" t="n">
        <v>0</v>
      </c>
      <c r="L452" t="n">
        <v>0</v>
      </c>
      <c r="M452" t="n">
        <v>0</v>
      </c>
      <c r="N452" t="n">
        <v>0</v>
      </c>
      <c r="O452" t="n">
        <v>0</v>
      </c>
      <c r="P452" t="n">
        <v>0</v>
      </c>
      <c r="Q452" t="n">
        <v>0</v>
      </c>
      <c r="R452" s="2" t="inlineStr"/>
    </row>
    <row r="453" ht="15" customHeight="1">
      <c r="A453" t="inlineStr">
        <is>
          <t>A 67621-2020</t>
        </is>
      </c>
      <c r="B453" s="1" t="n">
        <v>44181</v>
      </c>
      <c r="C453" s="1" t="n">
        <v>45972</v>
      </c>
      <c r="D453" t="inlineStr">
        <is>
          <t>JÄMTLANDS LÄN</t>
        </is>
      </c>
      <c r="E453" t="inlineStr">
        <is>
          <t>STRÖMSUND</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42549-2021</t>
        </is>
      </c>
      <c r="B454" s="1" t="n">
        <v>44427</v>
      </c>
      <c r="C454" s="1" t="n">
        <v>45972</v>
      </c>
      <c r="D454" t="inlineStr">
        <is>
          <t>JÄMTLANDS LÄN</t>
        </is>
      </c>
      <c r="E454" t="inlineStr">
        <is>
          <t>STRÖMSUND</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45972</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45972</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45972</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45972</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45972</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45972</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36383-2022</t>
        </is>
      </c>
      <c r="B461" s="1" t="n">
        <v>44803.94400462963</v>
      </c>
      <c r="C461" s="1" t="n">
        <v>45972</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66739-2020</t>
        </is>
      </c>
      <c r="B462" s="1" t="n">
        <v>44179</v>
      </c>
      <c r="C462" s="1" t="n">
        <v>45972</v>
      </c>
      <c r="D462" t="inlineStr">
        <is>
          <t>JÄMTLANDS LÄN</t>
        </is>
      </c>
      <c r="E462" t="inlineStr">
        <is>
          <t>STRÖMSUND</t>
        </is>
      </c>
      <c r="F462" t="inlineStr">
        <is>
          <t>SCA</t>
        </is>
      </c>
      <c r="G462" t="n">
        <v>23.7</v>
      </c>
      <c r="H462" t="n">
        <v>0</v>
      </c>
      <c r="I462" t="n">
        <v>0</v>
      </c>
      <c r="J462" t="n">
        <v>0</v>
      </c>
      <c r="K462" t="n">
        <v>0</v>
      </c>
      <c r="L462" t="n">
        <v>0</v>
      </c>
      <c r="M462" t="n">
        <v>0</v>
      </c>
      <c r="N462" t="n">
        <v>0</v>
      </c>
      <c r="O462" t="n">
        <v>0</v>
      </c>
      <c r="P462" t="n">
        <v>0</v>
      </c>
      <c r="Q462" t="n">
        <v>0</v>
      </c>
      <c r="R462" s="2" t="inlineStr"/>
    </row>
    <row r="463" ht="15" customHeight="1">
      <c r="A463" t="inlineStr">
        <is>
          <t>A 68424-2021</t>
        </is>
      </c>
      <c r="B463" s="1" t="n">
        <v>44529.38925925926</v>
      </c>
      <c r="C463" s="1" t="n">
        <v>45972</v>
      </c>
      <c r="D463" t="inlineStr">
        <is>
          <t>JÄMTLANDS LÄN</t>
        </is>
      </c>
      <c r="E463" t="inlineStr">
        <is>
          <t>STRÖMSUND</t>
        </is>
      </c>
      <c r="G463" t="n">
        <v>0.6</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45972</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45972</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45972</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19567-2021</t>
        </is>
      </c>
      <c r="B467" s="1" t="n">
        <v>44312</v>
      </c>
      <c r="C467" s="1" t="n">
        <v>45972</v>
      </c>
      <c r="D467" t="inlineStr">
        <is>
          <t>JÄMTLANDS LÄN</t>
        </is>
      </c>
      <c r="E467" t="inlineStr">
        <is>
          <t>STRÖMSUND</t>
        </is>
      </c>
      <c r="G467" t="n">
        <v>0.5</v>
      </c>
      <c r="H467" t="n">
        <v>0</v>
      </c>
      <c r="I467" t="n">
        <v>0</v>
      </c>
      <c r="J467" t="n">
        <v>0</v>
      </c>
      <c r="K467" t="n">
        <v>0</v>
      </c>
      <c r="L467" t="n">
        <v>0</v>
      </c>
      <c r="M467" t="n">
        <v>0</v>
      </c>
      <c r="N467" t="n">
        <v>0</v>
      </c>
      <c r="O467" t="n">
        <v>0</v>
      </c>
      <c r="P467" t="n">
        <v>0</v>
      </c>
      <c r="Q467" t="n">
        <v>0</v>
      </c>
      <c r="R467" s="2" t="inlineStr"/>
    </row>
    <row r="468" ht="15" customHeight="1">
      <c r="A468" t="inlineStr">
        <is>
          <t>A 60939-2021</t>
        </is>
      </c>
      <c r="B468" s="1" t="n">
        <v>44496</v>
      </c>
      <c r="C468" s="1" t="n">
        <v>45972</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45972</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45972</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45972</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45972</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45435-2022</t>
        </is>
      </c>
      <c r="B473" s="1" t="n">
        <v>44844.95348379629</v>
      </c>
      <c r="C473" s="1" t="n">
        <v>45972</v>
      </c>
      <c r="D473" t="inlineStr">
        <is>
          <t>JÄMTLANDS LÄN</t>
        </is>
      </c>
      <c r="E473" t="inlineStr">
        <is>
          <t>STRÖMSUND</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23498-2021</t>
        </is>
      </c>
      <c r="B474" s="1" t="n">
        <v>44333.94412037037</v>
      </c>
      <c r="C474" s="1" t="n">
        <v>45972</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45972</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45972</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44448-2022</t>
        </is>
      </c>
      <c r="B477" s="1" t="n">
        <v>44839.95502314815</v>
      </c>
      <c r="C477" s="1" t="n">
        <v>45972</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17857-2021</t>
        </is>
      </c>
      <c r="B478" s="1" t="n">
        <v>44300</v>
      </c>
      <c r="C478" s="1" t="n">
        <v>45972</v>
      </c>
      <c r="D478" t="inlineStr">
        <is>
          <t>JÄMTLANDS LÄN</t>
        </is>
      </c>
      <c r="E478" t="inlineStr">
        <is>
          <t>STRÖMSUND</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23217-2022</t>
        </is>
      </c>
      <c r="B479" s="1" t="n">
        <v>44719.94307870371</v>
      </c>
      <c r="C479" s="1" t="n">
        <v>45972</v>
      </c>
      <c r="D479" t="inlineStr">
        <is>
          <t>JÄMTLANDS LÄN</t>
        </is>
      </c>
      <c r="E479" t="inlineStr">
        <is>
          <t>STRÖMSUND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28869-2022</t>
        </is>
      </c>
      <c r="B480" s="1" t="n">
        <v>44749</v>
      </c>
      <c r="C480" s="1" t="n">
        <v>45972</v>
      </c>
      <c r="D480" t="inlineStr">
        <is>
          <t>JÄMTLANDS LÄN</t>
        </is>
      </c>
      <c r="E480" t="inlineStr">
        <is>
          <t>STRÖMSUND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14289-2022</t>
        </is>
      </c>
      <c r="B481" s="1" t="n">
        <v>44651</v>
      </c>
      <c r="C481" s="1" t="n">
        <v>45972</v>
      </c>
      <c r="D481" t="inlineStr">
        <is>
          <t>JÄMTLANDS LÄN</t>
        </is>
      </c>
      <c r="E481" t="inlineStr">
        <is>
          <t>STRÖMSUND</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52344-2022</t>
        </is>
      </c>
      <c r="B482" s="1" t="n">
        <v>44873</v>
      </c>
      <c r="C482" s="1" t="n">
        <v>45972</v>
      </c>
      <c r="D482" t="inlineStr">
        <is>
          <t>JÄMTLANDS LÄN</t>
        </is>
      </c>
      <c r="E482" t="inlineStr">
        <is>
          <t>STRÖMSUND</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3875-2022</t>
        </is>
      </c>
      <c r="B483" s="1" t="n">
        <v>44587.45596064815</v>
      </c>
      <c r="C483" s="1" t="n">
        <v>45972</v>
      </c>
      <c r="D483" t="inlineStr">
        <is>
          <t>JÄMTLANDS LÄN</t>
        </is>
      </c>
      <c r="E483" t="inlineStr">
        <is>
          <t>STRÖMSUND</t>
        </is>
      </c>
      <c r="G483" t="n">
        <v>1.8</v>
      </c>
      <c r="H483" t="n">
        <v>0</v>
      </c>
      <c r="I483" t="n">
        <v>0</v>
      </c>
      <c r="J483" t="n">
        <v>0</v>
      </c>
      <c r="K483" t="n">
        <v>0</v>
      </c>
      <c r="L483" t="n">
        <v>0</v>
      </c>
      <c r="M483" t="n">
        <v>0</v>
      </c>
      <c r="N483" t="n">
        <v>0</v>
      </c>
      <c r="O483" t="n">
        <v>0</v>
      </c>
      <c r="P483" t="n">
        <v>0</v>
      </c>
      <c r="Q483" t="n">
        <v>0</v>
      </c>
      <c r="R483" s="2" t="inlineStr"/>
    </row>
    <row r="484" ht="15" customHeight="1">
      <c r="A484" t="inlineStr">
        <is>
          <t>A 36372-2022</t>
        </is>
      </c>
      <c r="B484" s="1" t="n">
        <v>44803.9416087963</v>
      </c>
      <c r="C484" s="1" t="n">
        <v>45972</v>
      </c>
      <c r="D484" t="inlineStr">
        <is>
          <t>JÄMTLANDS LÄN</t>
        </is>
      </c>
      <c r="E484" t="inlineStr">
        <is>
          <t>STRÖMSUND</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3719-2022</t>
        </is>
      </c>
      <c r="B485" s="1" t="n">
        <v>44586</v>
      </c>
      <c r="C485" s="1" t="n">
        <v>45972</v>
      </c>
      <c r="D485" t="inlineStr">
        <is>
          <t>JÄMTLANDS LÄN</t>
        </is>
      </c>
      <c r="E485" t="inlineStr">
        <is>
          <t>STRÖMSUND</t>
        </is>
      </c>
      <c r="G485" t="n">
        <v>1.1</v>
      </c>
      <c r="H485" t="n">
        <v>0</v>
      </c>
      <c r="I485" t="n">
        <v>0</v>
      </c>
      <c r="J485" t="n">
        <v>0</v>
      </c>
      <c r="K485" t="n">
        <v>0</v>
      </c>
      <c r="L485" t="n">
        <v>0</v>
      </c>
      <c r="M485" t="n">
        <v>0</v>
      </c>
      <c r="N485" t="n">
        <v>0</v>
      </c>
      <c r="O485" t="n">
        <v>0</v>
      </c>
      <c r="P485" t="n">
        <v>0</v>
      </c>
      <c r="Q485" t="n">
        <v>0</v>
      </c>
      <c r="R485" s="2" t="inlineStr"/>
    </row>
    <row r="486" ht="15" customHeight="1">
      <c r="A486" t="inlineStr">
        <is>
          <t>A 42806-2022</t>
        </is>
      </c>
      <c r="B486" s="1" t="n">
        <v>44832</v>
      </c>
      <c r="C486" s="1" t="n">
        <v>45972</v>
      </c>
      <c r="D486" t="inlineStr">
        <is>
          <t>JÄMTLANDS LÄN</t>
        </is>
      </c>
      <c r="E486" t="inlineStr">
        <is>
          <t>STRÖMSUND</t>
        </is>
      </c>
      <c r="G486" t="n">
        <v>4.9</v>
      </c>
      <c r="H486" t="n">
        <v>0</v>
      </c>
      <c r="I486" t="n">
        <v>0</v>
      </c>
      <c r="J486" t="n">
        <v>0</v>
      </c>
      <c r="K486" t="n">
        <v>0</v>
      </c>
      <c r="L486" t="n">
        <v>0</v>
      </c>
      <c r="M486" t="n">
        <v>0</v>
      </c>
      <c r="N486" t="n">
        <v>0</v>
      </c>
      <c r="O486" t="n">
        <v>0</v>
      </c>
      <c r="P486" t="n">
        <v>0</v>
      </c>
      <c r="Q486" t="n">
        <v>0</v>
      </c>
      <c r="R486" s="2" t="inlineStr"/>
    </row>
    <row r="487" ht="15" customHeight="1">
      <c r="A487" t="inlineStr">
        <is>
          <t>A 24023-2022</t>
        </is>
      </c>
      <c r="B487" s="1" t="n">
        <v>44722.9420949074</v>
      </c>
      <c r="C487" s="1" t="n">
        <v>45972</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32533-2021</t>
        </is>
      </c>
      <c r="B488" s="1" t="n">
        <v>44374.93210648148</v>
      </c>
      <c r="C488" s="1" t="n">
        <v>45972</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32539-2021</t>
        </is>
      </c>
      <c r="B489" s="1" t="n">
        <v>44374.93653935185</v>
      </c>
      <c r="C489" s="1" t="n">
        <v>45972</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45972</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45972</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10319-2022</t>
        </is>
      </c>
      <c r="B492" s="1" t="n">
        <v>44622.9416087963</v>
      </c>
      <c r="C492" s="1" t="n">
        <v>45972</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60256-2020</t>
        </is>
      </c>
      <c r="B493" s="1" t="n">
        <v>44151</v>
      </c>
      <c r="C493" s="1" t="n">
        <v>45972</v>
      </c>
      <c r="D493" t="inlineStr">
        <is>
          <t>JÄMTLANDS LÄN</t>
        </is>
      </c>
      <c r="E493" t="inlineStr">
        <is>
          <t>STRÖMSUND</t>
        </is>
      </c>
      <c r="G493" t="n">
        <v>0.3</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45972</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24303-2022</t>
        </is>
      </c>
      <c r="B495" s="1" t="n">
        <v>44725.94363425926</v>
      </c>
      <c r="C495" s="1" t="n">
        <v>45972</v>
      </c>
      <c r="D495" t="inlineStr">
        <is>
          <t>JÄMTLANDS LÄN</t>
        </is>
      </c>
      <c r="E495" t="inlineStr">
        <is>
          <t>STRÖMSUND</t>
        </is>
      </c>
      <c r="F495" t="inlineStr">
        <is>
          <t>SCA</t>
        </is>
      </c>
      <c r="G495" t="n">
        <v>20.2</v>
      </c>
      <c r="H495" t="n">
        <v>0</v>
      </c>
      <c r="I495" t="n">
        <v>0</v>
      </c>
      <c r="J495" t="n">
        <v>0</v>
      </c>
      <c r="K495" t="n">
        <v>0</v>
      </c>
      <c r="L495" t="n">
        <v>0</v>
      </c>
      <c r="M495" t="n">
        <v>0</v>
      </c>
      <c r="N495" t="n">
        <v>0</v>
      </c>
      <c r="O495" t="n">
        <v>0</v>
      </c>
      <c r="P495" t="n">
        <v>0</v>
      </c>
      <c r="Q495" t="n">
        <v>0</v>
      </c>
      <c r="R495" s="2" t="inlineStr"/>
    </row>
    <row r="496" ht="15" customHeight="1">
      <c r="A496" t="inlineStr">
        <is>
          <t>A 33225-2021</t>
        </is>
      </c>
      <c r="B496" s="1" t="n">
        <v>44376</v>
      </c>
      <c r="C496" s="1" t="n">
        <v>45972</v>
      </c>
      <c r="D496" t="inlineStr">
        <is>
          <t>JÄMTLANDS LÄN</t>
        </is>
      </c>
      <c r="E496" t="inlineStr">
        <is>
          <t>STRÖMSUND</t>
        </is>
      </c>
      <c r="G496" t="n">
        <v>1.7</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45972</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35522-2021</t>
        </is>
      </c>
      <c r="B498" s="1" t="n">
        <v>44385.65266203704</v>
      </c>
      <c r="C498" s="1" t="n">
        <v>45972</v>
      </c>
      <c r="D498" t="inlineStr">
        <is>
          <t>JÄMTLANDS LÄN</t>
        </is>
      </c>
      <c r="E498" t="inlineStr">
        <is>
          <t>STRÖMSUND</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46058-2022</t>
        </is>
      </c>
      <c r="B499" s="1" t="n">
        <v>44846.95311342592</v>
      </c>
      <c r="C499" s="1" t="n">
        <v>45972</v>
      </c>
      <c r="D499" t="inlineStr">
        <is>
          <t>JÄMTLANDS LÄN</t>
        </is>
      </c>
      <c r="E499" t="inlineStr">
        <is>
          <t>STRÖMSUND</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37107-2022</t>
        </is>
      </c>
      <c r="B500" s="1" t="n">
        <v>44806</v>
      </c>
      <c r="C500" s="1" t="n">
        <v>45972</v>
      </c>
      <c r="D500" t="inlineStr">
        <is>
          <t>JÄMTLANDS LÄN</t>
        </is>
      </c>
      <c r="E500" t="inlineStr">
        <is>
          <t>STRÖMSUND</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45972</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45972</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45972</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45972</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45972</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45972</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17373-2021</t>
        </is>
      </c>
      <c r="B507" s="1" t="n">
        <v>44298.91964120371</v>
      </c>
      <c r="C507" s="1" t="n">
        <v>45972</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61422-2021</t>
        </is>
      </c>
      <c r="B508" s="1" t="n">
        <v>44500.93625</v>
      </c>
      <c r="C508" s="1" t="n">
        <v>45972</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61450-2021</t>
        </is>
      </c>
      <c r="B509" s="1" t="n">
        <v>44500</v>
      </c>
      <c r="C509" s="1" t="n">
        <v>45972</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44428.93994212963</v>
      </c>
      <c r="C510" s="1" t="n">
        <v>45972</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45972</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45972</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45972</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28294-2022</t>
        </is>
      </c>
      <c r="B514" s="1" t="n">
        <v>44746.94328703704</v>
      </c>
      <c r="C514" s="1" t="n">
        <v>45972</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45972</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46327-2022</t>
        </is>
      </c>
      <c r="B516" s="1" t="n">
        <v>44847.94736111111</v>
      </c>
      <c r="C516" s="1" t="n">
        <v>45972</v>
      </c>
      <c r="D516" t="inlineStr">
        <is>
          <t>JÄMTLANDS LÄN</t>
        </is>
      </c>
      <c r="E516" t="inlineStr">
        <is>
          <t>STRÖMSUND</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45972</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65997-2020</t>
        </is>
      </c>
      <c r="B518" s="1" t="n">
        <v>44175</v>
      </c>
      <c r="C518" s="1" t="n">
        <v>45972</v>
      </c>
      <c r="D518" t="inlineStr">
        <is>
          <t>JÄMTLANDS LÄN</t>
        </is>
      </c>
      <c r="E518" t="inlineStr">
        <is>
          <t>STRÖMSUND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326-2021</t>
        </is>
      </c>
      <c r="B519" s="1" t="n">
        <v>44201</v>
      </c>
      <c r="C519" s="1" t="n">
        <v>45972</v>
      </c>
      <c r="D519" t="inlineStr">
        <is>
          <t>JÄMTLANDS LÄN</t>
        </is>
      </c>
      <c r="E519" t="inlineStr">
        <is>
          <t>STRÖMSUND</t>
        </is>
      </c>
      <c r="F519" t="inlineStr">
        <is>
          <t>SCA</t>
        </is>
      </c>
      <c r="G519" t="n">
        <v>88.09999999999999</v>
      </c>
      <c r="H519" t="n">
        <v>0</v>
      </c>
      <c r="I519" t="n">
        <v>0</v>
      </c>
      <c r="J519" t="n">
        <v>0</v>
      </c>
      <c r="K519" t="n">
        <v>0</v>
      </c>
      <c r="L519" t="n">
        <v>0</v>
      </c>
      <c r="M519" t="n">
        <v>0</v>
      </c>
      <c r="N519" t="n">
        <v>0</v>
      </c>
      <c r="O519" t="n">
        <v>0</v>
      </c>
      <c r="P519" t="n">
        <v>0</v>
      </c>
      <c r="Q519" t="n">
        <v>0</v>
      </c>
      <c r="R519" s="2" t="inlineStr"/>
    </row>
    <row r="520" ht="15" customHeight="1">
      <c r="A520" t="inlineStr">
        <is>
          <t>A 27979-2021</t>
        </is>
      </c>
      <c r="B520" s="1" t="n">
        <v>44354</v>
      </c>
      <c r="C520" s="1" t="n">
        <v>45972</v>
      </c>
      <c r="D520" t="inlineStr">
        <is>
          <t>JÄMTLANDS LÄN</t>
        </is>
      </c>
      <c r="E520" t="inlineStr">
        <is>
          <t>STRÖMSUND</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45972</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60061-2020</t>
        </is>
      </c>
      <c r="B522" s="1" t="n">
        <v>44151</v>
      </c>
      <c r="C522" s="1" t="n">
        <v>45972</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142-2021</t>
        </is>
      </c>
      <c r="B523" s="1" t="n">
        <v>44196</v>
      </c>
      <c r="C523" s="1" t="n">
        <v>45972</v>
      </c>
      <c r="D523" t="inlineStr">
        <is>
          <t>JÄMTLANDS LÄN</t>
        </is>
      </c>
      <c r="E523" t="inlineStr">
        <is>
          <t>STRÖMSUND</t>
        </is>
      </c>
      <c r="G523" t="n">
        <v>6.1</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45972</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29628-2021</t>
        </is>
      </c>
      <c r="B525" s="1" t="n">
        <v>44361</v>
      </c>
      <c r="C525" s="1" t="n">
        <v>45972</v>
      </c>
      <c r="D525" t="inlineStr">
        <is>
          <t>JÄMTLANDS LÄN</t>
        </is>
      </c>
      <c r="E525" t="inlineStr">
        <is>
          <t>STRÖMSUND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8020-2021</t>
        </is>
      </c>
      <c r="B526" s="1" t="n">
        <v>44243</v>
      </c>
      <c r="C526" s="1" t="n">
        <v>45972</v>
      </c>
      <c r="D526" t="inlineStr">
        <is>
          <t>JÄMTLANDS LÄN</t>
        </is>
      </c>
      <c r="E526" t="inlineStr">
        <is>
          <t>STRÖMSUND</t>
        </is>
      </c>
      <c r="G526" t="n">
        <v>2.7</v>
      </c>
      <c r="H526" t="n">
        <v>0</v>
      </c>
      <c r="I526" t="n">
        <v>0</v>
      </c>
      <c r="J526" t="n">
        <v>0</v>
      </c>
      <c r="K526" t="n">
        <v>0</v>
      </c>
      <c r="L526" t="n">
        <v>0</v>
      </c>
      <c r="M526" t="n">
        <v>0</v>
      </c>
      <c r="N526" t="n">
        <v>0</v>
      </c>
      <c r="O526" t="n">
        <v>0</v>
      </c>
      <c r="P526" t="n">
        <v>0</v>
      </c>
      <c r="Q526" t="n">
        <v>0</v>
      </c>
      <c r="R526" s="2" t="inlineStr"/>
    </row>
    <row r="527" ht="15" customHeight="1">
      <c r="A527" t="inlineStr">
        <is>
          <t>A 4004-2021</t>
        </is>
      </c>
      <c r="B527" s="1" t="n">
        <v>44222</v>
      </c>
      <c r="C527" s="1" t="n">
        <v>45972</v>
      </c>
      <c r="D527" t="inlineStr">
        <is>
          <t>JÄMTLANDS LÄN</t>
        </is>
      </c>
      <c r="E527" t="inlineStr">
        <is>
          <t>STRÖMSUND</t>
        </is>
      </c>
      <c r="F527" t="inlineStr">
        <is>
          <t>Kyrkan</t>
        </is>
      </c>
      <c r="G527" t="n">
        <v>5.9</v>
      </c>
      <c r="H527" t="n">
        <v>0</v>
      </c>
      <c r="I527" t="n">
        <v>0</v>
      </c>
      <c r="J527" t="n">
        <v>0</v>
      </c>
      <c r="K527" t="n">
        <v>0</v>
      </c>
      <c r="L527" t="n">
        <v>0</v>
      </c>
      <c r="M527" t="n">
        <v>0</v>
      </c>
      <c r="N527" t="n">
        <v>0</v>
      </c>
      <c r="O527" t="n">
        <v>0</v>
      </c>
      <c r="P527" t="n">
        <v>0</v>
      </c>
      <c r="Q527" t="n">
        <v>0</v>
      </c>
      <c r="R527" s="2" t="inlineStr"/>
    </row>
    <row r="528" ht="15" customHeight="1">
      <c r="A528" t="inlineStr">
        <is>
          <t>A 26142-2021</t>
        </is>
      </c>
      <c r="B528" s="1" t="n">
        <v>44346.79850694445</v>
      </c>
      <c r="C528" s="1" t="n">
        <v>45972</v>
      </c>
      <c r="D528" t="inlineStr">
        <is>
          <t>JÄMTLANDS LÄN</t>
        </is>
      </c>
      <c r="E528" t="inlineStr">
        <is>
          <t>STRÖMSUND</t>
        </is>
      </c>
      <c r="G528" t="n">
        <v>2.1</v>
      </c>
      <c r="H528" t="n">
        <v>0</v>
      </c>
      <c r="I528" t="n">
        <v>0</v>
      </c>
      <c r="J528" t="n">
        <v>0</v>
      </c>
      <c r="K528" t="n">
        <v>0</v>
      </c>
      <c r="L528" t="n">
        <v>0</v>
      </c>
      <c r="M528" t="n">
        <v>0</v>
      </c>
      <c r="N528" t="n">
        <v>0</v>
      </c>
      <c r="O528" t="n">
        <v>0</v>
      </c>
      <c r="P528" t="n">
        <v>0</v>
      </c>
      <c r="Q528" t="n">
        <v>0</v>
      </c>
      <c r="R528" s="2" t="inlineStr"/>
    </row>
    <row r="529" ht="15" customHeight="1">
      <c r="A529" t="inlineStr">
        <is>
          <t>A 30219-2022</t>
        </is>
      </c>
      <c r="B529" s="1" t="n">
        <v>44757.94258101852</v>
      </c>
      <c r="C529" s="1" t="n">
        <v>45972</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30227-2022</t>
        </is>
      </c>
      <c r="B530" s="1" t="n">
        <v>44757.94329861111</v>
      </c>
      <c r="C530" s="1" t="n">
        <v>45972</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30232-2022</t>
        </is>
      </c>
      <c r="B531" s="1" t="n">
        <v>44757.94375</v>
      </c>
      <c r="C531" s="1" t="n">
        <v>45972</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5034-2021</t>
        </is>
      </c>
      <c r="B532" s="1" t="n">
        <v>44228</v>
      </c>
      <c r="C532" s="1" t="n">
        <v>45972</v>
      </c>
      <c r="D532" t="inlineStr">
        <is>
          <t>JÄMTLANDS LÄN</t>
        </is>
      </c>
      <c r="E532" t="inlineStr">
        <is>
          <t>STRÖMSUND</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45972</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20708-2022</t>
        </is>
      </c>
      <c r="B534" s="1" t="n">
        <v>44700</v>
      </c>
      <c r="C534" s="1" t="n">
        <v>45972</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3721-2022</t>
        </is>
      </c>
      <c r="B535" s="1" t="n">
        <v>44586</v>
      </c>
      <c r="C535" s="1" t="n">
        <v>45972</v>
      </c>
      <c r="D535" t="inlineStr">
        <is>
          <t>JÄMTLANDS LÄN</t>
        </is>
      </c>
      <c r="E535" t="inlineStr">
        <is>
          <t>STRÖMSUND</t>
        </is>
      </c>
      <c r="G535" t="n">
        <v>0.6</v>
      </c>
      <c r="H535" t="n">
        <v>0</v>
      </c>
      <c r="I535" t="n">
        <v>0</v>
      </c>
      <c r="J535" t="n">
        <v>0</v>
      </c>
      <c r="K535" t="n">
        <v>0</v>
      </c>
      <c r="L535" t="n">
        <v>0</v>
      </c>
      <c r="M535" t="n">
        <v>0</v>
      </c>
      <c r="N535" t="n">
        <v>0</v>
      </c>
      <c r="O535" t="n">
        <v>0</v>
      </c>
      <c r="P535" t="n">
        <v>0</v>
      </c>
      <c r="Q535" t="n">
        <v>0</v>
      </c>
      <c r="R535" s="2" t="inlineStr"/>
    </row>
    <row r="536" ht="15" customHeight="1">
      <c r="A536" t="inlineStr">
        <is>
          <t>A 61434-2021</t>
        </is>
      </c>
      <c r="B536" s="1" t="n">
        <v>44500</v>
      </c>
      <c r="C536" s="1" t="n">
        <v>45972</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45972</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29552-2021</t>
        </is>
      </c>
      <c r="B538" s="1" t="n">
        <v>44361</v>
      </c>
      <c r="C538" s="1" t="n">
        <v>45972</v>
      </c>
      <c r="D538" t="inlineStr">
        <is>
          <t>JÄMTLANDS LÄN</t>
        </is>
      </c>
      <c r="E538" t="inlineStr">
        <is>
          <t>STRÖMSUND</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62203-2021</t>
        </is>
      </c>
      <c r="B539" s="1" t="n">
        <v>44502</v>
      </c>
      <c r="C539" s="1" t="n">
        <v>45972</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43140-2022</t>
        </is>
      </c>
      <c r="B540" s="1" t="n">
        <v>44833.95140046296</v>
      </c>
      <c r="C540" s="1" t="n">
        <v>45972</v>
      </c>
      <c r="D540" t="inlineStr">
        <is>
          <t>JÄMTLANDS LÄN</t>
        </is>
      </c>
      <c r="E540" t="inlineStr">
        <is>
          <t>STRÖMSUND</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35918-2021</t>
        </is>
      </c>
      <c r="B541" s="1" t="n">
        <v>44387.93637731481</v>
      </c>
      <c r="C541" s="1" t="n">
        <v>45972</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37102-2022</t>
        </is>
      </c>
      <c r="B542" s="1" t="n">
        <v>44806</v>
      </c>
      <c r="C542" s="1" t="n">
        <v>45972</v>
      </c>
      <c r="D542" t="inlineStr">
        <is>
          <t>JÄMTLANDS LÄN</t>
        </is>
      </c>
      <c r="E542" t="inlineStr">
        <is>
          <t>STRÖMSUND</t>
        </is>
      </c>
      <c r="F542" t="inlineStr">
        <is>
          <t>Kommuner</t>
        </is>
      </c>
      <c r="G542" t="n">
        <v>0.3</v>
      </c>
      <c r="H542" t="n">
        <v>0</v>
      </c>
      <c r="I542" t="n">
        <v>0</v>
      </c>
      <c r="J542" t="n">
        <v>0</v>
      </c>
      <c r="K542" t="n">
        <v>0</v>
      </c>
      <c r="L542" t="n">
        <v>0</v>
      </c>
      <c r="M542" t="n">
        <v>0</v>
      </c>
      <c r="N542" t="n">
        <v>0</v>
      </c>
      <c r="O542" t="n">
        <v>0</v>
      </c>
      <c r="P542" t="n">
        <v>0</v>
      </c>
      <c r="Q542" t="n">
        <v>0</v>
      </c>
      <c r="R542" s="2" t="inlineStr"/>
    </row>
    <row r="543" ht="15" customHeight="1">
      <c r="A543" t="inlineStr">
        <is>
          <t>A 38415-2022</t>
        </is>
      </c>
      <c r="B543" s="1" t="n">
        <v>44812</v>
      </c>
      <c r="C543" s="1" t="n">
        <v>45972</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32349-2022</t>
        </is>
      </c>
      <c r="B544" s="1" t="n">
        <v>44781.9250462963</v>
      </c>
      <c r="C544" s="1" t="n">
        <v>45972</v>
      </c>
      <c r="D544" t="inlineStr">
        <is>
          <t>JÄMTLANDS LÄN</t>
        </is>
      </c>
      <c r="E544" t="inlineStr">
        <is>
          <t>STRÖMSUND</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45972</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29594-2021</t>
        </is>
      </c>
      <c r="B546" s="1" t="n">
        <v>44361</v>
      </c>
      <c r="C546" s="1" t="n">
        <v>45972</v>
      </c>
      <c r="D546" t="inlineStr">
        <is>
          <t>JÄMTLANDS LÄN</t>
        </is>
      </c>
      <c r="E546" t="inlineStr">
        <is>
          <t>STRÖMSUND</t>
        </is>
      </c>
      <c r="G546" t="n">
        <v>10.8</v>
      </c>
      <c r="H546" t="n">
        <v>0</v>
      </c>
      <c r="I546" t="n">
        <v>0</v>
      </c>
      <c r="J546" t="n">
        <v>0</v>
      </c>
      <c r="K546" t="n">
        <v>0</v>
      </c>
      <c r="L546" t="n">
        <v>0</v>
      </c>
      <c r="M546" t="n">
        <v>0</v>
      </c>
      <c r="N546" t="n">
        <v>0</v>
      </c>
      <c r="O546" t="n">
        <v>0</v>
      </c>
      <c r="P546" t="n">
        <v>0</v>
      </c>
      <c r="Q546" t="n">
        <v>0</v>
      </c>
      <c r="R546" s="2" t="inlineStr"/>
    </row>
    <row r="547" ht="15" customHeight="1">
      <c r="A547" t="inlineStr">
        <is>
          <t>A 58972-2021</t>
        </is>
      </c>
      <c r="B547" s="1" t="n">
        <v>44489.94628472222</v>
      </c>
      <c r="C547" s="1" t="n">
        <v>45972</v>
      </c>
      <c r="D547" t="inlineStr">
        <is>
          <t>JÄMTLANDS LÄN</t>
        </is>
      </c>
      <c r="E547" t="inlineStr">
        <is>
          <t>STRÖMSUND</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42790-2022</t>
        </is>
      </c>
      <c r="B548" s="1" t="n">
        <v>44832</v>
      </c>
      <c r="C548" s="1" t="n">
        <v>45972</v>
      </c>
      <c r="D548" t="inlineStr">
        <is>
          <t>JÄMTLANDS LÄN</t>
        </is>
      </c>
      <c r="E548" t="inlineStr">
        <is>
          <t>STRÖMSUND</t>
        </is>
      </c>
      <c r="G548" t="n">
        <v>2.5</v>
      </c>
      <c r="H548" t="n">
        <v>0</v>
      </c>
      <c r="I548" t="n">
        <v>0</v>
      </c>
      <c r="J548" t="n">
        <v>0</v>
      </c>
      <c r="K548" t="n">
        <v>0</v>
      </c>
      <c r="L548" t="n">
        <v>0</v>
      </c>
      <c r="M548" t="n">
        <v>0</v>
      </c>
      <c r="N548" t="n">
        <v>0</v>
      </c>
      <c r="O548" t="n">
        <v>0</v>
      </c>
      <c r="P548" t="n">
        <v>0</v>
      </c>
      <c r="Q548" t="n">
        <v>0</v>
      </c>
      <c r="R548" s="2" t="inlineStr"/>
    </row>
    <row r="549" ht="15" customHeight="1">
      <c r="A549" t="inlineStr">
        <is>
          <t>A 43160-2022</t>
        </is>
      </c>
      <c r="B549" s="1" t="n">
        <v>44833.95378472222</v>
      </c>
      <c r="C549" s="1" t="n">
        <v>45972</v>
      </c>
      <c r="D549" t="inlineStr">
        <is>
          <t>JÄMTLANDS LÄN</t>
        </is>
      </c>
      <c r="E549" t="inlineStr">
        <is>
          <t>STRÖMSUND</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31446-2022</t>
        </is>
      </c>
      <c r="B550" s="1" t="n">
        <v>44774.94104166667</v>
      </c>
      <c r="C550" s="1" t="n">
        <v>45972</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45972</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68568-2020</t>
        </is>
      </c>
      <c r="B552" s="1" t="n">
        <v>44186</v>
      </c>
      <c r="C552" s="1" t="n">
        <v>45972</v>
      </c>
      <c r="D552" t="inlineStr">
        <is>
          <t>JÄMTLANDS LÄN</t>
        </is>
      </c>
      <c r="E552" t="inlineStr">
        <is>
          <t>STRÖMSUND</t>
        </is>
      </c>
      <c r="F552" t="inlineStr">
        <is>
          <t>Holmen skog AB</t>
        </is>
      </c>
      <c r="G552" t="n">
        <v>39.3</v>
      </c>
      <c r="H552" t="n">
        <v>0</v>
      </c>
      <c r="I552" t="n">
        <v>0</v>
      </c>
      <c r="J552" t="n">
        <v>0</v>
      </c>
      <c r="K552" t="n">
        <v>0</v>
      </c>
      <c r="L552" t="n">
        <v>0</v>
      </c>
      <c r="M552" t="n">
        <v>0</v>
      </c>
      <c r="N552" t="n">
        <v>0</v>
      </c>
      <c r="O552" t="n">
        <v>0</v>
      </c>
      <c r="P552" t="n">
        <v>0</v>
      </c>
      <c r="Q552" t="n">
        <v>0</v>
      </c>
      <c r="R552" s="2" t="inlineStr"/>
    </row>
    <row r="553" ht="15" customHeight="1">
      <c r="A553" t="inlineStr">
        <is>
          <t>A 39388-2022</t>
        </is>
      </c>
      <c r="B553" s="1" t="n">
        <v>44817</v>
      </c>
      <c r="C553" s="1" t="n">
        <v>45972</v>
      </c>
      <c r="D553" t="inlineStr">
        <is>
          <t>JÄMTLANDS LÄN</t>
        </is>
      </c>
      <c r="E553" t="inlineStr">
        <is>
          <t>STRÖMSUND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35915-2021</t>
        </is>
      </c>
      <c r="B554" s="1" t="n">
        <v>44387.9327662037</v>
      </c>
      <c r="C554" s="1" t="n">
        <v>45972</v>
      </c>
      <c r="D554" t="inlineStr">
        <is>
          <t>JÄMTLANDS LÄN</t>
        </is>
      </c>
      <c r="E554" t="inlineStr">
        <is>
          <t>STRÖMSUND</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45972</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72753-2021</t>
        </is>
      </c>
      <c r="B556" s="1" t="n">
        <v>44546.92266203704</v>
      </c>
      <c r="C556" s="1" t="n">
        <v>45972</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44606-2021</t>
        </is>
      </c>
      <c r="B557" s="1" t="n">
        <v>44435.9415162037</v>
      </c>
      <c r="C557" s="1" t="n">
        <v>45972</v>
      </c>
      <c r="D557" t="inlineStr">
        <is>
          <t>JÄMTLANDS LÄN</t>
        </is>
      </c>
      <c r="E557" t="inlineStr">
        <is>
          <t>STRÖMSUND</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46056-2022</t>
        </is>
      </c>
      <c r="B558" s="1" t="n">
        <v>44846.95290509259</v>
      </c>
      <c r="C558" s="1" t="n">
        <v>45972</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71352-2021</t>
        </is>
      </c>
      <c r="B559" s="1" t="n">
        <v>44539</v>
      </c>
      <c r="C559" s="1" t="n">
        <v>45972</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c r="U559">
        <f>HYPERLINK("https://klasma.github.io/Logging_2313/knärot/A 71352-2021 karta knärot.png", "A 71352-2021")</f>
        <v/>
      </c>
      <c r="V559">
        <f>HYPERLINK("https://klasma.github.io/Logging_2313/klagomål/A 71352-2021 FSC-klagomål.docx", "A 71352-2021")</f>
        <v/>
      </c>
      <c r="W559">
        <f>HYPERLINK("https://klasma.github.io/Logging_2313/klagomålsmail/A 71352-2021 FSC-klagomål mail.docx", "A 71352-2021")</f>
        <v/>
      </c>
      <c r="X559">
        <f>HYPERLINK("https://klasma.github.io/Logging_2313/tillsyn/A 71352-2021 tillsynsbegäran.docx", "A 71352-2021")</f>
        <v/>
      </c>
      <c r="Y559">
        <f>HYPERLINK("https://klasma.github.io/Logging_2313/tillsynsmail/A 71352-2021 tillsynsbegäran mail.docx", "A 71352-2021")</f>
        <v/>
      </c>
    </row>
    <row r="560" ht="15" customHeight="1">
      <c r="A560" t="inlineStr">
        <is>
          <t>A 71353-2021</t>
        </is>
      </c>
      <c r="B560" s="1" t="n">
        <v>44539</v>
      </c>
      <c r="C560" s="1" t="n">
        <v>45972</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45972</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45972</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45972</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13098-2022</t>
        </is>
      </c>
      <c r="B564" s="1" t="n">
        <v>44643</v>
      </c>
      <c r="C564" s="1" t="n">
        <v>45972</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12404-2022</t>
        </is>
      </c>
      <c r="B565" s="1" t="n">
        <v>44637.94065972222</v>
      </c>
      <c r="C565" s="1" t="n">
        <v>45972</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15355-2021</t>
        </is>
      </c>
      <c r="B566" s="1" t="n">
        <v>44284</v>
      </c>
      <c r="C566" s="1" t="n">
        <v>45972</v>
      </c>
      <c r="D566" t="inlineStr">
        <is>
          <t>JÄMTLANDS LÄN</t>
        </is>
      </c>
      <c r="E566" t="inlineStr">
        <is>
          <t>STRÖMSUND</t>
        </is>
      </c>
      <c r="G566" t="n">
        <v>0.9</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45972</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45972</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45972</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45972</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45972</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65442-2021</t>
        </is>
      </c>
      <c r="B572" s="1" t="n">
        <v>44515.93943287037</v>
      </c>
      <c r="C572" s="1" t="n">
        <v>45972</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23486-2021</t>
        </is>
      </c>
      <c r="B573" s="1" t="n">
        <v>44333</v>
      </c>
      <c r="C573" s="1" t="n">
        <v>45972</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45972</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45972</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45972</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45972</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457-2021</t>
        </is>
      </c>
      <c r="B578" s="1" t="n">
        <v>44202</v>
      </c>
      <c r="C578" s="1" t="n">
        <v>45972</v>
      </c>
      <c r="D578" t="inlineStr">
        <is>
          <t>JÄMTLANDS LÄN</t>
        </is>
      </c>
      <c r="E578" t="inlineStr">
        <is>
          <t>STRÖMSUND</t>
        </is>
      </c>
      <c r="G578" t="n">
        <v>2.3</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45972</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38219-2021</t>
        </is>
      </c>
      <c r="B580" s="1" t="n">
        <v>44405</v>
      </c>
      <c r="C580" s="1" t="n">
        <v>45972</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30037-2022</t>
        </is>
      </c>
      <c r="B581" s="1" t="n">
        <v>44756.94559027778</v>
      </c>
      <c r="C581" s="1" t="n">
        <v>45972</v>
      </c>
      <c r="D581" t="inlineStr">
        <is>
          <t>JÄMTLANDS LÄN</t>
        </is>
      </c>
      <c r="E581" t="inlineStr">
        <is>
          <t>STRÖMSUND</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68646-2021</t>
        </is>
      </c>
      <c r="B582" s="1" t="n">
        <v>44529.60631944444</v>
      </c>
      <c r="C582" s="1" t="n">
        <v>45972</v>
      </c>
      <c r="D582" t="inlineStr">
        <is>
          <t>JÄMTLANDS LÄN</t>
        </is>
      </c>
      <c r="E582" t="inlineStr">
        <is>
          <t>STRÖMSUND</t>
        </is>
      </c>
      <c r="G582" t="n">
        <v>2.4</v>
      </c>
      <c r="H582" t="n">
        <v>0</v>
      </c>
      <c r="I582" t="n">
        <v>0</v>
      </c>
      <c r="J582" t="n">
        <v>0</v>
      </c>
      <c r="K582" t="n">
        <v>0</v>
      </c>
      <c r="L582" t="n">
        <v>0</v>
      </c>
      <c r="M582" t="n">
        <v>0</v>
      </c>
      <c r="N582" t="n">
        <v>0</v>
      </c>
      <c r="O582" t="n">
        <v>0</v>
      </c>
      <c r="P582" t="n">
        <v>0</v>
      </c>
      <c r="Q582" t="n">
        <v>0</v>
      </c>
      <c r="R582" s="2" t="inlineStr"/>
    </row>
    <row r="583" ht="15" customHeight="1">
      <c r="A583" t="inlineStr">
        <is>
          <t>A 35241-2022</t>
        </is>
      </c>
      <c r="B583" s="1" t="n">
        <v>44797</v>
      </c>
      <c r="C583" s="1" t="n">
        <v>45972</v>
      </c>
      <c r="D583" t="inlineStr">
        <is>
          <t>JÄMTLANDS LÄN</t>
        </is>
      </c>
      <c r="E583" t="inlineStr">
        <is>
          <t>STRÖMSUND</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35321-2022</t>
        </is>
      </c>
      <c r="B584" s="1" t="n">
        <v>44798</v>
      </c>
      <c r="C584" s="1" t="n">
        <v>45972</v>
      </c>
      <c r="D584" t="inlineStr">
        <is>
          <t>JÄMTLANDS LÄN</t>
        </is>
      </c>
      <c r="E584" t="inlineStr">
        <is>
          <t>STRÖMSUND</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35064-2021</t>
        </is>
      </c>
      <c r="B585" s="1" t="n">
        <v>44383</v>
      </c>
      <c r="C585" s="1" t="n">
        <v>45972</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45972</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50029-2021</t>
        </is>
      </c>
      <c r="B587" s="1" t="n">
        <v>44456.4916087963</v>
      </c>
      <c r="C587" s="1" t="n">
        <v>45972</v>
      </c>
      <c r="D587" t="inlineStr">
        <is>
          <t>JÄMTLANDS LÄN</t>
        </is>
      </c>
      <c r="E587" t="inlineStr">
        <is>
          <t>STRÖMSUND</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45972</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45972</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14288-2022</t>
        </is>
      </c>
      <c r="B590" s="1" t="n">
        <v>44651</v>
      </c>
      <c r="C590" s="1" t="n">
        <v>45972</v>
      </c>
      <c r="D590" t="inlineStr">
        <is>
          <t>JÄMTLANDS LÄN</t>
        </is>
      </c>
      <c r="E590" t="inlineStr">
        <is>
          <t>STRÖMSUND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71911-2021</t>
        </is>
      </c>
      <c r="B591" s="1" t="n">
        <v>44543.92153935185</v>
      </c>
      <c r="C591" s="1" t="n">
        <v>45972</v>
      </c>
      <c r="D591" t="inlineStr">
        <is>
          <t>JÄMTLANDS LÄN</t>
        </is>
      </c>
      <c r="E591" t="inlineStr">
        <is>
          <t>STRÖMSUND</t>
        </is>
      </c>
      <c r="G591" t="n">
        <v>1.1</v>
      </c>
      <c r="H591" t="n">
        <v>0</v>
      </c>
      <c r="I591" t="n">
        <v>0</v>
      </c>
      <c r="J591" t="n">
        <v>0</v>
      </c>
      <c r="K591" t="n">
        <v>0</v>
      </c>
      <c r="L591" t="n">
        <v>0</v>
      </c>
      <c r="M591" t="n">
        <v>0</v>
      </c>
      <c r="N591" t="n">
        <v>0</v>
      </c>
      <c r="O591" t="n">
        <v>0</v>
      </c>
      <c r="P591" t="n">
        <v>0</v>
      </c>
      <c r="Q591" t="n">
        <v>0</v>
      </c>
      <c r="R591" s="2" t="inlineStr"/>
    </row>
    <row r="592" ht="15" customHeight="1">
      <c r="A592" t="inlineStr">
        <is>
          <t>A 71912-2021</t>
        </is>
      </c>
      <c r="B592" s="1" t="n">
        <v>44543</v>
      </c>
      <c r="C592" s="1" t="n">
        <v>45972</v>
      </c>
      <c r="D592" t="inlineStr">
        <is>
          <t>JÄMTLANDS LÄN</t>
        </is>
      </c>
      <c r="E592" t="inlineStr">
        <is>
          <t>STRÖMSUND</t>
        </is>
      </c>
      <c r="G592" t="n">
        <v>3.2</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45972</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45972</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45972</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45972</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45972</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45972</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45972</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51563-2022</t>
        </is>
      </c>
      <c r="B600" s="1" t="n">
        <v>44869</v>
      </c>
      <c r="C600" s="1" t="n">
        <v>45972</v>
      </c>
      <c r="D600" t="inlineStr">
        <is>
          <t>JÄMTLANDS LÄN</t>
        </is>
      </c>
      <c r="E600" t="inlineStr">
        <is>
          <t>STRÖMSUND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59330-2020</t>
        </is>
      </c>
      <c r="B601" s="1" t="n">
        <v>44147.93938657407</v>
      </c>
      <c r="C601" s="1" t="n">
        <v>45972</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73291-2021</t>
        </is>
      </c>
      <c r="B602" s="1" t="n">
        <v>44550</v>
      </c>
      <c r="C602" s="1" t="n">
        <v>45972</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45972</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61449-2021</t>
        </is>
      </c>
      <c r="B604" s="1" t="n">
        <v>44500.93988425926</v>
      </c>
      <c r="C604" s="1" t="n">
        <v>45972</v>
      </c>
      <c r="D604" t="inlineStr">
        <is>
          <t>JÄMTLANDS LÄN</t>
        </is>
      </c>
      <c r="E604" t="inlineStr">
        <is>
          <t>STRÖMSUND</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45972</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45972</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36079-2022</t>
        </is>
      </c>
      <c r="B607" s="1" t="n">
        <v>44802.94603009259</v>
      </c>
      <c r="C607" s="1" t="n">
        <v>45972</v>
      </c>
      <c r="D607" t="inlineStr">
        <is>
          <t>JÄMTLANDS LÄN</t>
        </is>
      </c>
      <c r="E607" t="inlineStr">
        <is>
          <t>STRÖMSUND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45972</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45972</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45972</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30036-2022</t>
        </is>
      </c>
      <c r="B611" s="1" t="n">
        <v>44756</v>
      </c>
      <c r="C611" s="1" t="n">
        <v>45972</v>
      </c>
      <c r="D611" t="inlineStr">
        <is>
          <t>JÄMTLANDS LÄN</t>
        </is>
      </c>
      <c r="E611" t="inlineStr">
        <is>
          <t>STRÖMSUND</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54581-2022</t>
        </is>
      </c>
      <c r="B612" s="1" t="n">
        <v>44882.95608796296</v>
      </c>
      <c r="C612" s="1" t="n">
        <v>45972</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41828-2022</t>
        </is>
      </c>
      <c r="B613" s="1" t="n">
        <v>44827.94636574074</v>
      </c>
      <c r="C613" s="1" t="n">
        <v>45972</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41821-2022</t>
        </is>
      </c>
      <c r="B614" s="1" t="n">
        <v>44827</v>
      </c>
      <c r="C614" s="1" t="n">
        <v>45972</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42294-2022</t>
        </is>
      </c>
      <c r="B615" s="1" t="n">
        <v>44830.95416666667</v>
      </c>
      <c r="C615" s="1" t="n">
        <v>45972</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31849-2022</t>
        </is>
      </c>
      <c r="B616" s="1" t="n">
        <v>44776.9419212963</v>
      </c>
      <c r="C616" s="1" t="n">
        <v>45972</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42280-2022</t>
        </is>
      </c>
      <c r="B617" s="1" t="n">
        <v>44830.953125</v>
      </c>
      <c r="C617" s="1" t="n">
        <v>45972</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45972</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45972</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45972</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45972</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37373-2021</t>
        </is>
      </c>
      <c r="B622" s="1" t="n">
        <v>44397.93509259259</v>
      </c>
      <c r="C622" s="1" t="n">
        <v>45972</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33054-2022</t>
        </is>
      </c>
      <c r="B623" s="1" t="n">
        <v>44785</v>
      </c>
      <c r="C623" s="1" t="n">
        <v>45972</v>
      </c>
      <c r="D623" t="inlineStr">
        <is>
          <t>JÄMTLANDS LÄN</t>
        </is>
      </c>
      <c r="E623" t="inlineStr">
        <is>
          <t>STRÖMSUND</t>
        </is>
      </c>
      <c r="G623" t="n">
        <v>5</v>
      </c>
      <c r="H623" t="n">
        <v>0</v>
      </c>
      <c r="I623" t="n">
        <v>0</v>
      </c>
      <c r="J623" t="n">
        <v>0</v>
      </c>
      <c r="K623" t="n">
        <v>0</v>
      </c>
      <c r="L623" t="n">
        <v>0</v>
      </c>
      <c r="M623" t="n">
        <v>0</v>
      </c>
      <c r="N623" t="n">
        <v>0</v>
      </c>
      <c r="O623" t="n">
        <v>0</v>
      </c>
      <c r="P623" t="n">
        <v>0</v>
      </c>
      <c r="Q623" t="n">
        <v>0</v>
      </c>
      <c r="R623" s="2" t="inlineStr"/>
    </row>
    <row r="624" ht="15" customHeight="1">
      <c r="A624" t="inlineStr">
        <is>
          <t>A 60703-2020</t>
        </is>
      </c>
      <c r="B624" s="1" t="n">
        <v>44153</v>
      </c>
      <c r="C624" s="1" t="n">
        <v>45972</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5416-2022</t>
        </is>
      </c>
      <c r="B625" s="1" t="n">
        <v>44595</v>
      </c>
      <c r="C625" s="1" t="n">
        <v>45972</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43844-2021</t>
        </is>
      </c>
      <c r="B626" s="1" t="n">
        <v>44433</v>
      </c>
      <c r="C626" s="1" t="n">
        <v>45972</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44600-2021</t>
        </is>
      </c>
      <c r="B627" s="1" t="n">
        <v>44435.94118055556</v>
      </c>
      <c r="C627" s="1" t="n">
        <v>45972</v>
      </c>
      <c r="D627" t="inlineStr">
        <is>
          <t>JÄMTLANDS LÄN</t>
        </is>
      </c>
      <c r="E627" t="inlineStr">
        <is>
          <t>STRÖMSUND</t>
        </is>
      </c>
      <c r="F627" t="inlineStr">
        <is>
          <t>SCA</t>
        </is>
      </c>
      <c r="G627" t="n">
        <v>7.7</v>
      </c>
      <c r="H627" t="n">
        <v>0</v>
      </c>
      <c r="I627" t="n">
        <v>0</v>
      </c>
      <c r="J627" t="n">
        <v>0</v>
      </c>
      <c r="K627" t="n">
        <v>0</v>
      </c>
      <c r="L627" t="n">
        <v>0</v>
      </c>
      <c r="M627" t="n">
        <v>0</v>
      </c>
      <c r="N627" t="n">
        <v>0</v>
      </c>
      <c r="O627" t="n">
        <v>0</v>
      </c>
      <c r="P627" t="n">
        <v>0</v>
      </c>
      <c r="Q627" t="n">
        <v>0</v>
      </c>
      <c r="R627" s="2" t="inlineStr"/>
    </row>
    <row r="628" ht="15" customHeight="1">
      <c r="A628" t="inlineStr">
        <is>
          <t>A 47156-2022</t>
        </is>
      </c>
      <c r="B628" s="1" t="n">
        <v>44852.59005787037</v>
      </c>
      <c r="C628" s="1" t="n">
        <v>45972</v>
      </c>
      <c r="D628" t="inlineStr">
        <is>
          <t>JÄMTLANDS LÄN</t>
        </is>
      </c>
      <c r="E628" t="inlineStr">
        <is>
          <t>STRÖMSUND</t>
        </is>
      </c>
      <c r="F628" t="inlineStr">
        <is>
          <t>Holmen skog AB</t>
        </is>
      </c>
      <c r="G628" t="n">
        <v>15.1</v>
      </c>
      <c r="H628" t="n">
        <v>0</v>
      </c>
      <c r="I628" t="n">
        <v>0</v>
      </c>
      <c r="J628" t="n">
        <v>0</v>
      </c>
      <c r="K628" t="n">
        <v>0</v>
      </c>
      <c r="L628" t="n">
        <v>0</v>
      </c>
      <c r="M628" t="n">
        <v>0</v>
      </c>
      <c r="N628" t="n">
        <v>0</v>
      </c>
      <c r="O628" t="n">
        <v>0</v>
      </c>
      <c r="P628" t="n">
        <v>0</v>
      </c>
      <c r="Q628" t="n">
        <v>0</v>
      </c>
      <c r="R628" s="2" t="inlineStr"/>
    </row>
    <row r="629" ht="15" customHeight="1">
      <c r="A629" t="inlineStr">
        <is>
          <t>A 32531-2021</t>
        </is>
      </c>
      <c r="B629" s="1" t="n">
        <v>44374.93197916666</v>
      </c>
      <c r="C629" s="1" t="n">
        <v>45972</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45972</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45972</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40657-2021</t>
        </is>
      </c>
      <c r="B632" s="1" t="n">
        <v>44420.56561342593</v>
      </c>
      <c r="C632" s="1" t="n">
        <v>45972</v>
      </c>
      <c r="D632" t="inlineStr">
        <is>
          <t>JÄMTLANDS LÄN</t>
        </is>
      </c>
      <c r="E632" t="inlineStr">
        <is>
          <t>STRÖMSUND</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44453-2022</t>
        </is>
      </c>
      <c r="B633" s="1" t="n">
        <v>44839.95537037037</v>
      </c>
      <c r="C633" s="1" t="n">
        <v>45972</v>
      </c>
      <c r="D633" t="inlineStr">
        <is>
          <t>JÄMTLANDS LÄN</t>
        </is>
      </c>
      <c r="E633" t="inlineStr">
        <is>
          <t>STRÖMSUND</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69346-2020</t>
        </is>
      </c>
      <c r="B634" s="1" t="n">
        <v>44193</v>
      </c>
      <c r="C634" s="1" t="n">
        <v>45972</v>
      </c>
      <c r="D634" t="inlineStr">
        <is>
          <t>JÄMTLANDS LÄN</t>
        </is>
      </c>
      <c r="E634" t="inlineStr">
        <is>
          <t>STRÖMSUND</t>
        </is>
      </c>
      <c r="G634" t="n">
        <v>1.6</v>
      </c>
      <c r="H634" t="n">
        <v>0</v>
      </c>
      <c r="I634" t="n">
        <v>0</v>
      </c>
      <c r="J634" t="n">
        <v>0</v>
      </c>
      <c r="K634" t="n">
        <v>0</v>
      </c>
      <c r="L634" t="n">
        <v>0</v>
      </c>
      <c r="M634" t="n">
        <v>0</v>
      </c>
      <c r="N634" t="n">
        <v>0</v>
      </c>
      <c r="O634" t="n">
        <v>0</v>
      </c>
      <c r="P634" t="n">
        <v>0</v>
      </c>
      <c r="Q634" t="n">
        <v>0</v>
      </c>
      <c r="R634" s="2" t="inlineStr"/>
    </row>
    <row r="635" ht="15" customHeight="1">
      <c r="A635" t="inlineStr">
        <is>
          <t>A 50313-2022</t>
        </is>
      </c>
      <c r="B635" s="1" t="n">
        <v>44865</v>
      </c>
      <c r="C635" s="1" t="n">
        <v>45972</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50315-2022</t>
        </is>
      </c>
      <c r="B636" s="1" t="n">
        <v>44865</v>
      </c>
      <c r="C636" s="1" t="n">
        <v>45972</v>
      </c>
      <c r="D636" t="inlineStr">
        <is>
          <t>JÄMTLANDS LÄN</t>
        </is>
      </c>
      <c r="E636" t="inlineStr">
        <is>
          <t>STRÖMSUND</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69506-2020</t>
        </is>
      </c>
      <c r="B637" s="1" t="n">
        <v>44193</v>
      </c>
      <c r="C637" s="1" t="n">
        <v>45972</v>
      </c>
      <c r="D637" t="inlineStr">
        <is>
          <t>JÄMTLANDS LÄN</t>
        </is>
      </c>
      <c r="E637" t="inlineStr">
        <is>
          <t>STRÖMSUND</t>
        </is>
      </c>
      <c r="F637" t="inlineStr">
        <is>
          <t>Övriga statliga verk och myndigheter</t>
        </is>
      </c>
      <c r="G637" t="n">
        <v>14.1</v>
      </c>
      <c r="H637" t="n">
        <v>0</v>
      </c>
      <c r="I637" t="n">
        <v>0</v>
      </c>
      <c r="J637" t="n">
        <v>0</v>
      </c>
      <c r="K637" t="n">
        <v>0</v>
      </c>
      <c r="L637" t="n">
        <v>0</v>
      </c>
      <c r="M637" t="n">
        <v>0</v>
      </c>
      <c r="N637" t="n">
        <v>0</v>
      </c>
      <c r="O637" t="n">
        <v>0</v>
      </c>
      <c r="P637" t="n">
        <v>0</v>
      </c>
      <c r="Q637" t="n">
        <v>0</v>
      </c>
      <c r="R637" s="2" t="inlineStr"/>
    </row>
    <row r="638" ht="15" customHeight="1">
      <c r="A638" t="inlineStr">
        <is>
          <t>A 68522-2020</t>
        </is>
      </c>
      <c r="B638" s="1" t="n">
        <v>44186</v>
      </c>
      <c r="C638" s="1" t="n">
        <v>45972</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48546-2022</t>
        </is>
      </c>
      <c r="B639" s="1" t="n">
        <v>44858</v>
      </c>
      <c r="C639" s="1" t="n">
        <v>45972</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66784-2021</t>
        </is>
      </c>
      <c r="B640" s="1" t="n">
        <v>44519</v>
      </c>
      <c r="C640" s="1" t="n">
        <v>45972</v>
      </c>
      <c r="D640" t="inlineStr">
        <is>
          <t>JÄMTLANDS LÄN</t>
        </is>
      </c>
      <c r="E640" t="inlineStr">
        <is>
          <t>STRÖMSUND</t>
        </is>
      </c>
      <c r="G640" t="n">
        <v>3</v>
      </c>
      <c r="H640" t="n">
        <v>0</v>
      </c>
      <c r="I640" t="n">
        <v>0</v>
      </c>
      <c r="J640" t="n">
        <v>0</v>
      </c>
      <c r="K640" t="n">
        <v>0</v>
      </c>
      <c r="L640" t="n">
        <v>0</v>
      </c>
      <c r="M640" t="n">
        <v>0</v>
      </c>
      <c r="N640" t="n">
        <v>0</v>
      </c>
      <c r="O640" t="n">
        <v>0</v>
      </c>
      <c r="P640" t="n">
        <v>0</v>
      </c>
      <c r="Q640" t="n">
        <v>0</v>
      </c>
      <c r="R640" s="2" t="inlineStr"/>
    </row>
    <row r="641" ht="15" customHeight="1">
      <c r="A641" t="inlineStr">
        <is>
          <t>A 14442-2022</t>
        </is>
      </c>
      <c r="B641" s="1" t="n">
        <v>44652.94479166667</v>
      </c>
      <c r="C641" s="1" t="n">
        <v>45972</v>
      </c>
      <c r="D641" t="inlineStr">
        <is>
          <t>JÄMTLANDS LÄN</t>
        </is>
      </c>
      <c r="E641" t="inlineStr">
        <is>
          <t>STRÖMSUND</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54844-2022</t>
        </is>
      </c>
      <c r="B642" s="1" t="n">
        <v>44883.95006944444</v>
      </c>
      <c r="C642" s="1" t="n">
        <v>45972</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40287-2022</t>
        </is>
      </c>
      <c r="B643" s="1" t="n">
        <v>44820.94685185186</v>
      </c>
      <c r="C643" s="1" t="n">
        <v>45972</v>
      </c>
      <c r="D643" t="inlineStr">
        <is>
          <t>JÄMTLANDS LÄN</t>
        </is>
      </c>
      <c r="E643" t="inlineStr">
        <is>
          <t>STRÖMSUND</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63699-2020</t>
        </is>
      </c>
      <c r="B644" s="1" t="n">
        <v>44161</v>
      </c>
      <c r="C644" s="1" t="n">
        <v>45972</v>
      </c>
      <c r="D644" t="inlineStr">
        <is>
          <t>JÄMTLANDS LÄN</t>
        </is>
      </c>
      <c r="E644" t="inlineStr">
        <is>
          <t>STRÖMSUND</t>
        </is>
      </c>
      <c r="G644" t="n">
        <v>1.1</v>
      </c>
      <c r="H644" t="n">
        <v>0</v>
      </c>
      <c r="I644" t="n">
        <v>0</v>
      </c>
      <c r="J644" t="n">
        <v>0</v>
      </c>
      <c r="K644" t="n">
        <v>0</v>
      </c>
      <c r="L644" t="n">
        <v>0</v>
      </c>
      <c r="M644" t="n">
        <v>0</v>
      </c>
      <c r="N644" t="n">
        <v>0</v>
      </c>
      <c r="O644" t="n">
        <v>0</v>
      </c>
      <c r="P644" t="n">
        <v>0</v>
      </c>
      <c r="Q644" t="n">
        <v>0</v>
      </c>
      <c r="R644" s="2" t="inlineStr"/>
    </row>
    <row r="645" ht="15" customHeight="1">
      <c r="A645" t="inlineStr">
        <is>
          <t>A 9957-2022</t>
        </is>
      </c>
      <c r="B645" s="1" t="n">
        <v>44620</v>
      </c>
      <c r="C645" s="1" t="n">
        <v>45972</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41491-2021</t>
        </is>
      </c>
      <c r="B646" s="1" t="n">
        <v>44424</v>
      </c>
      <c r="C646" s="1" t="n">
        <v>45972</v>
      </c>
      <c r="D646" t="inlineStr">
        <is>
          <t>JÄMTLANDS LÄN</t>
        </is>
      </c>
      <c r="E646" t="inlineStr">
        <is>
          <t>STRÖMSUND</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3165-2022</t>
        </is>
      </c>
      <c r="B647" s="1" t="n">
        <v>44582</v>
      </c>
      <c r="C647" s="1" t="n">
        <v>45972</v>
      </c>
      <c r="D647" t="inlineStr">
        <is>
          <t>JÄMTLANDS LÄN</t>
        </is>
      </c>
      <c r="E647" t="inlineStr">
        <is>
          <t>STRÖMSUND</t>
        </is>
      </c>
      <c r="G647" t="n">
        <v>2.5</v>
      </c>
      <c r="H647" t="n">
        <v>0</v>
      </c>
      <c r="I647" t="n">
        <v>0</v>
      </c>
      <c r="J647" t="n">
        <v>0</v>
      </c>
      <c r="K647" t="n">
        <v>0</v>
      </c>
      <c r="L647" t="n">
        <v>0</v>
      </c>
      <c r="M647" t="n">
        <v>0</v>
      </c>
      <c r="N647" t="n">
        <v>0</v>
      </c>
      <c r="O647" t="n">
        <v>0</v>
      </c>
      <c r="P647" t="n">
        <v>0</v>
      </c>
      <c r="Q647" t="n">
        <v>0</v>
      </c>
      <c r="R647" s="2" t="inlineStr"/>
    </row>
    <row r="648" ht="15" customHeight="1">
      <c r="A648" t="inlineStr">
        <is>
          <t>A 33231-2022</t>
        </is>
      </c>
      <c r="B648" s="1" t="n">
        <v>44785.9421875</v>
      </c>
      <c r="C648" s="1" t="n">
        <v>45972</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10249-2022</t>
        </is>
      </c>
      <c r="B649" s="1" t="n">
        <v>44622.59777777778</v>
      </c>
      <c r="C649" s="1" t="n">
        <v>45972</v>
      </c>
      <c r="D649" t="inlineStr">
        <is>
          <t>JÄMTLANDS LÄN</t>
        </is>
      </c>
      <c r="E649" t="inlineStr">
        <is>
          <t>STRÖMSUND</t>
        </is>
      </c>
      <c r="G649" t="n">
        <v>5</v>
      </c>
      <c r="H649" t="n">
        <v>0</v>
      </c>
      <c r="I649" t="n">
        <v>0</v>
      </c>
      <c r="J649" t="n">
        <v>0</v>
      </c>
      <c r="K649" t="n">
        <v>0</v>
      </c>
      <c r="L649" t="n">
        <v>0</v>
      </c>
      <c r="M649" t="n">
        <v>0</v>
      </c>
      <c r="N649" t="n">
        <v>0</v>
      </c>
      <c r="O649" t="n">
        <v>0</v>
      </c>
      <c r="P649" t="n">
        <v>0</v>
      </c>
      <c r="Q649" t="n">
        <v>0</v>
      </c>
      <c r="R649" s="2" t="inlineStr"/>
    </row>
    <row r="650" ht="15" customHeight="1">
      <c r="A650" t="inlineStr">
        <is>
          <t>A 4455-2022</t>
        </is>
      </c>
      <c r="B650" s="1" t="n">
        <v>44589</v>
      </c>
      <c r="C650" s="1" t="n">
        <v>45972</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5384-2021</t>
        </is>
      </c>
      <c r="B651" s="1" t="n">
        <v>44228</v>
      </c>
      <c r="C651" s="1" t="n">
        <v>45972</v>
      </c>
      <c r="D651" t="inlineStr">
        <is>
          <t>JÄMTLANDS LÄN</t>
        </is>
      </c>
      <c r="E651" t="inlineStr">
        <is>
          <t>STRÖMSUND</t>
        </is>
      </c>
      <c r="G651" t="n">
        <v>18.3</v>
      </c>
      <c r="H651" t="n">
        <v>0</v>
      </c>
      <c r="I651" t="n">
        <v>0</v>
      </c>
      <c r="J651" t="n">
        <v>0</v>
      </c>
      <c r="K651" t="n">
        <v>0</v>
      </c>
      <c r="L651" t="n">
        <v>0</v>
      </c>
      <c r="M651" t="n">
        <v>0</v>
      </c>
      <c r="N651" t="n">
        <v>0</v>
      </c>
      <c r="O651" t="n">
        <v>0</v>
      </c>
      <c r="P651" t="n">
        <v>0</v>
      </c>
      <c r="Q651" t="n">
        <v>0</v>
      </c>
      <c r="R651" s="2" t="inlineStr"/>
    </row>
    <row r="652" ht="15" customHeight="1">
      <c r="A652" t="inlineStr">
        <is>
          <t>A 52399-2021</t>
        </is>
      </c>
      <c r="B652" s="1" t="n">
        <v>44466.28903935185</v>
      </c>
      <c r="C652" s="1" t="n">
        <v>45972</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64657-2021</t>
        </is>
      </c>
      <c r="B653" s="1" t="n">
        <v>44511.94723379629</v>
      </c>
      <c r="C653" s="1" t="n">
        <v>45972</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10136-2022</t>
        </is>
      </c>
      <c r="B654" s="1" t="n">
        <v>44621</v>
      </c>
      <c r="C654" s="1" t="n">
        <v>45972</v>
      </c>
      <c r="D654" t="inlineStr">
        <is>
          <t>JÄMTLANDS LÄN</t>
        </is>
      </c>
      <c r="E654" t="inlineStr">
        <is>
          <t>STRÖMSUND</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10904-2022</t>
        </is>
      </c>
      <c r="B655" s="1" t="n">
        <v>44627</v>
      </c>
      <c r="C655" s="1" t="n">
        <v>45972</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10698-2022</t>
        </is>
      </c>
      <c r="B656" s="1" t="n">
        <v>44624</v>
      </c>
      <c r="C656" s="1" t="n">
        <v>45972</v>
      </c>
      <c r="D656" t="inlineStr">
        <is>
          <t>JÄMTLANDS LÄN</t>
        </is>
      </c>
      <c r="E656" t="inlineStr">
        <is>
          <t>STRÖMSUND</t>
        </is>
      </c>
      <c r="F656" t="inlineStr">
        <is>
          <t>SCA</t>
        </is>
      </c>
      <c r="G656" t="n">
        <v>0.3</v>
      </c>
      <c r="H656" t="n">
        <v>0</v>
      </c>
      <c r="I656" t="n">
        <v>0</v>
      </c>
      <c r="J656" t="n">
        <v>0</v>
      </c>
      <c r="K656" t="n">
        <v>0</v>
      </c>
      <c r="L656" t="n">
        <v>0</v>
      </c>
      <c r="M656" t="n">
        <v>0</v>
      </c>
      <c r="N656" t="n">
        <v>0</v>
      </c>
      <c r="O656" t="n">
        <v>0</v>
      </c>
      <c r="P656" t="n">
        <v>0</v>
      </c>
      <c r="Q656" t="n">
        <v>0</v>
      </c>
      <c r="R656" s="2" t="inlineStr"/>
    </row>
    <row r="657" ht="15" customHeight="1">
      <c r="A657" t="inlineStr">
        <is>
          <t>A 49166-2021</t>
        </is>
      </c>
      <c r="B657" s="1" t="n">
        <v>44453.94054398148</v>
      </c>
      <c r="C657" s="1" t="n">
        <v>45972</v>
      </c>
      <c r="D657" t="inlineStr">
        <is>
          <t>JÄMTLANDS LÄN</t>
        </is>
      </c>
      <c r="E657" t="inlineStr">
        <is>
          <t>STRÖMSUND</t>
        </is>
      </c>
      <c r="F657" t="inlineStr">
        <is>
          <t>SCA</t>
        </is>
      </c>
      <c r="G657" t="n">
        <v>3.3</v>
      </c>
      <c r="H657" t="n">
        <v>0</v>
      </c>
      <c r="I657" t="n">
        <v>0</v>
      </c>
      <c r="J657" t="n">
        <v>0</v>
      </c>
      <c r="K657" t="n">
        <v>0</v>
      </c>
      <c r="L657" t="n">
        <v>0</v>
      </c>
      <c r="M657" t="n">
        <v>0</v>
      </c>
      <c r="N657" t="n">
        <v>0</v>
      </c>
      <c r="O657" t="n">
        <v>0</v>
      </c>
      <c r="P657" t="n">
        <v>0</v>
      </c>
      <c r="Q657" t="n">
        <v>0</v>
      </c>
      <c r="R657" s="2" t="inlineStr"/>
      <c r="U657">
        <f>HYPERLINK("https://klasma.github.io/Logging_2313/knärot/A 49166-2021 karta knärot.png", "A 49166-2021")</f>
        <v/>
      </c>
      <c r="V657">
        <f>HYPERLINK("https://klasma.github.io/Logging_2313/klagomål/A 49166-2021 FSC-klagomål.docx", "A 49166-2021")</f>
        <v/>
      </c>
      <c r="W657">
        <f>HYPERLINK("https://klasma.github.io/Logging_2313/klagomålsmail/A 49166-2021 FSC-klagomål mail.docx", "A 49166-2021")</f>
        <v/>
      </c>
      <c r="X657">
        <f>HYPERLINK("https://klasma.github.io/Logging_2313/tillsyn/A 49166-2021 tillsynsbegäran.docx", "A 49166-2021")</f>
        <v/>
      </c>
      <c r="Y657">
        <f>HYPERLINK("https://klasma.github.io/Logging_2313/tillsynsmail/A 49166-2021 tillsynsbegäran mail.docx", "A 49166-2021")</f>
        <v/>
      </c>
    </row>
    <row r="658" ht="15" customHeight="1">
      <c r="A658" t="inlineStr">
        <is>
          <t>A 20334-2022</t>
        </is>
      </c>
      <c r="B658" s="1" t="n">
        <v>44699</v>
      </c>
      <c r="C658" s="1" t="n">
        <v>45972</v>
      </c>
      <c r="D658" t="inlineStr">
        <is>
          <t>JÄMTLANDS LÄN</t>
        </is>
      </c>
      <c r="E658" t="inlineStr">
        <is>
          <t>STRÖMSUND</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68783-2020</t>
        </is>
      </c>
      <c r="B659" s="1" t="n">
        <v>44186</v>
      </c>
      <c r="C659" s="1" t="n">
        <v>45972</v>
      </c>
      <c r="D659" t="inlineStr">
        <is>
          <t>JÄMTLANDS LÄN</t>
        </is>
      </c>
      <c r="E659" t="inlineStr">
        <is>
          <t>STRÖMSUND</t>
        </is>
      </c>
      <c r="G659" t="n">
        <v>0.5</v>
      </c>
      <c r="H659" t="n">
        <v>0</v>
      </c>
      <c r="I659" t="n">
        <v>0</v>
      </c>
      <c r="J659" t="n">
        <v>0</v>
      </c>
      <c r="K659" t="n">
        <v>0</v>
      </c>
      <c r="L659" t="n">
        <v>0</v>
      </c>
      <c r="M659" t="n">
        <v>0</v>
      </c>
      <c r="N659" t="n">
        <v>0</v>
      </c>
      <c r="O659" t="n">
        <v>0</v>
      </c>
      <c r="P659" t="n">
        <v>0</v>
      </c>
      <c r="Q659" t="n">
        <v>0</v>
      </c>
      <c r="R659" s="2" t="inlineStr"/>
    </row>
    <row r="660" ht="15" customHeight="1">
      <c r="A660" t="inlineStr">
        <is>
          <t>A 44429-2022</t>
        </is>
      </c>
      <c r="B660" s="1" t="n">
        <v>44839</v>
      </c>
      <c r="C660" s="1" t="n">
        <v>45972</v>
      </c>
      <c r="D660" t="inlineStr">
        <is>
          <t>JÄMTLANDS LÄN</t>
        </is>
      </c>
      <c r="E660" t="inlineStr">
        <is>
          <t>STRÖMSUND</t>
        </is>
      </c>
      <c r="F660" t="inlineStr">
        <is>
          <t>SCA</t>
        </is>
      </c>
      <c r="G660" t="n">
        <v>52.1</v>
      </c>
      <c r="H660" t="n">
        <v>0</v>
      </c>
      <c r="I660" t="n">
        <v>0</v>
      </c>
      <c r="J660" t="n">
        <v>0</v>
      </c>
      <c r="K660" t="n">
        <v>0</v>
      </c>
      <c r="L660" t="n">
        <v>0</v>
      </c>
      <c r="M660" t="n">
        <v>0</v>
      </c>
      <c r="N660" t="n">
        <v>0</v>
      </c>
      <c r="O660" t="n">
        <v>0</v>
      </c>
      <c r="P660" t="n">
        <v>0</v>
      </c>
      <c r="Q660" t="n">
        <v>0</v>
      </c>
      <c r="R660" s="2" t="inlineStr"/>
    </row>
    <row r="661" ht="15" customHeight="1">
      <c r="A661" t="inlineStr">
        <is>
          <t>A 21399-2022</t>
        </is>
      </c>
      <c r="B661" s="1" t="n">
        <v>44705.94010416666</v>
      </c>
      <c r="C661" s="1" t="n">
        <v>45972</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22337-2022</t>
        </is>
      </c>
      <c r="B662" s="1" t="n">
        <v>44712.94172453704</v>
      </c>
      <c r="C662" s="1" t="n">
        <v>45972</v>
      </c>
      <c r="D662" t="inlineStr">
        <is>
          <t>JÄMTLANDS LÄN</t>
        </is>
      </c>
      <c r="E662" t="inlineStr">
        <is>
          <t>STRÖMSUND</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45972</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45972</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62666-2021</t>
        </is>
      </c>
      <c r="B665" s="1" t="n">
        <v>44503.94432870371</v>
      </c>
      <c r="C665" s="1" t="n">
        <v>45972</v>
      </c>
      <c r="D665" t="inlineStr">
        <is>
          <t>JÄMTLANDS LÄN</t>
        </is>
      </c>
      <c r="E665" t="inlineStr">
        <is>
          <t>STRÖMSUND</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22338-2022</t>
        </is>
      </c>
      <c r="B666" s="1" t="n">
        <v>44712</v>
      </c>
      <c r="C666" s="1" t="n">
        <v>45972</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30230-2022</t>
        </is>
      </c>
      <c r="B667" s="1" t="n">
        <v>44757</v>
      </c>
      <c r="C667" s="1" t="n">
        <v>45972</v>
      </c>
      <c r="D667" t="inlineStr">
        <is>
          <t>JÄMTLANDS LÄN</t>
        </is>
      </c>
      <c r="E667" t="inlineStr">
        <is>
          <t>STRÖMSUND</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63678-2020</t>
        </is>
      </c>
      <c r="B668" s="1" t="n">
        <v>44162</v>
      </c>
      <c r="C668" s="1" t="n">
        <v>45972</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56091-2022</t>
        </is>
      </c>
      <c r="B669" s="1" t="n">
        <v>44889.63935185185</v>
      </c>
      <c r="C669" s="1" t="n">
        <v>45972</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57547-2021</t>
        </is>
      </c>
      <c r="B670" s="1" t="n">
        <v>44483.94194444444</v>
      </c>
      <c r="C670" s="1" t="n">
        <v>45972</v>
      </c>
      <c r="D670" t="inlineStr">
        <is>
          <t>JÄMTLANDS LÄN</t>
        </is>
      </c>
      <c r="E670" t="inlineStr">
        <is>
          <t>STRÖMSUND</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27917-2022</t>
        </is>
      </c>
      <c r="B671" s="1" t="n">
        <v>44743.94123842593</v>
      </c>
      <c r="C671" s="1" t="n">
        <v>45972</v>
      </c>
      <c r="D671" t="inlineStr">
        <is>
          <t>JÄMTLANDS LÄN</t>
        </is>
      </c>
      <c r="E671" t="inlineStr">
        <is>
          <t>STRÖMSUND</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30030-2022</t>
        </is>
      </c>
      <c r="B672" s="1" t="n">
        <v>44756.94512731482</v>
      </c>
      <c r="C672" s="1" t="n">
        <v>45972</v>
      </c>
      <c r="D672" t="inlineStr">
        <is>
          <t>JÄMTLANDS LÄN</t>
        </is>
      </c>
      <c r="E672" t="inlineStr">
        <is>
          <t>STRÖMSUND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34805-2022</t>
        </is>
      </c>
      <c r="B673" s="1" t="n">
        <v>44795.94767361111</v>
      </c>
      <c r="C673" s="1" t="n">
        <v>45972</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7157-2022</t>
        </is>
      </c>
      <c r="B674" s="1" t="n">
        <v>44603.96527777778</v>
      </c>
      <c r="C674" s="1" t="n">
        <v>45972</v>
      </c>
      <c r="D674" t="inlineStr">
        <is>
          <t>JÄMTLANDS LÄN</t>
        </is>
      </c>
      <c r="E674" t="inlineStr">
        <is>
          <t>STRÖMSUND</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59313-2021</t>
        </is>
      </c>
      <c r="B675" s="1" t="n">
        <v>44490.94037037037</v>
      </c>
      <c r="C675" s="1" t="n">
        <v>45972</v>
      </c>
      <c r="D675" t="inlineStr">
        <is>
          <t>JÄMTLANDS LÄN</t>
        </is>
      </c>
      <c r="E675" t="inlineStr">
        <is>
          <t>STRÖMSUND</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27148-2021</t>
        </is>
      </c>
      <c r="B676" s="1" t="n">
        <v>44350</v>
      </c>
      <c r="C676" s="1" t="n">
        <v>45972</v>
      </c>
      <c r="D676" t="inlineStr">
        <is>
          <t>JÄMTLANDS LÄN</t>
        </is>
      </c>
      <c r="E676" t="inlineStr">
        <is>
          <t>STRÖMSUND</t>
        </is>
      </c>
      <c r="G676" t="n">
        <v>10.9</v>
      </c>
      <c r="H676" t="n">
        <v>0</v>
      </c>
      <c r="I676" t="n">
        <v>0</v>
      </c>
      <c r="J676" t="n">
        <v>0</v>
      </c>
      <c r="K676" t="n">
        <v>0</v>
      </c>
      <c r="L676" t="n">
        <v>0</v>
      </c>
      <c r="M676" t="n">
        <v>0</v>
      </c>
      <c r="N676" t="n">
        <v>0</v>
      </c>
      <c r="O676" t="n">
        <v>0</v>
      </c>
      <c r="P676" t="n">
        <v>0</v>
      </c>
      <c r="Q676" t="n">
        <v>0</v>
      </c>
      <c r="R676" s="2" t="inlineStr"/>
    </row>
    <row r="677" ht="15" customHeight="1">
      <c r="A677" t="inlineStr">
        <is>
          <t>A 27232-2021</t>
        </is>
      </c>
      <c r="B677" s="1" t="n">
        <v>44350</v>
      </c>
      <c r="C677" s="1" t="n">
        <v>45972</v>
      </c>
      <c r="D677" t="inlineStr">
        <is>
          <t>JÄMTLANDS LÄN</t>
        </is>
      </c>
      <c r="E677" t="inlineStr">
        <is>
          <t>STRÖMSUND</t>
        </is>
      </c>
      <c r="G677" t="n">
        <v>3.3</v>
      </c>
      <c r="H677" t="n">
        <v>0</v>
      </c>
      <c r="I677" t="n">
        <v>0</v>
      </c>
      <c r="J677" t="n">
        <v>0</v>
      </c>
      <c r="K677" t="n">
        <v>0</v>
      </c>
      <c r="L677" t="n">
        <v>0</v>
      </c>
      <c r="M677" t="n">
        <v>0</v>
      </c>
      <c r="N677" t="n">
        <v>0</v>
      </c>
      <c r="O677" t="n">
        <v>0</v>
      </c>
      <c r="P677" t="n">
        <v>0</v>
      </c>
      <c r="Q677" t="n">
        <v>0</v>
      </c>
      <c r="R677" s="2" t="inlineStr"/>
    </row>
    <row r="678" ht="15" customHeight="1">
      <c r="A678" t="inlineStr">
        <is>
          <t>A 52806-2022</t>
        </is>
      </c>
      <c r="B678" s="1" t="n">
        <v>44872</v>
      </c>
      <c r="C678" s="1" t="n">
        <v>45972</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36689-2022</t>
        </is>
      </c>
      <c r="B679" s="1" t="n">
        <v>44804</v>
      </c>
      <c r="C679" s="1" t="n">
        <v>45972</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73288-2021</t>
        </is>
      </c>
      <c r="B680" s="1" t="n">
        <v>44550</v>
      </c>
      <c r="C680" s="1" t="n">
        <v>45972</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56678-2024</t>
        </is>
      </c>
      <c r="B681" s="1" t="n">
        <v>45627.48559027778</v>
      </c>
      <c r="C681" s="1" t="n">
        <v>45972</v>
      </c>
      <c r="D681" t="inlineStr">
        <is>
          <t>JÄMTLANDS LÄN</t>
        </is>
      </c>
      <c r="E681" t="inlineStr">
        <is>
          <t>STRÖMSUND</t>
        </is>
      </c>
      <c r="G681" t="n">
        <v>2</v>
      </c>
      <c r="H681" t="n">
        <v>0</v>
      </c>
      <c r="I681" t="n">
        <v>0</v>
      </c>
      <c r="J681" t="n">
        <v>0</v>
      </c>
      <c r="K681" t="n">
        <v>0</v>
      </c>
      <c r="L681" t="n">
        <v>0</v>
      </c>
      <c r="M681" t="n">
        <v>0</v>
      </c>
      <c r="N681" t="n">
        <v>0</v>
      </c>
      <c r="O681" t="n">
        <v>0</v>
      </c>
      <c r="P681" t="n">
        <v>0</v>
      </c>
      <c r="Q681" t="n">
        <v>0</v>
      </c>
      <c r="R681" s="2" t="inlineStr"/>
    </row>
    <row r="682" ht="15" customHeight="1">
      <c r="A682" t="inlineStr">
        <is>
          <t>A 24918-2022</t>
        </is>
      </c>
      <c r="B682" s="1" t="n">
        <v>44728</v>
      </c>
      <c r="C682" s="1" t="n">
        <v>45972</v>
      </c>
      <c r="D682" t="inlineStr">
        <is>
          <t>JÄMTLANDS LÄN</t>
        </is>
      </c>
      <c r="E682" t="inlineStr">
        <is>
          <t>STRÖMSUND</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31089-2021</t>
        </is>
      </c>
      <c r="B683" s="1" t="n">
        <v>44368</v>
      </c>
      <c r="C683" s="1" t="n">
        <v>45972</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59969-2021</t>
        </is>
      </c>
      <c r="B684" s="1" t="n">
        <v>44494.93578703704</v>
      </c>
      <c r="C684" s="1" t="n">
        <v>45972</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23103-2021</t>
        </is>
      </c>
      <c r="B685" s="1" t="n">
        <v>44330</v>
      </c>
      <c r="C685" s="1" t="n">
        <v>45972</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25018-2022</t>
        </is>
      </c>
      <c r="B686" s="1" t="n">
        <v>44728</v>
      </c>
      <c r="C686" s="1" t="n">
        <v>45972</v>
      </c>
      <c r="D686" t="inlineStr">
        <is>
          <t>JÄMTLANDS LÄN</t>
        </is>
      </c>
      <c r="E686" t="inlineStr">
        <is>
          <t>STRÖMSUND</t>
        </is>
      </c>
      <c r="F686" t="inlineStr">
        <is>
          <t>SCA</t>
        </is>
      </c>
      <c r="G686" t="n">
        <v>8.4</v>
      </c>
      <c r="H686" t="n">
        <v>0</v>
      </c>
      <c r="I686" t="n">
        <v>0</v>
      </c>
      <c r="J686" t="n">
        <v>0</v>
      </c>
      <c r="K686" t="n">
        <v>0</v>
      </c>
      <c r="L686" t="n">
        <v>0</v>
      </c>
      <c r="M686" t="n">
        <v>0</v>
      </c>
      <c r="N686" t="n">
        <v>0</v>
      </c>
      <c r="O686" t="n">
        <v>0</v>
      </c>
      <c r="P686" t="n">
        <v>0</v>
      </c>
      <c r="Q686" t="n">
        <v>0</v>
      </c>
      <c r="R686" s="2" t="inlineStr"/>
    </row>
    <row r="687" ht="15" customHeight="1">
      <c r="A687" t="inlineStr">
        <is>
          <t>A 28290-2022</t>
        </is>
      </c>
      <c r="B687" s="1" t="n">
        <v>44746.94305555556</v>
      </c>
      <c r="C687" s="1" t="n">
        <v>45972</v>
      </c>
      <c r="D687" t="inlineStr">
        <is>
          <t>JÄMTLANDS LÄN</t>
        </is>
      </c>
      <c r="E687" t="inlineStr">
        <is>
          <t>STRÖMSUND</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32465-2021</t>
        </is>
      </c>
      <c r="B688" s="1" t="n">
        <v>44371</v>
      </c>
      <c r="C688" s="1" t="n">
        <v>45972</v>
      </c>
      <c r="D688" t="inlineStr">
        <is>
          <t>JÄMTLANDS LÄN</t>
        </is>
      </c>
      <c r="E688" t="inlineStr">
        <is>
          <t>STRÖMSUND</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34890-2022</t>
        </is>
      </c>
      <c r="B689" s="1" t="n">
        <v>44796.53650462963</v>
      </c>
      <c r="C689" s="1" t="n">
        <v>45972</v>
      </c>
      <c r="D689" t="inlineStr">
        <is>
          <t>JÄMTLANDS LÄN</t>
        </is>
      </c>
      <c r="E689" t="inlineStr">
        <is>
          <t>STRÖMSUND</t>
        </is>
      </c>
      <c r="G689" t="n">
        <v>2.2</v>
      </c>
      <c r="H689" t="n">
        <v>0</v>
      </c>
      <c r="I689" t="n">
        <v>0</v>
      </c>
      <c r="J689" t="n">
        <v>0</v>
      </c>
      <c r="K689" t="n">
        <v>0</v>
      </c>
      <c r="L689" t="n">
        <v>0</v>
      </c>
      <c r="M689" t="n">
        <v>0</v>
      </c>
      <c r="N689" t="n">
        <v>0</v>
      </c>
      <c r="O689" t="n">
        <v>0</v>
      </c>
      <c r="P689" t="n">
        <v>0</v>
      </c>
      <c r="Q689" t="n">
        <v>0</v>
      </c>
      <c r="R689" s="2" t="inlineStr"/>
    </row>
    <row r="690" ht="15" customHeight="1">
      <c r="A690" t="inlineStr">
        <is>
          <t>A 43459-2022</t>
        </is>
      </c>
      <c r="B690" s="1" t="n">
        <v>44835.95378472222</v>
      </c>
      <c r="C690" s="1" t="n">
        <v>45972</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27298-2024</t>
        </is>
      </c>
      <c r="B691" s="1" t="n">
        <v>45471.94336805555</v>
      </c>
      <c r="C691" s="1" t="n">
        <v>45972</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19026-2023</t>
        </is>
      </c>
      <c r="B692" s="1" t="n">
        <v>45047</v>
      </c>
      <c r="C692" s="1" t="n">
        <v>45972</v>
      </c>
      <c r="D692" t="inlineStr">
        <is>
          <t>JÄMTLANDS LÄN</t>
        </is>
      </c>
      <c r="E692" t="inlineStr">
        <is>
          <t>STRÖMSUND</t>
        </is>
      </c>
      <c r="G692" t="n">
        <v>15.1</v>
      </c>
      <c r="H692" t="n">
        <v>0</v>
      </c>
      <c r="I692" t="n">
        <v>0</v>
      </c>
      <c r="J692" t="n">
        <v>0</v>
      </c>
      <c r="K692" t="n">
        <v>0</v>
      </c>
      <c r="L692" t="n">
        <v>0</v>
      </c>
      <c r="M692" t="n">
        <v>0</v>
      </c>
      <c r="N692" t="n">
        <v>0</v>
      </c>
      <c r="O692" t="n">
        <v>0</v>
      </c>
      <c r="P692" t="n">
        <v>0</v>
      </c>
      <c r="Q692" t="n">
        <v>0</v>
      </c>
      <c r="R692" s="2" t="inlineStr"/>
    </row>
    <row r="693" ht="15" customHeight="1">
      <c r="A693" t="inlineStr">
        <is>
          <t>A 19029-2023</t>
        </is>
      </c>
      <c r="B693" s="1" t="n">
        <v>45047</v>
      </c>
      <c r="C693" s="1" t="n">
        <v>45972</v>
      </c>
      <c r="D693" t="inlineStr">
        <is>
          <t>JÄMTLANDS LÄN</t>
        </is>
      </c>
      <c r="E693" t="inlineStr">
        <is>
          <t>STRÖMSUND</t>
        </is>
      </c>
      <c r="G693" t="n">
        <v>0.6</v>
      </c>
      <c r="H693" t="n">
        <v>0</v>
      </c>
      <c r="I693" t="n">
        <v>0</v>
      </c>
      <c r="J693" t="n">
        <v>0</v>
      </c>
      <c r="K693" t="n">
        <v>0</v>
      </c>
      <c r="L693" t="n">
        <v>0</v>
      </c>
      <c r="M693" t="n">
        <v>0</v>
      </c>
      <c r="N693" t="n">
        <v>0</v>
      </c>
      <c r="O693" t="n">
        <v>0</v>
      </c>
      <c r="P693" t="n">
        <v>0</v>
      </c>
      <c r="Q693" t="n">
        <v>0</v>
      </c>
      <c r="R693" s="2" t="inlineStr"/>
    </row>
    <row r="694" ht="15" customHeight="1">
      <c r="A694" t="inlineStr">
        <is>
          <t>A 10429-2025</t>
        </is>
      </c>
      <c r="B694" s="1" t="n">
        <v>45720.65675925926</v>
      </c>
      <c r="C694" s="1" t="n">
        <v>45972</v>
      </c>
      <c r="D694" t="inlineStr">
        <is>
          <t>JÄMTLANDS LÄN</t>
        </is>
      </c>
      <c r="E694" t="inlineStr">
        <is>
          <t>STRÖMSUND</t>
        </is>
      </c>
      <c r="G694" t="n">
        <v>5</v>
      </c>
      <c r="H694" t="n">
        <v>0</v>
      </c>
      <c r="I694" t="n">
        <v>0</v>
      </c>
      <c r="J694" t="n">
        <v>0</v>
      </c>
      <c r="K694" t="n">
        <v>0</v>
      </c>
      <c r="L694" t="n">
        <v>0</v>
      </c>
      <c r="M694" t="n">
        <v>0</v>
      </c>
      <c r="N694" t="n">
        <v>0</v>
      </c>
      <c r="O694" t="n">
        <v>0</v>
      </c>
      <c r="P694" t="n">
        <v>0</v>
      </c>
      <c r="Q694" t="n">
        <v>0</v>
      </c>
      <c r="R694" s="2" t="inlineStr"/>
    </row>
    <row r="695" ht="15" customHeight="1">
      <c r="A695" t="inlineStr">
        <is>
          <t>A 54965-2024</t>
        </is>
      </c>
      <c r="B695" s="1" t="n">
        <v>45620</v>
      </c>
      <c r="C695" s="1" t="n">
        <v>45972</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35971-2022</t>
        </is>
      </c>
      <c r="B696" s="1" t="n">
        <v>44802</v>
      </c>
      <c r="C696" s="1" t="n">
        <v>45972</v>
      </c>
      <c r="D696" t="inlineStr">
        <is>
          <t>JÄMTLANDS LÄN</t>
        </is>
      </c>
      <c r="E696" t="inlineStr">
        <is>
          <t>STRÖMSUND</t>
        </is>
      </c>
      <c r="F696" t="inlineStr">
        <is>
          <t>Sveaskog</t>
        </is>
      </c>
      <c r="G696" t="n">
        <v>17.2</v>
      </c>
      <c r="H696" t="n">
        <v>0</v>
      </c>
      <c r="I696" t="n">
        <v>0</v>
      </c>
      <c r="J696" t="n">
        <v>0</v>
      </c>
      <c r="K696" t="n">
        <v>0</v>
      </c>
      <c r="L696" t="n">
        <v>0</v>
      </c>
      <c r="M696" t="n">
        <v>0</v>
      </c>
      <c r="N696" t="n">
        <v>0</v>
      </c>
      <c r="O696" t="n">
        <v>0</v>
      </c>
      <c r="P696" t="n">
        <v>0</v>
      </c>
      <c r="Q696" t="n">
        <v>0</v>
      </c>
      <c r="R696" s="2" t="inlineStr"/>
    </row>
    <row r="697" ht="15" customHeight="1">
      <c r="A697" t="inlineStr">
        <is>
          <t>A 64723-2021</t>
        </is>
      </c>
      <c r="B697" s="1" t="n">
        <v>44512</v>
      </c>
      <c r="C697" s="1" t="n">
        <v>45972</v>
      </c>
      <c r="D697" t="inlineStr">
        <is>
          <t>JÄMTLANDS LÄN</t>
        </is>
      </c>
      <c r="E697" t="inlineStr">
        <is>
          <t>STRÖMSUND</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70079-2021</t>
        </is>
      </c>
      <c r="B698" s="1" t="n">
        <v>44533.53759259259</v>
      </c>
      <c r="C698" s="1" t="n">
        <v>45972</v>
      </c>
      <c r="D698" t="inlineStr">
        <is>
          <t>JÄMTLANDS LÄN</t>
        </is>
      </c>
      <c r="E698" t="inlineStr">
        <is>
          <t>STRÖMSUND</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59126-2021</t>
        </is>
      </c>
      <c r="B699" s="1" t="n">
        <v>44487</v>
      </c>
      <c r="C699" s="1" t="n">
        <v>45972</v>
      </c>
      <c r="D699" t="inlineStr">
        <is>
          <t>JÄMTLANDS LÄN</t>
        </is>
      </c>
      <c r="E699" t="inlineStr">
        <is>
          <t>STRÖMSUND</t>
        </is>
      </c>
      <c r="G699" t="n">
        <v>1.3</v>
      </c>
      <c r="H699" t="n">
        <v>0</v>
      </c>
      <c r="I699" t="n">
        <v>0</v>
      </c>
      <c r="J699" t="n">
        <v>0</v>
      </c>
      <c r="K699" t="n">
        <v>0</v>
      </c>
      <c r="L699" t="n">
        <v>0</v>
      </c>
      <c r="M699" t="n">
        <v>0</v>
      </c>
      <c r="N699" t="n">
        <v>0</v>
      </c>
      <c r="O699" t="n">
        <v>0</v>
      </c>
      <c r="P699" t="n">
        <v>0</v>
      </c>
      <c r="Q699" t="n">
        <v>0</v>
      </c>
      <c r="R699" s="2" t="inlineStr"/>
    </row>
    <row r="700" ht="15" customHeight="1">
      <c r="A700" t="inlineStr">
        <is>
          <t>A 32359-2021</t>
        </is>
      </c>
      <c r="B700" s="1" t="n">
        <v>44371</v>
      </c>
      <c r="C700" s="1" t="n">
        <v>45972</v>
      </c>
      <c r="D700" t="inlineStr">
        <is>
          <t>JÄMTLANDS LÄN</t>
        </is>
      </c>
      <c r="E700" t="inlineStr">
        <is>
          <t>STRÖMSUND</t>
        </is>
      </c>
      <c r="F700" t="inlineStr">
        <is>
          <t>SCA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47290-2022</t>
        </is>
      </c>
      <c r="B701" s="1" t="n">
        <v>44852</v>
      </c>
      <c r="C701" s="1" t="n">
        <v>45972</v>
      </c>
      <c r="D701" t="inlineStr">
        <is>
          <t>JÄMTLANDS LÄN</t>
        </is>
      </c>
      <c r="E701" t="inlineStr">
        <is>
          <t>STRÖMSUND</t>
        </is>
      </c>
      <c r="F701" t="inlineStr">
        <is>
          <t>SCA</t>
        </is>
      </c>
      <c r="G701" t="n">
        <v>9</v>
      </c>
      <c r="H701" t="n">
        <v>0</v>
      </c>
      <c r="I701" t="n">
        <v>0</v>
      </c>
      <c r="J701" t="n">
        <v>0</v>
      </c>
      <c r="K701" t="n">
        <v>0</v>
      </c>
      <c r="L701" t="n">
        <v>0</v>
      </c>
      <c r="M701" t="n">
        <v>0</v>
      </c>
      <c r="N701" t="n">
        <v>0</v>
      </c>
      <c r="O701" t="n">
        <v>0</v>
      </c>
      <c r="P701" t="n">
        <v>0</v>
      </c>
      <c r="Q701" t="n">
        <v>0</v>
      </c>
      <c r="R701" s="2" t="inlineStr"/>
    </row>
    <row r="702" ht="15" customHeight="1">
      <c r="A702" t="inlineStr">
        <is>
          <t>A 55524-2022</t>
        </is>
      </c>
      <c r="B702" s="1" t="n">
        <v>44887.94931712963</v>
      </c>
      <c r="C702" s="1" t="n">
        <v>45972</v>
      </c>
      <c r="D702" t="inlineStr">
        <is>
          <t>JÄMTLANDS LÄN</t>
        </is>
      </c>
      <c r="E702" t="inlineStr">
        <is>
          <t>STRÖMSUND</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14931-2025</t>
        </is>
      </c>
      <c r="B703" s="1" t="n">
        <v>45743.55354166667</v>
      </c>
      <c r="C703" s="1" t="n">
        <v>45972</v>
      </c>
      <c r="D703" t="inlineStr">
        <is>
          <t>JÄMTLANDS LÄN</t>
        </is>
      </c>
      <c r="E703" t="inlineStr">
        <is>
          <t>STRÖMSUND</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742-2021</t>
        </is>
      </c>
      <c r="B704" s="1" t="n">
        <v>44204</v>
      </c>
      <c r="C704" s="1" t="n">
        <v>45972</v>
      </c>
      <c r="D704" t="inlineStr">
        <is>
          <t>JÄMTLANDS LÄN</t>
        </is>
      </c>
      <c r="E704" t="inlineStr">
        <is>
          <t>STRÖMSUND</t>
        </is>
      </c>
      <c r="F704" t="inlineStr">
        <is>
          <t>SCA</t>
        </is>
      </c>
      <c r="G704" t="n">
        <v>22.8</v>
      </c>
      <c r="H704" t="n">
        <v>0</v>
      </c>
      <c r="I704" t="n">
        <v>0</v>
      </c>
      <c r="J704" t="n">
        <v>0</v>
      </c>
      <c r="K704" t="n">
        <v>0</v>
      </c>
      <c r="L704" t="n">
        <v>0</v>
      </c>
      <c r="M704" t="n">
        <v>0</v>
      </c>
      <c r="N704" t="n">
        <v>0</v>
      </c>
      <c r="O704" t="n">
        <v>0</v>
      </c>
      <c r="P704" t="n">
        <v>0</v>
      </c>
      <c r="Q704" t="n">
        <v>0</v>
      </c>
      <c r="R704" s="2" t="inlineStr"/>
    </row>
    <row r="705" ht="15" customHeight="1">
      <c r="A705" t="inlineStr">
        <is>
          <t>A 52038-2022</t>
        </is>
      </c>
      <c r="B705" s="1" t="n">
        <v>44872.95784722222</v>
      </c>
      <c r="C705" s="1" t="n">
        <v>45972</v>
      </c>
      <c r="D705" t="inlineStr">
        <is>
          <t>JÄMTLANDS LÄN</t>
        </is>
      </c>
      <c r="E705" t="inlineStr">
        <is>
          <t>STRÖMSUND</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43839-2021</t>
        </is>
      </c>
      <c r="B706" s="1" t="n">
        <v>44433.94148148148</v>
      </c>
      <c r="C706" s="1" t="n">
        <v>45972</v>
      </c>
      <c r="D706" t="inlineStr">
        <is>
          <t>JÄMTLANDS LÄN</t>
        </is>
      </c>
      <c r="E706" t="inlineStr">
        <is>
          <t>STRÖMSUND</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44229-2021</t>
        </is>
      </c>
      <c r="B707" s="1" t="n">
        <v>44434</v>
      </c>
      <c r="C707" s="1" t="n">
        <v>45972</v>
      </c>
      <c r="D707" t="inlineStr">
        <is>
          <t>JÄMTLANDS LÄN</t>
        </is>
      </c>
      <c r="E707" t="inlineStr">
        <is>
          <t>STRÖMSUND</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29830-2022</t>
        </is>
      </c>
      <c r="B708" s="1" t="n">
        <v>44755</v>
      </c>
      <c r="C708" s="1" t="n">
        <v>45972</v>
      </c>
      <c r="D708" t="inlineStr">
        <is>
          <t>JÄMTLANDS LÄN</t>
        </is>
      </c>
      <c r="E708" t="inlineStr">
        <is>
          <t>STRÖMSUND</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6512-2024</t>
        </is>
      </c>
      <c r="B709" s="1" t="n">
        <v>45340</v>
      </c>
      <c r="C709" s="1" t="n">
        <v>45972</v>
      </c>
      <c r="D709" t="inlineStr">
        <is>
          <t>JÄMTLANDS LÄN</t>
        </is>
      </c>
      <c r="E709" t="inlineStr">
        <is>
          <t>STRÖMSUND</t>
        </is>
      </c>
      <c r="G709" t="n">
        <v>3.8</v>
      </c>
      <c r="H709" t="n">
        <v>0</v>
      </c>
      <c r="I709" t="n">
        <v>0</v>
      </c>
      <c r="J709" t="n">
        <v>0</v>
      </c>
      <c r="K709" t="n">
        <v>0</v>
      </c>
      <c r="L709" t="n">
        <v>0</v>
      </c>
      <c r="M709" t="n">
        <v>0</v>
      </c>
      <c r="N709" t="n">
        <v>0</v>
      </c>
      <c r="O709" t="n">
        <v>0</v>
      </c>
      <c r="P709" t="n">
        <v>0</v>
      </c>
      <c r="Q709" t="n">
        <v>0</v>
      </c>
      <c r="R709" s="2" t="inlineStr"/>
    </row>
    <row r="710" ht="15" customHeight="1">
      <c r="A710" t="inlineStr">
        <is>
          <t>A 27037-2022</t>
        </is>
      </c>
      <c r="B710" s="1" t="n">
        <v>44740.94364583334</v>
      </c>
      <c r="C710" s="1" t="n">
        <v>45972</v>
      </c>
      <c r="D710" t="inlineStr">
        <is>
          <t>JÄMTLANDS LÄN</t>
        </is>
      </c>
      <c r="E710" t="inlineStr">
        <is>
          <t>STRÖMSUND</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49212-2021</t>
        </is>
      </c>
      <c r="B711" s="1" t="n">
        <v>44454</v>
      </c>
      <c r="C711" s="1" t="n">
        <v>45972</v>
      </c>
      <c r="D711" t="inlineStr">
        <is>
          <t>JÄMTLANDS LÄN</t>
        </is>
      </c>
      <c r="E711" t="inlineStr">
        <is>
          <t>STRÖMSUND</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28207-2022</t>
        </is>
      </c>
      <c r="B712" s="1" t="n">
        <v>44746</v>
      </c>
      <c r="C712" s="1" t="n">
        <v>45972</v>
      </c>
      <c r="D712" t="inlineStr">
        <is>
          <t>JÄMTLANDS LÄN</t>
        </is>
      </c>
      <c r="E712" t="inlineStr">
        <is>
          <t>STRÖMSUND</t>
        </is>
      </c>
      <c r="G712" t="n">
        <v>7.5</v>
      </c>
      <c r="H712" t="n">
        <v>0</v>
      </c>
      <c r="I712" t="n">
        <v>0</v>
      </c>
      <c r="J712" t="n">
        <v>0</v>
      </c>
      <c r="K712" t="n">
        <v>0</v>
      </c>
      <c r="L712" t="n">
        <v>0</v>
      </c>
      <c r="M712" t="n">
        <v>0</v>
      </c>
      <c r="N712" t="n">
        <v>0</v>
      </c>
      <c r="O712" t="n">
        <v>0</v>
      </c>
      <c r="P712" t="n">
        <v>0</v>
      </c>
      <c r="Q712" t="n">
        <v>0</v>
      </c>
      <c r="R712" s="2" t="inlineStr"/>
    </row>
    <row r="713" ht="15" customHeight="1">
      <c r="A713" t="inlineStr">
        <is>
          <t>A 8758-2025</t>
        </is>
      </c>
      <c r="B713" s="1" t="n">
        <v>45712.57364583333</v>
      </c>
      <c r="C713" s="1" t="n">
        <v>45972</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40290-2022</t>
        </is>
      </c>
      <c r="B714" s="1" t="n">
        <v>44820.94702546296</v>
      </c>
      <c r="C714" s="1" t="n">
        <v>45972</v>
      </c>
      <c r="D714" t="inlineStr">
        <is>
          <t>JÄMTLANDS LÄN</t>
        </is>
      </c>
      <c r="E714" t="inlineStr">
        <is>
          <t>STRÖMSUND</t>
        </is>
      </c>
      <c r="G714" t="n">
        <v>1.3</v>
      </c>
      <c r="H714" t="n">
        <v>0</v>
      </c>
      <c r="I714" t="n">
        <v>0</v>
      </c>
      <c r="J714" t="n">
        <v>0</v>
      </c>
      <c r="K714" t="n">
        <v>0</v>
      </c>
      <c r="L714" t="n">
        <v>0</v>
      </c>
      <c r="M714" t="n">
        <v>0</v>
      </c>
      <c r="N714" t="n">
        <v>0</v>
      </c>
      <c r="O714" t="n">
        <v>0</v>
      </c>
      <c r="P714" t="n">
        <v>0</v>
      </c>
      <c r="Q714" t="n">
        <v>0</v>
      </c>
      <c r="R714" s="2" t="inlineStr"/>
    </row>
    <row r="715" ht="15" customHeight="1">
      <c r="A715" t="inlineStr">
        <is>
          <t>A 47291-2022</t>
        </is>
      </c>
      <c r="B715" s="1" t="n">
        <v>44852</v>
      </c>
      <c r="C715" s="1" t="n">
        <v>45972</v>
      </c>
      <c r="D715" t="inlineStr">
        <is>
          <t>JÄMTLANDS LÄN</t>
        </is>
      </c>
      <c r="E715" t="inlineStr">
        <is>
          <t>STRÖMSUND</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44049-2022</t>
        </is>
      </c>
      <c r="B716" s="1" t="n">
        <v>44838.94920138889</v>
      </c>
      <c r="C716" s="1" t="n">
        <v>45972</v>
      </c>
      <c r="D716" t="inlineStr">
        <is>
          <t>JÄMTLANDS LÄN</t>
        </is>
      </c>
      <c r="E716" t="inlineStr">
        <is>
          <t>STRÖMSUND</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47566-2022</t>
        </is>
      </c>
      <c r="B717" s="1" t="n">
        <v>44853.94927083333</v>
      </c>
      <c r="C717" s="1" t="n">
        <v>45972</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22814-2022</t>
        </is>
      </c>
      <c r="B718" s="1" t="n">
        <v>44715</v>
      </c>
      <c r="C718" s="1" t="n">
        <v>45972</v>
      </c>
      <c r="D718" t="inlineStr">
        <is>
          <t>JÄMTLANDS LÄN</t>
        </is>
      </c>
      <c r="E718" t="inlineStr">
        <is>
          <t>STRÖMSUND</t>
        </is>
      </c>
      <c r="G718" t="n">
        <v>6.5</v>
      </c>
      <c r="H718" t="n">
        <v>0</v>
      </c>
      <c r="I718" t="n">
        <v>0</v>
      </c>
      <c r="J718" t="n">
        <v>0</v>
      </c>
      <c r="K718" t="n">
        <v>0</v>
      </c>
      <c r="L718" t="n">
        <v>0</v>
      </c>
      <c r="M718" t="n">
        <v>0</v>
      </c>
      <c r="N718" t="n">
        <v>0</v>
      </c>
      <c r="O718" t="n">
        <v>0</v>
      </c>
      <c r="P718" t="n">
        <v>0</v>
      </c>
      <c r="Q718" t="n">
        <v>0</v>
      </c>
      <c r="R718" s="2" t="inlineStr"/>
    </row>
    <row r="719" ht="15" customHeight="1">
      <c r="A719" t="inlineStr">
        <is>
          <t>A 13022-2025</t>
        </is>
      </c>
      <c r="B719" s="1" t="n">
        <v>45734.55247685185</v>
      </c>
      <c r="C719" s="1" t="n">
        <v>45972</v>
      </c>
      <c r="D719" t="inlineStr">
        <is>
          <t>JÄMTLANDS LÄN</t>
        </is>
      </c>
      <c r="E719" t="inlineStr">
        <is>
          <t>STRÖMSUND</t>
        </is>
      </c>
      <c r="G719" t="n">
        <v>2.3</v>
      </c>
      <c r="H719" t="n">
        <v>0</v>
      </c>
      <c r="I719" t="n">
        <v>0</v>
      </c>
      <c r="J719" t="n">
        <v>0</v>
      </c>
      <c r="K719" t="n">
        <v>0</v>
      </c>
      <c r="L719" t="n">
        <v>0</v>
      </c>
      <c r="M719" t="n">
        <v>0</v>
      </c>
      <c r="N719" t="n">
        <v>0</v>
      </c>
      <c r="O719" t="n">
        <v>0</v>
      </c>
      <c r="P719" t="n">
        <v>0</v>
      </c>
      <c r="Q719" t="n">
        <v>0</v>
      </c>
      <c r="R719" s="2" t="inlineStr"/>
    </row>
    <row r="720" ht="15" customHeight="1">
      <c r="A720" t="inlineStr">
        <is>
          <t>A 48545-2022</t>
        </is>
      </c>
      <c r="B720" s="1" t="n">
        <v>44858</v>
      </c>
      <c r="C720" s="1" t="n">
        <v>45972</v>
      </c>
      <c r="D720" t="inlineStr">
        <is>
          <t>JÄMTLANDS LÄN</t>
        </is>
      </c>
      <c r="E720" t="inlineStr">
        <is>
          <t>STRÖMSUND</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36275-2022</t>
        </is>
      </c>
      <c r="B721" s="1" t="n">
        <v>44803.611875</v>
      </c>
      <c r="C721" s="1" t="n">
        <v>45972</v>
      </c>
      <c r="D721" t="inlineStr">
        <is>
          <t>JÄMTLANDS LÄN</t>
        </is>
      </c>
      <c r="E721" t="inlineStr">
        <is>
          <t>STRÖMSUND</t>
        </is>
      </c>
      <c r="F721" t="inlineStr">
        <is>
          <t>Holmen skog AB</t>
        </is>
      </c>
      <c r="G721" t="n">
        <v>0.4</v>
      </c>
      <c r="H721" t="n">
        <v>0</v>
      </c>
      <c r="I721" t="n">
        <v>0</v>
      </c>
      <c r="J721" t="n">
        <v>0</v>
      </c>
      <c r="K721" t="n">
        <v>0</v>
      </c>
      <c r="L721" t="n">
        <v>0</v>
      </c>
      <c r="M721" t="n">
        <v>0</v>
      </c>
      <c r="N721" t="n">
        <v>0</v>
      </c>
      <c r="O721" t="n">
        <v>0</v>
      </c>
      <c r="P721" t="n">
        <v>0</v>
      </c>
      <c r="Q721" t="n">
        <v>0</v>
      </c>
      <c r="R721" s="2" t="inlineStr"/>
    </row>
    <row r="722" ht="15" customHeight="1">
      <c r="A722" t="inlineStr">
        <is>
          <t>A 40841-2022</t>
        </is>
      </c>
      <c r="B722" s="1" t="n">
        <v>44824.94743055556</v>
      </c>
      <c r="C722" s="1" t="n">
        <v>45972</v>
      </c>
      <c r="D722" t="inlineStr">
        <is>
          <t>JÄMTLANDS LÄN</t>
        </is>
      </c>
      <c r="E722" t="inlineStr">
        <is>
          <t>STRÖMSUND</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51786-2023</t>
        </is>
      </c>
      <c r="B723" s="1" t="n">
        <v>45222.83377314815</v>
      </c>
      <c r="C723" s="1" t="n">
        <v>45972</v>
      </c>
      <c r="D723" t="inlineStr">
        <is>
          <t>JÄMTLANDS LÄN</t>
        </is>
      </c>
      <c r="E723" t="inlineStr">
        <is>
          <t>STRÖMSUND</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51795-2023</t>
        </is>
      </c>
      <c r="B724" s="1" t="n">
        <v>45222</v>
      </c>
      <c r="C724" s="1" t="n">
        <v>45972</v>
      </c>
      <c r="D724" t="inlineStr">
        <is>
          <t>JÄMTLANDS LÄN</t>
        </is>
      </c>
      <c r="E724" t="inlineStr">
        <is>
          <t>STRÖMSUND</t>
        </is>
      </c>
      <c r="G724" t="n">
        <v>0.3</v>
      </c>
      <c r="H724" t="n">
        <v>0</v>
      </c>
      <c r="I724" t="n">
        <v>0</v>
      </c>
      <c r="J724" t="n">
        <v>0</v>
      </c>
      <c r="K724" t="n">
        <v>0</v>
      </c>
      <c r="L724" t="n">
        <v>0</v>
      </c>
      <c r="M724" t="n">
        <v>0</v>
      </c>
      <c r="N724" t="n">
        <v>0</v>
      </c>
      <c r="O724" t="n">
        <v>0</v>
      </c>
      <c r="P724" t="n">
        <v>0</v>
      </c>
      <c r="Q724" t="n">
        <v>0</v>
      </c>
      <c r="R724" s="2" t="inlineStr"/>
    </row>
    <row r="725" ht="15" customHeight="1">
      <c r="A725" t="inlineStr">
        <is>
          <t>A 37093-2022</t>
        </is>
      </c>
      <c r="B725" s="1" t="n">
        <v>44806</v>
      </c>
      <c r="C725" s="1" t="n">
        <v>45972</v>
      </c>
      <c r="D725" t="inlineStr">
        <is>
          <t>JÄMTLANDS LÄN</t>
        </is>
      </c>
      <c r="E725" t="inlineStr">
        <is>
          <t>STRÖMSUND</t>
        </is>
      </c>
      <c r="F725" t="inlineStr">
        <is>
          <t>Kommuner</t>
        </is>
      </c>
      <c r="G725" t="n">
        <v>0.3</v>
      </c>
      <c r="H725" t="n">
        <v>0</v>
      </c>
      <c r="I725" t="n">
        <v>0</v>
      </c>
      <c r="J725" t="n">
        <v>0</v>
      </c>
      <c r="K725" t="n">
        <v>0</v>
      </c>
      <c r="L725" t="n">
        <v>0</v>
      </c>
      <c r="M725" t="n">
        <v>0</v>
      </c>
      <c r="N725" t="n">
        <v>0</v>
      </c>
      <c r="O725" t="n">
        <v>0</v>
      </c>
      <c r="P725" t="n">
        <v>0</v>
      </c>
      <c r="Q725" t="n">
        <v>0</v>
      </c>
      <c r="R725" s="2" t="inlineStr"/>
    </row>
    <row r="726" ht="15" customHeight="1">
      <c r="A726" t="inlineStr">
        <is>
          <t>A 50450-2022</t>
        </is>
      </c>
      <c r="B726" s="1" t="n">
        <v>44866.47369212963</v>
      </c>
      <c r="C726" s="1" t="n">
        <v>45972</v>
      </c>
      <c r="D726" t="inlineStr">
        <is>
          <t>JÄMTLANDS LÄN</t>
        </is>
      </c>
      <c r="E726" t="inlineStr">
        <is>
          <t>STRÖMSUND</t>
        </is>
      </c>
      <c r="G726" t="n">
        <v>2.8</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45972</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57805-2023</t>
        </is>
      </c>
      <c r="B728" s="1" t="n">
        <v>45243</v>
      </c>
      <c r="C728" s="1" t="n">
        <v>45972</v>
      </c>
      <c r="D728" t="inlineStr">
        <is>
          <t>JÄMTLANDS LÄN</t>
        </is>
      </c>
      <c r="E728" t="inlineStr">
        <is>
          <t>STRÖMSUND</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45641-2021</t>
        </is>
      </c>
      <c r="B729" s="1" t="n">
        <v>44440</v>
      </c>
      <c r="C729" s="1" t="n">
        <v>45972</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11157-2025</t>
        </is>
      </c>
      <c r="B730" s="1" t="n">
        <v>45723</v>
      </c>
      <c r="C730" s="1" t="n">
        <v>45972</v>
      </c>
      <c r="D730" t="inlineStr">
        <is>
          <t>JÄMTLANDS LÄN</t>
        </is>
      </c>
      <c r="E730" t="inlineStr">
        <is>
          <t>STRÖMSUND</t>
        </is>
      </c>
      <c r="G730" t="n">
        <v>1.4</v>
      </c>
      <c r="H730" t="n">
        <v>0</v>
      </c>
      <c r="I730" t="n">
        <v>0</v>
      </c>
      <c r="J730" t="n">
        <v>0</v>
      </c>
      <c r="K730" t="n">
        <v>0</v>
      </c>
      <c r="L730" t="n">
        <v>0</v>
      </c>
      <c r="M730" t="n">
        <v>0</v>
      </c>
      <c r="N730" t="n">
        <v>0</v>
      </c>
      <c r="O730" t="n">
        <v>0</v>
      </c>
      <c r="P730" t="n">
        <v>0</v>
      </c>
      <c r="Q730" t="n">
        <v>0</v>
      </c>
      <c r="R730" s="2" t="inlineStr"/>
    </row>
    <row r="731" ht="15" customHeight="1">
      <c r="A731" t="inlineStr">
        <is>
          <t>A 64309-2021</t>
        </is>
      </c>
      <c r="B731" s="1" t="n">
        <v>44510</v>
      </c>
      <c r="C731" s="1" t="n">
        <v>45972</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32451-2024</t>
        </is>
      </c>
      <c r="B732" s="1" t="n">
        <v>45512.95784722222</v>
      </c>
      <c r="C732" s="1" t="n">
        <v>45972</v>
      </c>
      <c r="D732" t="inlineStr">
        <is>
          <t>JÄMTLANDS LÄN</t>
        </is>
      </c>
      <c r="E732" t="inlineStr">
        <is>
          <t>STRÖMSUND</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25963-2021</t>
        </is>
      </c>
      <c r="B733" s="1" t="n">
        <v>44344.52491898148</v>
      </c>
      <c r="C733" s="1" t="n">
        <v>45972</v>
      </c>
      <c r="D733" t="inlineStr">
        <is>
          <t>JÄMTLANDS LÄN</t>
        </is>
      </c>
      <c r="E733" t="inlineStr">
        <is>
          <t>STRÖMSUND</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52134-2023</t>
        </is>
      </c>
      <c r="B734" s="1" t="n">
        <v>45223</v>
      </c>
      <c r="C734" s="1" t="n">
        <v>45972</v>
      </c>
      <c r="D734" t="inlineStr">
        <is>
          <t>JÄMTLANDS LÄN</t>
        </is>
      </c>
      <c r="E734" t="inlineStr">
        <is>
          <t>STRÖMSUND</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53053-2023</t>
        </is>
      </c>
      <c r="B735" s="1" t="n">
        <v>45226</v>
      </c>
      <c r="C735" s="1" t="n">
        <v>45972</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12428-2021</t>
        </is>
      </c>
      <c r="B736" s="1" t="n">
        <v>44267</v>
      </c>
      <c r="C736" s="1" t="n">
        <v>45972</v>
      </c>
      <c r="D736" t="inlineStr">
        <is>
          <t>JÄMTLANDS LÄN</t>
        </is>
      </c>
      <c r="E736" t="inlineStr">
        <is>
          <t>STRÖMSUND</t>
        </is>
      </c>
      <c r="G736" t="n">
        <v>19.6</v>
      </c>
      <c r="H736" t="n">
        <v>0</v>
      </c>
      <c r="I736" t="n">
        <v>0</v>
      </c>
      <c r="J736" t="n">
        <v>0</v>
      </c>
      <c r="K736" t="n">
        <v>0</v>
      </c>
      <c r="L736" t="n">
        <v>0</v>
      </c>
      <c r="M736" t="n">
        <v>0</v>
      </c>
      <c r="N736" t="n">
        <v>0</v>
      </c>
      <c r="O736" t="n">
        <v>0</v>
      </c>
      <c r="P736" t="n">
        <v>0</v>
      </c>
      <c r="Q736" t="n">
        <v>0</v>
      </c>
      <c r="R736" s="2" t="inlineStr"/>
    </row>
    <row r="737" ht="15" customHeight="1">
      <c r="A737" t="inlineStr">
        <is>
          <t>A 35044-2021</t>
        </is>
      </c>
      <c r="B737" s="1" t="n">
        <v>44383.92197916667</v>
      </c>
      <c r="C737" s="1" t="n">
        <v>45972</v>
      </c>
      <c r="D737" t="inlineStr">
        <is>
          <t>JÄMTLANDS LÄN</t>
        </is>
      </c>
      <c r="E737" t="inlineStr">
        <is>
          <t>STRÖMSUND</t>
        </is>
      </c>
      <c r="G737" t="n">
        <v>14.3</v>
      </c>
      <c r="H737" t="n">
        <v>0</v>
      </c>
      <c r="I737" t="n">
        <v>0</v>
      </c>
      <c r="J737" t="n">
        <v>0</v>
      </c>
      <c r="K737" t="n">
        <v>0</v>
      </c>
      <c r="L737" t="n">
        <v>0</v>
      </c>
      <c r="M737" t="n">
        <v>0</v>
      </c>
      <c r="N737" t="n">
        <v>0</v>
      </c>
      <c r="O737" t="n">
        <v>0</v>
      </c>
      <c r="P737" t="n">
        <v>0</v>
      </c>
      <c r="Q737" t="n">
        <v>0</v>
      </c>
      <c r="R737" s="2" t="inlineStr"/>
    </row>
    <row r="738" ht="15" customHeight="1">
      <c r="A738" t="inlineStr">
        <is>
          <t>A 43072-2021</t>
        </is>
      </c>
      <c r="B738" s="1" t="n">
        <v>44431.55541666667</v>
      </c>
      <c r="C738" s="1" t="n">
        <v>45972</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27031-2022</t>
        </is>
      </c>
      <c r="B739" s="1" t="n">
        <v>44740.94326388889</v>
      </c>
      <c r="C739" s="1" t="n">
        <v>45972</v>
      </c>
      <c r="D739" t="inlineStr">
        <is>
          <t>JÄMTLANDS LÄN</t>
        </is>
      </c>
      <c r="E739" t="inlineStr">
        <is>
          <t>STRÖMSUND</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14703-2022</t>
        </is>
      </c>
      <c r="B740" s="1" t="n">
        <v>44655</v>
      </c>
      <c r="C740" s="1" t="n">
        <v>45972</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49210-2021</t>
        </is>
      </c>
      <c r="B741" s="1" t="n">
        <v>44454.3434375</v>
      </c>
      <c r="C741" s="1" t="n">
        <v>45972</v>
      </c>
      <c r="D741" t="inlineStr">
        <is>
          <t>JÄMTLANDS LÄN</t>
        </is>
      </c>
      <c r="E741" t="inlineStr">
        <is>
          <t>STRÖMSUND</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6583-2023</t>
        </is>
      </c>
      <c r="B742" s="1" t="n">
        <v>44963</v>
      </c>
      <c r="C742" s="1" t="n">
        <v>45972</v>
      </c>
      <c r="D742" t="inlineStr">
        <is>
          <t>JÄMTLANDS LÄN</t>
        </is>
      </c>
      <c r="E742" t="inlineStr">
        <is>
          <t>STRÖMSUND</t>
        </is>
      </c>
      <c r="G742" t="n">
        <v>3.3</v>
      </c>
      <c r="H742" t="n">
        <v>0</v>
      </c>
      <c r="I742" t="n">
        <v>0</v>
      </c>
      <c r="J742" t="n">
        <v>0</v>
      </c>
      <c r="K742" t="n">
        <v>0</v>
      </c>
      <c r="L742" t="n">
        <v>0</v>
      </c>
      <c r="M742" t="n">
        <v>0</v>
      </c>
      <c r="N742" t="n">
        <v>0</v>
      </c>
      <c r="O742" t="n">
        <v>0</v>
      </c>
      <c r="P742" t="n">
        <v>0</v>
      </c>
      <c r="Q742" t="n">
        <v>0</v>
      </c>
      <c r="R742" s="2" t="inlineStr"/>
    </row>
    <row r="743" ht="15" customHeight="1">
      <c r="A743" t="inlineStr">
        <is>
          <t>A 24059-2024</t>
        </is>
      </c>
      <c r="B743" s="1" t="n">
        <v>45456.53324074074</v>
      </c>
      <c r="C743" s="1" t="n">
        <v>45972</v>
      </c>
      <c r="D743" t="inlineStr">
        <is>
          <t>JÄMTLANDS LÄN</t>
        </is>
      </c>
      <c r="E743" t="inlineStr">
        <is>
          <t>STRÖMSUND</t>
        </is>
      </c>
      <c r="F743" t="inlineStr">
        <is>
          <t>Holmen skog AB</t>
        </is>
      </c>
      <c r="G743" t="n">
        <v>6.3</v>
      </c>
      <c r="H743" t="n">
        <v>0</v>
      </c>
      <c r="I743" t="n">
        <v>0</v>
      </c>
      <c r="J743" t="n">
        <v>0</v>
      </c>
      <c r="K743" t="n">
        <v>0</v>
      </c>
      <c r="L743" t="n">
        <v>0</v>
      </c>
      <c r="M743" t="n">
        <v>0</v>
      </c>
      <c r="N743" t="n">
        <v>0</v>
      </c>
      <c r="O743" t="n">
        <v>0</v>
      </c>
      <c r="P743" t="n">
        <v>0</v>
      </c>
      <c r="Q743" t="n">
        <v>0</v>
      </c>
      <c r="R743" s="2" t="inlineStr"/>
    </row>
    <row r="744" ht="15" customHeight="1">
      <c r="A744" t="inlineStr">
        <is>
          <t>A 25847-2022</t>
        </is>
      </c>
      <c r="B744" s="1" t="n">
        <v>44733.60694444444</v>
      </c>
      <c r="C744" s="1" t="n">
        <v>45972</v>
      </c>
      <c r="D744" t="inlineStr">
        <is>
          <t>JÄMTLANDS LÄN</t>
        </is>
      </c>
      <c r="E744" t="inlineStr">
        <is>
          <t>STRÖMSUND</t>
        </is>
      </c>
      <c r="F744" t="inlineStr">
        <is>
          <t>Kyrkan</t>
        </is>
      </c>
      <c r="G744" t="n">
        <v>5.3</v>
      </c>
      <c r="H744" t="n">
        <v>0</v>
      </c>
      <c r="I744" t="n">
        <v>0</v>
      </c>
      <c r="J744" t="n">
        <v>0</v>
      </c>
      <c r="K744" t="n">
        <v>0</v>
      </c>
      <c r="L744" t="n">
        <v>0</v>
      </c>
      <c r="M744" t="n">
        <v>0</v>
      </c>
      <c r="N744" t="n">
        <v>0</v>
      </c>
      <c r="O744" t="n">
        <v>0</v>
      </c>
      <c r="P744" t="n">
        <v>0</v>
      </c>
      <c r="Q744" t="n">
        <v>0</v>
      </c>
      <c r="R744" s="2" t="inlineStr"/>
    </row>
    <row r="745" ht="15" customHeight="1">
      <c r="A745" t="inlineStr">
        <is>
          <t>A 29276-2022</t>
        </is>
      </c>
      <c r="B745" s="1" t="n">
        <v>44750</v>
      </c>
      <c r="C745" s="1" t="n">
        <v>45972</v>
      </c>
      <c r="D745" t="inlineStr">
        <is>
          <t>JÄMTLANDS LÄN</t>
        </is>
      </c>
      <c r="E745" t="inlineStr">
        <is>
          <t>STRÖMSUND</t>
        </is>
      </c>
      <c r="G745" t="n">
        <v>18.8</v>
      </c>
      <c r="H745" t="n">
        <v>0</v>
      </c>
      <c r="I745" t="n">
        <v>0</v>
      </c>
      <c r="J745" t="n">
        <v>0</v>
      </c>
      <c r="K745" t="n">
        <v>0</v>
      </c>
      <c r="L745" t="n">
        <v>0</v>
      </c>
      <c r="M745" t="n">
        <v>0</v>
      </c>
      <c r="N745" t="n">
        <v>0</v>
      </c>
      <c r="O745" t="n">
        <v>0</v>
      </c>
      <c r="P745" t="n">
        <v>0</v>
      </c>
      <c r="Q745" t="n">
        <v>0</v>
      </c>
      <c r="R745" s="2" t="inlineStr"/>
    </row>
    <row r="746" ht="15" customHeight="1">
      <c r="A746" t="inlineStr">
        <is>
          <t>A 20597-2023</t>
        </is>
      </c>
      <c r="B746" s="1" t="n">
        <v>45057</v>
      </c>
      <c r="C746" s="1" t="n">
        <v>45972</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30220-2022</t>
        </is>
      </c>
      <c r="B747" s="1" t="n">
        <v>44757.94265046297</v>
      </c>
      <c r="C747" s="1" t="n">
        <v>45972</v>
      </c>
      <c r="D747" t="inlineStr">
        <is>
          <t>JÄMTLANDS LÄN</t>
        </is>
      </c>
      <c r="E747" t="inlineStr">
        <is>
          <t>STRÖMSUND</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45074-2022</t>
        </is>
      </c>
      <c r="B748" s="1" t="n">
        <v>44841.939375</v>
      </c>
      <c r="C748" s="1" t="n">
        <v>45972</v>
      </c>
      <c r="D748" t="inlineStr">
        <is>
          <t>JÄMTLANDS LÄN</t>
        </is>
      </c>
      <c r="E748" t="inlineStr">
        <is>
          <t>STRÖMSUND</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45630-2021</t>
        </is>
      </c>
      <c r="B749" s="1" t="n">
        <v>44440</v>
      </c>
      <c r="C749" s="1" t="n">
        <v>45972</v>
      </c>
      <c r="D749" t="inlineStr">
        <is>
          <t>JÄMTLANDS LÄN</t>
        </is>
      </c>
      <c r="E749" t="inlineStr">
        <is>
          <t>STRÖMSUND</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15865-2022</t>
        </is>
      </c>
      <c r="B750" s="1" t="n">
        <v>44664</v>
      </c>
      <c r="C750" s="1" t="n">
        <v>45972</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45972</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45972</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24302-2022</t>
        </is>
      </c>
      <c r="B753" s="1" t="n">
        <v>44725.94356481481</v>
      </c>
      <c r="C753" s="1" t="n">
        <v>45972</v>
      </c>
      <c r="D753" t="inlineStr">
        <is>
          <t>JÄMTLANDS LÄN</t>
        </is>
      </c>
      <c r="E753" t="inlineStr">
        <is>
          <t>STRÖMSUND</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5262-2024</t>
        </is>
      </c>
      <c r="B754" s="1" t="n">
        <v>45330</v>
      </c>
      <c r="C754" s="1" t="n">
        <v>45972</v>
      </c>
      <c r="D754" t="inlineStr">
        <is>
          <t>JÄMTLANDS LÄN</t>
        </is>
      </c>
      <c r="E754" t="inlineStr">
        <is>
          <t>STRÖMSUND</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35342-2021</t>
        </is>
      </c>
      <c r="B755" s="1" t="n">
        <v>44384.9189699074</v>
      </c>
      <c r="C755" s="1" t="n">
        <v>45972</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69143-2021</t>
        </is>
      </c>
      <c r="B756" s="1" t="n">
        <v>44530</v>
      </c>
      <c r="C756" s="1" t="n">
        <v>45972</v>
      </c>
      <c r="D756" t="inlineStr">
        <is>
          <t>JÄMTLANDS LÄN</t>
        </is>
      </c>
      <c r="E756" t="inlineStr">
        <is>
          <t>STRÖMSUND</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31740-2021</t>
        </is>
      </c>
      <c r="B757" s="1" t="n">
        <v>44369.93760416667</v>
      </c>
      <c r="C757" s="1" t="n">
        <v>45972</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1107-2022</t>
        </is>
      </c>
      <c r="B758" s="1" t="n">
        <v>44571</v>
      </c>
      <c r="C758" s="1" t="n">
        <v>45972</v>
      </c>
      <c r="D758" t="inlineStr">
        <is>
          <t>JÄMTLANDS LÄN</t>
        </is>
      </c>
      <c r="E758" t="inlineStr">
        <is>
          <t>STRÖMSUND</t>
        </is>
      </c>
      <c r="G758" t="n">
        <v>5.2</v>
      </c>
      <c r="H758" t="n">
        <v>0</v>
      </c>
      <c r="I758" t="n">
        <v>0</v>
      </c>
      <c r="J758" t="n">
        <v>0</v>
      </c>
      <c r="K758" t="n">
        <v>0</v>
      </c>
      <c r="L758" t="n">
        <v>0</v>
      </c>
      <c r="M758" t="n">
        <v>0</v>
      </c>
      <c r="N758" t="n">
        <v>0</v>
      </c>
      <c r="O758" t="n">
        <v>0</v>
      </c>
      <c r="P758" t="n">
        <v>0</v>
      </c>
      <c r="Q758" t="n">
        <v>0</v>
      </c>
      <c r="R758" s="2" t="inlineStr"/>
    </row>
    <row r="759" ht="15" customHeight="1">
      <c r="A759" t="inlineStr">
        <is>
          <t>A 16780-2023</t>
        </is>
      </c>
      <c r="B759" s="1" t="n">
        <v>45032.74293981482</v>
      </c>
      <c r="C759" s="1" t="n">
        <v>45972</v>
      </c>
      <c r="D759" t="inlineStr">
        <is>
          <t>JÄMTLANDS LÄN</t>
        </is>
      </c>
      <c r="E759" t="inlineStr">
        <is>
          <t>STRÖMSUND</t>
        </is>
      </c>
      <c r="G759" t="n">
        <v>1.6</v>
      </c>
      <c r="H759" t="n">
        <v>0</v>
      </c>
      <c r="I759" t="n">
        <v>0</v>
      </c>
      <c r="J759" t="n">
        <v>0</v>
      </c>
      <c r="K759" t="n">
        <v>0</v>
      </c>
      <c r="L759" t="n">
        <v>0</v>
      </c>
      <c r="M759" t="n">
        <v>0</v>
      </c>
      <c r="N759" t="n">
        <v>0</v>
      </c>
      <c r="O759" t="n">
        <v>0</v>
      </c>
      <c r="P759" t="n">
        <v>0</v>
      </c>
      <c r="Q759" t="n">
        <v>0</v>
      </c>
      <c r="R759" s="2" t="inlineStr"/>
    </row>
    <row r="760" ht="15" customHeight="1">
      <c r="A760" t="inlineStr">
        <is>
          <t>A 54050-2021</t>
        </is>
      </c>
      <c r="B760" s="1" t="n">
        <v>44470</v>
      </c>
      <c r="C760" s="1" t="n">
        <v>45972</v>
      </c>
      <c r="D760" t="inlineStr">
        <is>
          <t>JÄMTLANDS LÄN</t>
        </is>
      </c>
      <c r="E760" t="inlineStr">
        <is>
          <t>STRÖMSUND</t>
        </is>
      </c>
      <c r="G760" t="n">
        <v>2</v>
      </c>
      <c r="H760" t="n">
        <v>0</v>
      </c>
      <c r="I760" t="n">
        <v>0</v>
      </c>
      <c r="J760" t="n">
        <v>0</v>
      </c>
      <c r="K760" t="n">
        <v>0</v>
      </c>
      <c r="L760" t="n">
        <v>0</v>
      </c>
      <c r="M760" t="n">
        <v>0</v>
      </c>
      <c r="N760" t="n">
        <v>0</v>
      </c>
      <c r="O760" t="n">
        <v>0</v>
      </c>
      <c r="P760" t="n">
        <v>0</v>
      </c>
      <c r="Q760" t="n">
        <v>0</v>
      </c>
      <c r="R760" s="2" t="inlineStr"/>
    </row>
    <row r="761" ht="15" customHeight="1">
      <c r="A761" t="inlineStr">
        <is>
          <t>A 60366-2024</t>
        </is>
      </c>
      <c r="B761" s="1" t="n">
        <v>45643.45707175926</v>
      </c>
      <c r="C761" s="1" t="n">
        <v>45972</v>
      </c>
      <c r="D761" t="inlineStr">
        <is>
          <t>JÄMTLANDS LÄN</t>
        </is>
      </c>
      <c r="E761" t="inlineStr">
        <is>
          <t>STRÖMSUND</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34521-2022</t>
        </is>
      </c>
      <c r="B762" s="1" t="n">
        <v>44792.94493055555</v>
      </c>
      <c r="C762" s="1" t="n">
        <v>45972</v>
      </c>
      <c r="D762" t="inlineStr">
        <is>
          <t>JÄMTLANDS LÄN</t>
        </is>
      </c>
      <c r="E762" t="inlineStr">
        <is>
          <t>STRÖMSUND</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69139-2021</t>
        </is>
      </c>
      <c r="B763" s="1" t="n">
        <v>44530.94604166667</v>
      </c>
      <c r="C763" s="1" t="n">
        <v>45972</v>
      </c>
      <c r="D763" t="inlineStr">
        <is>
          <t>JÄMTLANDS LÄN</t>
        </is>
      </c>
      <c r="E763" t="inlineStr">
        <is>
          <t>STRÖMSUND</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49752-2022</t>
        </is>
      </c>
      <c r="B764" s="1" t="n">
        <v>44859</v>
      </c>
      <c r="C764" s="1" t="n">
        <v>45972</v>
      </c>
      <c r="D764" t="inlineStr">
        <is>
          <t>JÄMTLANDS LÄN</t>
        </is>
      </c>
      <c r="E764" t="inlineStr">
        <is>
          <t>STRÖMSUND</t>
        </is>
      </c>
      <c r="G764" t="n">
        <v>4.5</v>
      </c>
      <c r="H764" t="n">
        <v>0</v>
      </c>
      <c r="I764" t="n">
        <v>0</v>
      </c>
      <c r="J764" t="n">
        <v>0</v>
      </c>
      <c r="K764" t="n">
        <v>0</v>
      </c>
      <c r="L764" t="n">
        <v>0</v>
      </c>
      <c r="M764" t="n">
        <v>0</v>
      </c>
      <c r="N764" t="n">
        <v>0</v>
      </c>
      <c r="O764" t="n">
        <v>0</v>
      </c>
      <c r="P764" t="n">
        <v>0</v>
      </c>
      <c r="Q764" t="n">
        <v>0</v>
      </c>
      <c r="R764" s="2" t="inlineStr"/>
    </row>
    <row r="765" ht="15" customHeight="1">
      <c r="A765" t="inlineStr">
        <is>
          <t>A 27978-2021</t>
        </is>
      </c>
      <c r="B765" s="1" t="n">
        <v>44354</v>
      </c>
      <c r="C765" s="1" t="n">
        <v>45972</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27980-2021</t>
        </is>
      </c>
      <c r="B766" s="1" t="n">
        <v>44354</v>
      </c>
      <c r="C766" s="1" t="n">
        <v>45972</v>
      </c>
      <c r="D766" t="inlineStr">
        <is>
          <t>JÄMTLANDS LÄN</t>
        </is>
      </c>
      <c r="E766" t="inlineStr">
        <is>
          <t>STRÖMSUND</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55608-2021</t>
        </is>
      </c>
      <c r="B767" s="1" t="n">
        <v>44475</v>
      </c>
      <c r="C767" s="1" t="n">
        <v>45972</v>
      </c>
      <c r="D767" t="inlineStr">
        <is>
          <t>JÄMTLANDS LÄN</t>
        </is>
      </c>
      <c r="E767" t="inlineStr">
        <is>
          <t>STRÖMSUND</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39698-2024</t>
        </is>
      </c>
      <c r="B768" s="1" t="n">
        <v>45552.57326388889</v>
      </c>
      <c r="C768" s="1" t="n">
        <v>45972</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49861-2023</t>
        </is>
      </c>
      <c r="B769" s="1" t="n">
        <v>45212</v>
      </c>
      <c r="C769" s="1" t="n">
        <v>45972</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20339-2022</t>
        </is>
      </c>
      <c r="B770" s="1" t="n">
        <v>44699</v>
      </c>
      <c r="C770" s="1" t="n">
        <v>45972</v>
      </c>
      <c r="D770" t="inlineStr">
        <is>
          <t>JÄMTLANDS LÄN</t>
        </is>
      </c>
      <c r="E770" t="inlineStr">
        <is>
          <t>STRÖMSUND</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21146-2023</t>
        </is>
      </c>
      <c r="B771" s="1" t="n">
        <v>45057</v>
      </c>
      <c r="C771" s="1" t="n">
        <v>45972</v>
      </c>
      <c r="D771" t="inlineStr">
        <is>
          <t>JÄMTLANDS LÄN</t>
        </is>
      </c>
      <c r="E771" t="inlineStr">
        <is>
          <t>STRÖMSUND</t>
        </is>
      </c>
      <c r="G771" t="n">
        <v>2.6</v>
      </c>
      <c r="H771" t="n">
        <v>0</v>
      </c>
      <c r="I771" t="n">
        <v>0</v>
      </c>
      <c r="J771" t="n">
        <v>0</v>
      </c>
      <c r="K771" t="n">
        <v>0</v>
      </c>
      <c r="L771" t="n">
        <v>0</v>
      </c>
      <c r="M771" t="n">
        <v>0</v>
      </c>
      <c r="N771" t="n">
        <v>0</v>
      </c>
      <c r="O771" t="n">
        <v>0</v>
      </c>
      <c r="P771" t="n">
        <v>0</v>
      </c>
      <c r="Q771" t="n">
        <v>0</v>
      </c>
      <c r="R771" s="2" t="inlineStr"/>
    </row>
    <row r="772" ht="15" customHeight="1">
      <c r="A772" t="inlineStr">
        <is>
          <t>A 49186-2024</t>
        </is>
      </c>
      <c r="B772" s="1" t="n">
        <v>45595.34479166667</v>
      </c>
      <c r="C772" s="1" t="n">
        <v>45972</v>
      </c>
      <c r="D772" t="inlineStr">
        <is>
          <t>JÄMTLANDS LÄN</t>
        </is>
      </c>
      <c r="E772" t="inlineStr">
        <is>
          <t>STRÖMSUND</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17105-2024</t>
        </is>
      </c>
      <c r="B773" s="1" t="n">
        <v>45412</v>
      </c>
      <c r="C773" s="1" t="n">
        <v>45972</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65762-2020</t>
        </is>
      </c>
      <c r="B774" s="1" t="n">
        <v>44174</v>
      </c>
      <c r="C774" s="1" t="n">
        <v>45972</v>
      </c>
      <c r="D774" t="inlineStr">
        <is>
          <t>JÄMTLANDS LÄN</t>
        </is>
      </c>
      <c r="E774" t="inlineStr">
        <is>
          <t>STRÖMSUND</t>
        </is>
      </c>
      <c r="F774" t="inlineStr">
        <is>
          <t>Holmen skog AB</t>
        </is>
      </c>
      <c r="G774" t="n">
        <v>8.5</v>
      </c>
      <c r="H774" t="n">
        <v>0</v>
      </c>
      <c r="I774" t="n">
        <v>0</v>
      </c>
      <c r="J774" t="n">
        <v>0</v>
      </c>
      <c r="K774" t="n">
        <v>0</v>
      </c>
      <c r="L774" t="n">
        <v>0</v>
      </c>
      <c r="M774" t="n">
        <v>0</v>
      </c>
      <c r="N774" t="n">
        <v>0</v>
      </c>
      <c r="O774" t="n">
        <v>0</v>
      </c>
      <c r="P774" t="n">
        <v>0</v>
      </c>
      <c r="Q774" t="n">
        <v>0</v>
      </c>
      <c r="R774" s="2" t="inlineStr"/>
    </row>
    <row r="775" ht="15" customHeight="1">
      <c r="A775" t="inlineStr">
        <is>
          <t>A 19027-2023</t>
        </is>
      </c>
      <c r="B775" s="1" t="n">
        <v>45047</v>
      </c>
      <c r="C775" s="1" t="n">
        <v>45972</v>
      </c>
      <c r="D775" t="inlineStr">
        <is>
          <t>JÄMTLANDS LÄN</t>
        </is>
      </c>
      <c r="E775" t="inlineStr">
        <is>
          <t>STRÖMSUND</t>
        </is>
      </c>
      <c r="G775" t="n">
        <v>4.1</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45972</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49204-2021</t>
        </is>
      </c>
      <c r="B777" s="1" t="n">
        <v>44454</v>
      </c>
      <c r="C777" s="1" t="n">
        <v>45972</v>
      </c>
      <c r="D777" t="inlineStr">
        <is>
          <t>JÄMTLANDS LÄN</t>
        </is>
      </c>
      <c r="E777" t="inlineStr">
        <is>
          <t>STRÖMSUND</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49206-2021</t>
        </is>
      </c>
      <c r="B778" s="1" t="n">
        <v>44454</v>
      </c>
      <c r="C778" s="1" t="n">
        <v>45972</v>
      </c>
      <c r="D778" t="inlineStr">
        <is>
          <t>JÄMTLANDS LÄN</t>
        </is>
      </c>
      <c r="E778" t="inlineStr">
        <is>
          <t>STRÖMSUND</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22616-2022</t>
        </is>
      </c>
      <c r="B779" s="1" t="n">
        <v>44714</v>
      </c>
      <c r="C779" s="1" t="n">
        <v>45972</v>
      </c>
      <c r="D779" t="inlineStr">
        <is>
          <t>JÄMTLANDS LÄN</t>
        </is>
      </c>
      <c r="E779" t="inlineStr">
        <is>
          <t>STRÖMSUND</t>
        </is>
      </c>
      <c r="G779" t="n">
        <v>0.7</v>
      </c>
      <c r="H779" t="n">
        <v>0</v>
      </c>
      <c r="I779" t="n">
        <v>0</v>
      </c>
      <c r="J779" t="n">
        <v>0</v>
      </c>
      <c r="K779" t="n">
        <v>0</v>
      </c>
      <c r="L779" t="n">
        <v>0</v>
      </c>
      <c r="M779" t="n">
        <v>0</v>
      </c>
      <c r="N779" t="n">
        <v>0</v>
      </c>
      <c r="O779" t="n">
        <v>0</v>
      </c>
      <c r="P779" t="n">
        <v>0</v>
      </c>
      <c r="Q779" t="n">
        <v>0</v>
      </c>
      <c r="R779" s="2" t="inlineStr"/>
    </row>
    <row r="780" ht="15" customHeight="1">
      <c r="A780" t="inlineStr">
        <is>
          <t>A 25843-2022</t>
        </is>
      </c>
      <c r="B780" s="1" t="n">
        <v>44733</v>
      </c>
      <c r="C780" s="1" t="n">
        <v>45972</v>
      </c>
      <c r="D780" t="inlineStr">
        <is>
          <t>JÄMTLANDS LÄN</t>
        </is>
      </c>
      <c r="E780" t="inlineStr">
        <is>
          <t>STRÖMSUND</t>
        </is>
      </c>
      <c r="F780" t="inlineStr">
        <is>
          <t>Kyrkan</t>
        </is>
      </c>
      <c r="G780" t="n">
        <v>12.2</v>
      </c>
      <c r="H780" t="n">
        <v>0</v>
      </c>
      <c r="I780" t="n">
        <v>0</v>
      </c>
      <c r="J780" t="n">
        <v>0</v>
      </c>
      <c r="K780" t="n">
        <v>0</v>
      </c>
      <c r="L780" t="n">
        <v>0</v>
      </c>
      <c r="M780" t="n">
        <v>0</v>
      </c>
      <c r="N780" t="n">
        <v>0</v>
      </c>
      <c r="O780" t="n">
        <v>0</v>
      </c>
      <c r="P780" t="n">
        <v>0</v>
      </c>
      <c r="Q780" t="n">
        <v>0</v>
      </c>
      <c r="R780" s="2" t="inlineStr"/>
    </row>
    <row r="781" ht="15" customHeight="1">
      <c r="A781" t="inlineStr">
        <is>
          <t>A 51450-2022</t>
        </is>
      </c>
      <c r="B781" s="1" t="n">
        <v>44869.5025</v>
      </c>
      <c r="C781" s="1" t="n">
        <v>45972</v>
      </c>
      <c r="D781" t="inlineStr">
        <is>
          <t>JÄMTLANDS LÄN</t>
        </is>
      </c>
      <c r="E781" t="inlineStr">
        <is>
          <t>STRÖMSUND</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32871-2023</t>
        </is>
      </c>
      <c r="B782" s="1" t="n">
        <v>45112</v>
      </c>
      <c r="C782" s="1" t="n">
        <v>45972</v>
      </c>
      <c r="D782" t="inlineStr">
        <is>
          <t>JÄMTLANDS LÄN</t>
        </is>
      </c>
      <c r="E782" t="inlineStr">
        <is>
          <t>STRÖMSUND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54077-2023</t>
        </is>
      </c>
      <c r="B783" s="1" t="n">
        <v>45231</v>
      </c>
      <c r="C783" s="1" t="n">
        <v>45972</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4464-2022</t>
        </is>
      </c>
      <c r="B784" s="1" t="n">
        <v>44589</v>
      </c>
      <c r="C784" s="1" t="n">
        <v>45972</v>
      </c>
      <c r="D784" t="inlineStr">
        <is>
          <t>JÄMTLANDS LÄN</t>
        </is>
      </c>
      <c r="E784" t="inlineStr">
        <is>
          <t>STRÖMSUND</t>
        </is>
      </c>
      <c r="G784" t="n">
        <v>5.4</v>
      </c>
      <c r="H784" t="n">
        <v>0</v>
      </c>
      <c r="I784" t="n">
        <v>0</v>
      </c>
      <c r="J784" t="n">
        <v>0</v>
      </c>
      <c r="K784" t="n">
        <v>0</v>
      </c>
      <c r="L784" t="n">
        <v>0</v>
      </c>
      <c r="M784" t="n">
        <v>0</v>
      </c>
      <c r="N784" t="n">
        <v>0</v>
      </c>
      <c r="O784" t="n">
        <v>0</v>
      </c>
      <c r="P784" t="n">
        <v>0</v>
      </c>
      <c r="Q784" t="n">
        <v>0</v>
      </c>
      <c r="R784" s="2" t="inlineStr"/>
    </row>
    <row r="785" ht="15" customHeight="1">
      <c r="A785" t="inlineStr">
        <is>
          <t>A 30828-2023</t>
        </is>
      </c>
      <c r="B785" s="1" t="n">
        <v>45112.94333333334</v>
      </c>
      <c r="C785" s="1" t="n">
        <v>45972</v>
      </c>
      <c r="D785" t="inlineStr">
        <is>
          <t>JÄMTLANDS LÄN</t>
        </is>
      </c>
      <c r="E785" t="inlineStr">
        <is>
          <t>STRÖMSUND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33230-2022</t>
        </is>
      </c>
      <c r="B786" s="1" t="n">
        <v>44785.9421412037</v>
      </c>
      <c r="C786" s="1" t="n">
        <v>45972</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59646-2022</t>
        </is>
      </c>
      <c r="B787" s="1" t="n">
        <v>44907.96568287037</v>
      </c>
      <c r="C787" s="1" t="n">
        <v>45972</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55939-2021</t>
        </is>
      </c>
      <c r="B788" s="1" t="n">
        <v>44476</v>
      </c>
      <c r="C788" s="1" t="n">
        <v>45972</v>
      </c>
      <c r="D788" t="inlineStr">
        <is>
          <t>JÄMTLANDS LÄN</t>
        </is>
      </c>
      <c r="E788" t="inlineStr">
        <is>
          <t>STRÖMSUND</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50645-2022</t>
        </is>
      </c>
      <c r="B789" s="1" t="n">
        <v>44866.94913194444</v>
      </c>
      <c r="C789" s="1" t="n">
        <v>45972</v>
      </c>
      <c r="D789" t="inlineStr">
        <is>
          <t>JÄMTLANDS LÄN</t>
        </is>
      </c>
      <c r="E789" t="inlineStr">
        <is>
          <t>STRÖMSUND</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50657-2022</t>
        </is>
      </c>
      <c r="B790" s="1" t="n">
        <v>44866.95130787037</v>
      </c>
      <c r="C790" s="1" t="n">
        <v>45972</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50659-2022</t>
        </is>
      </c>
      <c r="B791" s="1" t="n">
        <v>44866.95142361111</v>
      </c>
      <c r="C791" s="1" t="n">
        <v>45972</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50316-2022</t>
        </is>
      </c>
      <c r="B792" s="1" t="n">
        <v>44865.94902777778</v>
      </c>
      <c r="C792" s="1" t="n">
        <v>45972</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585-2022</t>
        </is>
      </c>
      <c r="B793" s="1" t="n">
        <v>44566.94045138889</v>
      </c>
      <c r="C793" s="1" t="n">
        <v>45972</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72543-2021</t>
        </is>
      </c>
      <c r="B794" s="1" t="n">
        <v>44546</v>
      </c>
      <c r="C794" s="1" t="n">
        <v>45972</v>
      </c>
      <c r="D794" t="inlineStr">
        <is>
          <t>JÄMTLANDS LÄN</t>
        </is>
      </c>
      <c r="E794" t="inlineStr">
        <is>
          <t>STRÖMSUND</t>
        </is>
      </c>
      <c r="G794" t="n">
        <v>3.7</v>
      </c>
      <c r="H794" t="n">
        <v>0</v>
      </c>
      <c r="I794" t="n">
        <v>0</v>
      </c>
      <c r="J794" t="n">
        <v>0</v>
      </c>
      <c r="K794" t="n">
        <v>0</v>
      </c>
      <c r="L794" t="n">
        <v>0</v>
      </c>
      <c r="M794" t="n">
        <v>0</v>
      </c>
      <c r="N794" t="n">
        <v>0</v>
      </c>
      <c r="O794" t="n">
        <v>0</v>
      </c>
      <c r="P794" t="n">
        <v>0</v>
      </c>
      <c r="Q794" t="n">
        <v>0</v>
      </c>
      <c r="R794" s="2" t="inlineStr"/>
    </row>
    <row r="795" ht="15" customHeight="1">
      <c r="A795" t="inlineStr">
        <is>
          <t>A 52728-2022</t>
        </is>
      </c>
      <c r="B795" s="1" t="n">
        <v>44874.95616898148</v>
      </c>
      <c r="C795" s="1" t="n">
        <v>45972</v>
      </c>
      <c r="D795" t="inlineStr">
        <is>
          <t>JÄMTLANDS LÄN</t>
        </is>
      </c>
      <c r="E795" t="inlineStr">
        <is>
          <t>STRÖMSUND</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12198-2022</t>
        </is>
      </c>
      <c r="B796" s="1" t="n">
        <v>44636.94222222222</v>
      </c>
      <c r="C796" s="1" t="n">
        <v>45972</v>
      </c>
      <c r="D796" t="inlineStr">
        <is>
          <t>JÄMTLANDS LÄN</t>
        </is>
      </c>
      <c r="E796" t="inlineStr">
        <is>
          <t>STRÖMSUND</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45972</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2304-2025</t>
        </is>
      </c>
      <c r="B798" s="1" t="n">
        <v>45673.5986574074</v>
      </c>
      <c r="C798" s="1" t="n">
        <v>45972</v>
      </c>
      <c r="D798" t="inlineStr">
        <is>
          <t>JÄMTLANDS LÄN</t>
        </is>
      </c>
      <c r="E798" t="inlineStr">
        <is>
          <t>STRÖMSUND</t>
        </is>
      </c>
      <c r="G798" t="n">
        <v>4.8</v>
      </c>
      <c r="H798" t="n">
        <v>0</v>
      </c>
      <c r="I798" t="n">
        <v>0</v>
      </c>
      <c r="J798" t="n">
        <v>0</v>
      </c>
      <c r="K798" t="n">
        <v>0</v>
      </c>
      <c r="L798" t="n">
        <v>0</v>
      </c>
      <c r="M798" t="n">
        <v>0</v>
      </c>
      <c r="N798" t="n">
        <v>0</v>
      </c>
      <c r="O798" t="n">
        <v>0</v>
      </c>
      <c r="P798" t="n">
        <v>0</v>
      </c>
      <c r="Q798" t="n">
        <v>0</v>
      </c>
      <c r="R798" s="2" t="inlineStr"/>
    </row>
    <row r="799" ht="15" customHeight="1">
      <c r="A799" t="inlineStr">
        <is>
          <t>A 24042-2024</t>
        </is>
      </c>
      <c r="B799" s="1" t="n">
        <v>45456.48665509259</v>
      </c>
      <c r="C799" s="1" t="n">
        <v>45972</v>
      </c>
      <c r="D799" t="inlineStr">
        <is>
          <t>JÄMTLANDS LÄN</t>
        </is>
      </c>
      <c r="E799" t="inlineStr">
        <is>
          <t>STRÖMSUND</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45972</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45972</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45720-2022</t>
        </is>
      </c>
      <c r="B802" s="1" t="n">
        <v>44845.95539351852</v>
      </c>
      <c r="C802" s="1" t="n">
        <v>45972</v>
      </c>
      <c r="D802" t="inlineStr">
        <is>
          <t>JÄMTLANDS LÄN</t>
        </is>
      </c>
      <c r="E802" t="inlineStr">
        <is>
          <t>STRÖMSUND</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29624-2021</t>
        </is>
      </c>
      <c r="B803" s="1" t="n">
        <v>44361.93820601852</v>
      </c>
      <c r="C803" s="1" t="n">
        <v>45972</v>
      </c>
      <c r="D803" t="inlineStr">
        <is>
          <t>JÄMTLANDS LÄN</t>
        </is>
      </c>
      <c r="E803" t="inlineStr">
        <is>
          <t>STRÖMSUND</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43846-2021</t>
        </is>
      </c>
      <c r="B804" s="1" t="n">
        <v>44433.94219907407</v>
      </c>
      <c r="C804" s="1" t="n">
        <v>45972</v>
      </c>
      <c r="D804" t="inlineStr">
        <is>
          <t>JÄMTLANDS LÄN</t>
        </is>
      </c>
      <c r="E804" t="inlineStr">
        <is>
          <t>STRÖMSUND</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19726-2021</t>
        </is>
      </c>
      <c r="B805" s="1" t="n">
        <v>44312</v>
      </c>
      <c r="C805" s="1" t="n">
        <v>45972</v>
      </c>
      <c r="D805" t="inlineStr">
        <is>
          <t>JÄMTLANDS LÄN</t>
        </is>
      </c>
      <c r="E805" t="inlineStr">
        <is>
          <t>STRÖMSUND</t>
        </is>
      </c>
      <c r="G805" t="n">
        <v>0.5</v>
      </c>
      <c r="H805" t="n">
        <v>0</v>
      </c>
      <c r="I805" t="n">
        <v>0</v>
      </c>
      <c r="J805" t="n">
        <v>0</v>
      </c>
      <c r="K805" t="n">
        <v>0</v>
      </c>
      <c r="L805" t="n">
        <v>0</v>
      </c>
      <c r="M805" t="n">
        <v>0</v>
      </c>
      <c r="N805" t="n">
        <v>0</v>
      </c>
      <c r="O805" t="n">
        <v>0</v>
      </c>
      <c r="P805" t="n">
        <v>0</v>
      </c>
      <c r="Q805" t="n">
        <v>0</v>
      </c>
      <c r="R805" s="2" t="inlineStr"/>
    </row>
    <row r="806" ht="15" customHeight="1">
      <c r="A806" t="inlineStr">
        <is>
          <t>A 53143-2022</t>
        </is>
      </c>
      <c r="B806" s="1" t="n">
        <v>44876</v>
      </c>
      <c r="C806" s="1" t="n">
        <v>45972</v>
      </c>
      <c r="D806" t="inlineStr">
        <is>
          <t>JÄMTLANDS LÄN</t>
        </is>
      </c>
      <c r="E806" t="inlineStr">
        <is>
          <t>STRÖMSUND</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6371-2021</t>
        </is>
      </c>
      <c r="B807" s="1" t="n">
        <v>44232</v>
      </c>
      <c r="C807" s="1" t="n">
        <v>45972</v>
      </c>
      <c r="D807" t="inlineStr">
        <is>
          <t>JÄMTLANDS LÄN</t>
        </is>
      </c>
      <c r="E807" t="inlineStr">
        <is>
          <t>STRÖMSUND</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30586-2024</t>
        </is>
      </c>
      <c r="B808" s="1" t="n">
        <v>45492</v>
      </c>
      <c r="C808" s="1" t="n">
        <v>45972</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26033-2024</t>
        </is>
      </c>
      <c r="B809" s="1" t="n">
        <v>45467.96340277778</v>
      </c>
      <c r="C809" s="1" t="n">
        <v>45972</v>
      </c>
      <c r="D809" t="inlineStr">
        <is>
          <t>JÄMTLANDS LÄN</t>
        </is>
      </c>
      <c r="E809" t="inlineStr">
        <is>
          <t>STRÖMSUND</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34907-2023</t>
        </is>
      </c>
      <c r="B810" s="1" t="n">
        <v>45141</v>
      </c>
      <c r="C810" s="1" t="n">
        <v>45972</v>
      </c>
      <c r="D810" t="inlineStr">
        <is>
          <t>JÄMTLANDS LÄN</t>
        </is>
      </c>
      <c r="E810" t="inlineStr">
        <is>
          <t>STRÖMSUND</t>
        </is>
      </c>
      <c r="G810" t="n">
        <v>7.1</v>
      </c>
      <c r="H810" t="n">
        <v>0</v>
      </c>
      <c r="I810" t="n">
        <v>0</v>
      </c>
      <c r="J810" t="n">
        <v>0</v>
      </c>
      <c r="K810" t="n">
        <v>0</v>
      </c>
      <c r="L810" t="n">
        <v>0</v>
      </c>
      <c r="M810" t="n">
        <v>0</v>
      </c>
      <c r="N810" t="n">
        <v>0</v>
      </c>
      <c r="O810" t="n">
        <v>0</v>
      </c>
      <c r="P810" t="n">
        <v>0</v>
      </c>
      <c r="Q810" t="n">
        <v>0</v>
      </c>
      <c r="R810" s="2" t="inlineStr"/>
    </row>
    <row r="811" ht="15" customHeight="1">
      <c r="A811" t="inlineStr">
        <is>
          <t>A 2296-2023</t>
        </is>
      </c>
      <c r="B811" s="1" t="n">
        <v>44942</v>
      </c>
      <c r="C811" s="1" t="n">
        <v>45972</v>
      </c>
      <c r="D811" t="inlineStr">
        <is>
          <t>JÄMTLANDS LÄN</t>
        </is>
      </c>
      <c r="E811" t="inlineStr">
        <is>
          <t>STRÖMSUND</t>
        </is>
      </c>
      <c r="G811" t="n">
        <v>1</v>
      </c>
      <c r="H811" t="n">
        <v>0</v>
      </c>
      <c r="I811" t="n">
        <v>0</v>
      </c>
      <c r="J811" t="n">
        <v>0</v>
      </c>
      <c r="K811" t="n">
        <v>0</v>
      </c>
      <c r="L811" t="n">
        <v>0</v>
      </c>
      <c r="M811" t="n">
        <v>0</v>
      </c>
      <c r="N811" t="n">
        <v>0</v>
      </c>
      <c r="O811" t="n">
        <v>0</v>
      </c>
      <c r="P811" t="n">
        <v>0</v>
      </c>
      <c r="Q811" t="n">
        <v>0</v>
      </c>
      <c r="R811" s="2" t="inlineStr"/>
    </row>
    <row r="812" ht="15" customHeight="1">
      <c r="A812" t="inlineStr">
        <is>
          <t>A 57005-2022</t>
        </is>
      </c>
      <c r="B812" s="1" t="n">
        <v>44894.95766203704</v>
      </c>
      <c r="C812" s="1" t="n">
        <v>45972</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49194-2024</t>
        </is>
      </c>
      <c r="B813" s="1" t="n">
        <v>45595.35122685185</v>
      </c>
      <c r="C813" s="1" t="n">
        <v>45972</v>
      </c>
      <c r="D813" t="inlineStr">
        <is>
          <t>JÄMTLANDS LÄN</t>
        </is>
      </c>
      <c r="E813" t="inlineStr">
        <is>
          <t>STRÖMSUND</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53149-2022</t>
        </is>
      </c>
      <c r="B814" s="1" t="n">
        <v>44876</v>
      </c>
      <c r="C814" s="1" t="n">
        <v>45972</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45608.5240625</v>
      </c>
      <c r="C815" s="1" t="n">
        <v>45972</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14460-2022</t>
        </is>
      </c>
      <c r="B816" s="1" t="n">
        <v>44654.61942129629</v>
      </c>
      <c r="C816" s="1" t="n">
        <v>45972</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44969-2023</t>
        </is>
      </c>
      <c r="B817" s="1" t="n">
        <v>45190.92511574074</v>
      </c>
      <c r="C817" s="1" t="n">
        <v>45972</v>
      </c>
      <c r="D817" t="inlineStr">
        <is>
          <t>JÄMTLANDS LÄN</t>
        </is>
      </c>
      <c r="E817" t="inlineStr">
        <is>
          <t>STRÖMSUND</t>
        </is>
      </c>
      <c r="G817" t="n">
        <v>2.8</v>
      </c>
      <c r="H817" t="n">
        <v>0</v>
      </c>
      <c r="I817" t="n">
        <v>0</v>
      </c>
      <c r="J817" t="n">
        <v>0</v>
      </c>
      <c r="K817" t="n">
        <v>0</v>
      </c>
      <c r="L817" t="n">
        <v>0</v>
      </c>
      <c r="M817" t="n">
        <v>0</v>
      </c>
      <c r="N817" t="n">
        <v>0</v>
      </c>
      <c r="O817" t="n">
        <v>0</v>
      </c>
      <c r="P817" t="n">
        <v>0</v>
      </c>
      <c r="Q817" t="n">
        <v>0</v>
      </c>
      <c r="R817" s="2" t="inlineStr"/>
    </row>
    <row r="818" ht="15" customHeight="1">
      <c r="A818" t="inlineStr">
        <is>
          <t>A 37100-2022</t>
        </is>
      </c>
      <c r="B818" s="1" t="n">
        <v>44806</v>
      </c>
      <c r="C818" s="1" t="n">
        <v>45972</v>
      </c>
      <c r="D818" t="inlineStr">
        <is>
          <t>JÄMTLANDS LÄN</t>
        </is>
      </c>
      <c r="E818" t="inlineStr">
        <is>
          <t>STRÖMSUND</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8325-2025</t>
        </is>
      </c>
      <c r="B819" s="1" t="n">
        <v>45708.63638888889</v>
      </c>
      <c r="C819" s="1" t="n">
        <v>45972</v>
      </c>
      <c r="D819" t="inlineStr">
        <is>
          <t>JÄMTLANDS LÄN</t>
        </is>
      </c>
      <c r="E819" t="inlineStr">
        <is>
          <t>STRÖMSUND</t>
        </is>
      </c>
      <c r="G819" t="n">
        <v>2.6</v>
      </c>
      <c r="H819" t="n">
        <v>0</v>
      </c>
      <c r="I819" t="n">
        <v>0</v>
      </c>
      <c r="J819" t="n">
        <v>0</v>
      </c>
      <c r="K819" t="n">
        <v>0</v>
      </c>
      <c r="L819" t="n">
        <v>0</v>
      </c>
      <c r="M819" t="n">
        <v>0</v>
      </c>
      <c r="N819" t="n">
        <v>0</v>
      </c>
      <c r="O819" t="n">
        <v>0</v>
      </c>
      <c r="P819" t="n">
        <v>0</v>
      </c>
      <c r="Q819" t="n">
        <v>0</v>
      </c>
      <c r="R819" s="2" t="inlineStr"/>
    </row>
    <row r="820" ht="15" customHeight="1">
      <c r="A820" t="inlineStr">
        <is>
          <t>A 21209-2024</t>
        </is>
      </c>
      <c r="B820" s="1" t="n">
        <v>45440</v>
      </c>
      <c r="C820" s="1" t="n">
        <v>45972</v>
      </c>
      <c r="D820" t="inlineStr">
        <is>
          <t>JÄMTLANDS LÄN</t>
        </is>
      </c>
      <c r="E820" t="inlineStr">
        <is>
          <t>STRÖMSUND</t>
        </is>
      </c>
      <c r="G820" t="n">
        <v>2</v>
      </c>
      <c r="H820" t="n">
        <v>0</v>
      </c>
      <c r="I820" t="n">
        <v>0</v>
      </c>
      <c r="J820" t="n">
        <v>0</v>
      </c>
      <c r="K820" t="n">
        <v>0</v>
      </c>
      <c r="L820" t="n">
        <v>0</v>
      </c>
      <c r="M820" t="n">
        <v>0</v>
      </c>
      <c r="N820" t="n">
        <v>0</v>
      </c>
      <c r="O820" t="n">
        <v>0</v>
      </c>
      <c r="P820" t="n">
        <v>0</v>
      </c>
      <c r="Q820" t="n">
        <v>0</v>
      </c>
      <c r="R820" s="2" t="inlineStr"/>
    </row>
    <row r="821" ht="15" customHeight="1">
      <c r="A821" t="inlineStr">
        <is>
          <t>A 51344-2022</t>
        </is>
      </c>
      <c r="B821" s="1" t="n">
        <v>44866</v>
      </c>
      <c r="C821" s="1" t="n">
        <v>45972</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61163-2024</t>
        </is>
      </c>
      <c r="B822" s="1" t="n">
        <v>45645.59503472222</v>
      </c>
      <c r="C822" s="1" t="n">
        <v>45972</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21551-2024</t>
        </is>
      </c>
      <c r="B823" s="1" t="n">
        <v>45441.63265046296</v>
      </c>
      <c r="C823" s="1" t="n">
        <v>45972</v>
      </c>
      <c r="D823" t="inlineStr">
        <is>
          <t>JÄMTLANDS LÄN</t>
        </is>
      </c>
      <c r="E823" t="inlineStr">
        <is>
          <t>STRÖMSUND</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40862-2022</t>
        </is>
      </c>
      <c r="B824" s="1" t="n">
        <v>44820</v>
      </c>
      <c r="C824" s="1" t="n">
        <v>45972</v>
      </c>
      <c r="D824" t="inlineStr">
        <is>
          <t>JÄMTLANDS LÄN</t>
        </is>
      </c>
      <c r="E824" t="inlineStr">
        <is>
          <t>STRÖMSUND</t>
        </is>
      </c>
      <c r="G824" t="n">
        <v>2</v>
      </c>
      <c r="H824" t="n">
        <v>0</v>
      </c>
      <c r="I824" t="n">
        <v>0</v>
      </c>
      <c r="J824" t="n">
        <v>0</v>
      </c>
      <c r="K824" t="n">
        <v>0</v>
      </c>
      <c r="L824" t="n">
        <v>0</v>
      </c>
      <c r="M824" t="n">
        <v>0</v>
      </c>
      <c r="N824" t="n">
        <v>0</v>
      </c>
      <c r="O824" t="n">
        <v>0</v>
      </c>
      <c r="P824" t="n">
        <v>0</v>
      </c>
      <c r="Q824" t="n">
        <v>0</v>
      </c>
      <c r="R824" s="2" t="inlineStr"/>
    </row>
    <row r="825" ht="15" customHeight="1">
      <c r="A825" t="inlineStr">
        <is>
          <t>A 52147-2024</t>
        </is>
      </c>
      <c r="B825" s="1" t="n">
        <v>45608.52340277778</v>
      </c>
      <c r="C825" s="1" t="n">
        <v>45972</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25888-2021</t>
        </is>
      </c>
      <c r="B826" s="1" t="n">
        <v>44344.3822337963</v>
      </c>
      <c r="C826" s="1" t="n">
        <v>45972</v>
      </c>
      <c r="D826" t="inlineStr">
        <is>
          <t>JÄMTLANDS LÄN</t>
        </is>
      </c>
      <c r="E826" t="inlineStr">
        <is>
          <t>STRÖMSUND</t>
        </is>
      </c>
      <c r="G826" t="n">
        <v>2.5</v>
      </c>
      <c r="H826" t="n">
        <v>0</v>
      </c>
      <c r="I826" t="n">
        <v>0</v>
      </c>
      <c r="J826" t="n">
        <v>0</v>
      </c>
      <c r="K826" t="n">
        <v>0</v>
      </c>
      <c r="L826" t="n">
        <v>0</v>
      </c>
      <c r="M826" t="n">
        <v>0</v>
      </c>
      <c r="N826" t="n">
        <v>0</v>
      </c>
      <c r="O826" t="n">
        <v>0</v>
      </c>
      <c r="P826" t="n">
        <v>0</v>
      </c>
      <c r="Q826" t="n">
        <v>0</v>
      </c>
      <c r="R826" s="2" t="inlineStr"/>
    </row>
    <row r="827" ht="15" customHeight="1">
      <c r="A827" t="inlineStr">
        <is>
          <t>A 63054-2023</t>
        </is>
      </c>
      <c r="B827" s="1" t="n">
        <v>45272.92770833334</v>
      </c>
      <c r="C827" s="1" t="n">
        <v>45972</v>
      </c>
      <c r="D827" t="inlineStr">
        <is>
          <t>JÄMTLANDS LÄN</t>
        </is>
      </c>
      <c r="E827" t="inlineStr">
        <is>
          <t>STRÖMSUND</t>
        </is>
      </c>
      <c r="G827" t="n">
        <v>1.9</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45972</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45972</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9370-2022</t>
        </is>
      </c>
      <c r="B830" s="1" t="n">
        <v>44616.61001157408</v>
      </c>
      <c r="C830" s="1" t="n">
        <v>45972</v>
      </c>
      <c r="D830" t="inlineStr">
        <is>
          <t>JÄMTLANDS LÄN</t>
        </is>
      </c>
      <c r="E830" t="inlineStr">
        <is>
          <t>STRÖMSUND</t>
        </is>
      </c>
      <c r="G830" t="n">
        <v>3</v>
      </c>
      <c r="H830" t="n">
        <v>0</v>
      </c>
      <c r="I830" t="n">
        <v>0</v>
      </c>
      <c r="J830" t="n">
        <v>0</v>
      </c>
      <c r="K830" t="n">
        <v>0</v>
      </c>
      <c r="L830" t="n">
        <v>0</v>
      </c>
      <c r="M830" t="n">
        <v>0</v>
      </c>
      <c r="N830" t="n">
        <v>0</v>
      </c>
      <c r="O830" t="n">
        <v>0</v>
      </c>
      <c r="P830" t="n">
        <v>0</v>
      </c>
      <c r="Q830" t="n">
        <v>0</v>
      </c>
      <c r="R830" s="2" t="inlineStr"/>
    </row>
    <row r="831" ht="15" customHeight="1">
      <c r="A831" t="inlineStr">
        <is>
          <t>A 14147-2021</t>
        </is>
      </c>
      <c r="B831" s="1" t="n">
        <v>44278</v>
      </c>
      <c r="C831" s="1" t="n">
        <v>45972</v>
      </c>
      <c r="D831" t="inlineStr">
        <is>
          <t>JÄMTLANDS LÄN</t>
        </is>
      </c>
      <c r="E831" t="inlineStr">
        <is>
          <t>STRÖMSUND</t>
        </is>
      </c>
      <c r="G831" t="n">
        <v>3.9</v>
      </c>
      <c r="H831" t="n">
        <v>0</v>
      </c>
      <c r="I831" t="n">
        <v>0</v>
      </c>
      <c r="J831" t="n">
        <v>0</v>
      </c>
      <c r="K831" t="n">
        <v>0</v>
      </c>
      <c r="L831" t="n">
        <v>0</v>
      </c>
      <c r="M831" t="n">
        <v>0</v>
      </c>
      <c r="N831" t="n">
        <v>0</v>
      </c>
      <c r="O831" t="n">
        <v>0</v>
      </c>
      <c r="P831" t="n">
        <v>0</v>
      </c>
      <c r="Q831" t="n">
        <v>0</v>
      </c>
      <c r="R831" s="2" t="inlineStr"/>
    </row>
    <row r="832" ht="15" customHeight="1">
      <c r="A832" t="inlineStr">
        <is>
          <t>A 15650-2021</t>
        </is>
      </c>
      <c r="B832" s="1" t="n">
        <v>44285</v>
      </c>
      <c r="C832" s="1" t="n">
        <v>45972</v>
      </c>
      <c r="D832" t="inlineStr">
        <is>
          <t>JÄMTLANDS LÄN</t>
        </is>
      </c>
      <c r="E832" t="inlineStr">
        <is>
          <t>STRÖMSUND</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61363-2024</t>
        </is>
      </c>
      <c r="B833" s="1" t="n">
        <v>45646.38584490741</v>
      </c>
      <c r="C833" s="1" t="n">
        <v>45972</v>
      </c>
      <c r="D833" t="inlineStr">
        <is>
          <t>JÄMTLANDS LÄN</t>
        </is>
      </c>
      <c r="E833" t="inlineStr">
        <is>
          <t>STRÖMSUND</t>
        </is>
      </c>
      <c r="F833" t="inlineStr">
        <is>
          <t>SCA</t>
        </is>
      </c>
      <c r="G833" t="n">
        <v>9.1</v>
      </c>
      <c r="H833" t="n">
        <v>0</v>
      </c>
      <c r="I833" t="n">
        <v>0</v>
      </c>
      <c r="J833" t="n">
        <v>0</v>
      </c>
      <c r="K833" t="n">
        <v>0</v>
      </c>
      <c r="L833" t="n">
        <v>0</v>
      </c>
      <c r="M833" t="n">
        <v>0</v>
      </c>
      <c r="N833" t="n">
        <v>0</v>
      </c>
      <c r="O833" t="n">
        <v>0</v>
      </c>
      <c r="P833" t="n">
        <v>0</v>
      </c>
      <c r="Q833" t="n">
        <v>0</v>
      </c>
      <c r="R833" s="2" t="inlineStr"/>
    </row>
    <row r="834" ht="15" customHeight="1">
      <c r="A834" t="inlineStr">
        <is>
          <t>A 60002-2022</t>
        </is>
      </c>
      <c r="B834" s="1" t="n">
        <v>44909</v>
      </c>
      <c r="C834" s="1" t="n">
        <v>45972</v>
      </c>
      <c r="D834" t="inlineStr">
        <is>
          <t>JÄMTLANDS LÄN</t>
        </is>
      </c>
      <c r="E834" t="inlineStr">
        <is>
          <t>STRÖMSUND</t>
        </is>
      </c>
      <c r="G834" t="n">
        <v>1.8</v>
      </c>
      <c r="H834" t="n">
        <v>0</v>
      </c>
      <c r="I834" t="n">
        <v>0</v>
      </c>
      <c r="J834" t="n">
        <v>0</v>
      </c>
      <c r="K834" t="n">
        <v>0</v>
      </c>
      <c r="L834" t="n">
        <v>0</v>
      </c>
      <c r="M834" t="n">
        <v>0</v>
      </c>
      <c r="N834" t="n">
        <v>0</v>
      </c>
      <c r="O834" t="n">
        <v>0</v>
      </c>
      <c r="P834" t="n">
        <v>0</v>
      </c>
      <c r="Q834" t="n">
        <v>0</v>
      </c>
      <c r="R834" s="2" t="inlineStr"/>
    </row>
    <row r="835" ht="15" customHeight="1">
      <c r="A835" t="inlineStr">
        <is>
          <t>A 7135-2025</t>
        </is>
      </c>
      <c r="B835" s="1" t="n">
        <v>45702.36494212963</v>
      </c>
      <c r="C835" s="1" t="n">
        <v>45972</v>
      </c>
      <c r="D835" t="inlineStr">
        <is>
          <t>JÄMTLANDS LÄN</t>
        </is>
      </c>
      <c r="E835" t="inlineStr">
        <is>
          <t>STRÖMSUND</t>
        </is>
      </c>
      <c r="F835" t="inlineStr">
        <is>
          <t>SCA</t>
        </is>
      </c>
      <c r="G835" t="n">
        <v>32.9</v>
      </c>
      <c r="H835" t="n">
        <v>0</v>
      </c>
      <c r="I835" t="n">
        <v>0</v>
      </c>
      <c r="J835" t="n">
        <v>0</v>
      </c>
      <c r="K835" t="n">
        <v>0</v>
      </c>
      <c r="L835" t="n">
        <v>0</v>
      </c>
      <c r="M835" t="n">
        <v>0</v>
      </c>
      <c r="N835" t="n">
        <v>0</v>
      </c>
      <c r="O835" t="n">
        <v>0</v>
      </c>
      <c r="P835" t="n">
        <v>0</v>
      </c>
      <c r="Q835" t="n">
        <v>0</v>
      </c>
      <c r="R835" s="2" t="inlineStr"/>
    </row>
    <row r="836" ht="15" customHeight="1">
      <c r="A836" t="inlineStr">
        <is>
          <t>A 41939-2024</t>
        </is>
      </c>
      <c r="B836" s="1" t="n">
        <v>45561.57342592593</v>
      </c>
      <c r="C836" s="1" t="n">
        <v>45972</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11930-2025</t>
        </is>
      </c>
      <c r="B837" s="1" t="n">
        <v>45728.5209375</v>
      </c>
      <c r="C837" s="1" t="n">
        <v>45972</v>
      </c>
      <c r="D837" t="inlineStr">
        <is>
          <t>JÄMTLANDS LÄN</t>
        </is>
      </c>
      <c r="E837" t="inlineStr">
        <is>
          <t>STRÖMSUND</t>
        </is>
      </c>
      <c r="G837" t="n">
        <v>5.8</v>
      </c>
      <c r="H837" t="n">
        <v>0</v>
      </c>
      <c r="I837" t="n">
        <v>0</v>
      </c>
      <c r="J837" t="n">
        <v>0</v>
      </c>
      <c r="K837" t="n">
        <v>0</v>
      </c>
      <c r="L837" t="n">
        <v>0</v>
      </c>
      <c r="M837" t="n">
        <v>0</v>
      </c>
      <c r="N837" t="n">
        <v>0</v>
      </c>
      <c r="O837" t="n">
        <v>0</v>
      </c>
      <c r="P837" t="n">
        <v>0</v>
      </c>
      <c r="Q837" t="n">
        <v>0</v>
      </c>
      <c r="R837" s="2" t="inlineStr"/>
    </row>
    <row r="838" ht="15" customHeight="1">
      <c r="A838" t="inlineStr">
        <is>
          <t>A 5451-2024</t>
        </is>
      </c>
      <c r="B838" s="1" t="n">
        <v>45331.95231481481</v>
      </c>
      <c r="C838" s="1" t="n">
        <v>45972</v>
      </c>
      <c r="D838" t="inlineStr">
        <is>
          <t>JÄMTLANDS LÄN</t>
        </is>
      </c>
      <c r="E838" t="inlineStr">
        <is>
          <t>STRÖMSUND</t>
        </is>
      </c>
      <c r="F838" t="inlineStr">
        <is>
          <t>SCA</t>
        </is>
      </c>
      <c r="G838" t="n">
        <v>13.5</v>
      </c>
      <c r="H838" t="n">
        <v>0</v>
      </c>
      <c r="I838" t="n">
        <v>0</v>
      </c>
      <c r="J838" t="n">
        <v>0</v>
      </c>
      <c r="K838" t="n">
        <v>0</v>
      </c>
      <c r="L838" t="n">
        <v>0</v>
      </c>
      <c r="M838" t="n">
        <v>0</v>
      </c>
      <c r="N838" t="n">
        <v>0</v>
      </c>
      <c r="O838" t="n">
        <v>0</v>
      </c>
      <c r="P838" t="n">
        <v>0</v>
      </c>
      <c r="Q838" t="n">
        <v>0</v>
      </c>
      <c r="R838" s="2" t="inlineStr"/>
    </row>
    <row r="839" ht="15" customHeight="1">
      <c r="A839" t="inlineStr">
        <is>
          <t>A 56507-2024</t>
        </is>
      </c>
      <c r="B839" s="1" t="n">
        <v>45625.51142361111</v>
      </c>
      <c r="C839" s="1" t="n">
        <v>45972</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56514-2024</t>
        </is>
      </c>
      <c r="B840" s="1" t="n">
        <v>45625.53173611111</v>
      </c>
      <c r="C840" s="1" t="n">
        <v>45972</v>
      </c>
      <c r="D840" t="inlineStr">
        <is>
          <t>JÄMTLANDS LÄN</t>
        </is>
      </c>
      <c r="E840" t="inlineStr">
        <is>
          <t>STRÖMSUND</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6112-2024</t>
        </is>
      </c>
      <c r="B841" s="1" t="n">
        <v>45337.39020833333</v>
      </c>
      <c r="C841" s="1" t="n">
        <v>45972</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40840-2022</t>
        </is>
      </c>
      <c r="B842" s="1" t="n">
        <v>44824</v>
      </c>
      <c r="C842" s="1" t="n">
        <v>45972</v>
      </c>
      <c r="D842" t="inlineStr">
        <is>
          <t>JÄMTLANDS LÄN</t>
        </is>
      </c>
      <c r="E842" t="inlineStr">
        <is>
          <t>STRÖMSUND</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14978-2024</t>
        </is>
      </c>
      <c r="B843" s="1" t="n">
        <v>45398.9412962963</v>
      </c>
      <c r="C843" s="1" t="n">
        <v>45972</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57415-2023</t>
        </is>
      </c>
      <c r="B844" s="1" t="n">
        <v>45245.96947916667</v>
      </c>
      <c r="C844" s="1" t="n">
        <v>45972</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56484-2023</t>
        </is>
      </c>
      <c r="B845" s="1" t="n">
        <v>45237</v>
      </c>
      <c r="C845" s="1" t="n">
        <v>45972</v>
      </c>
      <c r="D845" t="inlineStr">
        <is>
          <t>JÄMTLANDS LÄN</t>
        </is>
      </c>
      <c r="E845" t="inlineStr">
        <is>
          <t>STRÖMSUND</t>
        </is>
      </c>
      <c r="G845" t="n">
        <v>0.3</v>
      </c>
      <c r="H845" t="n">
        <v>0</v>
      </c>
      <c r="I845" t="n">
        <v>0</v>
      </c>
      <c r="J845" t="n">
        <v>0</v>
      </c>
      <c r="K845" t="n">
        <v>0</v>
      </c>
      <c r="L845" t="n">
        <v>0</v>
      </c>
      <c r="M845" t="n">
        <v>0</v>
      </c>
      <c r="N845" t="n">
        <v>0</v>
      </c>
      <c r="O845" t="n">
        <v>0</v>
      </c>
      <c r="P845" t="n">
        <v>0</v>
      </c>
      <c r="Q845" t="n">
        <v>0</v>
      </c>
      <c r="R845" s="2" t="inlineStr"/>
    </row>
    <row r="846" ht="15" customHeight="1">
      <c r="A846" t="inlineStr">
        <is>
          <t>A 44642-2023</t>
        </is>
      </c>
      <c r="B846" s="1" t="n">
        <v>45184</v>
      </c>
      <c r="C846" s="1" t="n">
        <v>45972</v>
      </c>
      <c r="D846" t="inlineStr">
        <is>
          <t>JÄMTLANDS LÄN</t>
        </is>
      </c>
      <c r="E846" t="inlineStr">
        <is>
          <t>STRÖMSUND</t>
        </is>
      </c>
      <c r="G846" t="n">
        <v>3.2</v>
      </c>
      <c r="H846" t="n">
        <v>0</v>
      </c>
      <c r="I846" t="n">
        <v>0</v>
      </c>
      <c r="J846" t="n">
        <v>0</v>
      </c>
      <c r="K846" t="n">
        <v>0</v>
      </c>
      <c r="L846" t="n">
        <v>0</v>
      </c>
      <c r="M846" t="n">
        <v>0</v>
      </c>
      <c r="N846" t="n">
        <v>0</v>
      </c>
      <c r="O846" t="n">
        <v>0</v>
      </c>
      <c r="P846" t="n">
        <v>0</v>
      </c>
      <c r="Q846" t="n">
        <v>0</v>
      </c>
      <c r="R846" s="2" t="inlineStr"/>
    </row>
    <row r="847" ht="15" customHeight="1">
      <c r="A847" t="inlineStr">
        <is>
          <t>A 58813-2024</t>
        </is>
      </c>
      <c r="B847" s="1" t="n">
        <v>45636.34748842593</v>
      </c>
      <c r="C847" s="1" t="n">
        <v>45972</v>
      </c>
      <c r="D847" t="inlineStr">
        <is>
          <t>JÄMTLANDS LÄN</t>
        </is>
      </c>
      <c r="E847" t="inlineStr">
        <is>
          <t>STRÖMSUND</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40398-2023</t>
        </is>
      </c>
      <c r="B848" s="1" t="n">
        <v>45169.93782407408</v>
      </c>
      <c r="C848" s="1" t="n">
        <v>45972</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11578-2022</t>
        </is>
      </c>
      <c r="B849" s="1" t="n">
        <v>44631</v>
      </c>
      <c r="C849" s="1" t="n">
        <v>45972</v>
      </c>
      <c r="D849" t="inlineStr">
        <is>
          <t>JÄMTLANDS LÄN</t>
        </is>
      </c>
      <c r="E849" t="inlineStr">
        <is>
          <t>STRÖMSUND</t>
        </is>
      </c>
      <c r="G849" t="n">
        <v>9.9</v>
      </c>
      <c r="H849" t="n">
        <v>0</v>
      </c>
      <c r="I849" t="n">
        <v>0</v>
      </c>
      <c r="J849" t="n">
        <v>0</v>
      </c>
      <c r="K849" t="n">
        <v>0</v>
      </c>
      <c r="L849" t="n">
        <v>0</v>
      </c>
      <c r="M849" t="n">
        <v>0</v>
      </c>
      <c r="N849" t="n">
        <v>0</v>
      </c>
      <c r="O849" t="n">
        <v>0</v>
      </c>
      <c r="P849" t="n">
        <v>0</v>
      </c>
      <c r="Q849" t="n">
        <v>0</v>
      </c>
      <c r="R849" s="2" t="inlineStr"/>
    </row>
    <row r="850" ht="15" customHeight="1">
      <c r="A850" t="inlineStr">
        <is>
          <t>A 39051-2023</t>
        </is>
      </c>
      <c r="B850" s="1" t="n">
        <v>45163</v>
      </c>
      <c r="C850" s="1" t="n">
        <v>45972</v>
      </c>
      <c r="D850" t="inlineStr">
        <is>
          <t>JÄMTLANDS LÄN</t>
        </is>
      </c>
      <c r="E850" t="inlineStr">
        <is>
          <t>STRÖMSUND</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43558-2023</t>
        </is>
      </c>
      <c r="B851" s="1" t="n">
        <v>45181</v>
      </c>
      <c r="C851" s="1" t="n">
        <v>45972</v>
      </c>
      <c r="D851" t="inlineStr">
        <is>
          <t>JÄMTLANDS LÄN</t>
        </is>
      </c>
      <c r="E851" t="inlineStr">
        <is>
          <t>STRÖMSUND</t>
        </is>
      </c>
      <c r="G851" t="n">
        <v>1.5</v>
      </c>
      <c r="H851" t="n">
        <v>0</v>
      </c>
      <c r="I851" t="n">
        <v>0</v>
      </c>
      <c r="J851" t="n">
        <v>0</v>
      </c>
      <c r="K851" t="n">
        <v>0</v>
      </c>
      <c r="L851" t="n">
        <v>0</v>
      </c>
      <c r="M851" t="n">
        <v>0</v>
      </c>
      <c r="N851" t="n">
        <v>0</v>
      </c>
      <c r="O851" t="n">
        <v>0</v>
      </c>
      <c r="P851" t="n">
        <v>0</v>
      </c>
      <c r="Q851" t="n">
        <v>0</v>
      </c>
      <c r="R851" s="2" t="inlineStr"/>
    </row>
    <row r="852" ht="15" customHeight="1">
      <c r="A852" t="inlineStr">
        <is>
          <t>A 43565-2023</t>
        </is>
      </c>
      <c r="B852" s="1" t="n">
        <v>45181</v>
      </c>
      <c r="C852" s="1" t="n">
        <v>45972</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40351-2024</t>
        </is>
      </c>
      <c r="B853" s="1" t="n">
        <v>45555.36487268518</v>
      </c>
      <c r="C853" s="1" t="n">
        <v>45972</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35375-2022</t>
        </is>
      </c>
      <c r="B854" s="1" t="n">
        <v>44798</v>
      </c>
      <c r="C854" s="1" t="n">
        <v>45972</v>
      </c>
      <c r="D854" t="inlineStr">
        <is>
          <t>JÄMTLANDS LÄN</t>
        </is>
      </c>
      <c r="E854" t="inlineStr">
        <is>
          <t>STRÖMSUND</t>
        </is>
      </c>
      <c r="F854" t="inlineStr">
        <is>
          <t>Kommuner</t>
        </is>
      </c>
      <c r="G854" t="n">
        <v>3.9</v>
      </c>
      <c r="H854" t="n">
        <v>0</v>
      </c>
      <c r="I854" t="n">
        <v>0</v>
      </c>
      <c r="J854" t="n">
        <v>0</v>
      </c>
      <c r="K854" t="n">
        <v>0</v>
      </c>
      <c r="L854" t="n">
        <v>0</v>
      </c>
      <c r="M854" t="n">
        <v>0</v>
      </c>
      <c r="N854" t="n">
        <v>0</v>
      </c>
      <c r="O854" t="n">
        <v>0</v>
      </c>
      <c r="P854" t="n">
        <v>0</v>
      </c>
      <c r="Q854" t="n">
        <v>0</v>
      </c>
      <c r="R854" s="2" t="inlineStr"/>
    </row>
    <row r="855" ht="15" customHeight="1">
      <c r="A855" t="inlineStr">
        <is>
          <t>A 19346-2024</t>
        </is>
      </c>
      <c r="B855" s="1" t="n">
        <v>45428.97195601852</v>
      </c>
      <c r="C855" s="1" t="n">
        <v>45972</v>
      </c>
      <c r="D855" t="inlineStr">
        <is>
          <t>JÄMTLANDS LÄN</t>
        </is>
      </c>
      <c r="E855" t="inlineStr">
        <is>
          <t>STRÖMSUND</t>
        </is>
      </c>
      <c r="G855" t="n">
        <v>3.5</v>
      </c>
      <c r="H855" t="n">
        <v>0</v>
      </c>
      <c r="I855" t="n">
        <v>0</v>
      </c>
      <c r="J855" t="n">
        <v>0</v>
      </c>
      <c r="K855" t="n">
        <v>0</v>
      </c>
      <c r="L855" t="n">
        <v>0</v>
      </c>
      <c r="M855" t="n">
        <v>0</v>
      </c>
      <c r="N855" t="n">
        <v>0</v>
      </c>
      <c r="O855" t="n">
        <v>0</v>
      </c>
      <c r="P855" t="n">
        <v>0</v>
      </c>
      <c r="Q855" t="n">
        <v>0</v>
      </c>
      <c r="R855" s="2" t="inlineStr"/>
    </row>
    <row r="856" ht="15" customHeight="1">
      <c r="A856" t="inlineStr">
        <is>
          <t>A 38541-2025</t>
        </is>
      </c>
      <c r="B856" s="1" t="n">
        <v>45884.42788194444</v>
      </c>
      <c r="C856" s="1" t="n">
        <v>45972</v>
      </c>
      <c r="D856" t="inlineStr">
        <is>
          <t>JÄMTLANDS LÄN</t>
        </is>
      </c>
      <c r="E856" t="inlineStr">
        <is>
          <t>STRÖMSUND</t>
        </is>
      </c>
      <c r="G856" t="n">
        <v>4</v>
      </c>
      <c r="H856" t="n">
        <v>0</v>
      </c>
      <c r="I856" t="n">
        <v>0</v>
      </c>
      <c r="J856" t="n">
        <v>0</v>
      </c>
      <c r="K856" t="n">
        <v>0</v>
      </c>
      <c r="L856" t="n">
        <v>0</v>
      </c>
      <c r="M856" t="n">
        <v>0</v>
      </c>
      <c r="N856" t="n">
        <v>0</v>
      </c>
      <c r="O856" t="n">
        <v>0</v>
      </c>
      <c r="P856" t="n">
        <v>0</v>
      </c>
      <c r="Q856" t="n">
        <v>0</v>
      </c>
      <c r="R856" s="2" t="inlineStr"/>
    </row>
    <row r="857" ht="15" customHeight="1">
      <c r="A857" t="inlineStr">
        <is>
          <t>A 19556-2021</t>
        </is>
      </c>
      <c r="B857" s="1" t="n">
        <v>44312</v>
      </c>
      <c r="C857" s="1" t="n">
        <v>45972</v>
      </c>
      <c r="D857" t="inlineStr">
        <is>
          <t>JÄMTLANDS LÄN</t>
        </is>
      </c>
      <c r="E857" t="inlineStr">
        <is>
          <t>STRÖMSUND</t>
        </is>
      </c>
      <c r="G857" t="n">
        <v>2.1</v>
      </c>
      <c r="H857" t="n">
        <v>0</v>
      </c>
      <c r="I857" t="n">
        <v>0</v>
      </c>
      <c r="J857" t="n">
        <v>0</v>
      </c>
      <c r="K857" t="n">
        <v>0</v>
      </c>
      <c r="L857" t="n">
        <v>0</v>
      </c>
      <c r="M857" t="n">
        <v>0</v>
      </c>
      <c r="N857" t="n">
        <v>0</v>
      </c>
      <c r="O857" t="n">
        <v>0</v>
      </c>
      <c r="P857" t="n">
        <v>0</v>
      </c>
      <c r="Q857" t="n">
        <v>0</v>
      </c>
      <c r="R857" s="2" t="inlineStr"/>
    </row>
    <row r="858" ht="15" customHeight="1">
      <c r="A858" t="inlineStr">
        <is>
          <t>A 108-2021</t>
        </is>
      </c>
      <c r="B858" s="1" t="n">
        <v>44195</v>
      </c>
      <c r="C858" s="1" t="n">
        <v>45972</v>
      </c>
      <c r="D858" t="inlineStr">
        <is>
          <t>JÄMTLANDS LÄN</t>
        </is>
      </c>
      <c r="E858" t="inlineStr">
        <is>
          <t>STRÖMSUND</t>
        </is>
      </c>
      <c r="G858" t="n">
        <v>3.3</v>
      </c>
      <c r="H858" t="n">
        <v>0</v>
      </c>
      <c r="I858" t="n">
        <v>0</v>
      </c>
      <c r="J858" t="n">
        <v>0</v>
      </c>
      <c r="K858" t="n">
        <v>0</v>
      </c>
      <c r="L858" t="n">
        <v>0</v>
      </c>
      <c r="M858" t="n">
        <v>0</v>
      </c>
      <c r="N858" t="n">
        <v>0</v>
      </c>
      <c r="O858" t="n">
        <v>0</v>
      </c>
      <c r="P858" t="n">
        <v>0</v>
      </c>
      <c r="Q858" t="n">
        <v>0</v>
      </c>
      <c r="R858" s="2" t="inlineStr"/>
    </row>
    <row r="859" ht="15" customHeight="1">
      <c r="A859" t="inlineStr">
        <is>
          <t>A 51404-2024</t>
        </is>
      </c>
      <c r="B859" s="1" t="n">
        <v>45604.42777777778</v>
      </c>
      <c r="C859" s="1" t="n">
        <v>45972</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57021-2022</t>
        </is>
      </c>
      <c r="B860" s="1" t="n">
        <v>44894.95893518518</v>
      </c>
      <c r="C860" s="1" t="n">
        <v>45972</v>
      </c>
      <c r="D860" t="inlineStr">
        <is>
          <t>JÄMTLANDS LÄN</t>
        </is>
      </c>
      <c r="E860" t="inlineStr">
        <is>
          <t>STRÖMSUND</t>
        </is>
      </c>
      <c r="G860" t="n">
        <v>3.4</v>
      </c>
      <c r="H860" t="n">
        <v>0</v>
      </c>
      <c r="I860" t="n">
        <v>0</v>
      </c>
      <c r="J860" t="n">
        <v>0</v>
      </c>
      <c r="K860" t="n">
        <v>0</v>
      </c>
      <c r="L860" t="n">
        <v>0</v>
      </c>
      <c r="M860" t="n">
        <v>0</v>
      </c>
      <c r="N860" t="n">
        <v>0</v>
      </c>
      <c r="O860" t="n">
        <v>0</v>
      </c>
      <c r="P860" t="n">
        <v>0</v>
      </c>
      <c r="Q860" t="n">
        <v>0</v>
      </c>
      <c r="R860" s="2" t="inlineStr"/>
    </row>
    <row r="861" ht="15" customHeight="1">
      <c r="A861" t="inlineStr">
        <is>
          <t>A 26665-2024</t>
        </is>
      </c>
      <c r="B861" s="1" t="n">
        <v>45469.95024305556</v>
      </c>
      <c r="C861" s="1" t="n">
        <v>45972</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38221-2025</t>
        </is>
      </c>
      <c r="B862" s="1" t="n">
        <v>45883.34436342592</v>
      </c>
      <c r="C862" s="1" t="n">
        <v>45972</v>
      </c>
      <c r="D862" t="inlineStr">
        <is>
          <t>JÄMTLANDS LÄN</t>
        </is>
      </c>
      <c r="E862" t="inlineStr">
        <is>
          <t>STRÖMSUND</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34920-2022</t>
        </is>
      </c>
      <c r="B863" s="1" t="n">
        <v>44796</v>
      </c>
      <c r="C863" s="1" t="n">
        <v>45972</v>
      </c>
      <c r="D863" t="inlineStr">
        <is>
          <t>JÄMTLANDS LÄN</t>
        </is>
      </c>
      <c r="E863" t="inlineStr">
        <is>
          <t>STRÖMSUND</t>
        </is>
      </c>
      <c r="G863" t="n">
        <v>1.8</v>
      </c>
      <c r="H863" t="n">
        <v>0</v>
      </c>
      <c r="I863" t="n">
        <v>0</v>
      </c>
      <c r="J863" t="n">
        <v>0</v>
      </c>
      <c r="K863" t="n">
        <v>0</v>
      </c>
      <c r="L863" t="n">
        <v>0</v>
      </c>
      <c r="M863" t="n">
        <v>0</v>
      </c>
      <c r="N863" t="n">
        <v>0</v>
      </c>
      <c r="O863" t="n">
        <v>0</v>
      </c>
      <c r="P863" t="n">
        <v>0</v>
      </c>
      <c r="Q863" t="n">
        <v>0</v>
      </c>
      <c r="R863" s="2" t="inlineStr"/>
    </row>
    <row r="864" ht="15" customHeight="1">
      <c r="A864" t="inlineStr">
        <is>
          <t>A 27160-2021</t>
        </is>
      </c>
      <c r="B864" s="1" t="n">
        <v>44350</v>
      </c>
      <c r="C864" s="1" t="n">
        <v>45972</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38622-2025</t>
        </is>
      </c>
      <c r="B865" s="1" t="n">
        <v>45884.55321759259</v>
      </c>
      <c r="C865" s="1" t="n">
        <v>45972</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58729-2022</t>
        </is>
      </c>
      <c r="B866" s="1" t="n">
        <v>44902.95266203704</v>
      </c>
      <c r="C866" s="1" t="n">
        <v>45972</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35385-2023</t>
        </is>
      </c>
      <c r="B867" s="1" t="n">
        <v>45145</v>
      </c>
      <c r="C867" s="1" t="n">
        <v>45972</v>
      </c>
      <c r="D867" t="inlineStr">
        <is>
          <t>JÄMTLANDS LÄN</t>
        </is>
      </c>
      <c r="E867" t="inlineStr">
        <is>
          <t>STRÖMSUND</t>
        </is>
      </c>
      <c r="G867" t="n">
        <v>29.8</v>
      </c>
      <c r="H867" t="n">
        <v>0</v>
      </c>
      <c r="I867" t="n">
        <v>0</v>
      </c>
      <c r="J867" t="n">
        <v>0</v>
      </c>
      <c r="K867" t="n">
        <v>0</v>
      </c>
      <c r="L867" t="n">
        <v>0</v>
      </c>
      <c r="M867" t="n">
        <v>0</v>
      </c>
      <c r="N867" t="n">
        <v>0</v>
      </c>
      <c r="O867" t="n">
        <v>0</v>
      </c>
      <c r="P867" t="n">
        <v>0</v>
      </c>
      <c r="Q867" t="n">
        <v>0</v>
      </c>
      <c r="R867" s="2" t="inlineStr"/>
    </row>
    <row r="868" ht="15" customHeight="1">
      <c r="A868" t="inlineStr">
        <is>
          <t>A 31846-2022</t>
        </is>
      </c>
      <c r="B868" s="1" t="n">
        <v>44776.94175925926</v>
      </c>
      <c r="C868" s="1" t="n">
        <v>45972</v>
      </c>
      <c r="D868" t="inlineStr">
        <is>
          <t>JÄMTLANDS LÄN</t>
        </is>
      </c>
      <c r="E868" t="inlineStr">
        <is>
          <t>STRÖMSUND</t>
        </is>
      </c>
      <c r="F868" t="inlineStr">
        <is>
          <t>SCA</t>
        </is>
      </c>
      <c r="G868" t="n">
        <v>19.1</v>
      </c>
      <c r="H868" t="n">
        <v>0</v>
      </c>
      <c r="I868" t="n">
        <v>0</v>
      </c>
      <c r="J868" t="n">
        <v>0</v>
      </c>
      <c r="K868" t="n">
        <v>0</v>
      </c>
      <c r="L868" t="n">
        <v>0</v>
      </c>
      <c r="M868" t="n">
        <v>0</v>
      </c>
      <c r="N868" t="n">
        <v>0</v>
      </c>
      <c r="O868" t="n">
        <v>0</v>
      </c>
      <c r="P868" t="n">
        <v>0</v>
      </c>
      <c r="Q868" t="n">
        <v>0</v>
      </c>
      <c r="R868" s="2" t="inlineStr"/>
    </row>
    <row r="869" ht="15" customHeight="1">
      <c r="A869" t="inlineStr">
        <is>
          <t>A 44010-2024</t>
        </is>
      </c>
      <c r="B869" s="1" t="n">
        <v>45572.5531712963</v>
      </c>
      <c r="C869" s="1" t="n">
        <v>45972</v>
      </c>
      <c r="D869" t="inlineStr">
        <is>
          <t>JÄMTLANDS LÄN</t>
        </is>
      </c>
      <c r="E869" t="inlineStr">
        <is>
          <t>STRÖMSUND</t>
        </is>
      </c>
      <c r="G869" t="n">
        <v>0.6</v>
      </c>
      <c r="H869" t="n">
        <v>0</v>
      </c>
      <c r="I869" t="n">
        <v>0</v>
      </c>
      <c r="J869" t="n">
        <v>0</v>
      </c>
      <c r="K869" t="n">
        <v>0</v>
      </c>
      <c r="L869" t="n">
        <v>0</v>
      </c>
      <c r="M869" t="n">
        <v>0</v>
      </c>
      <c r="N869" t="n">
        <v>0</v>
      </c>
      <c r="O869" t="n">
        <v>0</v>
      </c>
      <c r="P869" t="n">
        <v>0</v>
      </c>
      <c r="Q869" t="n">
        <v>0</v>
      </c>
      <c r="R869" s="2" t="inlineStr"/>
    </row>
    <row r="870" ht="15" customHeight="1">
      <c r="A870" t="inlineStr">
        <is>
          <t>A 32873-2023</t>
        </is>
      </c>
      <c r="B870" s="1" t="n">
        <v>45112</v>
      </c>
      <c r="C870" s="1" t="n">
        <v>45972</v>
      </c>
      <c r="D870" t="inlineStr">
        <is>
          <t>JÄMTLANDS LÄN</t>
        </is>
      </c>
      <c r="E870" t="inlineStr">
        <is>
          <t>STRÖMSUND</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32883-2023</t>
        </is>
      </c>
      <c r="B871" s="1" t="n">
        <v>45112</v>
      </c>
      <c r="C871" s="1" t="n">
        <v>45972</v>
      </c>
      <c r="D871" t="inlineStr">
        <is>
          <t>JÄMTLANDS LÄN</t>
        </is>
      </c>
      <c r="E871" t="inlineStr">
        <is>
          <t>STRÖMSUND</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32884-2023</t>
        </is>
      </c>
      <c r="B872" s="1" t="n">
        <v>45112</v>
      </c>
      <c r="C872" s="1" t="n">
        <v>45972</v>
      </c>
      <c r="D872" t="inlineStr">
        <is>
          <t>JÄMTLANDS LÄN</t>
        </is>
      </c>
      <c r="E872" t="inlineStr">
        <is>
          <t>STRÖMSUND</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5627-2025</t>
        </is>
      </c>
      <c r="B873" s="1" t="n">
        <v>45693.64836805555</v>
      </c>
      <c r="C873" s="1" t="n">
        <v>45972</v>
      </c>
      <c r="D873" t="inlineStr">
        <is>
          <t>JÄMTLANDS LÄN</t>
        </is>
      </c>
      <c r="E873" t="inlineStr">
        <is>
          <t>STRÖMSUND</t>
        </is>
      </c>
      <c r="G873" t="n">
        <v>5.6</v>
      </c>
      <c r="H873" t="n">
        <v>0</v>
      </c>
      <c r="I873" t="n">
        <v>0</v>
      </c>
      <c r="J873" t="n">
        <v>0</v>
      </c>
      <c r="K873" t="n">
        <v>0</v>
      </c>
      <c r="L873" t="n">
        <v>0</v>
      </c>
      <c r="M873" t="n">
        <v>0</v>
      </c>
      <c r="N873" t="n">
        <v>0</v>
      </c>
      <c r="O873" t="n">
        <v>0</v>
      </c>
      <c r="P873" t="n">
        <v>0</v>
      </c>
      <c r="Q873" t="n">
        <v>0</v>
      </c>
      <c r="R873" s="2" t="inlineStr"/>
    </row>
    <row r="874" ht="15" customHeight="1">
      <c r="A874" t="inlineStr">
        <is>
          <t>A 43326-2024</t>
        </is>
      </c>
      <c r="B874" s="1" t="n">
        <v>45568.47420138889</v>
      </c>
      <c r="C874" s="1" t="n">
        <v>45972</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38149-2025</t>
        </is>
      </c>
      <c r="B875" s="1" t="n">
        <v>45882.59427083333</v>
      </c>
      <c r="C875" s="1" t="n">
        <v>45972</v>
      </c>
      <c r="D875" t="inlineStr">
        <is>
          <t>JÄMTLANDS LÄN</t>
        </is>
      </c>
      <c r="E875" t="inlineStr">
        <is>
          <t>STRÖMSUND</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14070-2025</t>
        </is>
      </c>
      <c r="B876" s="1" t="n">
        <v>45740.42642361111</v>
      </c>
      <c r="C876" s="1" t="n">
        <v>45972</v>
      </c>
      <c r="D876" t="inlineStr">
        <is>
          <t>JÄMTLANDS LÄN</t>
        </is>
      </c>
      <c r="E876" t="inlineStr">
        <is>
          <t>STRÖMSUND</t>
        </is>
      </c>
      <c r="G876" t="n">
        <v>5.8</v>
      </c>
      <c r="H876" t="n">
        <v>0</v>
      </c>
      <c r="I876" t="n">
        <v>0</v>
      </c>
      <c r="J876" t="n">
        <v>0</v>
      </c>
      <c r="K876" t="n">
        <v>0</v>
      </c>
      <c r="L876" t="n">
        <v>0</v>
      </c>
      <c r="M876" t="n">
        <v>0</v>
      </c>
      <c r="N876" t="n">
        <v>0</v>
      </c>
      <c r="O876" t="n">
        <v>0</v>
      </c>
      <c r="P876" t="n">
        <v>0</v>
      </c>
      <c r="Q876" t="n">
        <v>0</v>
      </c>
      <c r="R876" s="2" t="inlineStr"/>
    </row>
    <row r="877" ht="15" customHeight="1">
      <c r="A877" t="inlineStr">
        <is>
          <t>A 24197-2021</t>
        </is>
      </c>
      <c r="B877" s="1" t="n">
        <v>44336</v>
      </c>
      <c r="C877" s="1" t="n">
        <v>45972</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38331-2025</t>
        </is>
      </c>
      <c r="B878" s="1" t="n">
        <v>45883.49135416667</v>
      </c>
      <c r="C878" s="1" t="n">
        <v>45972</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59367-2022</t>
        </is>
      </c>
      <c r="B879" s="1" t="n">
        <v>44904</v>
      </c>
      <c r="C879" s="1" t="n">
        <v>45972</v>
      </c>
      <c r="D879" t="inlineStr">
        <is>
          <t>JÄMTLANDS LÄN</t>
        </is>
      </c>
      <c r="E879" t="inlineStr">
        <is>
          <t>STRÖMSUND</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17158-2025</t>
        </is>
      </c>
      <c r="B880" s="1" t="n">
        <v>45756.34439814815</v>
      </c>
      <c r="C880" s="1" t="n">
        <v>45972</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13686-2023</t>
        </is>
      </c>
      <c r="B881" s="1" t="n">
        <v>45006</v>
      </c>
      <c r="C881" s="1" t="n">
        <v>45972</v>
      </c>
      <c r="D881" t="inlineStr">
        <is>
          <t>JÄMTLANDS LÄN</t>
        </is>
      </c>
      <c r="E881" t="inlineStr">
        <is>
          <t>STRÖMSUND</t>
        </is>
      </c>
      <c r="G881" t="n">
        <v>4.2</v>
      </c>
      <c r="H881" t="n">
        <v>0</v>
      </c>
      <c r="I881" t="n">
        <v>0</v>
      </c>
      <c r="J881" t="n">
        <v>0</v>
      </c>
      <c r="K881" t="n">
        <v>0</v>
      </c>
      <c r="L881" t="n">
        <v>0</v>
      </c>
      <c r="M881" t="n">
        <v>0</v>
      </c>
      <c r="N881" t="n">
        <v>0</v>
      </c>
      <c r="O881" t="n">
        <v>0</v>
      </c>
      <c r="P881" t="n">
        <v>0</v>
      </c>
      <c r="Q881" t="n">
        <v>0</v>
      </c>
      <c r="R881" s="2" t="inlineStr"/>
    </row>
    <row r="882" ht="15" customHeight="1">
      <c r="A882" t="inlineStr">
        <is>
          <t>A 13687-2023</t>
        </is>
      </c>
      <c r="B882" s="1" t="n">
        <v>45006</v>
      </c>
      <c r="C882" s="1" t="n">
        <v>45972</v>
      </c>
      <c r="D882" t="inlineStr">
        <is>
          <t>JÄMTLANDS LÄN</t>
        </is>
      </c>
      <c r="E882" t="inlineStr">
        <is>
          <t>STRÖMSUND</t>
        </is>
      </c>
      <c r="G882" t="n">
        <v>7.1</v>
      </c>
      <c r="H882" t="n">
        <v>0</v>
      </c>
      <c r="I882" t="n">
        <v>0</v>
      </c>
      <c r="J882" t="n">
        <v>0</v>
      </c>
      <c r="K882" t="n">
        <v>0</v>
      </c>
      <c r="L882" t="n">
        <v>0</v>
      </c>
      <c r="M882" t="n">
        <v>0</v>
      </c>
      <c r="N882" t="n">
        <v>0</v>
      </c>
      <c r="O882" t="n">
        <v>0</v>
      </c>
      <c r="P882" t="n">
        <v>0</v>
      </c>
      <c r="Q882" t="n">
        <v>0</v>
      </c>
      <c r="R882" s="2" t="inlineStr"/>
    </row>
    <row r="883" ht="15" customHeight="1">
      <c r="A883" t="inlineStr">
        <is>
          <t>A 14344-2023</t>
        </is>
      </c>
      <c r="B883" s="1" t="n">
        <v>45012</v>
      </c>
      <c r="C883" s="1" t="n">
        <v>45972</v>
      </c>
      <c r="D883" t="inlineStr">
        <is>
          <t>JÄMTLANDS LÄN</t>
        </is>
      </c>
      <c r="E883" t="inlineStr">
        <is>
          <t>STRÖMSUND</t>
        </is>
      </c>
      <c r="G883" t="n">
        <v>0.2</v>
      </c>
      <c r="H883" t="n">
        <v>0</v>
      </c>
      <c r="I883" t="n">
        <v>0</v>
      </c>
      <c r="J883" t="n">
        <v>0</v>
      </c>
      <c r="K883" t="n">
        <v>0</v>
      </c>
      <c r="L883" t="n">
        <v>0</v>
      </c>
      <c r="M883" t="n">
        <v>0</v>
      </c>
      <c r="N883" t="n">
        <v>0</v>
      </c>
      <c r="O883" t="n">
        <v>0</v>
      </c>
      <c r="P883" t="n">
        <v>0</v>
      </c>
      <c r="Q883" t="n">
        <v>0</v>
      </c>
      <c r="R883" s="2" t="inlineStr"/>
    </row>
    <row r="884" ht="15" customHeight="1">
      <c r="A884" t="inlineStr">
        <is>
          <t>A 52392-2023</t>
        </is>
      </c>
      <c r="B884" s="1" t="n">
        <v>45224</v>
      </c>
      <c r="C884" s="1" t="n">
        <v>45972</v>
      </c>
      <c r="D884" t="inlineStr">
        <is>
          <t>JÄMTLANDS LÄN</t>
        </is>
      </c>
      <c r="E884" t="inlineStr">
        <is>
          <t>STRÖMSUND</t>
        </is>
      </c>
      <c r="G884" t="n">
        <v>7.3</v>
      </c>
      <c r="H884" t="n">
        <v>0</v>
      </c>
      <c r="I884" t="n">
        <v>0</v>
      </c>
      <c r="J884" t="n">
        <v>0</v>
      </c>
      <c r="K884" t="n">
        <v>0</v>
      </c>
      <c r="L884" t="n">
        <v>0</v>
      </c>
      <c r="M884" t="n">
        <v>0</v>
      </c>
      <c r="N884" t="n">
        <v>0</v>
      </c>
      <c r="O884" t="n">
        <v>0</v>
      </c>
      <c r="P884" t="n">
        <v>0</v>
      </c>
      <c r="Q884" t="n">
        <v>0</v>
      </c>
      <c r="R884" s="2" t="inlineStr"/>
    </row>
    <row r="885" ht="15" customHeight="1">
      <c r="A885" t="inlineStr">
        <is>
          <t>A 38453-2025</t>
        </is>
      </c>
      <c r="B885" s="1" t="n">
        <v>45883.67828703704</v>
      </c>
      <c r="C885" s="1" t="n">
        <v>45972</v>
      </c>
      <c r="D885" t="inlineStr">
        <is>
          <t>JÄMTLANDS LÄN</t>
        </is>
      </c>
      <c r="E885" t="inlineStr">
        <is>
          <t>STRÖMSUND</t>
        </is>
      </c>
      <c r="F885" t="inlineStr">
        <is>
          <t>SCA</t>
        </is>
      </c>
      <c r="G885" t="n">
        <v>15.1</v>
      </c>
      <c r="H885" t="n">
        <v>0</v>
      </c>
      <c r="I885" t="n">
        <v>0</v>
      </c>
      <c r="J885" t="n">
        <v>0</v>
      </c>
      <c r="K885" t="n">
        <v>0</v>
      </c>
      <c r="L885" t="n">
        <v>0</v>
      </c>
      <c r="M885" t="n">
        <v>0</v>
      </c>
      <c r="N885" t="n">
        <v>0</v>
      </c>
      <c r="O885" t="n">
        <v>0</v>
      </c>
      <c r="P885" t="n">
        <v>0</v>
      </c>
      <c r="Q885" t="n">
        <v>0</v>
      </c>
      <c r="R885" s="2" t="inlineStr"/>
    </row>
    <row r="886" ht="15" customHeight="1">
      <c r="A886" t="inlineStr">
        <is>
          <t>A 44390-2023</t>
        </is>
      </c>
      <c r="B886" s="1" t="n">
        <v>45188.94512731482</v>
      </c>
      <c r="C886" s="1" t="n">
        <v>45972</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647-2021</t>
        </is>
      </c>
      <c r="B887" s="1" t="n">
        <v>44203</v>
      </c>
      <c r="C887" s="1" t="n">
        <v>45972</v>
      </c>
      <c r="D887" t="inlineStr">
        <is>
          <t>JÄMTLANDS LÄN</t>
        </is>
      </c>
      <c r="E887" t="inlineStr">
        <is>
          <t>STRÖMSUND</t>
        </is>
      </c>
      <c r="F887" t="inlineStr">
        <is>
          <t>SCA</t>
        </is>
      </c>
      <c r="G887" t="n">
        <v>151.3</v>
      </c>
      <c r="H887" t="n">
        <v>0</v>
      </c>
      <c r="I887" t="n">
        <v>0</v>
      </c>
      <c r="J887" t="n">
        <v>0</v>
      </c>
      <c r="K887" t="n">
        <v>0</v>
      </c>
      <c r="L887" t="n">
        <v>0</v>
      </c>
      <c r="M887" t="n">
        <v>0</v>
      </c>
      <c r="N887" t="n">
        <v>0</v>
      </c>
      <c r="O887" t="n">
        <v>0</v>
      </c>
      <c r="P887" t="n">
        <v>0</v>
      </c>
      <c r="Q887" t="n">
        <v>0</v>
      </c>
      <c r="R887" s="2" t="inlineStr"/>
    </row>
    <row r="888" ht="15" customHeight="1">
      <c r="A888" t="inlineStr">
        <is>
          <t>A 48543-2022</t>
        </is>
      </c>
      <c r="B888" s="1" t="n">
        <v>44858.95497685186</v>
      </c>
      <c r="C888" s="1" t="n">
        <v>45972</v>
      </c>
      <c r="D888" t="inlineStr">
        <is>
          <t>JÄMTLANDS LÄN</t>
        </is>
      </c>
      <c r="E888" t="inlineStr">
        <is>
          <t>STRÖMSUND</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1126-2025</t>
        </is>
      </c>
      <c r="B889" s="1" t="n">
        <v>45666.67743055556</v>
      </c>
      <c r="C889" s="1" t="n">
        <v>45972</v>
      </c>
      <c r="D889" t="inlineStr">
        <is>
          <t>JÄMTLANDS LÄN</t>
        </is>
      </c>
      <c r="E889" t="inlineStr">
        <is>
          <t>STRÖMSUND</t>
        </is>
      </c>
      <c r="F889" t="inlineStr">
        <is>
          <t>SCA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36500-2024</t>
        </is>
      </c>
      <c r="B890" s="1" t="n">
        <v>45537.40877314815</v>
      </c>
      <c r="C890" s="1" t="n">
        <v>45972</v>
      </c>
      <c r="D890" t="inlineStr">
        <is>
          <t>JÄMTLANDS LÄN</t>
        </is>
      </c>
      <c r="E890" t="inlineStr">
        <is>
          <t>STRÖMSUND</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24214-2024</t>
        </is>
      </c>
      <c r="B891" s="1" t="n">
        <v>45457</v>
      </c>
      <c r="C891" s="1" t="n">
        <v>45972</v>
      </c>
      <c r="D891" t="inlineStr">
        <is>
          <t>JÄMTLANDS LÄN</t>
        </is>
      </c>
      <c r="E891" t="inlineStr">
        <is>
          <t>STRÖMSUND</t>
        </is>
      </c>
      <c r="F891" t="inlineStr">
        <is>
          <t>Holmen skog AB</t>
        </is>
      </c>
      <c r="G891" t="n">
        <v>6.2</v>
      </c>
      <c r="H891" t="n">
        <v>0</v>
      </c>
      <c r="I891" t="n">
        <v>0</v>
      </c>
      <c r="J891" t="n">
        <v>0</v>
      </c>
      <c r="K891" t="n">
        <v>0</v>
      </c>
      <c r="L891" t="n">
        <v>0</v>
      </c>
      <c r="M891" t="n">
        <v>0</v>
      </c>
      <c r="N891" t="n">
        <v>0</v>
      </c>
      <c r="O891" t="n">
        <v>0</v>
      </c>
      <c r="P891" t="n">
        <v>0</v>
      </c>
      <c r="Q891" t="n">
        <v>0</v>
      </c>
      <c r="R891" s="2" t="inlineStr"/>
    </row>
    <row r="892" ht="15" customHeight="1">
      <c r="A892" t="inlineStr">
        <is>
          <t>A 38310-2025</t>
        </is>
      </c>
      <c r="B892" s="1" t="n">
        <v>45883</v>
      </c>
      <c r="C892" s="1" t="n">
        <v>45972</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38323-2025</t>
        </is>
      </c>
      <c r="B893" s="1" t="n">
        <v>45883.49018518518</v>
      </c>
      <c r="C893" s="1" t="n">
        <v>45972</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60801-2021</t>
        </is>
      </c>
      <c r="B894" s="1" t="n">
        <v>44497.29736111111</v>
      </c>
      <c r="C894" s="1" t="n">
        <v>45972</v>
      </c>
      <c r="D894" t="inlineStr">
        <is>
          <t>JÄMTLANDS LÄN</t>
        </is>
      </c>
      <c r="E894" t="inlineStr">
        <is>
          <t>STRÖMSUND</t>
        </is>
      </c>
      <c r="G894" t="n">
        <v>2.7</v>
      </c>
      <c r="H894" t="n">
        <v>0</v>
      </c>
      <c r="I894" t="n">
        <v>0</v>
      </c>
      <c r="J894" t="n">
        <v>0</v>
      </c>
      <c r="K894" t="n">
        <v>0</v>
      </c>
      <c r="L894" t="n">
        <v>0</v>
      </c>
      <c r="M894" t="n">
        <v>0</v>
      </c>
      <c r="N894" t="n">
        <v>0</v>
      </c>
      <c r="O894" t="n">
        <v>0</v>
      </c>
      <c r="P894" t="n">
        <v>0</v>
      </c>
      <c r="Q894" t="n">
        <v>0</v>
      </c>
      <c r="R894" s="2" t="inlineStr"/>
    </row>
    <row r="895" ht="15" customHeight="1">
      <c r="A895" t="inlineStr">
        <is>
          <t>A 536-2023</t>
        </is>
      </c>
      <c r="B895" s="1" t="n">
        <v>44930</v>
      </c>
      <c r="C895" s="1" t="n">
        <v>45972</v>
      </c>
      <c r="D895" t="inlineStr">
        <is>
          <t>JÄMTLANDS LÄN</t>
        </is>
      </c>
      <c r="E895" t="inlineStr">
        <is>
          <t>STRÖMSUND</t>
        </is>
      </c>
      <c r="G895" t="n">
        <v>35.4</v>
      </c>
      <c r="H895" t="n">
        <v>0</v>
      </c>
      <c r="I895" t="n">
        <v>0</v>
      </c>
      <c r="J895" t="n">
        <v>0</v>
      </c>
      <c r="K895" t="n">
        <v>0</v>
      </c>
      <c r="L895" t="n">
        <v>0</v>
      </c>
      <c r="M895" t="n">
        <v>0</v>
      </c>
      <c r="N895" t="n">
        <v>0</v>
      </c>
      <c r="O895" t="n">
        <v>0</v>
      </c>
      <c r="P895" t="n">
        <v>0</v>
      </c>
      <c r="Q895" t="n">
        <v>0</v>
      </c>
      <c r="R895" s="2" t="inlineStr"/>
    </row>
    <row r="896" ht="15" customHeight="1">
      <c r="A896" t="inlineStr">
        <is>
          <t>A 52113-2023</t>
        </is>
      </c>
      <c r="B896" s="1" t="n">
        <v>45223.9275462963</v>
      </c>
      <c r="C896" s="1" t="n">
        <v>45972</v>
      </c>
      <c r="D896" t="inlineStr">
        <is>
          <t>JÄMTLANDS LÄN</t>
        </is>
      </c>
      <c r="E896" t="inlineStr">
        <is>
          <t>STRÖMSUND</t>
        </is>
      </c>
      <c r="G896" t="n">
        <v>4.2</v>
      </c>
      <c r="H896" t="n">
        <v>0</v>
      </c>
      <c r="I896" t="n">
        <v>0</v>
      </c>
      <c r="J896" t="n">
        <v>0</v>
      </c>
      <c r="K896" t="n">
        <v>0</v>
      </c>
      <c r="L896" t="n">
        <v>0</v>
      </c>
      <c r="M896" t="n">
        <v>0</v>
      </c>
      <c r="N896" t="n">
        <v>0</v>
      </c>
      <c r="O896" t="n">
        <v>0</v>
      </c>
      <c r="P896" t="n">
        <v>0</v>
      </c>
      <c r="Q896" t="n">
        <v>0</v>
      </c>
      <c r="R896" s="2" t="inlineStr"/>
    </row>
    <row r="897" ht="15" customHeight="1">
      <c r="A897" t="inlineStr">
        <is>
          <t>A 20275-2024</t>
        </is>
      </c>
      <c r="B897" s="1" t="n">
        <v>45434.94949074074</v>
      </c>
      <c r="C897" s="1" t="n">
        <v>45972</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70511-2021</t>
        </is>
      </c>
      <c r="B898" s="1" t="n">
        <v>44536</v>
      </c>
      <c r="C898" s="1" t="n">
        <v>45972</v>
      </c>
      <c r="D898" t="inlineStr">
        <is>
          <t>JÄMTLANDS LÄN</t>
        </is>
      </c>
      <c r="E898" t="inlineStr">
        <is>
          <t>STRÖMSUND</t>
        </is>
      </c>
      <c r="F898" t="inlineStr">
        <is>
          <t>SCA</t>
        </is>
      </c>
      <c r="G898" t="n">
        <v>401.6</v>
      </c>
      <c r="H898" t="n">
        <v>0</v>
      </c>
      <c r="I898" t="n">
        <v>0</v>
      </c>
      <c r="J898" t="n">
        <v>0</v>
      </c>
      <c r="K898" t="n">
        <v>0</v>
      </c>
      <c r="L898" t="n">
        <v>0</v>
      </c>
      <c r="M898" t="n">
        <v>0</v>
      </c>
      <c r="N898" t="n">
        <v>0</v>
      </c>
      <c r="O898" t="n">
        <v>0</v>
      </c>
      <c r="P898" t="n">
        <v>0</v>
      </c>
      <c r="Q898" t="n">
        <v>0</v>
      </c>
      <c r="R898" s="2" t="inlineStr"/>
    </row>
    <row r="899" ht="15" customHeight="1">
      <c r="A899" t="inlineStr">
        <is>
          <t>A 12866-2024</t>
        </is>
      </c>
      <c r="B899" s="1" t="n">
        <v>45384.94175925926</v>
      </c>
      <c r="C899" s="1" t="n">
        <v>45972</v>
      </c>
      <c r="D899" t="inlineStr">
        <is>
          <t>JÄMTLANDS LÄN</t>
        </is>
      </c>
      <c r="E899" t="inlineStr">
        <is>
          <t>STRÖMSUND</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13584-2024</t>
        </is>
      </c>
      <c r="B900" s="1" t="n">
        <v>45389</v>
      </c>
      <c r="C900" s="1" t="n">
        <v>45972</v>
      </c>
      <c r="D900" t="inlineStr">
        <is>
          <t>JÄMTLANDS LÄN</t>
        </is>
      </c>
      <c r="E900" t="inlineStr">
        <is>
          <t>STRÖMSUND</t>
        </is>
      </c>
      <c r="G900" t="n">
        <v>47.8</v>
      </c>
      <c r="H900" t="n">
        <v>0</v>
      </c>
      <c r="I900" t="n">
        <v>0</v>
      </c>
      <c r="J900" t="n">
        <v>0</v>
      </c>
      <c r="K900" t="n">
        <v>0</v>
      </c>
      <c r="L900" t="n">
        <v>0</v>
      </c>
      <c r="M900" t="n">
        <v>0</v>
      </c>
      <c r="N900" t="n">
        <v>0</v>
      </c>
      <c r="O900" t="n">
        <v>0</v>
      </c>
      <c r="P900" t="n">
        <v>0</v>
      </c>
      <c r="Q900" t="n">
        <v>0</v>
      </c>
      <c r="R900" s="2" t="inlineStr"/>
    </row>
    <row r="901" ht="15" customHeight="1">
      <c r="A901" t="inlineStr">
        <is>
          <t>A 37231-2022</t>
        </is>
      </c>
      <c r="B901" s="1" t="n">
        <v>44806</v>
      </c>
      <c r="C901" s="1" t="n">
        <v>45972</v>
      </c>
      <c r="D901" t="inlineStr">
        <is>
          <t>JÄMTLANDS LÄN</t>
        </is>
      </c>
      <c r="E901" t="inlineStr">
        <is>
          <t>STRÖMSUND</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23942-2024</t>
        </is>
      </c>
      <c r="B902" s="1" t="n">
        <v>45455.96350694444</v>
      </c>
      <c r="C902" s="1" t="n">
        <v>45972</v>
      </c>
      <c r="D902" t="inlineStr">
        <is>
          <t>JÄMTLANDS LÄN</t>
        </is>
      </c>
      <c r="E902" t="inlineStr">
        <is>
          <t>STRÖMSUND</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54964-2024</t>
        </is>
      </c>
      <c r="B903" s="1" t="n">
        <v>45620</v>
      </c>
      <c r="C903" s="1" t="n">
        <v>45972</v>
      </c>
      <c r="D903" t="inlineStr">
        <is>
          <t>JÄMTLANDS LÄN</t>
        </is>
      </c>
      <c r="E903" t="inlineStr">
        <is>
          <t>STRÖMSUND</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21616-2024</t>
        </is>
      </c>
      <c r="B904" s="1" t="n">
        <v>45441.95365740741</v>
      </c>
      <c r="C904" s="1" t="n">
        <v>45972</v>
      </c>
      <c r="D904" t="inlineStr">
        <is>
          <t>JÄMTLANDS LÄN</t>
        </is>
      </c>
      <c r="E904" t="inlineStr">
        <is>
          <t>STRÖMSUND</t>
        </is>
      </c>
      <c r="F904" t="inlineStr">
        <is>
          <t>SCA</t>
        </is>
      </c>
      <c r="G904" t="n">
        <v>9</v>
      </c>
      <c r="H904" t="n">
        <v>0</v>
      </c>
      <c r="I904" t="n">
        <v>0</v>
      </c>
      <c r="J904" t="n">
        <v>0</v>
      </c>
      <c r="K904" t="n">
        <v>0</v>
      </c>
      <c r="L904" t="n">
        <v>0</v>
      </c>
      <c r="M904" t="n">
        <v>0</v>
      </c>
      <c r="N904" t="n">
        <v>0</v>
      </c>
      <c r="O904" t="n">
        <v>0</v>
      </c>
      <c r="P904" t="n">
        <v>0</v>
      </c>
      <c r="Q904" t="n">
        <v>0</v>
      </c>
      <c r="R904" s="2" t="inlineStr"/>
    </row>
    <row r="905" ht="15" customHeight="1">
      <c r="A905" t="inlineStr">
        <is>
          <t>A 52737-2023</t>
        </is>
      </c>
      <c r="B905" s="1" t="n">
        <v>45225.96638888889</v>
      </c>
      <c r="C905" s="1" t="n">
        <v>45972</v>
      </c>
      <c r="D905" t="inlineStr">
        <is>
          <t>JÄMTLANDS LÄN</t>
        </is>
      </c>
      <c r="E905" t="inlineStr">
        <is>
          <t>STRÖMSUND</t>
        </is>
      </c>
      <c r="F905" t="inlineStr">
        <is>
          <t>SCA</t>
        </is>
      </c>
      <c r="G905" t="n">
        <v>7.8</v>
      </c>
      <c r="H905" t="n">
        <v>0</v>
      </c>
      <c r="I905" t="n">
        <v>0</v>
      </c>
      <c r="J905" t="n">
        <v>0</v>
      </c>
      <c r="K905" t="n">
        <v>0</v>
      </c>
      <c r="L905" t="n">
        <v>0</v>
      </c>
      <c r="M905" t="n">
        <v>0</v>
      </c>
      <c r="N905" t="n">
        <v>0</v>
      </c>
      <c r="O905" t="n">
        <v>0</v>
      </c>
      <c r="P905" t="n">
        <v>0</v>
      </c>
      <c r="Q905" t="n">
        <v>0</v>
      </c>
      <c r="R905" s="2" t="inlineStr"/>
    </row>
    <row r="906" ht="15" customHeight="1">
      <c r="A906" t="inlineStr">
        <is>
          <t>A 5261-2024</t>
        </is>
      </c>
      <c r="B906" s="1" t="n">
        <v>45330.96133101852</v>
      </c>
      <c r="C906" s="1" t="n">
        <v>45972</v>
      </c>
      <c r="D906" t="inlineStr">
        <is>
          <t>JÄMTLANDS LÄN</t>
        </is>
      </c>
      <c r="E906" t="inlineStr">
        <is>
          <t>STRÖMSUND</t>
        </is>
      </c>
      <c r="F906" t="inlineStr">
        <is>
          <t>SCA</t>
        </is>
      </c>
      <c r="G906" t="n">
        <v>29.7</v>
      </c>
      <c r="H906" t="n">
        <v>0</v>
      </c>
      <c r="I906" t="n">
        <v>0</v>
      </c>
      <c r="J906" t="n">
        <v>0</v>
      </c>
      <c r="K906" t="n">
        <v>0</v>
      </c>
      <c r="L906" t="n">
        <v>0</v>
      </c>
      <c r="M906" t="n">
        <v>0</v>
      </c>
      <c r="N906" t="n">
        <v>0</v>
      </c>
      <c r="O906" t="n">
        <v>0</v>
      </c>
      <c r="P906" t="n">
        <v>0</v>
      </c>
      <c r="Q906" t="n">
        <v>0</v>
      </c>
      <c r="R906" s="2" t="inlineStr"/>
    </row>
    <row r="907" ht="15" customHeight="1">
      <c r="A907" t="inlineStr">
        <is>
          <t>A 4050-2023</t>
        </is>
      </c>
      <c r="B907" s="1" t="n">
        <v>44952.60730324074</v>
      </c>
      <c r="C907" s="1" t="n">
        <v>45972</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45411-2024</t>
        </is>
      </c>
      <c r="B908" s="1" t="n">
        <v>45576.59405092592</v>
      </c>
      <c r="C908" s="1" t="n">
        <v>45972</v>
      </c>
      <c r="D908" t="inlineStr">
        <is>
          <t>JÄMTLANDS LÄN</t>
        </is>
      </c>
      <c r="E908" t="inlineStr">
        <is>
          <t>STRÖMSUND</t>
        </is>
      </c>
      <c r="F908" t="inlineStr">
        <is>
          <t>SCA</t>
        </is>
      </c>
      <c r="G908" t="n">
        <v>6.7</v>
      </c>
      <c r="H908" t="n">
        <v>0</v>
      </c>
      <c r="I908" t="n">
        <v>0</v>
      </c>
      <c r="J908" t="n">
        <v>0</v>
      </c>
      <c r="K908" t="n">
        <v>0</v>
      </c>
      <c r="L908" t="n">
        <v>0</v>
      </c>
      <c r="M908" t="n">
        <v>0</v>
      </c>
      <c r="N908" t="n">
        <v>0</v>
      </c>
      <c r="O908" t="n">
        <v>0</v>
      </c>
      <c r="P908" t="n">
        <v>0</v>
      </c>
      <c r="Q908" t="n">
        <v>0</v>
      </c>
      <c r="R908" s="2" t="inlineStr"/>
    </row>
    <row r="909" ht="15" customHeight="1">
      <c r="A909" t="inlineStr">
        <is>
          <t>A 38529-2025</t>
        </is>
      </c>
      <c r="B909" s="1" t="n">
        <v>45884.40726851852</v>
      </c>
      <c r="C909" s="1" t="n">
        <v>45972</v>
      </c>
      <c r="D909" t="inlineStr">
        <is>
          <t>JÄMTLANDS LÄN</t>
        </is>
      </c>
      <c r="E909" t="inlineStr">
        <is>
          <t>STRÖMSUND</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53218-2024</t>
        </is>
      </c>
      <c r="B910" s="1" t="n">
        <v>45612.84146990741</v>
      </c>
      <c r="C910" s="1" t="n">
        <v>45972</v>
      </c>
      <c r="D910" t="inlineStr">
        <is>
          <t>JÄMTLANDS LÄN</t>
        </is>
      </c>
      <c r="E910" t="inlineStr">
        <is>
          <t>STRÖMSUND</t>
        </is>
      </c>
      <c r="G910" t="n">
        <v>4.9</v>
      </c>
      <c r="H910" t="n">
        <v>0</v>
      </c>
      <c r="I910" t="n">
        <v>0</v>
      </c>
      <c r="J910" t="n">
        <v>0</v>
      </c>
      <c r="K910" t="n">
        <v>0</v>
      </c>
      <c r="L910" t="n">
        <v>0</v>
      </c>
      <c r="M910" t="n">
        <v>0</v>
      </c>
      <c r="N910" t="n">
        <v>0</v>
      </c>
      <c r="O910" t="n">
        <v>0</v>
      </c>
      <c r="P910" t="n">
        <v>0</v>
      </c>
      <c r="Q910" t="n">
        <v>0</v>
      </c>
      <c r="R910" s="2" t="inlineStr"/>
    </row>
    <row r="911" ht="15" customHeight="1">
      <c r="A911" t="inlineStr">
        <is>
          <t>A 66088-2021</t>
        </is>
      </c>
      <c r="B911" s="1" t="n">
        <v>44517.67090277778</v>
      </c>
      <c r="C911" s="1" t="n">
        <v>45972</v>
      </c>
      <c r="D911" t="inlineStr">
        <is>
          <t>JÄMTLANDS LÄN</t>
        </is>
      </c>
      <c r="E911" t="inlineStr">
        <is>
          <t>STRÖMSUND</t>
        </is>
      </c>
      <c r="G911" t="n">
        <v>2.1</v>
      </c>
      <c r="H911" t="n">
        <v>0</v>
      </c>
      <c r="I911" t="n">
        <v>0</v>
      </c>
      <c r="J911" t="n">
        <v>0</v>
      </c>
      <c r="K911" t="n">
        <v>0</v>
      </c>
      <c r="L911" t="n">
        <v>0</v>
      </c>
      <c r="M911" t="n">
        <v>0</v>
      </c>
      <c r="N911" t="n">
        <v>0</v>
      </c>
      <c r="O911" t="n">
        <v>0</v>
      </c>
      <c r="P911" t="n">
        <v>0</v>
      </c>
      <c r="Q911" t="n">
        <v>0</v>
      </c>
      <c r="R911" s="2" t="inlineStr"/>
    </row>
    <row r="912" ht="15" customHeight="1">
      <c r="A912" t="inlineStr">
        <is>
          <t>A 60335-2023</t>
        </is>
      </c>
      <c r="B912" s="1" t="n">
        <v>45258.95190972222</v>
      </c>
      <c r="C912" s="1" t="n">
        <v>45972</v>
      </c>
      <c r="D912" t="inlineStr">
        <is>
          <t>JÄMTLANDS LÄN</t>
        </is>
      </c>
      <c r="E912" t="inlineStr">
        <is>
          <t>STRÖMSUND</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52906-2024</t>
        </is>
      </c>
      <c r="B913" s="1" t="n">
        <v>45610.69825231482</v>
      </c>
      <c r="C913" s="1" t="n">
        <v>45972</v>
      </c>
      <c r="D913" t="inlineStr">
        <is>
          <t>JÄMTLANDS LÄN</t>
        </is>
      </c>
      <c r="E913" t="inlineStr">
        <is>
          <t>STRÖMSUND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41150-2023</t>
        </is>
      </c>
      <c r="B914" s="1" t="n">
        <v>45173.94302083334</v>
      </c>
      <c r="C914" s="1" t="n">
        <v>45972</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40-2025</t>
        </is>
      </c>
      <c r="B915" s="1" t="n">
        <v>45659.34428240741</v>
      </c>
      <c r="C915" s="1" t="n">
        <v>45972</v>
      </c>
      <c r="D915" t="inlineStr">
        <is>
          <t>JÄMTLANDS LÄN</t>
        </is>
      </c>
      <c r="E915" t="inlineStr">
        <is>
          <t>STRÖMSUND</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20274-2024</t>
        </is>
      </c>
      <c r="B916" s="1" t="n">
        <v>45434.949375</v>
      </c>
      <c r="C916" s="1" t="n">
        <v>45972</v>
      </c>
      <c r="D916" t="inlineStr">
        <is>
          <t>JÄMTLANDS LÄN</t>
        </is>
      </c>
      <c r="E916" t="inlineStr">
        <is>
          <t>STRÖMSUND</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8050-2025</t>
        </is>
      </c>
      <c r="B917" s="1" t="n">
        <v>45706</v>
      </c>
      <c r="C917" s="1" t="n">
        <v>45972</v>
      </c>
      <c r="D917" t="inlineStr">
        <is>
          <t>JÄMTLANDS LÄN</t>
        </is>
      </c>
      <c r="E917" t="inlineStr">
        <is>
          <t>STRÖMSUND</t>
        </is>
      </c>
      <c r="G917" t="n">
        <v>1.2</v>
      </c>
      <c r="H917" t="n">
        <v>0</v>
      </c>
      <c r="I917" t="n">
        <v>0</v>
      </c>
      <c r="J917" t="n">
        <v>0</v>
      </c>
      <c r="K917" t="n">
        <v>0</v>
      </c>
      <c r="L917" t="n">
        <v>0</v>
      </c>
      <c r="M917" t="n">
        <v>0</v>
      </c>
      <c r="N917" t="n">
        <v>0</v>
      </c>
      <c r="O917" t="n">
        <v>0</v>
      </c>
      <c r="P917" t="n">
        <v>0</v>
      </c>
      <c r="Q917" t="n">
        <v>0</v>
      </c>
      <c r="R917" s="2" t="inlineStr"/>
    </row>
    <row r="918" ht="15" customHeight="1">
      <c r="A918" t="inlineStr">
        <is>
          <t>A 2624-2024</t>
        </is>
      </c>
      <c r="B918" s="1" t="n">
        <v>45313</v>
      </c>
      <c r="C918" s="1" t="n">
        <v>45972</v>
      </c>
      <c r="D918" t="inlineStr">
        <is>
          <t>JÄMTLANDS LÄN</t>
        </is>
      </c>
      <c r="E918" t="inlineStr">
        <is>
          <t>STRÖMSUND</t>
        </is>
      </c>
      <c r="F918" t="inlineStr">
        <is>
          <t>SCA</t>
        </is>
      </c>
      <c r="G918" t="n">
        <v>41.4</v>
      </c>
      <c r="H918" t="n">
        <v>0</v>
      </c>
      <c r="I918" t="n">
        <v>0</v>
      </c>
      <c r="J918" t="n">
        <v>0</v>
      </c>
      <c r="K918" t="n">
        <v>0</v>
      </c>
      <c r="L918" t="n">
        <v>0</v>
      </c>
      <c r="M918" t="n">
        <v>0</v>
      </c>
      <c r="N918" t="n">
        <v>0</v>
      </c>
      <c r="O918" t="n">
        <v>0</v>
      </c>
      <c r="P918" t="n">
        <v>0</v>
      </c>
      <c r="Q918" t="n">
        <v>0</v>
      </c>
      <c r="R918" s="2" t="inlineStr"/>
    </row>
    <row r="919" ht="15" customHeight="1">
      <c r="A919" t="inlineStr">
        <is>
          <t>A 5808-2025</t>
        </is>
      </c>
      <c r="B919" s="1" t="n">
        <v>45694.6985300926</v>
      </c>
      <c r="C919" s="1" t="n">
        <v>45972</v>
      </c>
      <c r="D919" t="inlineStr">
        <is>
          <t>JÄMTLANDS LÄN</t>
        </is>
      </c>
      <c r="E919" t="inlineStr">
        <is>
          <t>STRÖMSUND</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48564-2022</t>
        </is>
      </c>
      <c r="B920" s="1" t="n">
        <v>44854</v>
      </c>
      <c r="C920" s="1" t="n">
        <v>45972</v>
      </c>
      <c r="D920" t="inlineStr">
        <is>
          <t>JÄMTLANDS LÄN</t>
        </is>
      </c>
      <c r="E920" t="inlineStr">
        <is>
          <t>STRÖMSUND</t>
        </is>
      </c>
      <c r="G920" t="n">
        <v>10.2</v>
      </c>
      <c r="H920" t="n">
        <v>0</v>
      </c>
      <c r="I920" t="n">
        <v>0</v>
      </c>
      <c r="J920" t="n">
        <v>0</v>
      </c>
      <c r="K920" t="n">
        <v>0</v>
      </c>
      <c r="L920" t="n">
        <v>0</v>
      </c>
      <c r="M920" t="n">
        <v>0</v>
      </c>
      <c r="N920" t="n">
        <v>0</v>
      </c>
      <c r="O920" t="n">
        <v>0</v>
      </c>
      <c r="P920" t="n">
        <v>0</v>
      </c>
      <c r="Q920" t="n">
        <v>0</v>
      </c>
      <c r="R920" s="2" t="inlineStr"/>
    </row>
    <row r="921" ht="15" customHeight="1">
      <c r="A921" t="inlineStr">
        <is>
          <t>A 32231-2023</t>
        </is>
      </c>
      <c r="B921" s="1" t="n">
        <v>45119.94349537037</v>
      </c>
      <c r="C921" s="1" t="n">
        <v>45972</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26789-2025</t>
        </is>
      </c>
      <c r="B922" s="1" t="n">
        <v>45810.58775462963</v>
      </c>
      <c r="C922" s="1" t="n">
        <v>45972</v>
      </c>
      <c r="D922" t="inlineStr">
        <is>
          <t>JÄMTLANDS LÄN</t>
        </is>
      </c>
      <c r="E922" t="inlineStr">
        <is>
          <t>STRÖMSUND</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29107-2024</t>
        </is>
      </c>
      <c r="B923" s="1" t="n">
        <v>45481.95253472222</v>
      </c>
      <c r="C923" s="1" t="n">
        <v>45972</v>
      </c>
      <c r="D923" t="inlineStr">
        <is>
          <t>JÄMTLANDS LÄN</t>
        </is>
      </c>
      <c r="E923" t="inlineStr">
        <is>
          <t>STRÖMSUND</t>
        </is>
      </c>
      <c r="F923" t="inlineStr">
        <is>
          <t>SCA</t>
        </is>
      </c>
      <c r="G923" t="n">
        <v>7.7</v>
      </c>
      <c r="H923" t="n">
        <v>0</v>
      </c>
      <c r="I923" t="n">
        <v>0</v>
      </c>
      <c r="J923" t="n">
        <v>0</v>
      </c>
      <c r="K923" t="n">
        <v>0</v>
      </c>
      <c r="L923" t="n">
        <v>0</v>
      </c>
      <c r="M923" t="n">
        <v>0</v>
      </c>
      <c r="N923" t="n">
        <v>0</v>
      </c>
      <c r="O923" t="n">
        <v>0</v>
      </c>
      <c r="P923" t="n">
        <v>0</v>
      </c>
      <c r="Q923" t="n">
        <v>0</v>
      </c>
      <c r="R923" s="2" t="inlineStr"/>
    </row>
    <row r="924" ht="15" customHeight="1">
      <c r="A924" t="inlineStr">
        <is>
          <t>A 13684-2023</t>
        </is>
      </c>
      <c r="B924" s="1" t="n">
        <v>45006</v>
      </c>
      <c r="C924" s="1" t="n">
        <v>45972</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60661-2023</t>
        </is>
      </c>
      <c r="B925" s="1" t="n">
        <v>45259</v>
      </c>
      <c r="C925" s="1" t="n">
        <v>45972</v>
      </c>
      <c r="D925" t="inlineStr">
        <is>
          <t>JÄMTLANDS LÄN</t>
        </is>
      </c>
      <c r="E925" t="inlineStr">
        <is>
          <t>STRÖMSUND</t>
        </is>
      </c>
      <c r="G925" t="n">
        <v>2.2</v>
      </c>
      <c r="H925" t="n">
        <v>0</v>
      </c>
      <c r="I925" t="n">
        <v>0</v>
      </c>
      <c r="J925" t="n">
        <v>0</v>
      </c>
      <c r="K925" t="n">
        <v>0</v>
      </c>
      <c r="L925" t="n">
        <v>0</v>
      </c>
      <c r="M925" t="n">
        <v>0</v>
      </c>
      <c r="N925" t="n">
        <v>0</v>
      </c>
      <c r="O925" t="n">
        <v>0</v>
      </c>
      <c r="P925" t="n">
        <v>0</v>
      </c>
      <c r="Q925" t="n">
        <v>0</v>
      </c>
      <c r="R925" s="2" t="inlineStr"/>
    </row>
    <row r="926" ht="15" customHeight="1">
      <c r="A926" t="inlineStr">
        <is>
          <t>A 52850-2023</t>
        </is>
      </c>
      <c r="B926" s="1" t="n">
        <v>45226.43943287037</v>
      </c>
      <c r="C926" s="1" t="n">
        <v>45972</v>
      </c>
      <c r="D926" t="inlineStr">
        <is>
          <t>JÄMTLANDS LÄN</t>
        </is>
      </c>
      <c r="E926" t="inlineStr">
        <is>
          <t>STRÖMSUND</t>
        </is>
      </c>
      <c r="G926" t="n">
        <v>6.1</v>
      </c>
      <c r="H926" t="n">
        <v>0</v>
      </c>
      <c r="I926" t="n">
        <v>0</v>
      </c>
      <c r="J926" t="n">
        <v>0</v>
      </c>
      <c r="K926" t="n">
        <v>0</v>
      </c>
      <c r="L926" t="n">
        <v>0</v>
      </c>
      <c r="M926" t="n">
        <v>0</v>
      </c>
      <c r="N926" t="n">
        <v>0</v>
      </c>
      <c r="O926" t="n">
        <v>0</v>
      </c>
      <c r="P926" t="n">
        <v>0</v>
      </c>
      <c r="Q926" t="n">
        <v>0</v>
      </c>
      <c r="R926" s="2" t="inlineStr"/>
    </row>
    <row r="927" ht="15" customHeight="1">
      <c r="A927" t="inlineStr">
        <is>
          <t>A 24833-2023</t>
        </is>
      </c>
      <c r="B927" s="1" t="n">
        <v>45084</v>
      </c>
      <c r="C927" s="1" t="n">
        <v>45972</v>
      </c>
      <c r="D927" t="inlineStr">
        <is>
          <t>JÄMTLANDS LÄN</t>
        </is>
      </c>
      <c r="E927" t="inlineStr">
        <is>
          <t>STRÖMSUND</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38908-2025</t>
        </is>
      </c>
      <c r="B928" s="1" t="n">
        <v>45887.61349537037</v>
      </c>
      <c r="C928" s="1" t="n">
        <v>45972</v>
      </c>
      <c r="D928" t="inlineStr">
        <is>
          <t>JÄMTLANDS LÄN</t>
        </is>
      </c>
      <c r="E928" t="inlineStr">
        <is>
          <t>STRÖMSUND</t>
        </is>
      </c>
      <c r="G928" t="n">
        <v>26.4</v>
      </c>
      <c r="H928" t="n">
        <v>0</v>
      </c>
      <c r="I928" t="n">
        <v>0</v>
      </c>
      <c r="J928" t="n">
        <v>0</v>
      </c>
      <c r="K928" t="n">
        <v>0</v>
      </c>
      <c r="L928" t="n">
        <v>0</v>
      </c>
      <c r="M928" t="n">
        <v>0</v>
      </c>
      <c r="N928" t="n">
        <v>0</v>
      </c>
      <c r="O928" t="n">
        <v>0</v>
      </c>
      <c r="P928" t="n">
        <v>0</v>
      </c>
      <c r="Q928" t="n">
        <v>0</v>
      </c>
      <c r="R928" s="2" t="inlineStr"/>
    </row>
    <row r="929" ht="15" customHeight="1">
      <c r="A929" t="inlineStr">
        <is>
          <t>A 46641-2025</t>
        </is>
      </c>
      <c r="B929" s="1" t="n">
        <v>45926.47011574074</v>
      </c>
      <c r="C929" s="1" t="n">
        <v>45972</v>
      </c>
      <c r="D929" t="inlineStr">
        <is>
          <t>JÄMTLANDS LÄN</t>
        </is>
      </c>
      <c r="E929" t="inlineStr">
        <is>
          <t>STRÖMSUND</t>
        </is>
      </c>
      <c r="G929" t="n">
        <v>7.7</v>
      </c>
      <c r="H929" t="n">
        <v>0</v>
      </c>
      <c r="I929" t="n">
        <v>0</v>
      </c>
      <c r="J929" t="n">
        <v>0</v>
      </c>
      <c r="K929" t="n">
        <v>0</v>
      </c>
      <c r="L929" t="n">
        <v>0</v>
      </c>
      <c r="M929" t="n">
        <v>0</v>
      </c>
      <c r="N929" t="n">
        <v>0</v>
      </c>
      <c r="O929" t="n">
        <v>0</v>
      </c>
      <c r="P929" t="n">
        <v>0</v>
      </c>
      <c r="Q929" t="n">
        <v>0</v>
      </c>
      <c r="R929" s="2" t="inlineStr"/>
    </row>
    <row r="930" ht="15" customHeight="1">
      <c r="A930" t="inlineStr">
        <is>
          <t>A 38786-2025</t>
        </is>
      </c>
      <c r="B930" s="1" t="n">
        <v>45887.44864583333</v>
      </c>
      <c r="C930" s="1" t="n">
        <v>45972</v>
      </c>
      <c r="D930" t="inlineStr">
        <is>
          <t>JÄMTLANDS LÄN</t>
        </is>
      </c>
      <c r="E930" t="inlineStr">
        <is>
          <t>STRÖMSUND</t>
        </is>
      </c>
      <c r="G930" t="n">
        <v>2.8</v>
      </c>
      <c r="H930" t="n">
        <v>0</v>
      </c>
      <c r="I930" t="n">
        <v>0</v>
      </c>
      <c r="J930" t="n">
        <v>0</v>
      </c>
      <c r="K930" t="n">
        <v>0</v>
      </c>
      <c r="L930" t="n">
        <v>0</v>
      </c>
      <c r="M930" t="n">
        <v>0</v>
      </c>
      <c r="N930" t="n">
        <v>0</v>
      </c>
      <c r="O930" t="n">
        <v>0</v>
      </c>
      <c r="P930" t="n">
        <v>0</v>
      </c>
      <c r="Q930" t="n">
        <v>0</v>
      </c>
      <c r="R930" s="2" t="inlineStr"/>
    </row>
    <row r="931" ht="15" customHeight="1">
      <c r="A931" t="inlineStr">
        <is>
          <t>A 38939-2025</t>
        </is>
      </c>
      <c r="B931" s="1" t="n">
        <v>45885</v>
      </c>
      <c r="C931" s="1" t="n">
        <v>45972</v>
      </c>
      <c r="D931" t="inlineStr">
        <is>
          <t>JÄMTLANDS LÄN</t>
        </is>
      </c>
      <c r="E931" t="inlineStr">
        <is>
          <t>STRÖMSUND</t>
        </is>
      </c>
      <c r="G931" t="n">
        <v>0.2</v>
      </c>
      <c r="H931" t="n">
        <v>0</v>
      </c>
      <c r="I931" t="n">
        <v>0</v>
      </c>
      <c r="J931" t="n">
        <v>0</v>
      </c>
      <c r="K931" t="n">
        <v>0</v>
      </c>
      <c r="L931" t="n">
        <v>0</v>
      </c>
      <c r="M931" t="n">
        <v>0</v>
      </c>
      <c r="N931" t="n">
        <v>0</v>
      </c>
      <c r="O931" t="n">
        <v>0</v>
      </c>
      <c r="P931" t="n">
        <v>0</v>
      </c>
      <c r="Q931" t="n">
        <v>0</v>
      </c>
      <c r="R931" s="2" t="inlineStr"/>
    </row>
    <row r="932" ht="15" customHeight="1">
      <c r="A932" t="inlineStr">
        <is>
          <t>A 47269-2025</t>
        </is>
      </c>
      <c r="B932" s="1" t="n">
        <v>45930</v>
      </c>
      <c r="C932" s="1" t="n">
        <v>45972</v>
      </c>
      <c r="D932" t="inlineStr">
        <is>
          <t>JÄMTLANDS LÄN</t>
        </is>
      </c>
      <c r="E932" t="inlineStr">
        <is>
          <t>STRÖMSUND</t>
        </is>
      </c>
      <c r="G932" t="n">
        <v>5.1</v>
      </c>
      <c r="H932" t="n">
        <v>0</v>
      </c>
      <c r="I932" t="n">
        <v>0</v>
      </c>
      <c r="J932" t="n">
        <v>0</v>
      </c>
      <c r="K932" t="n">
        <v>0</v>
      </c>
      <c r="L932" t="n">
        <v>0</v>
      </c>
      <c r="M932" t="n">
        <v>0</v>
      </c>
      <c r="N932" t="n">
        <v>0</v>
      </c>
      <c r="O932" t="n">
        <v>0</v>
      </c>
      <c r="P932" t="n">
        <v>0</v>
      </c>
      <c r="Q932" t="n">
        <v>0</v>
      </c>
      <c r="R932" s="2" t="inlineStr"/>
    </row>
    <row r="933" ht="15" customHeight="1">
      <c r="A933" t="inlineStr">
        <is>
          <t>A 13522-2025</t>
        </is>
      </c>
      <c r="B933" s="1" t="n">
        <v>45736.48995370371</v>
      </c>
      <c r="C933" s="1" t="n">
        <v>45972</v>
      </c>
      <c r="D933" t="inlineStr">
        <is>
          <t>JÄMTLANDS LÄN</t>
        </is>
      </c>
      <c r="E933" t="inlineStr">
        <is>
          <t>STRÖMSUND</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38785-2025</t>
        </is>
      </c>
      <c r="B934" s="1" t="n">
        <v>45887.44844907407</v>
      </c>
      <c r="C934" s="1" t="n">
        <v>45972</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46776-2023</t>
        </is>
      </c>
      <c r="B935" s="1" t="n">
        <v>45195</v>
      </c>
      <c r="C935" s="1" t="n">
        <v>45972</v>
      </c>
      <c r="D935" t="inlineStr">
        <is>
          <t>JÄMTLANDS LÄN</t>
        </is>
      </c>
      <c r="E935" t="inlineStr">
        <is>
          <t>STRÖMSUND</t>
        </is>
      </c>
      <c r="G935" t="n">
        <v>10.4</v>
      </c>
      <c r="H935" t="n">
        <v>0</v>
      </c>
      <c r="I935" t="n">
        <v>0</v>
      </c>
      <c r="J935" t="n">
        <v>0</v>
      </c>
      <c r="K935" t="n">
        <v>0</v>
      </c>
      <c r="L935" t="n">
        <v>0</v>
      </c>
      <c r="M935" t="n">
        <v>0</v>
      </c>
      <c r="N935" t="n">
        <v>0</v>
      </c>
      <c r="O935" t="n">
        <v>0</v>
      </c>
      <c r="P935" t="n">
        <v>0</v>
      </c>
      <c r="Q935" t="n">
        <v>0</v>
      </c>
      <c r="R935" s="2" t="inlineStr"/>
    </row>
    <row r="936" ht="15" customHeight="1">
      <c r="A936" t="inlineStr">
        <is>
          <t>A 51943-2024</t>
        </is>
      </c>
      <c r="B936" s="1" t="n">
        <v>45607.63606481482</v>
      </c>
      <c r="C936" s="1" t="n">
        <v>45972</v>
      </c>
      <c r="D936" t="inlineStr">
        <is>
          <t>JÄMTLANDS LÄN</t>
        </is>
      </c>
      <c r="E936" t="inlineStr">
        <is>
          <t>STRÖMSUND</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46929-2025</t>
        </is>
      </c>
      <c r="B937" s="1" t="n">
        <v>45929.44145833333</v>
      </c>
      <c r="C937" s="1" t="n">
        <v>45972</v>
      </c>
      <c r="D937" t="inlineStr">
        <is>
          <t>JÄMTLANDS LÄN</t>
        </is>
      </c>
      <c r="E937" t="inlineStr">
        <is>
          <t>STRÖMSUND</t>
        </is>
      </c>
      <c r="G937" t="n">
        <v>15.1</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45972</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32731-2023</t>
        </is>
      </c>
      <c r="B939" s="1" t="n">
        <v>45121.93989583333</v>
      </c>
      <c r="C939" s="1" t="n">
        <v>45972</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46259-2023</t>
        </is>
      </c>
      <c r="B940" s="1" t="n">
        <v>45196.93831018519</v>
      </c>
      <c r="C940" s="1" t="n">
        <v>45972</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41194-2022</t>
        </is>
      </c>
      <c r="B941" s="1" t="n">
        <v>44825.94982638889</v>
      </c>
      <c r="C941" s="1" t="n">
        <v>45972</v>
      </c>
      <c r="D941" t="inlineStr">
        <is>
          <t>JÄMTLANDS LÄN</t>
        </is>
      </c>
      <c r="E941" t="inlineStr">
        <is>
          <t>STRÖMSUND</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32460-2021</t>
        </is>
      </c>
      <c r="B942" s="1" t="n">
        <v>44371</v>
      </c>
      <c r="C942" s="1" t="n">
        <v>45972</v>
      </c>
      <c r="D942" t="inlineStr">
        <is>
          <t>JÄMTLANDS LÄN</t>
        </is>
      </c>
      <c r="E942" t="inlineStr">
        <is>
          <t>STRÖMSUND</t>
        </is>
      </c>
      <c r="G942" t="n">
        <v>3.7</v>
      </c>
      <c r="H942" t="n">
        <v>0</v>
      </c>
      <c r="I942" t="n">
        <v>0</v>
      </c>
      <c r="J942" t="n">
        <v>0</v>
      </c>
      <c r="K942" t="n">
        <v>0</v>
      </c>
      <c r="L942" t="n">
        <v>0</v>
      </c>
      <c r="M942" t="n">
        <v>0</v>
      </c>
      <c r="N942" t="n">
        <v>0</v>
      </c>
      <c r="O942" t="n">
        <v>0</v>
      </c>
      <c r="P942" t="n">
        <v>0</v>
      </c>
      <c r="Q942" t="n">
        <v>0</v>
      </c>
      <c r="R942" s="2" t="inlineStr"/>
    </row>
    <row r="943" ht="15" customHeight="1">
      <c r="A943" t="inlineStr">
        <is>
          <t>A 39058-2025</t>
        </is>
      </c>
      <c r="B943" s="1" t="n">
        <v>45887</v>
      </c>
      <c r="C943" s="1" t="n">
        <v>45972</v>
      </c>
      <c r="D943" t="inlineStr">
        <is>
          <t>JÄMTLANDS LÄN</t>
        </is>
      </c>
      <c r="E943" t="inlineStr">
        <is>
          <t>STRÖMSUND</t>
        </is>
      </c>
      <c r="G943" t="n">
        <v>2.9</v>
      </c>
      <c r="H943" t="n">
        <v>0</v>
      </c>
      <c r="I943" t="n">
        <v>0</v>
      </c>
      <c r="J943" t="n">
        <v>0</v>
      </c>
      <c r="K943" t="n">
        <v>0</v>
      </c>
      <c r="L943" t="n">
        <v>0</v>
      </c>
      <c r="M943" t="n">
        <v>0</v>
      </c>
      <c r="N943" t="n">
        <v>0</v>
      </c>
      <c r="O943" t="n">
        <v>0</v>
      </c>
      <c r="P943" t="n">
        <v>0</v>
      </c>
      <c r="Q943" t="n">
        <v>0</v>
      </c>
      <c r="R943" s="2" t="inlineStr"/>
    </row>
    <row r="944" ht="15" customHeight="1">
      <c r="A944" t="inlineStr">
        <is>
          <t>A 62668-2021</t>
        </is>
      </c>
      <c r="B944" s="1" t="n">
        <v>44503.94444444445</v>
      </c>
      <c r="C944" s="1" t="n">
        <v>45972</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56513-2024</t>
        </is>
      </c>
      <c r="B945" s="1" t="n">
        <v>45625.5315625</v>
      </c>
      <c r="C945" s="1" t="n">
        <v>45972</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25999-2024</t>
        </is>
      </c>
      <c r="B946" s="1" t="n">
        <v>45467.92711805556</v>
      </c>
      <c r="C946" s="1" t="n">
        <v>45972</v>
      </c>
      <c r="D946" t="inlineStr">
        <is>
          <t>JÄMTLANDS LÄN</t>
        </is>
      </c>
      <c r="E946" t="inlineStr">
        <is>
          <t>STRÖMSUND</t>
        </is>
      </c>
      <c r="G946" t="n">
        <v>1.6</v>
      </c>
      <c r="H946" t="n">
        <v>0</v>
      </c>
      <c r="I946" t="n">
        <v>0</v>
      </c>
      <c r="J946" t="n">
        <v>0</v>
      </c>
      <c r="K946" t="n">
        <v>0</v>
      </c>
      <c r="L946" t="n">
        <v>0</v>
      </c>
      <c r="M946" t="n">
        <v>0</v>
      </c>
      <c r="N946" t="n">
        <v>0</v>
      </c>
      <c r="O946" t="n">
        <v>0</v>
      </c>
      <c r="P946" t="n">
        <v>0</v>
      </c>
      <c r="Q946" t="n">
        <v>0</v>
      </c>
      <c r="R946" s="2" t="inlineStr"/>
    </row>
    <row r="947" ht="15" customHeight="1">
      <c r="A947" t="inlineStr">
        <is>
          <t>A 38787-2025</t>
        </is>
      </c>
      <c r="B947" s="1" t="n">
        <v>45887.44873842593</v>
      </c>
      <c r="C947" s="1" t="n">
        <v>45972</v>
      </c>
      <c r="D947" t="inlineStr">
        <is>
          <t>JÄMTLANDS LÄN</t>
        </is>
      </c>
      <c r="E947" t="inlineStr">
        <is>
          <t>STRÖMSUND</t>
        </is>
      </c>
      <c r="G947" t="n">
        <v>2.4</v>
      </c>
      <c r="H947" t="n">
        <v>0</v>
      </c>
      <c r="I947" t="n">
        <v>0</v>
      </c>
      <c r="J947" t="n">
        <v>0</v>
      </c>
      <c r="K947" t="n">
        <v>0</v>
      </c>
      <c r="L947" t="n">
        <v>0</v>
      </c>
      <c r="M947" t="n">
        <v>0</v>
      </c>
      <c r="N947" t="n">
        <v>0</v>
      </c>
      <c r="O947" t="n">
        <v>0</v>
      </c>
      <c r="P947" t="n">
        <v>0</v>
      </c>
      <c r="Q947" t="n">
        <v>0</v>
      </c>
      <c r="R947" s="2" t="inlineStr"/>
    </row>
    <row r="948" ht="15" customHeight="1">
      <c r="A948" t="inlineStr">
        <is>
          <t>A 21338-2023</t>
        </is>
      </c>
      <c r="B948" s="1" t="n">
        <v>45062</v>
      </c>
      <c r="C948" s="1" t="n">
        <v>45972</v>
      </c>
      <c r="D948" t="inlineStr">
        <is>
          <t>JÄMTLANDS LÄN</t>
        </is>
      </c>
      <c r="E948" t="inlineStr">
        <is>
          <t>STRÖMSUND</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18298-2024</t>
        </is>
      </c>
      <c r="B949" s="1" t="n">
        <v>45421</v>
      </c>
      <c r="C949" s="1" t="n">
        <v>45972</v>
      </c>
      <c r="D949" t="inlineStr">
        <is>
          <t>JÄMTLANDS LÄN</t>
        </is>
      </c>
      <c r="E949" t="inlineStr">
        <is>
          <t>STRÖMSUND</t>
        </is>
      </c>
      <c r="G949" t="n">
        <v>1.5</v>
      </c>
      <c r="H949" t="n">
        <v>0</v>
      </c>
      <c r="I949" t="n">
        <v>0</v>
      </c>
      <c r="J949" t="n">
        <v>0</v>
      </c>
      <c r="K949" t="n">
        <v>0</v>
      </c>
      <c r="L949" t="n">
        <v>0</v>
      </c>
      <c r="M949" t="n">
        <v>0</v>
      </c>
      <c r="N949" t="n">
        <v>0</v>
      </c>
      <c r="O949" t="n">
        <v>0</v>
      </c>
      <c r="P949" t="n">
        <v>0</v>
      </c>
      <c r="Q949" t="n">
        <v>0</v>
      </c>
      <c r="R949" s="2" t="inlineStr"/>
    </row>
    <row r="950" ht="15" customHeight="1">
      <c r="A950" t="inlineStr">
        <is>
          <t>A 57445-2023</t>
        </is>
      </c>
      <c r="B950" s="1" t="n">
        <v>45246.34328703704</v>
      </c>
      <c r="C950" s="1" t="n">
        <v>45972</v>
      </c>
      <c r="D950" t="inlineStr">
        <is>
          <t>JÄMTLANDS LÄN</t>
        </is>
      </c>
      <c r="E950" t="inlineStr">
        <is>
          <t>STRÖMSUND</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57476-2023</t>
        </is>
      </c>
      <c r="B951" s="1" t="n">
        <v>45240</v>
      </c>
      <c r="C951" s="1" t="n">
        <v>45972</v>
      </c>
      <c r="D951" t="inlineStr">
        <is>
          <t>JÄMTLANDS LÄN</t>
        </is>
      </c>
      <c r="E951" t="inlineStr">
        <is>
          <t>STRÖMSUND</t>
        </is>
      </c>
      <c r="G951" t="n">
        <v>5.7</v>
      </c>
      <c r="H951" t="n">
        <v>0</v>
      </c>
      <c r="I951" t="n">
        <v>0</v>
      </c>
      <c r="J951" t="n">
        <v>0</v>
      </c>
      <c r="K951" t="n">
        <v>0</v>
      </c>
      <c r="L951" t="n">
        <v>0</v>
      </c>
      <c r="M951" t="n">
        <v>0</v>
      </c>
      <c r="N951" t="n">
        <v>0</v>
      </c>
      <c r="O951" t="n">
        <v>0</v>
      </c>
      <c r="P951" t="n">
        <v>0</v>
      </c>
      <c r="Q951" t="n">
        <v>0</v>
      </c>
      <c r="R951" s="2" t="inlineStr"/>
    </row>
    <row r="952" ht="15" customHeight="1">
      <c r="A952" t="inlineStr">
        <is>
          <t>A 47194-2025</t>
        </is>
      </c>
      <c r="B952" s="1" t="n">
        <v>45930.34498842592</v>
      </c>
      <c r="C952" s="1" t="n">
        <v>45972</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47195-2025</t>
        </is>
      </c>
      <c r="B953" s="1" t="n">
        <v>45930.34503472222</v>
      </c>
      <c r="C953" s="1" t="n">
        <v>45972</v>
      </c>
      <c r="D953" t="inlineStr">
        <is>
          <t>JÄMTLANDS LÄN</t>
        </is>
      </c>
      <c r="E953" t="inlineStr">
        <is>
          <t>STRÖMSUND</t>
        </is>
      </c>
      <c r="G953" t="n">
        <v>7.5</v>
      </c>
      <c r="H953" t="n">
        <v>0</v>
      </c>
      <c r="I953" t="n">
        <v>0</v>
      </c>
      <c r="J953" t="n">
        <v>0</v>
      </c>
      <c r="K953" t="n">
        <v>0</v>
      </c>
      <c r="L953" t="n">
        <v>0</v>
      </c>
      <c r="M953" t="n">
        <v>0</v>
      </c>
      <c r="N953" t="n">
        <v>0</v>
      </c>
      <c r="O953" t="n">
        <v>0</v>
      </c>
      <c r="P953" t="n">
        <v>0</v>
      </c>
      <c r="Q953" t="n">
        <v>0</v>
      </c>
      <c r="R953" s="2" t="inlineStr"/>
    </row>
    <row r="954" ht="15" customHeight="1">
      <c r="A954" t="inlineStr">
        <is>
          <t>A 56412-2022</t>
        </is>
      </c>
      <c r="B954" s="1" t="n">
        <v>44890</v>
      </c>
      <c r="C954" s="1" t="n">
        <v>45972</v>
      </c>
      <c r="D954" t="inlineStr">
        <is>
          <t>JÄMTLANDS LÄN</t>
        </is>
      </c>
      <c r="E954" t="inlineStr">
        <is>
          <t>STRÖMSUND</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39005-2025</t>
        </is>
      </c>
      <c r="B955" s="1" t="n">
        <v>45888.34487268519</v>
      </c>
      <c r="C955" s="1" t="n">
        <v>45972</v>
      </c>
      <c r="D955" t="inlineStr">
        <is>
          <t>JÄMTLANDS LÄN</t>
        </is>
      </c>
      <c r="E955" t="inlineStr">
        <is>
          <t>STRÖMSUND</t>
        </is>
      </c>
      <c r="F955" t="inlineStr">
        <is>
          <t>SCA</t>
        </is>
      </c>
      <c r="G955" t="n">
        <v>30.9</v>
      </c>
      <c r="H955" t="n">
        <v>0</v>
      </c>
      <c r="I955" t="n">
        <v>0</v>
      </c>
      <c r="J955" t="n">
        <v>0</v>
      </c>
      <c r="K955" t="n">
        <v>0</v>
      </c>
      <c r="L955" t="n">
        <v>0</v>
      </c>
      <c r="M955" t="n">
        <v>0</v>
      </c>
      <c r="N955" t="n">
        <v>0</v>
      </c>
      <c r="O955" t="n">
        <v>0</v>
      </c>
      <c r="P955" t="n">
        <v>0</v>
      </c>
      <c r="Q955" t="n">
        <v>0</v>
      </c>
      <c r="R955" s="2" t="inlineStr"/>
    </row>
    <row r="956" ht="15" customHeight="1">
      <c r="A956" t="inlineStr">
        <is>
          <t>A 35397-2024</t>
        </is>
      </c>
      <c r="B956" s="1" t="n">
        <v>45531.40402777777</v>
      </c>
      <c r="C956" s="1" t="n">
        <v>45972</v>
      </c>
      <c r="D956" t="inlineStr">
        <is>
          <t>JÄMTLANDS LÄN</t>
        </is>
      </c>
      <c r="E956" t="inlineStr">
        <is>
          <t>STRÖMSUND</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35410-2024</t>
        </is>
      </c>
      <c r="B957" s="1" t="n">
        <v>45531.40701388889</v>
      </c>
      <c r="C957" s="1" t="n">
        <v>45972</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25361-2024</t>
        </is>
      </c>
      <c r="B958" s="1" t="n">
        <v>45462.95800925926</v>
      </c>
      <c r="C958" s="1" t="n">
        <v>45972</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57501-2023</t>
        </is>
      </c>
      <c r="B959" s="1" t="n">
        <v>45246.42853009259</v>
      </c>
      <c r="C959" s="1" t="n">
        <v>45972</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57504-2023</t>
        </is>
      </c>
      <c r="B960" s="1" t="n">
        <v>45246.43067129629</v>
      </c>
      <c r="C960" s="1" t="n">
        <v>45972</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12097-2025</t>
        </is>
      </c>
      <c r="B961" s="1" t="n">
        <v>45729.32767361111</v>
      </c>
      <c r="C961" s="1" t="n">
        <v>45972</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12099-2025</t>
        </is>
      </c>
      <c r="B962" s="1" t="n">
        <v>45729.32976851852</v>
      </c>
      <c r="C962" s="1" t="n">
        <v>45972</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24488-2022</t>
        </is>
      </c>
      <c r="B963" s="1" t="n">
        <v>44726</v>
      </c>
      <c r="C963" s="1" t="n">
        <v>45972</v>
      </c>
      <c r="D963" t="inlineStr">
        <is>
          <t>JÄMTLANDS LÄN</t>
        </is>
      </c>
      <c r="E963" t="inlineStr">
        <is>
          <t>STRÖMSUND</t>
        </is>
      </c>
      <c r="G963" t="n">
        <v>19.1</v>
      </c>
      <c r="H963" t="n">
        <v>0</v>
      </c>
      <c r="I963" t="n">
        <v>0</v>
      </c>
      <c r="J963" t="n">
        <v>0</v>
      </c>
      <c r="K963" t="n">
        <v>0</v>
      </c>
      <c r="L963" t="n">
        <v>0</v>
      </c>
      <c r="M963" t="n">
        <v>0</v>
      </c>
      <c r="N963" t="n">
        <v>0</v>
      </c>
      <c r="O963" t="n">
        <v>0</v>
      </c>
      <c r="P963" t="n">
        <v>0</v>
      </c>
      <c r="Q963" t="n">
        <v>0</v>
      </c>
      <c r="R963" s="2" t="inlineStr"/>
    </row>
    <row r="964" ht="15" customHeight="1">
      <c r="A964" t="inlineStr">
        <is>
          <t>A 19411-2025</t>
        </is>
      </c>
      <c r="B964" s="1" t="n">
        <v>45769.69825231482</v>
      </c>
      <c r="C964" s="1" t="n">
        <v>45972</v>
      </c>
      <c r="D964" t="inlineStr">
        <is>
          <t>JÄMTLANDS LÄN</t>
        </is>
      </c>
      <c r="E964" t="inlineStr">
        <is>
          <t>STRÖMSUND</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19412-2025</t>
        </is>
      </c>
      <c r="B965" s="1" t="n">
        <v>45769.69847222222</v>
      </c>
      <c r="C965" s="1" t="n">
        <v>45972</v>
      </c>
      <c r="D965" t="inlineStr">
        <is>
          <t>JÄMTLANDS LÄN</t>
        </is>
      </c>
      <c r="E965" t="inlineStr">
        <is>
          <t>STRÖMSUND</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6386-2021</t>
        </is>
      </c>
      <c r="B966" s="1" t="n">
        <v>44232</v>
      </c>
      <c r="C966" s="1" t="n">
        <v>45972</v>
      </c>
      <c r="D966" t="inlineStr">
        <is>
          <t>JÄMTLANDS LÄN</t>
        </is>
      </c>
      <c r="E966" t="inlineStr">
        <is>
          <t>STRÖMSUND</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29040-2023</t>
        </is>
      </c>
      <c r="B967" s="1" t="n">
        <v>45104.77545138889</v>
      </c>
      <c r="C967" s="1" t="n">
        <v>45972</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29841-2021</t>
        </is>
      </c>
      <c r="B968" s="1" t="n">
        <v>44362</v>
      </c>
      <c r="C968" s="1" t="n">
        <v>45972</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27638-2024</t>
        </is>
      </c>
      <c r="B969" s="1" t="n">
        <v>45474.94664351852</v>
      </c>
      <c r="C969" s="1" t="n">
        <v>45972</v>
      </c>
      <c r="D969" t="inlineStr">
        <is>
          <t>JÄMTLANDS LÄN</t>
        </is>
      </c>
      <c r="E969" t="inlineStr">
        <is>
          <t>STRÖMSUND</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27649-2024</t>
        </is>
      </c>
      <c r="B970" s="1" t="n">
        <v>45474.94787037037</v>
      </c>
      <c r="C970" s="1" t="n">
        <v>45972</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7085-2025</t>
        </is>
      </c>
      <c r="B971" s="1" t="n">
        <v>45701.70259259259</v>
      </c>
      <c r="C971" s="1" t="n">
        <v>45972</v>
      </c>
      <c r="D971" t="inlineStr">
        <is>
          <t>JÄMTLANDS LÄN</t>
        </is>
      </c>
      <c r="E971" t="inlineStr">
        <is>
          <t>STRÖMSUND</t>
        </is>
      </c>
      <c r="G971" t="n">
        <v>7.8</v>
      </c>
      <c r="H971" t="n">
        <v>0</v>
      </c>
      <c r="I971" t="n">
        <v>0</v>
      </c>
      <c r="J971" t="n">
        <v>0</v>
      </c>
      <c r="K971" t="n">
        <v>0</v>
      </c>
      <c r="L971" t="n">
        <v>0</v>
      </c>
      <c r="M971" t="n">
        <v>0</v>
      </c>
      <c r="N971" t="n">
        <v>0</v>
      </c>
      <c r="O971" t="n">
        <v>0</v>
      </c>
      <c r="P971" t="n">
        <v>0</v>
      </c>
      <c r="Q971" t="n">
        <v>0</v>
      </c>
      <c r="R971" s="2" t="inlineStr"/>
    </row>
    <row r="972" ht="15" customHeight="1">
      <c r="A972" t="inlineStr">
        <is>
          <t>A 32672-2024</t>
        </is>
      </c>
      <c r="B972" s="1" t="n">
        <v>45514.60695601852</v>
      </c>
      <c r="C972" s="1" t="n">
        <v>45972</v>
      </c>
      <c r="D972" t="inlineStr">
        <is>
          <t>JÄMTLANDS LÄN</t>
        </is>
      </c>
      <c r="E972" t="inlineStr">
        <is>
          <t>STRÖMSUND</t>
        </is>
      </c>
      <c r="G972" t="n">
        <v>4.5</v>
      </c>
      <c r="H972" t="n">
        <v>0</v>
      </c>
      <c r="I972" t="n">
        <v>0</v>
      </c>
      <c r="J972" t="n">
        <v>0</v>
      </c>
      <c r="K972" t="n">
        <v>0</v>
      </c>
      <c r="L972" t="n">
        <v>0</v>
      </c>
      <c r="M972" t="n">
        <v>0</v>
      </c>
      <c r="N972" t="n">
        <v>0</v>
      </c>
      <c r="O972" t="n">
        <v>0</v>
      </c>
      <c r="P972" t="n">
        <v>0</v>
      </c>
      <c r="Q972" t="n">
        <v>0</v>
      </c>
      <c r="R972" s="2" t="inlineStr"/>
    </row>
    <row r="973" ht="15" customHeight="1">
      <c r="A973" t="inlineStr">
        <is>
          <t>A 32674-2024</t>
        </is>
      </c>
      <c r="B973" s="1" t="n">
        <v>45514.61648148148</v>
      </c>
      <c r="C973" s="1" t="n">
        <v>45972</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36993-2023</t>
        </is>
      </c>
      <c r="B974" s="1" t="n">
        <v>45154.95571759259</v>
      </c>
      <c r="C974" s="1" t="n">
        <v>45972</v>
      </c>
      <c r="D974" t="inlineStr">
        <is>
          <t>JÄMTLANDS LÄN</t>
        </is>
      </c>
      <c r="E974" t="inlineStr">
        <is>
          <t>STRÖMSUND</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59742-2023</t>
        </is>
      </c>
      <c r="B975" s="1" t="n">
        <v>45257.3837037037</v>
      </c>
      <c r="C975" s="1" t="n">
        <v>45972</v>
      </c>
      <c r="D975" t="inlineStr">
        <is>
          <t>JÄMTLANDS LÄN</t>
        </is>
      </c>
      <c r="E975" t="inlineStr">
        <is>
          <t>STRÖMSUND</t>
        </is>
      </c>
      <c r="F975" t="inlineStr">
        <is>
          <t>Sveaskog</t>
        </is>
      </c>
      <c r="G975" t="n">
        <v>7.6</v>
      </c>
      <c r="H975" t="n">
        <v>0</v>
      </c>
      <c r="I975" t="n">
        <v>0</v>
      </c>
      <c r="J975" t="n">
        <v>0</v>
      </c>
      <c r="K975" t="n">
        <v>0</v>
      </c>
      <c r="L975" t="n">
        <v>0</v>
      </c>
      <c r="M975" t="n">
        <v>0</v>
      </c>
      <c r="N975" t="n">
        <v>0</v>
      </c>
      <c r="O975" t="n">
        <v>0</v>
      </c>
      <c r="P975" t="n">
        <v>0</v>
      </c>
      <c r="Q975" t="n">
        <v>0</v>
      </c>
      <c r="R975" s="2" t="inlineStr"/>
    </row>
    <row r="976" ht="15" customHeight="1">
      <c r="A976" t="inlineStr">
        <is>
          <t>A 33590-2023</t>
        </is>
      </c>
      <c r="B976" s="1" t="n">
        <v>45131.94982638889</v>
      </c>
      <c r="C976" s="1" t="n">
        <v>45972</v>
      </c>
      <c r="D976" t="inlineStr">
        <is>
          <t>JÄMTLANDS LÄN</t>
        </is>
      </c>
      <c r="E976" t="inlineStr">
        <is>
          <t>STRÖMSUND</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40936-2022</t>
        </is>
      </c>
      <c r="B977" s="1" t="n">
        <v>44823</v>
      </c>
      <c r="C977" s="1" t="n">
        <v>45972</v>
      </c>
      <c r="D977" t="inlineStr">
        <is>
          <t>JÄMTLANDS LÄN</t>
        </is>
      </c>
      <c r="E977" t="inlineStr">
        <is>
          <t>STRÖMSUND</t>
        </is>
      </c>
      <c r="G977" t="n">
        <v>13</v>
      </c>
      <c r="H977" t="n">
        <v>0</v>
      </c>
      <c r="I977" t="n">
        <v>0</v>
      </c>
      <c r="J977" t="n">
        <v>0</v>
      </c>
      <c r="K977" t="n">
        <v>0</v>
      </c>
      <c r="L977" t="n">
        <v>0</v>
      </c>
      <c r="M977" t="n">
        <v>0</v>
      </c>
      <c r="N977" t="n">
        <v>0</v>
      </c>
      <c r="O977" t="n">
        <v>0</v>
      </c>
      <c r="P977" t="n">
        <v>0</v>
      </c>
      <c r="Q977" t="n">
        <v>0</v>
      </c>
      <c r="R977" s="2" t="inlineStr"/>
    </row>
    <row r="978" ht="15" customHeight="1">
      <c r="A978" t="inlineStr">
        <is>
          <t>A 27587-2024</t>
        </is>
      </c>
      <c r="B978" s="1" t="n">
        <v>45474.66636574074</v>
      </c>
      <c r="C978" s="1" t="n">
        <v>45972</v>
      </c>
      <c r="D978" t="inlineStr">
        <is>
          <t>JÄMTLANDS LÄN</t>
        </is>
      </c>
      <c r="E978" t="inlineStr">
        <is>
          <t>STRÖMSUND</t>
        </is>
      </c>
      <c r="G978" t="n">
        <v>2.2</v>
      </c>
      <c r="H978" t="n">
        <v>0</v>
      </c>
      <c r="I978" t="n">
        <v>0</v>
      </c>
      <c r="J978" t="n">
        <v>0</v>
      </c>
      <c r="K978" t="n">
        <v>0</v>
      </c>
      <c r="L978" t="n">
        <v>0</v>
      </c>
      <c r="M978" t="n">
        <v>0</v>
      </c>
      <c r="N978" t="n">
        <v>0</v>
      </c>
      <c r="O978" t="n">
        <v>0</v>
      </c>
      <c r="P978" t="n">
        <v>0</v>
      </c>
      <c r="Q978" t="n">
        <v>0</v>
      </c>
      <c r="R978" s="2" t="inlineStr"/>
    </row>
    <row r="979" ht="15" customHeight="1">
      <c r="A979" t="inlineStr">
        <is>
          <t>A 26960-2024</t>
        </is>
      </c>
      <c r="B979" s="1" t="n">
        <v>45470.97107638889</v>
      </c>
      <c r="C979" s="1" t="n">
        <v>45972</v>
      </c>
      <c r="D979" t="inlineStr">
        <is>
          <t>JÄMTLANDS LÄN</t>
        </is>
      </c>
      <c r="E979" t="inlineStr">
        <is>
          <t>STRÖMSUND</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29039-2023</t>
        </is>
      </c>
      <c r="B980" s="1" t="n">
        <v>45104.77043981481</v>
      </c>
      <c r="C980" s="1" t="n">
        <v>45972</v>
      </c>
      <c r="D980" t="inlineStr">
        <is>
          <t>JÄMTLANDS LÄN</t>
        </is>
      </c>
      <c r="E980" t="inlineStr">
        <is>
          <t>STRÖMSUND</t>
        </is>
      </c>
      <c r="G980" t="n">
        <v>2.9</v>
      </c>
      <c r="H980" t="n">
        <v>0</v>
      </c>
      <c r="I980" t="n">
        <v>0</v>
      </c>
      <c r="J980" t="n">
        <v>0</v>
      </c>
      <c r="K980" t="n">
        <v>0</v>
      </c>
      <c r="L980" t="n">
        <v>0</v>
      </c>
      <c r="M980" t="n">
        <v>0</v>
      </c>
      <c r="N980" t="n">
        <v>0</v>
      </c>
      <c r="O980" t="n">
        <v>0</v>
      </c>
      <c r="P980" t="n">
        <v>0</v>
      </c>
      <c r="Q980" t="n">
        <v>0</v>
      </c>
      <c r="R980" s="2" t="inlineStr"/>
    </row>
    <row r="981" ht="15" customHeight="1">
      <c r="A981" t="inlineStr">
        <is>
          <t>A 5943-2025</t>
        </is>
      </c>
      <c r="B981" s="1" t="n">
        <v>45695.46907407408</v>
      </c>
      <c r="C981" s="1" t="n">
        <v>45972</v>
      </c>
      <c r="D981" t="inlineStr">
        <is>
          <t>JÄMTLANDS LÄN</t>
        </is>
      </c>
      <c r="E981" t="inlineStr">
        <is>
          <t>STRÖMSUND</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7547-2025</t>
        </is>
      </c>
      <c r="B982" s="1" t="n">
        <v>45705.57423611111</v>
      </c>
      <c r="C982" s="1" t="n">
        <v>45972</v>
      </c>
      <c r="D982" t="inlineStr">
        <is>
          <t>JÄMTLANDS LÄN</t>
        </is>
      </c>
      <c r="E982" t="inlineStr">
        <is>
          <t>STRÖMSUND</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61419-2021</t>
        </is>
      </c>
      <c r="B983" s="1" t="n">
        <v>44500.93606481481</v>
      </c>
      <c r="C983" s="1" t="n">
        <v>45972</v>
      </c>
      <c r="D983" t="inlineStr">
        <is>
          <t>JÄMTLANDS LÄN</t>
        </is>
      </c>
      <c r="E983" t="inlineStr">
        <is>
          <t>STRÖMSUND</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3693-2023</t>
        </is>
      </c>
      <c r="B984" s="1" t="n">
        <v>44950</v>
      </c>
      <c r="C984" s="1" t="n">
        <v>45972</v>
      </c>
      <c r="D984" t="inlineStr">
        <is>
          <t>JÄMTLANDS LÄN</t>
        </is>
      </c>
      <c r="E984" t="inlineStr">
        <is>
          <t>STRÖMSUND</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61538-2024</t>
        </is>
      </c>
      <c r="B985" s="1" t="n">
        <v>45646.5940625</v>
      </c>
      <c r="C985" s="1" t="n">
        <v>45972</v>
      </c>
      <c r="D985" t="inlineStr">
        <is>
          <t>JÄMTLANDS LÄN</t>
        </is>
      </c>
      <c r="E985" t="inlineStr">
        <is>
          <t>STRÖMSUND</t>
        </is>
      </c>
      <c r="F985" t="inlineStr">
        <is>
          <t>SCA</t>
        </is>
      </c>
      <c r="G985" t="n">
        <v>24.4</v>
      </c>
      <c r="H985" t="n">
        <v>0</v>
      </c>
      <c r="I985" t="n">
        <v>0</v>
      </c>
      <c r="J985" t="n">
        <v>0</v>
      </c>
      <c r="K985" t="n">
        <v>0</v>
      </c>
      <c r="L985" t="n">
        <v>0</v>
      </c>
      <c r="M985" t="n">
        <v>0</v>
      </c>
      <c r="N985" t="n">
        <v>0</v>
      </c>
      <c r="O985" t="n">
        <v>0</v>
      </c>
      <c r="P985" t="n">
        <v>0</v>
      </c>
      <c r="Q985" t="n">
        <v>0</v>
      </c>
      <c r="R985" s="2" t="inlineStr"/>
    </row>
    <row r="986" ht="15" customHeight="1">
      <c r="A986" t="inlineStr">
        <is>
          <t>A 61539-2024</t>
        </is>
      </c>
      <c r="B986" s="1" t="n">
        <v>45646.59420138889</v>
      </c>
      <c r="C986" s="1" t="n">
        <v>45972</v>
      </c>
      <c r="D986" t="inlineStr">
        <is>
          <t>JÄMTLANDS LÄN</t>
        </is>
      </c>
      <c r="E986" t="inlineStr">
        <is>
          <t>STRÖMSUND</t>
        </is>
      </c>
      <c r="F986" t="inlineStr">
        <is>
          <t>SCA</t>
        </is>
      </c>
      <c r="G986" t="n">
        <v>25.5</v>
      </c>
      <c r="H986" t="n">
        <v>0</v>
      </c>
      <c r="I986" t="n">
        <v>0</v>
      </c>
      <c r="J986" t="n">
        <v>0</v>
      </c>
      <c r="K986" t="n">
        <v>0</v>
      </c>
      <c r="L986" t="n">
        <v>0</v>
      </c>
      <c r="M986" t="n">
        <v>0</v>
      </c>
      <c r="N986" t="n">
        <v>0</v>
      </c>
      <c r="O986" t="n">
        <v>0</v>
      </c>
      <c r="P986" t="n">
        <v>0</v>
      </c>
      <c r="Q986" t="n">
        <v>0</v>
      </c>
      <c r="R986" s="2" t="inlineStr"/>
    </row>
    <row r="987" ht="15" customHeight="1">
      <c r="A987" t="inlineStr">
        <is>
          <t>A 57022-2022</t>
        </is>
      </c>
      <c r="B987" s="1" t="n">
        <v>44894.95902777778</v>
      </c>
      <c r="C987" s="1" t="n">
        <v>45972</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40492-2024</t>
        </is>
      </c>
      <c r="B988" s="1" t="n">
        <v>45555</v>
      </c>
      <c r="C988" s="1" t="n">
        <v>45972</v>
      </c>
      <c r="D988" t="inlineStr">
        <is>
          <t>JÄMTLANDS LÄN</t>
        </is>
      </c>
      <c r="E988" t="inlineStr">
        <is>
          <t>STRÖMSUND</t>
        </is>
      </c>
      <c r="G988" t="n">
        <v>0.2</v>
      </c>
      <c r="H988" t="n">
        <v>0</v>
      </c>
      <c r="I988" t="n">
        <v>0</v>
      </c>
      <c r="J988" t="n">
        <v>0</v>
      </c>
      <c r="K988" t="n">
        <v>0</v>
      </c>
      <c r="L988" t="n">
        <v>0</v>
      </c>
      <c r="M988" t="n">
        <v>0</v>
      </c>
      <c r="N988" t="n">
        <v>0</v>
      </c>
      <c r="O988" t="n">
        <v>0</v>
      </c>
      <c r="P988" t="n">
        <v>0</v>
      </c>
      <c r="Q988" t="n">
        <v>0</v>
      </c>
      <c r="R988" s="2" t="inlineStr"/>
    </row>
    <row r="989" ht="15" customHeight="1">
      <c r="A989" t="inlineStr">
        <is>
          <t>A 25052-2023</t>
        </is>
      </c>
      <c r="B989" s="1" t="n">
        <v>45085.94605324074</v>
      </c>
      <c r="C989" s="1" t="n">
        <v>45972</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60319-2021</t>
        </is>
      </c>
      <c r="B990" s="1" t="n">
        <v>44495</v>
      </c>
      <c r="C990" s="1" t="n">
        <v>45972</v>
      </c>
      <c r="D990" t="inlineStr">
        <is>
          <t>JÄMTLANDS LÄN</t>
        </is>
      </c>
      <c r="E990" t="inlineStr">
        <is>
          <t>STRÖMSUND</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20505-2024</t>
        </is>
      </c>
      <c r="B991" s="1" t="n">
        <v>45435.94232638889</v>
      </c>
      <c r="C991" s="1" t="n">
        <v>45972</v>
      </c>
      <c r="D991" t="inlineStr">
        <is>
          <t>JÄMTLANDS LÄN</t>
        </is>
      </c>
      <c r="E991" t="inlineStr">
        <is>
          <t>STRÖMSUND</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473-2025</t>
        </is>
      </c>
      <c r="B992" s="1" t="n">
        <v>45664</v>
      </c>
      <c r="C992" s="1" t="n">
        <v>45972</v>
      </c>
      <c r="D992" t="inlineStr">
        <is>
          <t>JÄMTLANDS LÄN</t>
        </is>
      </c>
      <c r="E992" t="inlineStr">
        <is>
          <t>STRÖMSUND</t>
        </is>
      </c>
      <c r="G992" t="n">
        <v>0.1</v>
      </c>
      <c r="H992" t="n">
        <v>0</v>
      </c>
      <c r="I992" t="n">
        <v>0</v>
      </c>
      <c r="J992" t="n">
        <v>0</v>
      </c>
      <c r="K992" t="n">
        <v>0</v>
      </c>
      <c r="L992" t="n">
        <v>0</v>
      </c>
      <c r="M992" t="n">
        <v>0</v>
      </c>
      <c r="N992" t="n">
        <v>0</v>
      </c>
      <c r="O992" t="n">
        <v>0</v>
      </c>
      <c r="P992" t="n">
        <v>0</v>
      </c>
      <c r="Q992" t="n">
        <v>0</v>
      </c>
      <c r="R992" s="2" t="inlineStr"/>
    </row>
    <row r="993" ht="15" customHeight="1">
      <c r="A993" t="inlineStr">
        <is>
          <t>A 40354-2021</t>
        </is>
      </c>
      <c r="B993" s="1" t="n">
        <v>44419</v>
      </c>
      <c r="C993" s="1" t="n">
        <v>45972</v>
      </c>
      <c r="D993" t="inlineStr">
        <is>
          <t>JÄMTLANDS LÄN</t>
        </is>
      </c>
      <c r="E993" t="inlineStr">
        <is>
          <t>STRÖMSUND</t>
        </is>
      </c>
      <c r="G993" t="n">
        <v>10</v>
      </c>
      <c r="H993" t="n">
        <v>0</v>
      </c>
      <c r="I993" t="n">
        <v>0</v>
      </c>
      <c r="J993" t="n">
        <v>0</v>
      </c>
      <c r="K993" t="n">
        <v>0</v>
      </c>
      <c r="L993" t="n">
        <v>0</v>
      </c>
      <c r="M993" t="n">
        <v>0</v>
      </c>
      <c r="N993" t="n">
        <v>0</v>
      </c>
      <c r="O993" t="n">
        <v>0</v>
      </c>
      <c r="P993" t="n">
        <v>0</v>
      </c>
      <c r="Q993" t="n">
        <v>0</v>
      </c>
      <c r="R993" s="2" t="inlineStr"/>
    </row>
    <row r="994" ht="15" customHeight="1">
      <c r="A994" t="inlineStr">
        <is>
          <t>A 55177-2023</t>
        </is>
      </c>
      <c r="B994" s="1" t="n">
        <v>45237</v>
      </c>
      <c r="C994" s="1" t="n">
        <v>45972</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47271-2022</t>
        </is>
      </c>
      <c r="B995" s="1" t="n">
        <v>44852</v>
      </c>
      <c r="C995" s="1" t="n">
        <v>45972</v>
      </c>
      <c r="D995" t="inlineStr">
        <is>
          <t>JÄMTLANDS LÄN</t>
        </is>
      </c>
      <c r="E995" t="inlineStr">
        <is>
          <t>STRÖMSUND</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26035-2024</t>
        </is>
      </c>
      <c r="B996" s="1" t="n">
        <v>45467.96373842593</v>
      </c>
      <c r="C996" s="1" t="n">
        <v>45972</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6961-2024</t>
        </is>
      </c>
      <c r="B997" s="1" t="n">
        <v>45343</v>
      </c>
      <c r="C997" s="1" t="n">
        <v>45972</v>
      </c>
      <c r="D997" t="inlineStr">
        <is>
          <t>JÄMTLANDS LÄN</t>
        </is>
      </c>
      <c r="E997" t="inlineStr">
        <is>
          <t>STRÖMSUND</t>
        </is>
      </c>
      <c r="G997" t="n">
        <v>2.9</v>
      </c>
      <c r="H997" t="n">
        <v>0</v>
      </c>
      <c r="I997" t="n">
        <v>0</v>
      </c>
      <c r="J997" t="n">
        <v>0</v>
      </c>
      <c r="K997" t="n">
        <v>0</v>
      </c>
      <c r="L997" t="n">
        <v>0</v>
      </c>
      <c r="M997" t="n">
        <v>0</v>
      </c>
      <c r="N997" t="n">
        <v>0</v>
      </c>
      <c r="O997" t="n">
        <v>0</v>
      </c>
      <c r="P997" t="n">
        <v>0</v>
      </c>
      <c r="Q997" t="n">
        <v>0</v>
      </c>
      <c r="R997" s="2" t="inlineStr"/>
    </row>
    <row r="998" ht="15" customHeight="1">
      <c r="A998" t="inlineStr">
        <is>
          <t>A 32153-2022</t>
        </is>
      </c>
      <c r="B998" s="1" t="n">
        <v>44781</v>
      </c>
      <c r="C998" s="1" t="n">
        <v>45972</v>
      </c>
      <c r="D998" t="inlineStr">
        <is>
          <t>JÄMTLANDS LÄN</t>
        </is>
      </c>
      <c r="E998" t="inlineStr">
        <is>
          <t>STRÖMSUND</t>
        </is>
      </c>
      <c r="G998" t="n">
        <v>27.4</v>
      </c>
      <c r="H998" t="n">
        <v>0</v>
      </c>
      <c r="I998" t="n">
        <v>0</v>
      </c>
      <c r="J998" t="n">
        <v>0</v>
      </c>
      <c r="K998" t="n">
        <v>0</v>
      </c>
      <c r="L998" t="n">
        <v>0</v>
      </c>
      <c r="M998" t="n">
        <v>0</v>
      </c>
      <c r="N998" t="n">
        <v>0</v>
      </c>
      <c r="O998" t="n">
        <v>0</v>
      </c>
      <c r="P998" t="n">
        <v>0</v>
      </c>
      <c r="Q998" t="n">
        <v>0</v>
      </c>
      <c r="R998" s="2" t="inlineStr"/>
    </row>
    <row r="999" ht="15" customHeight="1">
      <c r="A999" t="inlineStr">
        <is>
          <t>A 44112-2024</t>
        </is>
      </c>
      <c r="B999" s="1" t="n">
        <v>45572.63590277778</v>
      </c>
      <c r="C999" s="1" t="n">
        <v>45972</v>
      </c>
      <c r="D999" t="inlineStr">
        <is>
          <t>JÄMTLANDS LÄN</t>
        </is>
      </c>
      <c r="E999" t="inlineStr">
        <is>
          <t>STRÖMSUND</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57075-2024</t>
        </is>
      </c>
      <c r="B1000" s="1" t="n">
        <v>45629.35474537037</v>
      </c>
      <c r="C1000" s="1" t="n">
        <v>45972</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17098-2024</t>
        </is>
      </c>
      <c r="B1001" s="1" t="n">
        <v>45412</v>
      </c>
      <c r="C1001" s="1" t="n">
        <v>45972</v>
      </c>
      <c r="D1001" t="inlineStr">
        <is>
          <t>JÄMTLANDS LÄN</t>
        </is>
      </c>
      <c r="E1001" t="inlineStr">
        <is>
          <t>STRÖMSUND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34009-2023</t>
        </is>
      </c>
      <c r="B1002" s="1" t="n">
        <v>45134.95157407408</v>
      </c>
      <c r="C1002" s="1" t="n">
        <v>45972</v>
      </c>
      <c r="D1002" t="inlineStr">
        <is>
          <t>JÄMTLANDS LÄN</t>
        </is>
      </c>
      <c r="E1002" t="inlineStr">
        <is>
          <t>STRÖMSUND</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34010-2023</t>
        </is>
      </c>
      <c r="B1003" s="1" t="n">
        <v>45134</v>
      </c>
      <c r="C1003" s="1" t="n">
        <v>45972</v>
      </c>
      <c r="D1003" t="inlineStr">
        <is>
          <t>JÄMTLANDS LÄN</t>
        </is>
      </c>
      <c r="E1003" t="inlineStr">
        <is>
          <t>STRÖMSUND</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40602-2022</t>
        </is>
      </c>
      <c r="B1004" s="1" t="n">
        <v>44823</v>
      </c>
      <c r="C1004" s="1" t="n">
        <v>45972</v>
      </c>
      <c r="D1004" t="inlineStr">
        <is>
          <t>JÄMTLANDS LÄN</t>
        </is>
      </c>
      <c r="E1004" t="inlineStr">
        <is>
          <t>STRÖMSUND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36959-2023</t>
        </is>
      </c>
      <c r="B1005" s="1" t="n">
        <v>45154.92638888889</v>
      </c>
      <c r="C1005" s="1" t="n">
        <v>45972</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49384-2024</t>
        </is>
      </c>
      <c r="B1006" s="1" t="n">
        <v>45595.65655092592</v>
      </c>
      <c r="C1006" s="1" t="n">
        <v>45972</v>
      </c>
      <c r="D1006" t="inlineStr">
        <is>
          <t>JÄMTLANDS LÄN</t>
        </is>
      </c>
      <c r="E1006" t="inlineStr">
        <is>
          <t>STRÖMSUND</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13298-2025</t>
        </is>
      </c>
      <c r="B1007" s="1" t="n">
        <v>45735.57391203703</v>
      </c>
      <c r="C1007" s="1" t="n">
        <v>45972</v>
      </c>
      <c r="D1007" t="inlineStr">
        <is>
          <t>JÄMTLANDS LÄN</t>
        </is>
      </c>
      <c r="E1007" t="inlineStr">
        <is>
          <t>STRÖMSUND</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1878-2025</t>
        </is>
      </c>
      <c r="B1008" s="1" t="n">
        <v>45671.62234953704</v>
      </c>
      <c r="C1008" s="1" t="n">
        <v>45972</v>
      </c>
      <c r="D1008" t="inlineStr">
        <is>
          <t>JÄMTLANDS LÄN</t>
        </is>
      </c>
      <c r="E1008" t="inlineStr">
        <is>
          <t>STRÖMSUND</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34002-2023</t>
        </is>
      </c>
      <c r="B1009" s="1" t="n">
        <v>45134.95104166667</v>
      </c>
      <c r="C1009" s="1" t="n">
        <v>45972</v>
      </c>
      <c r="D1009" t="inlineStr">
        <is>
          <t>JÄMTLANDS LÄN</t>
        </is>
      </c>
      <c r="E1009" t="inlineStr">
        <is>
          <t>STRÖMSUND</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6773-2023</t>
        </is>
      </c>
      <c r="B1010" s="1" t="n">
        <v>44966.93340277778</v>
      </c>
      <c r="C1010" s="1" t="n">
        <v>45972</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40451-2024</t>
        </is>
      </c>
      <c r="B1011" s="1" t="n">
        <v>45555</v>
      </c>
      <c r="C1011" s="1" t="n">
        <v>45972</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4507-2024</t>
        </is>
      </c>
      <c r="B1012" s="1" t="n">
        <v>45327</v>
      </c>
      <c r="C1012" s="1" t="n">
        <v>45972</v>
      </c>
      <c r="D1012" t="inlineStr">
        <is>
          <t>JÄMTLANDS LÄN</t>
        </is>
      </c>
      <c r="E1012" t="inlineStr">
        <is>
          <t>STRÖMSUND</t>
        </is>
      </c>
      <c r="F1012" t="inlineStr">
        <is>
          <t>Kyrkan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57894-2023</t>
        </is>
      </c>
      <c r="B1013" s="1" t="n">
        <v>45247.48508101852</v>
      </c>
      <c r="C1013" s="1" t="n">
        <v>45972</v>
      </c>
      <c r="D1013" t="inlineStr">
        <is>
          <t>JÄMTLANDS LÄN</t>
        </is>
      </c>
      <c r="E1013" t="inlineStr">
        <is>
          <t>STRÖMSUND</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293-2025</t>
        </is>
      </c>
      <c r="B1014" s="1" t="n">
        <v>45660.53192129629</v>
      </c>
      <c r="C1014" s="1" t="n">
        <v>45972</v>
      </c>
      <c r="D1014" t="inlineStr">
        <is>
          <t>JÄMTLANDS LÄN</t>
        </is>
      </c>
      <c r="E1014" t="inlineStr">
        <is>
          <t>STRÖMSUND</t>
        </is>
      </c>
      <c r="F1014" t="inlineStr">
        <is>
          <t>SCA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294-2025</t>
        </is>
      </c>
      <c r="B1015" s="1" t="n">
        <v>45660.53195601852</v>
      </c>
      <c r="C1015" s="1" t="n">
        <v>45972</v>
      </c>
      <c r="D1015" t="inlineStr">
        <is>
          <t>JÄMTLANDS LÄN</t>
        </is>
      </c>
      <c r="E1015" t="inlineStr">
        <is>
          <t>STRÖMSUND</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57083-2023</t>
        </is>
      </c>
      <c r="B1016" s="1" t="n">
        <v>45244</v>
      </c>
      <c r="C1016" s="1" t="n">
        <v>45972</v>
      </c>
      <c r="D1016" t="inlineStr">
        <is>
          <t>JÄMTLANDS LÄN</t>
        </is>
      </c>
      <c r="E1016" t="inlineStr">
        <is>
          <t>STRÖMSUND</t>
        </is>
      </c>
      <c r="F1016" t="inlineStr">
        <is>
          <t>SCA</t>
        </is>
      </c>
      <c r="G1016" t="n">
        <v>31.1</v>
      </c>
      <c r="H1016" t="n">
        <v>0</v>
      </c>
      <c r="I1016" t="n">
        <v>0</v>
      </c>
      <c r="J1016" t="n">
        <v>0</v>
      </c>
      <c r="K1016" t="n">
        <v>0</v>
      </c>
      <c r="L1016" t="n">
        <v>0</v>
      </c>
      <c r="M1016" t="n">
        <v>0</v>
      </c>
      <c r="N1016" t="n">
        <v>0</v>
      </c>
      <c r="O1016" t="n">
        <v>0</v>
      </c>
      <c r="P1016" t="n">
        <v>0</v>
      </c>
      <c r="Q1016" t="n">
        <v>0</v>
      </c>
      <c r="R1016" s="2" t="inlineStr"/>
    </row>
    <row r="1017" ht="15" customHeight="1">
      <c r="A1017" t="inlineStr">
        <is>
          <t>A 31675-2024</t>
        </is>
      </c>
      <c r="B1017" s="1" t="n">
        <v>45506.94854166666</v>
      </c>
      <c r="C1017" s="1" t="n">
        <v>45972</v>
      </c>
      <c r="D1017" t="inlineStr">
        <is>
          <t>JÄMTLANDS LÄN</t>
        </is>
      </c>
      <c r="E1017" t="inlineStr">
        <is>
          <t>STRÖMSUND</t>
        </is>
      </c>
      <c r="F1017" t="inlineStr">
        <is>
          <t>SCA</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19859-2025</t>
        </is>
      </c>
      <c r="B1018" s="1" t="n">
        <v>45771.53158564815</v>
      </c>
      <c r="C1018" s="1" t="n">
        <v>45972</v>
      </c>
      <c r="D1018" t="inlineStr">
        <is>
          <t>JÄMTLANDS LÄN</t>
        </is>
      </c>
      <c r="E1018" t="inlineStr">
        <is>
          <t>STRÖMSUND</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2808-2025</t>
        </is>
      </c>
      <c r="B1019" s="1" t="n">
        <v>45677.59420138889</v>
      </c>
      <c r="C1019" s="1" t="n">
        <v>45972</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25960-2021</t>
        </is>
      </c>
      <c r="B1020" s="1" t="n">
        <v>44344.52144675926</v>
      </c>
      <c r="C1020" s="1" t="n">
        <v>45972</v>
      </c>
      <c r="D1020" t="inlineStr">
        <is>
          <t>JÄMTLANDS LÄN</t>
        </is>
      </c>
      <c r="E1020" t="inlineStr">
        <is>
          <t>STRÖMSUND</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41827-2022</t>
        </is>
      </c>
      <c r="B1021" s="1" t="n">
        <v>44827.94630787037</v>
      </c>
      <c r="C1021" s="1" t="n">
        <v>45972</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1824-2025</t>
        </is>
      </c>
      <c r="B1022" s="1" t="n">
        <v>45671.53179398148</v>
      </c>
      <c r="C1022" s="1" t="n">
        <v>45972</v>
      </c>
      <c r="D1022" t="inlineStr">
        <is>
          <t>JÄMTLANDS LÄN</t>
        </is>
      </c>
      <c r="E1022" t="inlineStr">
        <is>
          <t>STRÖMSUND</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32907-2024</t>
        </is>
      </c>
      <c r="B1023" s="1" t="n">
        <v>45516.9477662037</v>
      </c>
      <c r="C1023" s="1" t="n">
        <v>45972</v>
      </c>
      <c r="D1023" t="inlineStr">
        <is>
          <t>JÄMTLANDS LÄN</t>
        </is>
      </c>
      <c r="E1023" t="inlineStr">
        <is>
          <t>STRÖMSUND</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4315-2025</t>
        </is>
      </c>
      <c r="B1024" s="1" t="n">
        <v>45685.70465277778</v>
      </c>
      <c r="C1024" s="1" t="n">
        <v>45972</v>
      </c>
      <c r="D1024" t="inlineStr">
        <is>
          <t>JÄMTLANDS LÄN</t>
        </is>
      </c>
      <c r="E1024" t="inlineStr">
        <is>
          <t>STRÖMSUND</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20256-2025</t>
        </is>
      </c>
      <c r="B1025" s="1" t="n">
        <v>45772.93064814815</v>
      </c>
      <c r="C1025" s="1" t="n">
        <v>45972</v>
      </c>
      <c r="D1025" t="inlineStr">
        <is>
          <t>JÄMTLANDS LÄN</t>
        </is>
      </c>
      <c r="E1025" t="inlineStr">
        <is>
          <t>STRÖMSUND</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59360-2023</t>
        </is>
      </c>
      <c r="B1026" s="1" t="n">
        <v>45253.685625</v>
      </c>
      <c r="C1026" s="1" t="n">
        <v>45972</v>
      </c>
      <c r="D1026" t="inlineStr">
        <is>
          <t>JÄMTLANDS LÄN</t>
        </is>
      </c>
      <c r="E1026" t="inlineStr">
        <is>
          <t>STRÖMSUND</t>
        </is>
      </c>
      <c r="F1026" t="inlineStr">
        <is>
          <t>Holmen skog AB</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20262-2025</t>
        </is>
      </c>
      <c r="B1027" s="1" t="n">
        <v>45773.38086805555</v>
      </c>
      <c r="C1027" s="1" t="n">
        <v>45972</v>
      </c>
      <c r="D1027" t="inlineStr">
        <is>
          <t>JÄMTLANDS LÄN</t>
        </is>
      </c>
      <c r="E1027" t="inlineStr">
        <is>
          <t>STRÖMSUND</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56270-2024</t>
        </is>
      </c>
      <c r="B1028" s="1" t="n">
        <v>45624.65971064815</v>
      </c>
      <c r="C1028" s="1" t="n">
        <v>45972</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56691-2023</t>
        </is>
      </c>
      <c r="B1029" s="1" t="n">
        <v>45243.96672453704</v>
      </c>
      <c r="C1029" s="1" t="n">
        <v>45972</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40272-2022</t>
        </is>
      </c>
      <c r="B1030" s="1" t="n">
        <v>44820</v>
      </c>
      <c r="C1030" s="1" t="n">
        <v>45972</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33216-2021</t>
        </is>
      </c>
      <c r="B1031" s="1" t="n">
        <v>44376</v>
      </c>
      <c r="C1031" s="1" t="n">
        <v>45972</v>
      </c>
      <c r="D1031" t="inlineStr">
        <is>
          <t>JÄMTLANDS LÄN</t>
        </is>
      </c>
      <c r="E1031" t="inlineStr">
        <is>
          <t>STRÖMSUND</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63756-2023</t>
        </is>
      </c>
      <c r="B1032" s="1" t="n">
        <v>45278.30370370371</v>
      </c>
      <c r="C1032" s="1" t="n">
        <v>45972</v>
      </c>
      <c r="D1032" t="inlineStr">
        <is>
          <t>JÄMTLANDS LÄN</t>
        </is>
      </c>
      <c r="E1032" t="inlineStr">
        <is>
          <t>STRÖMSUND</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50335-2022</t>
        </is>
      </c>
      <c r="B1033" s="1" t="n">
        <v>44865.9521875</v>
      </c>
      <c r="C1033" s="1" t="n">
        <v>45972</v>
      </c>
      <c r="D1033" t="inlineStr">
        <is>
          <t>JÄMTLANDS LÄN</t>
        </is>
      </c>
      <c r="E1033" t="inlineStr">
        <is>
          <t>STRÖMSUND</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15207-2023</t>
        </is>
      </c>
      <c r="B1034" s="1" t="n">
        <v>45018</v>
      </c>
      <c r="C1034" s="1" t="n">
        <v>45972</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36914-2024</t>
        </is>
      </c>
      <c r="B1035" s="1" t="n">
        <v>45538.63628472222</v>
      </c>
      <c r="C1035" s="1" t="n">
        <v>45972</v>
      </c>
      <c r="D1035" t="inlineStr">
        <is>
          <t>JÄMTLANDS LÄN</t>
        </is>
      </c>
      <c r="E1035" t="inlineStr">
        <is>
          <t>STRÖMSUND</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22481-2024</t>
        </is>
      </c>
      <c r="B1036" s="1" t="n">
        <v>45446.95224537037</v>
      </c>
      <c r="C1036" s="1" t="n">
        <v>45972</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45972</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55655-2023</t>
        </is>
      </c>
      <c r="B1038" s="1" t="n">
        <v>45238.96651620371</v>
      </c>
      <c r="C1038" s="1" t="n">
        <v>45972</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29242-2024</t>
        </is>
      </c>
      <c r="B1039" s="1" t="n">
        <v>45482.94611111111</v>
      </c>
      <c r="C1039" s="1" t="n">
        <v>45972</v>
      </c>
      <c r="D1039" t="inlineStr">
        <is>
          <t>JÄMTLANDS LÄN</t>
        </is>
      </c>
      <c r="E1039" t="inlineStr">
        <is>
          <t>STRÖMSUND</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29243-2024</t>
        </is>
      </c>
      <c r="B1040" s="1" t="n">
        <v>45482.94621527778</v>
      </c>
      <c r="C1040" s="1" t="n">
        <v>45972</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53556-2024</t>
        </is>
      </c>
      <c r="B1041" s="1" t="n">
        <v>45608</v>
      </c>
      <c r="C1041" s="1" t="n">
        <v>45972</v>
      </c>
      <c r="D1041" t="inlineStr">
        <is>
          <t>JÄMTLANDS LÄN</t>
        </is>
      </c>
      <c r="E1041" t="inlineStr">
        <is>
          <t>STRÖMSUND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29274-2024</t>
        </is>
      </c>
      <c r="B1042" s="1" t="n">
        <v>45482.95017361111</v>
      </c>
      <c r="C1042" s="1" t="n">
        <v>45972</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63875-2021</t>
        </is>
      </c>
      <c r="B1043" s="1" t="n">
        <v>44509</v>
      </c>
      <c r="C1043" s="1" t="n">
        <v>45972</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40103-2023</t>
        </is>
      </c>
      <c r="B1044" s="1" t="n">
        <v>45168.93762731482</v>
      </c>
      <c r="C1044" s="1" t="n">
        <v>45972</v>
      </c>
      <c r="D1044" t="inlineStr">
        <is>
          <t>JÄMTLANDS LÄN</t>
        </is>
      </c>
      <c r="E1044" t="inlineStr">
        <is>
          <t>STRÖMSUND</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51763-2024</t>
        </is>
      </c>
      <c r="B1045" s="1" t="n">
        <v>45607.44210648148</v>
      </c>
      <c r="C1045" s="1" t="n">
        <v>45972</v>
      </c>
      <c r="D1045" t="inlineStr">
        <is>
          <t>JÄMTLANDS LÄN</t>
        </is>
      </c>
      <c r="E1045" t="inlineStr">
        <is>
          <t>STRÖMSUND</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12175-2025</t>
        </is>
      </c>
      <c r="B1046" s="1" t="n">
        <v>45729.4483912037</v>
      </c>
      <c r="C1046" s="1" t="n">
        <v>45972</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30352-2024</t>
        </is>
      </c>
      <c r="B1047" s="1" t="n">
        <v>45490.95556712963</v>
      </c>
      <c r="C1047" s="1" t="n">
        <v>45972</v>
      </c>
      <c r="D1047" t="inlineStr">
        <is>
          <t>JÄMTLANDS LÄN</t>
        </is>
      </c>
      <c r="E1047" t="inlineStr">
        <is>
          <t>STRÖMSUND</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10504-2025</t>
        </is>
      </c>
      <c r="B1048" s="1" t="n">
        <v>45721.3862037037</v>
      </c>
      <c r="C1048" s="1" t="n">
        <v>45972</v>
      </c>
      <c r="D1048" t="inlineStr">
        <is>
          <t>JÄMTLANDS LÄN</t>
        </is>
      </c>
      <c r="E1048" t="inlineStr">
        <is>
          <t>STRÖMSUND</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1747-2023</t>
        </is>
      </c>
      <c r="B1049" s="1" t="n">
        <v>44936</v>
      </c>
      <c r="C1049" s="1" t="n">
        <v>45972</v>
      </c>
      <c r="D1049" t="inlineStr">
        <is>
          <t>JÄMTLANDS LÄN</t>
        </is>
      </c>
      <c r="E1049" t="inlineStr">
        <is>
          <t>STRÖMSUND</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30285-2023</t>
        </is>
      </c>
      <c r="B1050" s="1" t="n">
        <v>45110</v>
      </c>
      <c r="C1050" s="1" t="n">
        <v>45972</v>
      </c>
      <c r="D1050" t="inlineStr">
        <is>
          <t>JÄMTLANDS LÄN</t>
        </is>
      </c>
      <c r="E1050" t="inlineStr">
        <is>
          <t>STRÖMSUND</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51593-2024</t>
        </is>
      </c>
      <c r="B1051" s="1" t="n">
        <v>45604.64981481482</v>
      </c>
      <c r="C1051" s="1" t="n">
        <v>45972</v>
      </c>
      <c r="D1051" t="inlineStr">
        <is>
          <t>JÄMTLANDS LÄN</t>
        </is>
      </c>
      <c r="E1051" t="inlineStr">
        <is>
          <t>STRÖMSUND</t>
        </is>
      </c>
      <c r="F1051" t="inlineStr">
        <is>
          <t>Kommuner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60742-2022</t>
        </is>
      </c>
      <c r="B1052" s="1" t="n">
        <v>44913</v>
      </c>
      <c r="C1052" s="1" t="n">
        <v>45972</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28705-2022</t>
        </is>
      </c>
      <c r="B1053" s="1" t="n">
        <v>44748.90450231481</v>
      </c>
      <c r="C1053" s="1" t="n">
        <v>45972</v>
      </c>
      <c r="D1053" t="inlineStr">
        <is>
          <t>JÄMTLANDS LÄN</t>
        </is>
      </c>
      <c r="E1053" t="inlineStr">
        <is>
          <t>STRÖMSUND</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19656-2023</t>
        </is>
      </c>
      <c r="B1054" s="1" t="n">
        <v>45050</v>
      </c>
      <c r="C1054" s="1" t="n">
        <v>45972</v>
      </c>
      <c r="D1054" t="inlineStr">
        <is>
          <t>JÄMTLANDS LÄN</t>
        </is>
      </c>
      <c r="E1054" t="inlineStr">
        <is>
          <t>STRÖMSUND</t>
        </is>
      </c>
      <c r="F1054" t="inlineStr">
        <is>
          <t>Kommuner</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19658-2023</t>
        </is>
      </c>
      <c r="B1055" s="1" t="n">
        <v>45050</v>
      </c>
      <c r="C1055" s="1" t="n">
        <v>45972</v>
      </c>
      <c r="D1055" t="inlineStr">
        <is>
          <t>JÄMTLANDS LÄN</t>
        </is>
      </c>
      <c r="E1055" t="inlineStr">
        <is>
          <t>STRÖMSUND</t>
        </is>
      </c>
      <c r="F1055" t="inlineStr">
        <is>
          <t>Kommuner</t>
        </is>
      </c>
      <c r="G1055" t="n">
        <v>23.7</v>
      </c>
      <c r="H1055" t="n">
        <v>0</v>
      </c>
      <c r="I1055" t="n">
        <v>0</v>
      </c>
      <c r="J1055" t="n">
        <v>0</v>
      </c>
      <c r="K1055" t="n">
        <v>0</v>
      </c>
      <c r="L1055" t="n">
        <v>0</v>
      </c>
      <c r="M1055" t="n">
        <v>0</v>
      </c>
      <c r="N1055" t="n">
        <v>0</v>
      </c>
      <c r="O1055" t="n">
        <v>0</v>
      </c>
      <c r="P1055" t="n">
        <v>0</v>
      </c>
      <c r="Q1055" t="n">
        <v>0</v>
      </c>
      <c r="R1055" s="2" t="inlineStr"/>
    </row>
    <row r="1056" ht="15" customHeight="1">
      <c r="A1056" t="inlineStr">
        <is>
          <t>A 60775-2022</t>
        </is>
      </c>
      <c r="B1056" s="1" t="n">
        <v>44907</v>
      </c>
      <c r="C1056" s="1" t="n">
        <v>45972</v>
      </c>
      <c r="D1056" t="inlineStr">
        <is>
          <t>JÄMTLANDS LÄN</t>
        </is>
      </c>
      <c r="E1056" t="inlineStr">
        <is>
          <t>STRÖMSUND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19146-2025</t>
        </is>
      </c>
      <c r="B1057" s="1" t="n">
        <v>45769.34462962963</v>
      </c>
      <c r="C1057" s="1" t="n">
        <v>45972</v>
      </c>
      <c r="D1057" t="inlineStr">
        <is>
          <t>JÄMTLANDS LÄN</t>
        </is>
      </c>
      <c r="E1057" t="inlineStr">
        <is>
          <t>STRÖMSUND</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35418-2024</t>
        </is>
      </c>
      <c r="B1058" s="1" t="n">
        <v>45531.40873842593</v>
      </c>
      <c r="C1058" s="1" t="n">
        <v>45972</v>
      </c>
      <c r="D1058" t="inlineStr">
        <is>
          <t>JÄMTLANDS LÄN</t>
        </is>
      </c>
      <c r="E1058" t="inlineStr">
        <is>
          <t>STRÖMSUND</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40140-2024</t>
        </is>
      </c>
      <c r="B1059" s="1" t="n">
        <v>45554</v>
      </c>
      <c r="C1059" s="1" t="n">
        <v>45972</v>
      </c>
      <c r="D1059" t="inlineStr">
        <is>
          <t>JÄMTLANDS LÄN</t>
        </is>
      </c>
      <c r="E1059" t="inlineStr">
        <is>
          <t>STRÖMSUND</t>
        </is>
      </c>
      <c r="F1059" t="inlineStr">
        <is>
          <t>Kyrkan</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4045-2023</t>
        </is>
      </c>
      <c r="B1060" s="1" t="n">
        <v>44952.60439814815</v>
      </c>
      <c r="C1060" s="1" t="n">
        <v>45972</v>
      </c>
      <c r="D1060" t="inlineStr">
        <is>
          <t>JÄMTLANDS LÄN</t>
        </is>
      </c>
      <c r="E1060" t="inlineStr">
        <is>
          <t>STRÖMSUND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58584-2023</t>
        </is>
      </c>
      <c r="B1061" s="1" t="n">
        <v>45246</v>
      </c>
      <c r="C1061" s="1" t="n">
        <v>45972</v>
      </c>
      <c r="D1061" t="inlineStr">
        <is>
          <t>JÄMTLANDS LÄN</t>
        </is>
      </c>
      <c r="E1061" t="inlineStr">
        <is>
          <t>STRÖMSUND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19063-2025</t>
        </is>
      </c>
      <c r="B1062" s="1" t="n">
        <v>45765.34429398148</v>
      </c>
      <c r="C1062" s="1" t="n">
        <v>45972</v>
      </c>
      <c r="D1062" t="inlineStr">
        <is>
          <t>JÄMTLANDS LÄN</t>
        </is>
      </c>
      <c r="E1062" t="inlineStr">
        <is>
          <t>STRÖMSUND</t>
        </is>
      </c>
      <c r="F1062" t="inlineStr">
        <is>
          <t>SCA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57387-2023</t>
        </is>
      </c>
      <c r="B1063" s="1" t="n">
        <v>45245.92959490741</v>
      </c>
      <c r="C1063" s="1" t="n">
        <v>45972</v>
      </c>
      <c r="D1063" t="inlineStr">
        <is>
          <t>JÄMTLANDS LÄN</t>
        </is>
      </c>
      <c r="E1063" t="inlineStr">
        <is>
          <t>STRÖMSUND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66488-2021</t>
        </is>
      </c>
      <c r="B1064" s="1" t="n">
        <v>44518.94496527778</v>
      </c>
      <c r="C1064" s="1" t="n">
        <v>45972</v>
      </c>
      <c r="D1064" t="inlineStr">
        <is>
          <t>JÄMTLANDS LÄN</t>
        </is>
      </c>
      <c r="E1064" t="inlineStr">
        <is>
          <t>STRÖMSUND</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6347-2025</t>
        </is>
      </c>
      <c r="B1065" s="1" t="n">
        <v>45699.34438657408</v>
      </c>
      <c r="C1065" s="1" t="n">
        <v>45972</v>
      </c>
      <c r="D1065" t="inlineStr">
        <is>
          <t>JÄMTLANDS LÄN</t>
        </is>
      </c>
      <c r="E1065" t="inlineStr">
        <is>
          <t>STRÖMSUND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7803-2024</t>
        </is>
      </c>
      <c r="B1066" s="1" t="n">
        <v>45348</v>
      </c>
      <c r="C1066" s="1" t="n">
        <v>45972</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45972</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47941-2021</t>
        </is>
      </c>
      <c r="B1068" s="1" t="n">
        <v>44448.94142361111</v>
      </c>
      <c r="C1068" s="1" t="n">
        <v>45972</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60850-2023</t>
        </is>
      </c>
      <c r="B1069" s="1" t="n">
        <v>45260</v>
      </c>
      <c r="C1069" s="1" t="n">
        <v>45972</v>
      </c>
      <c r="D1069" t="inlineStr">
        <is>
          <t>JÄMTLANDS LÄN</t>
        </is>
      </c>
      <c r="E1069" t="inlineStr">
        <is>
          <t>STRÖMSUND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7542-2025</t>
        </is>
      </c>
      <c r="B1070" s="1" t="n">
        <v>45705.57324074074</v>
      </c>
      <c r="C1070" s="1" t="n">
        <v>45972</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7546-2025</t>
        </is>
      </c>
      <c r="B1071" s="1" t="n">
        <v>45705.57405092593</v>
      </c>
      <c r="C1071" s="1" t="n">
        <v>45972</v>
      </c>
      <c r="D1071" t="inlineStr">
        <is>
          <t>JÄMTLANDS LÄN</t>
        </is>
      </c>
      <c r="E1071" t="inlineStr">
        <is>
          <t>STRÖMSUND</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41283-2024</t>
        </is>
      </c>
      <c r="B1072" s="1" t="n">
        <v>45559.59509259259</v>
      </c>
      <c r="C1072" s="1" t="n">
        <v>45972</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2159-2021</t>
        </is>
      </c>
      <c r="B1073" s="1" t="n">
        <v>44211</v>
      </c>
      <c r="C1073" s="1" t="n">
        <v>45972</v>
      </c>
      <c r="D1073" t="inlineStr">
        <is>
          <t>JÄMTLANDS LÄN</t>
        </is>
      </c>
      <c r="E1073" t="inlineStr">
        <is>
          <t>STRÖMSUND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14928-2025</t>
        </is>
      </c>
      <c r="B1074" s="1" t="n">
        <v>45743.55309027778</v>
      </c>
      <c r="C1074" s="1" t="n">
        <v>45972</v>
      </c>
      <c r="D1074" t="inlineStr">
        <is>
          <t>JÄMTLANDS LÄN</t>
        </is>
      </c>
      <c r="E1074" t="inlineStr">
        <is>
          <t>STRÖMSUND</t>
        </is>
      </c>
      <c r="F1074" t="inlineStr">
        <is>
          <t>SCA</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34723-2024</t>
        </is>
      </c>
      <c r="B1075" s="1" t="n">
        <v>45526.56865740741</v>
      </c>
      <c r="C1075" s="1" t="n">
        <v>45972</v>
      </c>
      <c r="D1075" t="inlineStr">
        <is>
          <t>JÄMTLANDS LÄN</t>
        </is>
      </c>
      <c r="E1075" t="inlineStr">
        <is>
          <t>STRÖMSUND</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29091-2024</t>
        </is>
      </c>
      <c r="B1076" s="1" t="n">
        <v>45481.93001157408</v>
      </c>
      <c r="C1076" s="1" t="n">
        <v>45972</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29096-2024</t>
        </is>
      </c>
      <c r="B1077" s="1" t="n">
        <v>45481.9506712963</v>
      </c>
      <c r="C1077" s="1" t="n">
        <v>45972</v>
      </c>
      <c r="D1077" t="inlineStr">
        <is>
          <t>JÄMTLANDS LÄN</t>
        </is>
      </c>
      <c r="E1077" t="inlineStr">
        <is>
          <t>STRÖMSUND</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29113-2024</t>
        </is>
      </c>
      <c r="B1078" s="1" t="n">
        <v>45481.95314814815</v>
      </c>
      <c r="C1078" s="1" t="n">
        <v>45972</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13262-2025</t>
        </is>
      </c>
      <c r="B1079" s="1" t="n">
        <v>45735.53160879629</v>
      </c>
      <c r="C1079" s="1" t="n">
        <v>45972</v>
      </c>
      <c r="D1079" t="inlineStr">
        <is>
          <t>JÄMTLANDS LÄN</t>
        </is>
      </c>
      <c r="E1079" t="inlineStr">
        <is>
          <t>STRÖMSUND</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23531-2024</t>
        </is>
      </c>
      <c r="B1080" s="1" t="n">
        <v>45453.95122685185</v>
      </c>
      <c r="C1080" s="1" t="n">
        <v>45972</v>
      </c>
      <c r="D1080" t="inlineStr">
        <is>
          <t>JÄMTLANDS LÄN</t>
        </is>
      </c>
      <c r="E1080" t="inlineStr">
        <is>
          <t>STRÖMSUND</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9301-2023</t>
        </is>
      </c>
      <c r="B1081" s="1" t="n">
        <v>44977</v>
      </c>
      <c r="C1081" s="1" t="n">
        <v>45972</v>
      </c>
      <c r="D1081" t="inlineStr">
        <is>
          <t>JÄMTLANDS LÄN</t>
        </is>
      </c>
      <c r="E1081" t="inlineStr">
        <is>
          <t>STRÖMSUND</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36346-2024</t>
        </is>
      </c>
      <c r="B1082" s="1" t="n">
        <v>45534.64390046296</v>
      </c>
      <c r="C1082" s="1" t="n">
        <v>45972</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22477-2023</t>
        </is>
      </c>
      <c r="B1083" s="1" t="n">
        <v>45070</v>
      </c>
      <c r="C1083" s="1" t="n">
        <v>45972</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13898-2025</t>
        </is>
      </c>
      <c r="B1084" s="1" t="n">
        <v>45737</v>
      </c>
      <c r="C1084" s="1" t="n">
        <v>45972</v>
      </c>
      <c r="D1084" t="inlineStr">
        <is>
          <t>JÄMTLANDS LÄN</t>
        </is>
      </c>
      <c r="E1084" t="inlineStr">
        <is>
          <t>STRÖMSUND</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22346-2023</t>
        </is>
      </c>
      <c r="B1085" s="1" t="n">
        <v>45070.57097222222</v>
      </c>
      <c r="C1085" s="1" t="n">
        <v>45972</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57280-2022</t>
        </is>
      </c>
      <c r="B1086" s="1" t="n">
        <v>44895.94929398148</v>
      </c>
      <c r="C1086" s="1" t="n">
        <v>45972</v>
      </c>
      <c r="D1086" t="inlineStr">
        <is>
          <t>JÄMTLANDS LÄN</t>
        </is>
      </c>
      <c r="E1086" t="inlineStr">
        <is>
          <t>STRÖMSUND</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35583-2024</t>
        </is>
      </c>
      <c r="B1087" s="1" t="n">
        <v>45531.64809027778</v>
      </c>
      <c r="C1087" s="1" t="n">
        <v>45972</v>
      </c>
      <c r="D1087" t="inlineStr">
        <is>
          <t>JÄMTLANDS LÄN</t>
        </is>
      </c>
      <c r="E1087" t="inlineStr">
        <is>
          <t>STRÖMSUND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35584-2024</t>
        </is>
      </c>
      <c r="B1088" s="1" t="n">
        <v>45531.6481712963</v>
      </c>
      <c r="C1088" s="1" t="n">
        <v>45972</v>
      </c>
      <c r="D1088" t="inlineStr">
        <is>
          <t>JÄMTLANDS LÄN</t>
        </is>
      </c>
      <c r="E1088" t="inlineStr">
        <is>
          <t>STRÖMSUND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23780-2023</t>
        </is>
      </c>
      <c r="B1089" s="1" t="n">
        <v>45077.94703703704</v>
      </c>
      <c r="C1089" s="1" t="n">
        <v>45972</v>
      </c>
      <c r="D1089" t="inlineStr">
        <is>
          <t>JÄMTLANDS LÄN</t>
        </is>
      </c>
      <c r="E1089" t="inlineStr">
        <is>
          <t>STRÖMSUND</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25365-2024</t>
        </is>
      </c>
      <c r="B1090" s="1" t="n">
        <v>45462.95862268518</v>
      </c>
      <c r="C1090" s="1" t="n">
        <v>45972</v>
      </c>
      <c r="D1090" t="inlineStr">
        <is>
          <t>JÄMTLANDS LÄN</t>
        </is>
      </c>
      <c r="E1090" t="inlineStr">
        <is>
          <t>STRÖMSUND</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44376.93822916667</v>
      </c>
      <c r="C1091" s="1" t="n">
        <v>45972</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37207-2024</t>
        </is>
      </c>
      <c r="B1092" s="1" t="n">
        <v>45539.67773148148</v>
      </c>
      <c r="C1092" s="1" t="n">
        <v>45972</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30832-2023</t>
        </is>
      </c>
      <c r="B1093" s="1" t="n">
        <v>45112</v>
      </c>
      <c r="C1093" s="1" t="n">
        <v>45972</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43432-2022</t>
        </is>
      </c>
      <c r="B1094" s="1" t="n">
        <v>44834</v>
      </c>
      <c r="C1094" s="1" t="n">
        <v>45972</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41970-2023</t>
        </is>
      </c>
      <c r="B1095" s="1" t="n">
        <v>45174</v>
      </c>
      <c r="C1095" s="1" t="n">
        <v>45972</v>
      </c>
      <c r="D1095" t="inlineStr">
        <is>
          <t>JÄMTLANDS LÄN</t>
        </is>
      </c>
      <c r="E1095" t="inlineStr">
        <is>
          <t>STRÖMSUND</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11838-2025</t>
        </is>
      </c>
      <c r="B1096" s="1" t="n">
        <v>45728.36494212963</v>
      </c>
      <c r="C1096" s="1" t="n">
        <v>45972</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48042-2023</t>
        </is>
      </c>
      <c r="B1097" s="1" t="n">
        <v>45204.82206018519</v>
      </c>
      <c r="C1097" s="1" t="n">
        <v>45972</v>
      </c>
      <c r="D1097" t="inlineStr">
        <is>
          <t>JÄMTLANDS LÄN</t>
        </is>
      </c>
      <c r="E1097" t="inlineStr">
        <is>
          <t>STRÖMSUND</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46980-2024</t>
        </is>
      </c>
      <c r="B1098" s="1" t="n">
        <v>45586.35054398148</v>
      </c>
      <c r="C1098" s="1" t="n">
        <v>45972</v>
      </c>
      <c r="D1098" t="inlineStr">
        <is>
          <t>JÄMTLANDS LÄN</t>
        </is>
      </c>
      <c r="E1098" t="inlineStr">
        <is>
          <t>STRÖMSUND</t>
        </is>
      </c>
      <c r="F1098" t="inlineStr">
        <is>
          <t>Holmen skog AB</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58206-2024</t>
        </is>
      </c>
      <c r="B1099" s="1" t="n">
        <v>45632.4900462963</v>
      </c>
      <c r="C1099" s="1" t="n">
        <v>45972</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35687-2024</t>
        </is>
      </c>
      <c r="B1100" s="1" t="n">
        <v>45532.42047453704</v>
      </c>
      <c r="C1100" s="1" t="n">
        <v>45972</v>
      </c>
      <c r="D1100" t="inlineStr">
        <is>
          <t>JÄMTLANDS LÄN</t>
        </is>
      </c>
      <c r="E1100" t="inlineStr">
        <is>
          <t>STRÖMSUND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35585-2024</t>
        </is>
      </c>
      <c r="B1101" s="1" t="n">
        <v>45531.64827546296</v>
      </c>
      <c r="C1101" s="1" t="n">
        <v>45972</v>
      </c>
      <c r="D1101" t="inlineStr">
        <is>
          <t>JÄMTLANDS LÄN</t>
        </is>
      </c>
      <c r="E1101" t="inlineStr">
        <is>
          <t>STRÖMSUND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61475-2024</t>
        </is>
      </c>
      <c r="B1102" s="1" t="n">
        <v>45645</v>
      </c>
      <c r="C1102" s="1" t="n">
        <v>45972</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23303-2023</t>
        </is>
      </c>
      <c r="B1103" s="1" t="n">
        <v>45075.94493055555</v>
      </c>
      <c r="C1103" s="1" t="n">
        <v>45972</v>
      </c>
      <c r="D1103" t="inlineStr">
        <is>
          <t>JÄMTLANDS LÄN</t>
        </is>
      </c>
      <c r="E1103" t="inlineStr">
        <is>
          <t>STRÖMSUND</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23311-2023</t>
        </is>
      </c>
      <c r="B1104" s="1" t="n">
        <v>45075</v>
      </c>
      <c r="C1104" s="1" t="n">
        <v>45972</v>
      </c>
      <c r="D1104" t="inlineStr">
        <is>
          <t>JÄMTLANDS LÄN</t>
        </is>
      </c>
      <c r="E1104" t="inlineStr">
        <is>
          <t>STRÖMSUND</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13146-2025</t>
        </is>
      </c>
      <c r="B1105" s="1" t="n">
        <v>45734</v>
      </c>
      <c r="C1105" s="1" t="n">
        <v>45972</v>
      </c>
      <c r="D1105" t="inlineStr">
        <is>
          <t>JÄMTLANDS LÄN</t>
        </is>
      </c>
      <c r="E1105" t="inlineStr">
        <is>
          <t>STRÖMSUND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56997-2024</t>
        </is>
      </c>
      <c r="B1106" s="1" t="n">
        <v>45628.71888888889</v>
      </c>
      <c r="C1106" s="1" t="n">
        <v>45972</v>
      </c>
      <c r="D1106" t="inlineStr">
        <is>
          <t>JÄMTLANDS LÄN</t>
        </is>
      </c>
      <c r="E1106" t="inlineStr">
        <is>
          <t>STRÖMSUND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21781-2025</t>
        </is>
      </c>
      <c r="B1107" s="1" t="n">
        <v>45783.66841435185</v>
      </c>
      <c r="C1107" s="1" t="n">
        <v>45972</v>
      </c>
      <c r="D1107" t="inlineStr">
        <is>
          <t>JÄMTLANDS LÄN</t>
        </is>
      </c>
      <c r="E1107" t="inlineStr">
        <is>
          <t>STRÖMSUND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26048-2024</t>
        </is>
      </c>
      <c r="B1108" s="1" t="n">
        <v>45468.32363425926</v>
      </c>
      <c r="C1108" s="1" t="n">
        <v>45972</v>
      </c>
      <c r="D1108" t="inlineStr">
        <is>
          <t>JÄMTLANDS LÄN</t>
        </is>
      </c>
      <c r="E1108" t="inlineStr">
        <is>
          <t>STRÖMSUND</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61811-2020</t>
        </is>
      </c>
      <c r="B1109" s="1" t="n">
        <v>44158</v>
      </c>
      <c r="C1109" s="1" t="n">
        <v>45972</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8327-2025</t>
        </is>
      </c>
      <c r="B1110" s="1" t="n">
        <v>45708.63655092593</v>
      </c>
      <c r="C1110" s="1" t="n">
        <v>45972</v>
      </c>
      <c r="D1110" t="inlineStr">
        <is>
          <t>JÄMTLANDS LÄN</t>
        </is>
      </c>
      <c r="E1110" t="inlineStr">
        <is>
          <t>STRÖMSUND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8495-2025</t>
        </is>
      </c>
      <c r="B1111" s="1" t="n">
        <v>45709.51079861111</v>
      </c>
      <c r="C1111" s="1" t="n">
        <v>45972</v>
      </c>
      <c r="D1111" t="inlineStr">
        <is>
          <t>JÄMTLANDS LÄN</t>
        </is>
      </c>
      <c r="E1111" t="inlineStr">
        <is>
          <t>STRÖMSUND</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58646-2024</t>
        </is>
      </c>
      <c r="B1112" s="1" t="n">
        <v>45635.59450231482</v>
      </c>
      <c r="C1112" s="1" t="n">
        <v>45972</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14894-2022</t>
        </is>
      </c>
      <c r="B1113" s="1" t="n">
        <v>44656.94644675926</v>
      </c>
      <c r="C1113" s="1" t="n">
        <v>45972</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5642-2022</t>
        </is>
      </c>
      <c r="B1114" s="1" t="n">
        <v>44595.92322916666</v>
      </c>
      <c r="C1114" s="1" t="n">
        <v>45972</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34227-2024</t>
        </is>
      </c>
      <c r="B1115" s="1" t="n">
        <v>45524.55819444444</v>
      </c>
      <c r="C1115" s="1" t="n">
        <v>45972</v>
      </c>
      <c r="D1115" t="inlineStr">
        <is>
          <t>JÄMTLANDS LÄN</t>
        </is>
      </c>
      <c r="E1115" t="inlineStr">
        <is>
          <t>STRÖMSUND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58947-2024</t>
        </is>
      </c>
      <c r="B1116" s="1" t="n">
        <v>45636.55244212963</v>
      </c>
      <c r="C1116" s="1" t="n">
        <v>45972</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39040-2025</t>
        </is>
      </c>
      <c r="B1117" s="1" t="n">
        <v>45888.42753472222</v>
      </c>
      <c r="C1117" s="1" t="n">
        <v>45972</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38806-2025</t>
        </is>
      </c>
      <c r="B1118" s="1" t="n">
        <v>45887.46930555555</v>
      </c>
      <c r="C1118" s="1" t="n">
        <v>45972</v>
      </c>
      <c r="D1118" t="inlineStr">
        <is>
          <t>JÄMTLANDS LÄN</t>
        </is>
      </c>
      <c r="E1118" t="inlineStr">
        <is>
          <t>STRÖMSUND</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40105-2023</t>
        </is>
      </c>
      <c r="B1119" s="1" t="n">
        <v>45168.93778935185</v>
      </c>
      <c r="C1119" s="1" t="n">
        <v>45972</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58027-2024</t>
        </is>
      </c>
      <c r="B1120" s="1" t="n">
        <v>45631</v>
      </c>
      <c r="C1120" s="1" t="n">
        <v>45972</v>
      </c>
      <c r="D1120" t="inlineStr">
        <is>
          <t>JÄMTLANDS LÄN</t>
        </is>
      </c>
      <c r="E1120" t="inlineStr">
        <is>
          <t>STRÖMSUND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47121-2025</t>
        </is>
      </c>
      <c r="B1121" s="1" t="n">
        <v>45929.67857638889</v>
      </c>
      <c r="C1121" s="1" t="n">
        <v>45972</v>
      </c>
      <c r="D1121" t="inlineStr">
        <is>
          <t>JÄMTLANDS LÄN</t>
        </is>
      </c>
      <c r="E1121" t="inlineStr">
        <is>
          <t>STRÖMSUND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23635-2025</t>
        </is>
      </c>
      <c r="B1122" s="1" t="n">
        <v>45792.67891203704</v>
      </c>
      <c r="C1122" s="1" t="n">
        <v>45972</v>
      </c>
      <c r="D1122" t="inlineStr">
        <is>
          <t>JÄMTLANDS LÄN</t>
        </is>
      </c>
      <c r="E1122" t="inlineStr">
        <is>
          <t>STRÖMSUND</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10583-2025</t>
        </is>
      </c>
      <c r="B1123" s="1" t="n">
        <v>45721</v>
      </c>
      <c r="C1123" s="1" t="n">
        <v>45972</v>
      </c>
      <c r="D1123" t="inlineStr">
        <is>
          <t>JÄMTLANDS LÄN</t>
        </is>
      </c>
      <c r="E1123" t="inlineStr">
        <is>
          <t>STRÖMSUND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1609-2024</t>
        </is>
      </c>
      <c r="B1124" s="1" t="n">
        <v>45306</v>
      </c>
      <c r="C1124" s="1" t="n">
        <v>45972</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9318-2025</t>
        </is>
      </c>
      <c r="B1125" s="1" t="n">
        <v>45714.71163194445</v>
      </c>
      <c r="C1125" s="1" t="n">
        <v>45972</v>
      </c>
      <c r="D1125" t="inlineStr">
        <is>
          <t>JÄMTLANDS LÄN</t>
        </is>
      </c>
      <c r="E1125" t="inlineStr">
        <is>
          <t>STRÖMSUND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45972</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45972</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53884-2024</t>
        </is>
      </c>
      <c r="B1128" s="1" t="n">
        <v>45615.67789351852</v>
      </c>
      <c r="C1128" s="1" t="n">
        <v>45972</v>
      </c>
      <c r="D1128" t="inlineStr">
        <is>
          <t>JÄMTLANDS LÄN</t>
        </is>
      </c>
      <c r="E1128" t="inlineStr">
        <is>
          <t>STRÖMSUND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36311-2024</t>
        </is>
      </c>
      <c r="B1129" s="1" t="n">
        <v>45534.63079861111</v>
      </c>
      <c r="C1129" s="1" t="n">
        <v>45972</v>
      </c>
      <c r="D1129" t="inlineStr">
        <is>
          <t>JÄMTLANDS LÄN</t>
        </is>
      </c>
      <c r="E1129" t="inlineStr">
        <is>
          <t>STRÖMSUND</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36344-2024</t>
        </is>
      </c>
      <c r="B1130" s="1" t="n">
        <v>45534.64349537037</v>
      </c>
      <c r="C1130" s="1" t="n">
        <v>45972</v>
      </c>
      <c r="D1130" t="inlineStr">
        <is>
          <t>JÄMTLANDS LÄN</t>
        </is>
      </c>
      <c r="E1130" t="inlineStr">
        <is>
          <t>STRÖMSUND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36347-2024</t>
        </is>
      </c>
      <c r="B1131" s="1" t="n">
        <v>45534.64393518519</v>
      </c>
      <c r="C1131" s="1" t="n">
        <v>45972</v>
      </c>
      <c r="D1131" t="inlineStr">
        <is>
          <t>JÄMTLANDS LÄN</t>
        </is>
      </c>
      <c r="E1131" t="inlineStr">
        <is>
          <t>STRÖMSUND</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53396-2022</t>
        </is>
      </c>
      <c r="B1132" s="1" t="n">
        <v>44879.43427083334</v>
      </c>
      <c r="C1132" s="1" t="n">
        <v>45972</v>
      </c>
      <c r="D1132" t="inlineStr">
        <is>
          <t>JÄMTLANDS LÄN</t>
        </is>
      </c>
      <c r="E1132" t="inlineStr">
        <is>
          <t>STRÖMSUND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57383-2023</t>
        </is>
      </c>
      <c r="B1133" s="1" t="n">
        <v>45245.92938657408</v>
      </c>
      <c r="C1133" s="1" t="n">
        <v>45972</v>
      </c>
      <c r="D1133" t="inlineStr">
        <is>
          <t>JÄMTLANDS LÄN</t>
        </is>
      </c>
      <c r="E1133" t="inlineStr">
        <is>
          <t>STRÖMSUND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45972</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18775-2023</t>
        </is>
      </c>
      <c r="B1135" s="1" t="n">
        <v>45043.94303240741</v>
      </c>
      <c r="C1135" s="1" t="n">
        <v>45972</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17514-2025</t>
        </is>
      </c>
      <c r="B1136" s="1" t="n">
        <v>45757.57347222222</v>
      </c>
      <c r="C1136" s="1" t="n">
        <v>45972</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21552-2025</t>
        </is>
      </c>
      <c r="B1137" s="1" t="n">
        <v>45782.67795138889</v>
      </c>
      <c r="C1137" s="1" t="n">
        <v>45972</v>
      </c>
      <c r="D1137" t="inlineStr">
        <is>
          <t>JÄMTLANDS LÄN</t>
        </is>
      </c>
      <c r="E1137" t="inlineStr">
        <is>
          <t>STRÖMSUND</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54805-2024</t>
        </is>
      </c>
      <c r="B1138" s="1" t="n">
        <v>45618.51116898148</v>
      </c>
      <c r="C1138" s="1" t="n">
        <v>45972</v>
      </c>
      <c r="D1138" t="inlineStr">
        <is>
          <t>JÄMTLANDS LÄN</t>
        </is>
      </c>
      <c r="E1138" t="inlineStr">
        <is>
          <t>STRÖMSUND</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55325-2024</t>
        </is>
      </c>
      <c r="B1139" s="1" t="n">
        <v>45621</v>
      </c>
      <c r="C1139" s="1" t="n">
        <v>45972</v>
      </c>
      <c r="D1139" t="inlineStr">
        <is>
          <t>JÄMTLANDS LÄN</t>
        </is>
      </c>
      <c r="E1139" t="inlineStr">
        <is>
          <t>STRÖMSUND</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34007-2023</t>
        </is>
      </c>
      <c r="B1140" s="1" t="n">
        <v>45134.95141203704</v>
      </c>
      <c r="C1140" s="1" t="n">
        <v>45972</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34008-2023</t>
        </is>
      </c>
      <c r="B1141" s="1" t="n">
        <v>45134</v>
      </c>
      <c r="C1141" s="1" t="n">
        <v>45972</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1421-2025</t>
        </is>
      </c>
      <c r="B1142" s="1" t="n">
        <v>45668.59413194445</v>
      </c>
      <c r="C1142" s="1" t="n">
        <v>45972</v>
      </c>
      <c r="D1142" t="inlineStr">
        <is>
          <t>JÄMTLANDS LÄN</t>
        </is>
      </c>
      <c r="E1142" t="inlineStr">
        <is>
          <t>STRÖMSUND</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39508-2025</t>
        </is>
      </c>
      <c r="B1143" s="1" t="n">
        <v>45890.40730324074</v>
      </c>
      <c r="C1143" s="1" t="n">
        <v>45972</v>
      </c>
      <c r="D1143" t="inlineStr">
        <is>
          <t>JÄMTLANDS LÄN</t>
        </is>
      </c>
      <c r="E1143" t="inlineStr">
        <is>
          <t>STRÖMSUND</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30064-2024</t>
        </is>
      </c>
      <c r="B1144" s="1" t="n">
        <v>45488.94849537037</v>
      </c>
      <c r="C1144" s="1" t="n">
        <v>45972</v>
      </c>
      <c r="D1144" t="inlineStr">
        <is>
          <t>JÄMTLANDS LÄN</t>
        </is>
      </c>
      <c r="E1144" t="inlineStr">
        <is>
          <t>STRÖMSUND</t>
        </is>
      </c>
      <c r="F1144" t="inlineStr">
        <is>
          <t>SCA</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60667-2022</t>
        </is>
      </c>
      <c r="B1145" s="1" t="n">
        <v>44911</v>
      </c>
      <c r="C1145" s="1" t="n">
        <v>45972</v>
      </c>
      <c r="D1145" t="inlineStr">
        <is>
          <t>JÄMTLANDS LÄN</t>
        </is>
      </c>
      <c r="E1145" t="inlineStr">
        <is>
          <t>STRÖMSUND</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29605-2023</t>
        </is>
      </c>
      <c r="B1146" s="1" t="n">
        <v>45106.94369212963</v>
      </c>
      <c r="C1146" s="1" t="n">
        <v>45972</v>
      </c>
      <c r="D1146" t="inlineStr">
        <is>
          <t>JÄMTLANDS LÄN</t>
        </is>
      </c>
      <c r="E1146" t="inlineStr">
        <is>
          <t>STRÖMSUND</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12018-2022</t>
        </is>
      </c>
      <c r="B1147" s="1" t="n">
        <v>44635</v>
      </c>
      <c r="C1147" s="1" t="n">
        <v>45972</v>
      </c>
      <c r="D1147" t="inlineStr">
        <is>
          <t>JÄMTLANDS LÄN</t>
        </is>
      </c>
      <c r="E1147" t="inlineStr">
        <is>
          <t>STRÖMSUND</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2686-2025</t>
        </is>
      </c>
      <c r="B1148" s="1" t="n">
        <v>45677.36503472222</v>
      </c>
      <c r="C1148" s="1" t="n">
        <v>45972</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23310-2023</t>
        </is>
      </c>
      <c r="B1149" s="1" t="n">
        <v>45075</v>
      </c>
      <c r="C1149" s="1" t="n">
        <v>45972</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2534-2025</t>
        </is>
      </c>
      <c r="B1150" s="1" t="n">
        <v>45674.61513888889</v>
      </c>
      <c r="C1150" s="1" t="n">
        <v>45972</v>
      </c>
      <c r="D1150" t="inlineStr">
        <is>
          <t>JÄMTLANDS LÄN</t>
        </is>
      </c>
      <c r="E1150" t="inlineStr">
        <is>
          <t>STRÖMSUND</t>
        </is>
      </c>
      <c r="F1150" t="inlineStr">
        <is>
          <t>SCA</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32358-2024</t>
        </is>
      </c>
      <c r="B1151" s="1" t="n">
        <v>45512.56609953703</v>
      </c>
      <c r="C1151" s="1" t="n">
        <v>45972</v>
      </c>
      <c r="D1151" t="inlineStr">
        <is>
          <t>JÄMTLANDS LÄN</t>
        </is>
      </c>
      <c r="E1151" t="inlineStr">
        <is>
          <t>STRÖMSUND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46329-2025</t>
        </is>
      </c>
      <c r="B1152" s="1" t="n">
        <v>45925</v>
      </c>
      <c r="C1152" s="1" t="n">
        <v>45972</v>
      </c>
      <c r="D1152" t="inlineStr">
        <is>
          <t>JÄMTLANDS LÄN</t>
        </is>
      </c>
      <c r="E1152" t="inlineStr">
        <is>
          <t>STRÖMSUND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47528-2025</t>
        </is>
      </c>
      <c r="B1153" s="1" t="n">
        <v>45931.34568287037</v>
      </c>
      <c r="C1153" s="1" t="n">
        <v>45972</v>
      </c>
      <c r="D1153" t="inlineStr">
        <is>
          <t>JÄMTLANDS LÄN</t>
        </is>
      </c>
      <c r="E1153" t="inlineStr">
        <is>
          <t>STRÖMSUND</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35011-2023</t>
        </is>
      </c>
      <c r="B1154" s="1" t="n">
        <v>45142.95155092593</v>
      </c>
      <c r="C1154" s="1" t="n">
        <v>45972</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9514-2024</t>
        </is>
      </c>
      <c r="B1155" s="1" t="n">
        <v>45359</v>
      </c>
      <c r="C1155" s="1" t="n">
        <v>45972</v>
      </c>
      <c r="D1155" t="inlineStr">
        <is>
          <t>JÄMTLANDS LÄN</t>
        </is>
      </c>
      <c r="E1155" t="inlineStr">
        <is>
          <t>STRÖMSUND</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10951-2025</t>
        </is>
      </c>
      <c r="B1156" s="1" t="n">
        <v>45723</v>
      </c>
      <c r="C1156" s="1" t="n">
        <v>45972</v>
      </c>
      <c r="D1156" t="inlineStr">
        <is>
          <t>JÄMTLANDS LÄN</t>
        </is>
      </c>
      <c r="E1156" t="inlineStr">
        <is>
          <t>STRÖMSUND</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13924-2024</t>
        </is>
      </c>
      <c r="B1157" s="1" t="n">
        <v>45391.9315162037</v>
      </c>
      <c r="C1157" s="1" t="n">
        <v>45972</v>
      </c>
      <c r="D1157" t="inlineStr">
        <is>
          <t>JÄMTLANDS LÄN</t>
        </is>
      </c>
      <c r="E1157" t="inlineStr">
        <is>
          <t>STRÖMSUND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29299-2025</t>
        </is>
      </c>
      <c r="B1158" s="1" t="n">
        <v>45824.4528125</v>
      </c>
      <c r="C1158" s="1" t="n">
        <v>45972</v>
      </c>
      <c r="D1158" t="inlineStr">
        <is>
          <t>JÄMTLANDS LÄN</t>
        </is>
      </c>
      <c r="E1158" t="inlineStr">
        <is>
          <t>STRÖMSUND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47985-2025</t>
        </is>
      </c>
      <c r="B1159" s="1" t="n">
        <v>45932</v>
      </c>
      <c r="C1159" s="1" t="n">
        <v>45972</v>
      </c>
      <c r="D1159" t="inlineStr">
        <is>
          <t>JÄMTLANDS LÄN</t>
        </is>
      </c>
      <c r="E1159" t="inlineStr">
        <is>
          <t>STRÖMSUND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39560-2025</t>
        </is>
      </c>
      <c r="B1160" s="1" t="n">
        <v>45890.47173611111</v>
      </c>
      <c r="C1160" s="1" t="n">
        <v>45972</v>
      </c>
      <c r="D1160" t="inlineStr">
        <is>
          <t>JÄMTLANDS LÄN</t>
        </is>
      </c>
      <c r="E1160" t="inlineStr">
        <is>
          <t>STRÖMSUND</t>
        </is>
      </c>
      <c r="F1160" t="inlineStr">
        <is>
          <t>Holmen skog AB</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37302-2024</t>
        </is>
      </c>
      <c r="B1161" s="1" t="n">
        <v>45540.46631944444</v>
      </c>
      <c r="C1161" s="1" t="n">
        <v>45972</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48051-2025</t>
        </is>
      </c>
      <c r="B1162" s="1" t="n">
        <v>45932.678125</v>
      </c>
      <c r="C1162" s="1" t="n">
        <v>45972</v>
      </c>
      <c r="D1162" t="inlineStr">
        <is>
          <t>JÄMTLANDS LÄN</t>
        </is>
      </c>
      <c r="E1162" t="inlineStr">
        <is>
          <t>STRÖMSUND</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47663-2025</t>
        </is>
      </c>
      <c r="B1163" s="1" t="n">
        <v>45931.56105324074</v>
      </c>
      <c r="C1163" s="1" t="n">
        <v>45972</v>
      </c>
      <c r="D1163" t="inlineStr">
        <is>
          <t>JÄMTLANDS LÄN</t>
        </is>
      </c>
      <c r="E1163" t="inlineStr">
        <is>
          <t>STRÖMSUND</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18192-2025</t>
        </is>
      </c>
      <c r="B1164" s="1" t="n">
        <v>45761</v>
      </c>
      <c r="C1164" s="1" t="n">
        <v>45972</v>
      </c>
      <c r="D1164" t="inlineStr">
        <is>
          <t>JÄMTLANDS LÄN</t>
        </is>
      </c>
      <c r="E1164" t="inlineStr">
        <is>
          <t>STRÖMSUND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20074-2025</t>
        </is>
      </c>
      <c r="B1165" s="1" t="n">
        <v>45772.44841435185</v>
      </c>
      <c r="C1165" s="1" t="n">
        <v>45972</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60740-2022</t>
        </is>
      </c>
      <c r="B1166" s="1" t="n">
        <v>44913</v>
      </c>
      <c r="C1166" s="1" t="n">
        <v>45972</v>
      </c>
      <c r="D1166" t="inlineStr">
        <is>
          <t>JÄMTLANDS LÄN</t>
        </is>
      </c>
      <c r="E1166" t="inlineStr">
        <is>
          <t>STRÖMSUND</t>
        </is>
      </c>
      <c r="F1166" t="inlineStr">
        <is>
          <t>SCA</t>
        </is>
      </c>
      <c r="G1166" t="n">
        <v>16.7</v>
      </c>
      <c r="H1166" t="n">
        <v>0</v>
      </c>
      <c r="I1166" t="n">
        <v>0</v>
      </c>
      <c r="J1166" t="n">
        <v>0</v>
      </c>
      <c r="K1166" t="n">
        <v>0</v>
      </c>
      <c r="L1166" t="n">
        <v>0</v>
      </c>
      <c r="M1166" t="n">
        <v>0</v>
      </c>
      <c r="N1166" t="n">
        <v>0</v>
      </c>
      <c r="O1166" t="n">
        <v>0</v>
      </c>
      <c r="P1166" t="n">
        <v>0</v>
      </c>
      <c r="Q1166" t="n">
        <v>0</v>
      </c>
      <c r="R1166" s="2" t="inlineStr"/>
    </row>
    <row r="1167" ht="15" customHeight="1">
      <c r="A1167" t="inlineStr">
        <is>
          <t>A 57258-2024</t>
        </is>
      </c>
      <c r="B1167" s="1" t="n">
        <v>45628</v>
      </c>
      <c r="C1167" s="1" t="n">
        <v>45972</v>
      </c>
      <c r="D1167" t="inlineStr">
        <is>
          <t>JÄMTLANDS LÄN</t>
        </is>
      </c>
      <c r="E1167" t="inlineStr">
        <is>
          <t>STRÖMSUND</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18279-2025</t>
        </is>
      </c>
      <c r="B1168" s="1" t="n">
        <v>45762</v>
      </c>
      <c r="C1168" s="1" t="n">
        <v>45972</v>
      </c>
      <c r="D1168" t="inlineStr">
        <is>
          <t>JÄMTLANDS LÄN</t>
        </is>
      </c>
      <c r="E1168" t="inlineStr">
        <is>
          <t>STRÖMSUND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18280-2025</t>
        </is>
      </c>
      <c r="B1169" s="1" t="n">
        <v>45762</v>
      </c>
      <c r="C1169" s="1" t="n">
        <v>45972</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41902-2023</t>
        </is>
      </c>
      <c r="B1170" s="1" t="n">
        <v>45176.87350694444</v>
      </c>
      <c r="C1170" s="1" t="n">
        <v>45972</v>
      </c>
      <c r="D1170" t="inlineStr">
        <is>
          <t>JÄMTLANDS LÄN</t>
        </is>
      </c>
      <c r="E1170" t="inlineStr">
        <is>
          <t>STRÖMSUND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41917-2023</t>
        </is>
      </c>
      <c r="B1171" s="1" t="n">
        <v>45176.9441087963</v>
      </c>
      <c r="C1171" s="1" t="n">
        <v>45972</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26734-2022</t>
        </is>
      </c>
      <c r="B1172" s="1" t="n">
        <v>44739.94028935185</v>
      </c>
      <c r="C1172" s="1" t="n">
        <v>45972</v>
      </c>
      <c r="D1172" t="inlineStr">
        <is>
          <t>JÄMTLANDS LÄN</t>
        </is>
      </c>
      <c r="E1172" t="inlineStr">
        <is>
          <t>STRÖMSUND</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10047-2025</t>
        </is>
      </c>
      <c r="B1173" s="1" t="n">
        <v>45719.51087962963</v>
      </c>
      <c r="C1173" s="1" t="n">
        <v>45972</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17506-2025</t>
        </is>
      </c>
      <c r="B1174" s="1" t="n">
        <v>45757</v>
      </c>
      <c r="C1174" s="1" t="n">
        <v>45972</v>
      </c>
      <c r="D1174" t="inlineStr">
        <is>
          <t>JÄMTLANDS LÄN</t>
        </is>
      </c>
      <c r="E1174" t="inlineStr">
        <is>
          <t>STRÖMSUND</t>
        </is>
      </c>
      <c r="G1174" t="n">
        <v>17.6</v>
      </c>
      <c r="H1174" t="n">
        <v>0</v>
      </c>
      <c r="I1174" t="n">
        <v>0</v>
      </c>
      <c r="J1174" t="n">
        <v>0</v>
      </c>
      <c r="K1174" t="n">
        <v>0</v>
      </c>
      <c r="L1174" t="n">
        <v>0</v>
      </c>
      <c r="M1174" t="n">
        <v>0</v>
      </c>
      <c r="N1174" t="n">
        <v>0</v>
      </c>
      <c r="O1174" t="n">
        <v>0</v>
      </c>
      <c r="P1174" t="n">
        <v>0</v>
      </c>
      <c r="Q1174" t="n">
        <v>0</v>
      </c>
      <c r="R1174" s="2" t="inlineStr"/>
    </row>
    <row r="1175" ht="15" customHeight="1">
      <c r="A1175" t="inlineStr">
        <is>
          <t>A 48775-2023</t>
        </is>
      </c>
      <c r="B1175" s="1" t="n">
        <v>45208.949375</v>
      </c>
      <c r="C1175" s="1" t="n">
        <v>45972</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33787-2021</t>
        </is>
      </c>
      <c r="B1176" s="1" t="n">
        <v>44368</v>
      </c>
      <c r="C1176" s="1" t="n">
        <v>45972</v>
      </c>
      <c r="D1176" t="inlineStr">
        <is>
          <t>JÄMTLANDS LÄN</t>
        </is>
      </c>
      <c r="E1176" t="inlineStr">
        <is>
          <t>STRÖMSUND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28510-2024</t>
        </is>
      </c>
      <c r="B1177" s="1" t="n">
        <v>45477.94780092593</v>
      </c>
      <c r="C1177" s="1" t="n">
        <v>45972</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28511-2024</t>
        </is>
      </c>
      <c r="B1178" s="1" t="n">
        <v>45477.94787037037</v>
      </c>
      <c r="C1178" s="1" t="n">
        <v>45972</v>
      </c>
      <c r="D1178" t="inlineStr">
        <is>
          <t>JÄMTLANDS LÄN</t>
        </is>
      </c>
      <c r="E1178" t="inlineStr">
        <is>
          <t>STRÖMSUND</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17030-2025</t>
        </is>
      </c>
      <c r="B1179" s="1" t="n">
        <v>45755.57325231482</v>
      </c>
      <c r="C1179" s="1" t="n">
        <v>45972</v>
      </c>
      <c r="D1179" t="inlineStr">
        <is>
          <t>JÄMTLANDS LÄN</t>
        </is>
      </c>
      <c r="E1179" t="inlineStr">
        <is>
          <t>STRÖMSUND</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58968-2024</t>
        </is>
      </c>
      <c r="B1180" s="1" t="n">
        <v>45636.59418981482</v>
      </c>
      <c r="C1180" s="1" t="n">
        <v>45972</v>
      </c>
      <c r="D1180" t="inlineStr">
        <is>
          <t>JÄMTLANDS LÄN</t>
        </is>
      </c>
      <c r="E1180" t="inlineStr">
        <is>
          <t>STRÖMSUND</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29069-2023</t>
        </is>
      </c>
      <c r="B1181" s="1" t="n">
        <v>45104.94112268519</v>
      </c>
      <c r="C1181" s="1" t="n">
        <v>45972</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48333-2022</t>
        </is>
      </c>
      <c r="B1182" s="1" t="n">
        <v>44858</v>
      </c>
      <c r="C1182" s="1" t="n">
        <v>45972</v>
      </c>
      <c r="D1182" t="inlineStr">
        <is>
          <t>JÄMTLANDS LÄN</t>
        </is>
      </c>
      <c r="E1182" t="inlineStr">
        <is>
          <t>STRÖMSUND</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61481-2024</t>
        </is>
      </c>
      <c r="B1183" s="1" t="n">
        <v>45645</v>
      </c>
      <c r="C1183" s="1" t="n">
        <v>45972</v>
      </c>
      <c r="D1183" t="inlineStr">
        <is>
          <t>JÄMTLANDS LÄN</t>
        </is>
      </c>
      <c r="E1183" t="inlineStr">
        <is>
          <t>STRÖMSUND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8676-2023</t>
        </is>
      </c>
      <c r="B1184" s="1" t="n">
        <v>44977.98641203704</v>
      </c>
      <c r="C1184" s="1" t="n">
        <v>45972</v>
      </c>
      <c r="D1184" t="inlineStr">
        <is>
          <t>JÄMTLANDS LÄN</t>
        </is>
      </c>
      <c r="E1184" t="inlineStr">
        <is>
          <t>STRÖMSUND</t>
        </is>
      </c>
      <c r="F1184" t="inlineStr">
        <is>
          <t>SCA</t>
        </is>
      </c>
      <c r="G1184" t="n">
        <v>16.5</v>
      </c>
      <c r="H1184" t="n">
        <v>0</v>
      </c>
      <c r="I1184" t="n">
        <v>0</v>
      </c>
      <c r="J1184" t="n">
        <v>0</v>
      </c>
      <c r="K1184" t="n">
        <v>0</v>
      </c>
      <c r="L1184" t="n">
        <v>0</v>
      </c>
      <c r="M1184" t="n">
        <v>0</v>
      </c>
      <c r="N1184" t="n">
        <v>0</v>
      </c>
      <c r="O1184" t="n">
        <v>0</v>
      </c>
      <c r="P1184" t="n">
        <v>0</v>
      </c>
      <c r="Q1184" t="n">
        <v>0</v>
      </c>
      <c r="R1184" s="2" t="inlineStr"/>
    </row>
    <row r="1185" ht="15" customHeight="1">
      <c r="A1185" t="inlineStr">
        <is>
          <t>A 61136-2023</t>
        </is>
      </c>
      <c r="B1185" s="1" t="n">
        <v>45261.92803240741</v>
      </c>
      <c r="C1185" s="1" t="n">
        <v>45972</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36913-2024</t>
        </is>
      </c>
      <c r="B1186" s="1" t="n">
        <v>45538.63615740741</v>
      </c>
      <c r="C1186" s="1" t="n">
        <v>45972</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4523-2023</t>
        </is>
      </c>
      <c r="B1187" s="1" t="n">
        <v>44952</v>
      </c>
      <c r="C1187" s="1" t="n">
        <v>45972</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47535-2025</t>
        </is>
      </c>
      <c r="B1188" s="1" t="n">
        <v>45931.34679398148</v>
      </c>
      <c r="C1188" s="1" t="n">
        <v>45972</v>
      </c>
      <c r="D1188" t="inlineStr">
        <is>
          <t>JÄMTLANDS LÄN</t>
        </is>
      </c>
      <c r="E1188" t="inlineStr">
        <is>
          <t>STRÖMSUND</t>
        </is>
      </c>
      <c r="F1188" t="inlineStr">
        <is>
          <t>SCA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5327-2024</t>
        </is>
      </c>
      <c r="B1189" s="1" t="n">
        <v>45331.41613425926</v>
      </c>
      <c r="C1189" s="1" t="n">
        <v>45972</v>
      </c>
      <c r="D1189" t="inlineStr">
        <is>
          <t>JÄMTLANDS LÄN</t>
        </is>
      </c>
      <c r="E1189" t="inlineStr">
        <is>
          <t>STRÖMSUND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21358-2023</t>
        </is>
      </c>
      <c r="B1190" s="1" t="n">
        <v>45062.93969907407</v>
      </c>
      <c r="C1190" s="1" t="n">
        <v>45972</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44502.92039351852</v>
      </c>
      <c r="C1191" s="1" t="n">
        <v>45972</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1548-2025</t>
        </is>
      </c>
      <c r="B1192" s="1" t="n">
        <v>45670</v>
      </c>
      <c r="C1192" s="1" t="n">
        <v>45972</v>
      </c>
      <c r="D1192" t="inlineStr">
        <is>
          <t>JÄMTLANDS LÄN</t>
        </is>
      </c>
      <c r="E1192" t="inlineStr">
        <is>
          <t>STRÖMSUND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59334-2023</t>
        </is>
      </c>
      <c r="B1193" s="1" t="n">
        <v>45252</v>
      </c>
      <c r="C1193" s="1" t="n">
        <v>45972</v>
      </c>
      <c r="D1193" t="inlineStr">
        <is>
          <t>JÄMTLANDS LÄN</t>
        </is>
      </c>
      <c r="E1193" t="inlineStr">
        <is>
          <t>STRÖMSUND</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58393-2024</t>
        </is>
      </c>
      <c r="B1194" s="1" t="n">
        <v>45633.78479166667</v>
      </c>
      <c r="C1194" s="1" t="n">
        <v>45972</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40439-2023</t>
        </is>
      </c>
      <c r="B1195" s="1" t="n">
        <v>45169</v>
      </c>
      <c r="C1195" s="1" t="n">
        <v>45972</v>
      </c>
      <c r="D1195" t="inlineStr">
        <is>
          <t>JÄMTLANDS LÄN</t>
        </is>
      </c>
      <c r="E1195" t="inlineStr">
        <is>
          <t>STRÖMSUND</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40440-2023</t>
        </is>
      </c>
      <c r="B1196" s="1" t="n">
        <v>45169.94126157407</v>
      </c>
      <c r="C1196" s="1" t="n">
        <v>45972</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66982-2020</t>
        </is>
      </c>
      <c r="B1197" s="1" t="n">
        <v>44176</v>
      </c>
      <c r="C1197" s="1" t="n">
        <v>45972</v>
      </c>
      <c r="D1197" t="inlineStr">
        <is>
          <t>JÄMTLANDS LÄN</t>
        </is>
      </c>
      <c r="E1197" t="inlineStr">
        <is>
          <t>STRÖMSUND</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50314-2022</t>
        </is>
      </c>
      <c r="B1198" s="1" t="n">
        <v>44865</v>
      </c>
      <c r="C1198" s="1" t="n">
        <v>45972</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1801-2024</t>
        </is>
      </c>
      <c r="B1199" s="1" t="n">
        <v>45307</v>
      </c>
      <c r="C1199" s="1" t="n">
        <v>45972</v>
      </c>
      <c r="D1199" t="inlineStr">
        <is>
          <t>JÄMTLANDS LÄN</t>
        </is>
      </c>
      <c r="E1199" t="inlineStr">
        <is>
          <t>STRÖMSUND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58493-2024</t>
        </is>
      </c>
      <c r="B1200" s="1" t="n">
        <v>45635.40935185185</v>
      </c>
      <c r="C1200" s="1" t="n">
        <v>45972</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59568-2024</t>
        </is>
      </c>
      <c r="B1201" s="1" t="n">
        <v>45638.63901620371</v>
      </c>
      <c r="C1201" s="1" t="n">
        <v>45972</v>
      </c>
      <c r="D1201" t="inlineStr">
        <is>
          <t>JÄMTLANDS LÄN</t>
        </is>
      </c>
      <c r="E1201" t="inlineStr">
        <is>
          <t>STRÖMSUND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58179-2022</t>
        </is>
      </c>
      <c r="B1202" s="1" t="n">
        <v>44900</v>
      </c>
      <c r="C1202" s="1" t="n">
        <v>45972</v>
      </c>
      <c r="D1202" t="inlineStr">
        <is>
          <t>JÄMTLANDS LÄN</t>
        </is>
      </c>
      <c r="E1202" t="inlineStr">
        <is>
          <t>STRÖMSUND</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1546-2025</t>
        </is>
      </c>
      <c r="B1203" s="1" t="n">
        <v>45670</v>
      </c>
      <c r="C1203" s="1" t="n">
        <v>45972</v>
      </c>
      <c r="D1203" t="inlineStr">
        <is>
          <t>JÄMTLANDS LÄN</t>
        </is>
      </c>
      <c r="E1203" t="inlineStr">
        <is>
          <t>STRÖMSUND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58905-2022</t>
        </is>
      </c>
      <c r="B1204" s="1" t="n">
        <v>44903</v>
      </c>
      <c r="C1204" s="1" t="n">
        <v>45972</v>
      </c>
      <c r="D1204" t="inlineStr">
        <is>
          <t>JÄMTLANDS LÄN</t>
        </is>
      </c>
      <c r="E1204" t="inlineStr">
        <is>
          <t>STRÖMSUND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37566-2024</t>
        </is>
      </c>
      <c r="B1205" s="1" t="n">
        <v>45541.44819444444</v>
      </c>
      <c r="C1205" s="1" t="n">
        <v>45972</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18863-2025</t>
        </is>
      </c>
      <c r="B1206" s="1" t="n">
        <v>45764.42766203704</v>
      </c>
      <c r="C1206" s="1" t="n">
        <v>45972</v>
      </c>
      <c r="D1206" t="inlineStr">
        <is>
          <t>JÄMTLANDS LÄN</t>
        </is>
      </c>
      <c r="E1206" t="inlineStr">
        <is>
          <t>STRÖMSUND</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40976-2024</t>
        </is>
      </c>
      <c r="B1207" s="1" t="n">
        <v>45558.68231481482</v>
      </c>
      <c r="C1207" s="1" t="n">
        <v>45972</v>
      </c>
      <c r="D1207" t="inlineStr">
        <is>
          <t>JÄMTLANDS LÄN</t>
        </is>
      </c>
      <c r="E1207" t="inlineStr">
        <is>
          <t>STRÖMSUND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30842-2023</t>
        </is>
      </c>
      <c r="B1208" s="1" t="n">
        <v>45112.94435185185</v>
      </c>
      <c r="C1208" s="1" t="n">
        <v>45972</v>
      </c>
      <c r="D1208" t="inlineStr">
        <is>
          <t>JÄMTLANDS LÄN</t>
        </is>
      </c>
      <c r="E1208" t="inlineStr">
        <is>
          <t>STRÖMSUND</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43425-2024</t>
        </is>
      </c>
      <c r="B1209" s="1" t="n">
        <v>45568.63625</v>
      </c>
      <c r="C1209" s="1" t="n">
        <v>45972</v>
      </c>
      <c r="D1209" t="inlineStr">
        <is>
          <t>JÄMTLANDS LÄN</t>
        </is>
      </c>
      <c r="E1209" t="inlineStr">
        <is>
          <t>STRÖMSUND</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28405-2023</t>
        </is>
      </c>
      <c r="B1210" s="1" t="n">
        <v>45100.93861111111</v>
      </c>
      <c r="C1210" s="1" t="n">
        <v>45972</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5174-2023</t>
        </is>
      </c>
      <c r="B1211" s="1" t="n">
        <v>44958</v>
      </c>
      <c r="C1211" s="1" t="n">
        <v>45972</v>
      </c>
      <c r="D1211" t="inlineStr">
        <is>
          <t>JÄMTLANDS LÄN</t>
        </is>
      </c>
      <c r="E1211" t="inlineStr">
        <is>
          <t>STRÖMSUND</t>
        </is>
      </c>
      <c r="F1211" t="inlineStr">
        <is>
          <t>SCA</t>
        </is>
      </c>
      <c r="G1211" t="n">
        <v>64.5</v>
      </c>
      <c r="H1211" t="n">
        <v>0</v>
      </c>
      <c r="I1211" t="n">
        <v>0</v>
      </c>
      <c r="J1211" t="n">
        <v>0</v>
      </c>
      <c r="K1211" t="n">
        <v>0</v>
      </c>
      <c r="L1211" t="n">
        <v>0</v>
      </c>
      <c r="M1211" t="n">
        <v>0</v>
      </c>
      <c r="N1211" t="n">
        <v>0</v>
      </c>
      <c r="O1211" t="n">
        <v>0</v>
      </c>
      <c r="P1211" t="n">
        <v>0</v>
      </c>
      <c r="Q1211" t="n">
        <v>0</v>
      </c>
      <c r="R1211" s="2" t="inlineStr"/>
    </row>
    <row r="1212" ht="15" customHeight="1">
      <c r="A1212" t="inlineStr">
        <is>
          <t>A 6494-2025</t>
        </is>
      </c>
      <c r="B1212" s="1" t="n">
        <v>45699.63442129629</v>
      </c>
      <c r="C1212" s="1" t="n">
        <v>45972</v>
      </c>
      <c r="D1212" t="inlineStr">
        <is>
          <t>JÄMTLANDS LÄN</t>
        </is>
      </c>
      <c r="E1212" t="inlineStr">
        <is>
          <t>STRÖMSUND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9678-2023</t>
        </is>
      </c>
      <c r="B1213" s="1" t="n">
        <v>44984</v>
      </c>
      <c r="C1213" s="1" t="n">
        <v>45972</v>
      </c>
      <c r="D1213" t="inlineStr">
        <is>
          <t>JÄMTLANDS LÄN</t>
        </is>
      </c>
      <c r="E1213" t="inlineStr">
        <is>
          <t>STRÖMSUND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6527-2025</t>
        </is>
      </c>
      <c r="B1214" s="1" t="n">
        <v>45699</v>
      </c>
      <c r="C1214" s="1" t="n">
        <v>45972</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35279-2023</t>
        </is>
      </c>
      <c r="B1215" s="1" t="n">
        <v>45145.95431712963</v>
      </c>
      <c r="C1215" s="1" t="n">
        <v>45972</v>
      </c>
      <c r="D1215" t="inlineStr">
        <is>
          <t>JÄMTLANDS LÄN</t>
        </is>
      </c>
      <c r="E1215" t="inlineStr">
        <is>
          <t>STRÖMSUND</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41490-2021</t>
        </is>
      </c>
      <c r="B1216" s="1" t="n">
        <v>44424.94048611111</v>
      </c>
      <c r="C1216" s="1" t="n">
        <v>45972</v>
      </c>
      <c r="D1216" t="inlineStr">
        <is>
          <t>JÄMTLANDS LÄN</t>
        </is>
      </c>
      <c r="E1216" t="inlineStr">
        <is>
          <t>STRÖMSUND</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62229-2022</t>
        </is>
      </c>
      <c r="B1217" s="1" t="n">
        <v>44916</v>
      </c>
      <c r="C1217" s="1" t="n">
        <v>45972</v>
      </c>
      <c r="D1217" t="inlineStr">
        <is>
          <t>JÄMTLANDS LÄN</t>
        </is>
      </c>
      <c r="E1217" t="inlineStr">
        <is>
          <t>STRÖMSUND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23525-2023</t>
        </is>
      </c>
      <c r="B1218" s="1" t="n">
        <v>45076</v>
      </c>
      <c r="C1218" s="1" t="n">
        <v>45972</v>
      </c>
      <c r="D1218" t="inlineStr">
        <is>
          <t>JÄMTLANDS LÄN</t>
        </is>
      </c>
      <c r="E1218" t="inlineStr">
        <is>
          <t>STRÖMSUND</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35407-2024</t>
        </is>
      </c>
      <c r="B1219" s="1" t="n">
        <v>45531.40631944445</v>
      </c>
      <c r="C1219" s="1" t="n">
        <v>45972</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8808-2025</t>
        </is>
      </c>
      <c r="B1220" s="1" t="n">
        <v>45712.67740740741</v>
      </c>
      <c r="C1220" s="1" t="n">
        <v>45972</v>
      </c>
      <c r="D1220" t="inlineStr">
        <is>
          <t>JÄMTLANDS LÄN</t>
        </is>
      </c>
      <c r="E1220" t="inlineStr">
        <is>
          <t>STRÖMSUND</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5047-2025</t>
        </is>
      </c>
      <c r="B1221" s="1" t="n">
        <v>45691.44754629629</v>
      </c>
      <c r="C1221" s="1" t="n">
        <v>45972</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12869-2024</t>
        </is>
      </c>
      <c r="B1222" s="1" t="n">
        <v>45384.9421412037</v>
      </c>
      <c r="C1222" s="1" t="n">
        <v>45972</v>
      </c>
      <c r="D1222" t="inlineStr">
        <is>
          <t>JÄMTLANDS LÄN</t>
        </is>
      </c>
      <c r="E1222" t="inlineStr">
        <is>
          <t>STRÖMSUND</t>
        </is>
      </c>
      <c r="F1222" t="inlineStr">
        <is>
          <t>SCA</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35904-2024</t>
        </is>
      </c>
      <c r="B1223" s="1" t="n">
        <v>45533.40658564815</v>
      </c>
      <c r="C1223" s="1" t="n">
        <v>45972</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14671-2025</t>
        </is>
      </c>
      <c r="B1224" s="1" t="n">
        <v>45742</v>
      </c>
      <c r="C1224" s="1" t="n">
        <v>45972</v>
      </c>
      <c r="D1224" t="inlineStr">
        <is>
          <t>JÄMTLANDS LÄN</t>
        </is>
      </c>
      <c r="E1224" t="inlineStr">
        <is>
          <t>STRÖMSUND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53025-2023</t>
        </is>
      </c>
      <c r="B1225" s="1" t="n">
        <v>45222</v>
      </c>
      <c r="C1225" s="1" t="n">
        <v>45972</v>
      </c>
      <c r="D1225" t="inlineStr">
        <is>
          <t>JÄMTLANDS LÄN</t>
        </is>
      </c>
      <c r="E1225" t="inlineStr">
        <is>
          <t>STRÖMSUND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42448-2023</t>
        </is>
      </c>
      <c r="B1226" s="1" t="n">
        <v>45180</v>
      </c>
      <c r="C1226" s="1" t="n">
        <v>45972</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39285-2025</t>
        </is>
      </c>
      <c r="B1227" s="1" t="n">
        <v>45889.40671296296</v>
      </c>
      <c r="C1227" s="1" t="n">
        <v>45972</v>
      </c>
      <c r="D1227" t="inlineStr">
        <is>
          <t>JÄMTLANDS LÄN</t>
        </is>
      </c>
      <c r="E1227" t="inlineStr">
        <is>
          <t>STRÖMSUND</t>
        </is>
      </c>
      <c r="F1227" t="inlineStr">
        <is>
          <t>SCA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59969-2023</t>
        </is>
      </c>
      <c r="B1228" s="1" t="n">
        <v>45254</v>
      </c>
      <c r="C1228" s="1" t="n">
        <v>45972</v>
      </c>
      <c r="D1228" t="inlineStr">
        <is>
          <t>JÄMTLANDS LÄN</t>
        </is>
      </c>
      <c r="E1228" t="inlineStr">
        <is>
          <t>STRÖMSUND</t>
        </is>
      </c>
      <c r="G1228" t="n">
        <v>23.3</v>
      </c>
      <c r="H1228" t="n">
        <v>0</v>
      </c>
      <c r="I1228" t="n">
        <v>0</v>
      </c>
      <c r="J1228" t="n">
        <v>0</v>
      </c>
      <c r="K1228" t="n">
        <v>0</v>
      </c>
      <c r="L1228" t="n">
        <v>0</v>
      </c>
      <c r="M1228" t="n">
        <v>0</v>
      </c>
      <c r="N1228" t="n">
        <v>0</v>
      </c>
      <c r="O1228" t="n">
        <v>0</v>
      </c>
      <c r="P1228" t="n">
        <v>0</v>
      </c>
      <c r="Q1228" t="n">
        <v>0</v>
      </c>
      <c r="R1228" s="2" t="inlineStr"/>
    </row>
    <row r="1229" ht="15" customHeight="1">
      <c r="A1229" t="inlineStr">
        <is>
          <t>A 55656-2023</t>
        </is>
      </c>
      <c r="B1229" s="1" t="n">
        <v>45238.96670138889</v>
      </c>
      <c r="C1229" s="1" t="n">
        <v>45972</v>
      </c>
      <c r="D1229" t="inlineStr">
        <is>
          <t>JÄMTLANDS LÄN</t>
        </is>
      </c>
      <c r="E1229" t="inlineStr">
        <is>
          <t>STRÖMSUND</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10422-2024</t>
        </is>
      </c>
      <c r="B1230" s="1" t="n">
        <v>45365</v>
      </c>
      <c r="C1230" s="1" t="n">
        <v>45972</v>
      </c>
      <c r="D1230" t="inlineStr">
        <is>
          <t>JÄMTLANDS LÄN</t>
        </is>
      </c>
      <c r="E1230" t="inlineStr">
        <is>
          <t>STRÖMSUND</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45972</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45972</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51478-2024</t>
        </is>
      </c>
      <c r="B1233" s="1" t="n">
        <v>45604.51259259259</v>
      </c>
      <c r="C1233" s="1" t="n">
        <v>45972</v>
      </c>
      <c r="D1233" t="inlineStr">
        <is>
          <t>JÄMTLANDS LÄN</t>
        </is>
      </c>
      <c r="E1233" t="inlineStr">
        <is>
          <t>STRÖMSUND</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36706-2021</t>
        </is>
      </c>
      <c r="B1234" s="1" t="n">
        <v>44392.53086805555</v>
      </c>
      <c r="C1234" s="1" t="n">
        <v>45972</v>
      </c>
      <c r="D1234" t="inlineStr">
        <is>
          <t>JÄMTLANDS LÄN</t>
        </is>
      </c>
      <c r="E1234" t="inlineStr">
        <is>
          <t>STRÖMSUND</t>
        </is>
      </c>
      <c r="F1234" t="inlineStr">
        <is>
          <t>Holmen skog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9035-2024</t>
        </is>
      </c>
      <c r="B1235" s="1" t="n">
        <v>45356</v>
      </c>
      <c r="C1235" s="1" t="n">
        <v>45972</v>
      </c>
      <c r="D1235" t="inlineStr">
        <is>
          <t>JÄMTLANDS LÄN</t>
        </is>
      </c>
      <c r="E1235" t="inlineStr">
        <is>
          <t>STRÖMSUND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57002-2022</t>
        </is>
      </c>
      <c r="B1236" s="1" t="n">
        <v>44894</v>
      </c>
      <c r="C1236" s="1" t="n">
        <v>45972</v>
      </c>
      <c r="D1236" t="inlineStr">
        <is>
          <t>JÄMTLANDS LÄN</t>
        </is>
      </c>
      <c r="E1236" t="inlineStr">
        <is>
          <t>STRÖMSUND</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35850-2022</t>
        </is>
      </c>
      <c r="B1237" s="1" t="n">
        <v>44802.41818287037</v>
      </c>
      <c r="C1237" s="1" t="n">
        <v>45972</v>
      </c>
      <c r="D1237" t="inlineStr">
        <is>
          <t>JÄMTLANDS LÄN</t>
        </is>
      </c>
      <c r="E1237" t="inlineStr">
        <is>
          <t>STRÖMSUND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1641-2023</t>
        </is>
      </c>
      <c r="B1238" s="1" t="n">
        <v>44937.92457175926</v>
      </c>
      <c r="C1238" s="1" t="n">
        <v>45972</v>
      </c>
      <c r="D1238" t="inlineStr">
        <is>
          <t>JÄMTLANDS LÄN</t>
        </is>
      </c>
      <c r="E1238" t="inlineStr">
        <is>
          <t>STRÖMSUND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39628-2025</t>
        </is>
      </c>
      <c r="B1239" s="1" t="n">
        <v>45890.5827199074</v>
      </c>
      <c r="C1239" s="1" t="n">
        <v>45972</v>
      </c>
      <c r="D1239" t="inlineStr">
        <is>
          <t>JÄMTLANDS LÄN</t>
        </is>
      </c>
      <c r="E1239" t="inlineStr">
        <is>
          <t>STRÖMSUND</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7854-2024</t>
        </is>
      </c>
      <c r="B1240" s="1" t="n">
        <v>45350.01711805556</v>
      </c>
      <c r="C1240" s="1" t="n">
        <v>45972</v>
      </c>
      <c r="D1240" t="inlineStr">
        <is>
          <t>JÄMTLANDS LÄN</t>
        </is>
      </c>
      <c r="E1240" t="inlineStr">
        <is>
          <t>STRÖMSUND</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40500-2024</t>
        </is>
      </c>
      <c r="B1241" s="1" t="n">
        <v>45555</v>
      </c>
      <c r="C1241" s="1" t="n">
        <v>45972</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6836-2025</t>
        </is>
      </c>
      <c r="B1242" s="1" t="n">
        <v>45700.79859953704</v>
      </c>
      <c r="C1242" s="1" t="n">
        <v>45972</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69132-2021</t>
        </is>
      </c>
      <c r="B1243" s="1" t="n">
        <v>44530</v>
      </c>
      <c r="C1243" s="1" t="n">
        <v>45972</v>
      </c>
      <c r="D1243" t="inlineStr">
        <is>
          <t>JÄMTLANDS LÄN</t>
        </is>
      </c>
      <c r="E1243" t="inlineStr">
        <is>
          <t>STRÖMSUND</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40426-2024</t>
        </is>
      </c>
      <c r="B1244" s="1" t="n">
        <v>45555</v>
      </c>
      <c r="C1244" s="1" t="n">
        <v>45972</v>
      </c>
      <c r="D1244" t="inlineStr">
        <is>
          <t>JÄMTLANDS LÄN</t>
        </is>
      </c>
      <c r="E1244" t="inlineStr">
        <is>
          <t>STRÖMSUND</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4388-2023</t>
        </is>
      </c>
      <c r="B1245" s="1" t="n">
        <v>44955.77467592592</v>
      </c>
      <c r="C1245" s="1" t="n">
        <v>45972</v>
      </c>
      <c r="D1245" t="inlineStr">
        <is>
          <t>JÄMTLANDS LÄN</t>
        </is>
      </c>
      <c r="E1245" t="inlineStr">
        <is>
          <t>STRÖMSUND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52402-2023</t>
        </is>
      </c>
      <c r="B1246" s="1" t="n">
        <v>45224.96487268519</v>
      </c>
      <c r="C1246" s="1" t="n">
        <v>45972</v>
      </c>
      <c r="D1246" t="inlineStr">
        <is>
          <t>JÄMTLANDS LÄN</t>
        </is>
      </c>
      <c r="E1246" t="inlineStr">
        <is>
          <t>STRÖMSUND</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14886-2025</t>
        </is>
      </c>
      <c r="B1247" s="1" t="n">
        <v>45743.46734953704</v>
      </c>
      <c r="C1247" s="1" t="n">
        <v>45972</v>
      </c>
      <c r="D1247" t="inlineStr">
        <is>
          <t>JÄMTLANDS LÄN</t>
        </is>
      </c>
      <c r="E1247" t="inlineStr">
        <is>
          <t>STRÖMSUND</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22096-2022</t>
        </is>
      </c>
      <c r="B1248" s="1" t="n">
        <v>44711.94118055556</v>
      </c>
      <c r="C1248" s="1" t="n">
        <v>45972</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54066-2023</t>
        </is>
      </c>
      <c r="B1249" s="1" t="n">
        <v>45231</v>
      </c>
      <c r="C1249" s="1" t="n">
        <v>45972</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48060-2025</t>
        </is>
      </c>
      <c r="B1250" s="1" t="n">
        <v>45932.67990740741</v>
      </c>
      <c r="C1250" s="1" t="n">
        <v>45972</v>
      </c>
      <c r="D1250" t="inlineStr">
        <is>
          <t>JÄMTLANDS LÄN</t>
        </is>
      </c>
      <c r="E1250" t="inlineStr">
        <is>
          <t>STRÖMSUND</t>
        </is>
      </c>
      <c r="G1250" t="n">
        <v>23.2</v>
      </c>
      <c r="H1250" t="n">
        <v>0</v>
      </c>
      <c r="I1250" t="n">
        <v>0</v>
      </c>
      <c r="J1250" t="n">
        <v>0</v>
      </c>
      <c r="K1250" t="n">
        <v>0</v>
      </c>
      <c r="L1250" t="n">
        <v>0</v>
      </c>
      <c r="M1250" t="n">
        <v>0</v>
      </c>
      <c r="N1250" t="n">
        <v>0</v>
      </c>
      <c r="O1250" t="n">
        <v>0</v>
      </c>
      <c r="P1250" t="n">
        <v>0</v>
      </c>
      <c r="Q1250" t="n">
        <v>0</v>
      </c>
      <c r="R1250" s="2" t="inlineStr"/>
    </row>
    <row r="1251" ht="15" customHeight="1">
      <c r="A1251" t="inlineStr">
        <is>
          <t>A 47547-2025</t>
        </is>
      </c>
      <c r="B1251" s="1" t="n">
        <v>45931.36510416667</v>
      </c>
      <c r="C1251" s="1" t="n">
        <v>45972</v>
      </c>
      <c r="D1251" t="inlineStr">
        <is>
          <t>JÄMTLANDS LÄN</t>
        </is>
      </c>
      <c r="E1251" t="inlineStr">
        <is>
          <t>STRÖMSUND</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47818-2025</t>
        </is>
      </c>
      <c r="B1252" s="1" t="n">
        <v>45932.33578703704</v>
      </c>
      <c r="C1252" s="1" t="n">
        <v>45972</v>
      </c>
      <c r="D1252" t="inlineStr">
        <is>
          <t>JÄMTLANDS LÄN</t>
        </is>
      </c>
      <c r="E1252" t="inlineStr">
        <is>
          <t>STRÖMSUND</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27374-2023</t>
        </is>
      </c>
      <c r="B1253" s="1" t="n">
        <v>45096.93873842592</v>
      </c>
      <c r="C1253" s="1" t="n">
        <v>45972</v>
      </c>
      <c r="D1253" t="inlineStr">
        <is>
          <t>JÄMTLANDS LÄN</t>
        </is>
      </c>
      <c r="E1253" t="inlineStr">
        <is>
          <t>STRÖMSUND</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41579-2024</t>
        </is>
      </c>
      <c r="B1254" s="1" t="n">
        <v>45560.55297453704</v>
      </c>
      <c r="C1254" s="1" t="n">
        <v>45972</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48068-2025</t>
        </is>
      </c>
      <c r="B1255" s="1" t="n">
        <v>45932.6984837963</v>
      </c>
      <c r="C1255" s="1" t="n">
        <v>45972</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48071-2025</t>
        </is>
      </c>
      <c r="B1256" s="1" t="n">
        <v>45932.6990625</v>
      </c>
      <c r="C1256" s="1" t="n">
        <v>45972</v>
      </c>
      <c r="D1256" t="inlineStr">
        <is>
          <t>JÄMTLANDS LÄN</t>
        </is>
      </c>
      <c r="E1256" t="inlineStr">
        <is>
          <t>STRÖMSUND</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52181-2022</t>
        </is>
      </c>
      <c r="B1257" s="1" t="n">
        <v>44868</v>
      </c>
      <c r="C1257" s="1" t="n">
        <v>45972</v>
      </c>
      <c r="D1257" t="inlineStr">
        <is>
          <t>JÄMTLANDS LÄN</t>
        </is>
      </c>
      <c r="E1257" t="inlineStr">
        <is>
          <t>STRÖMSUND</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58183-2022</t>
        </is>
      </c>
      <c r="B1258" s="1" t="n">
        <v>44900.95614583333</v>
      </c>
      <c r="C1258" s="1" t="n">
        <v>45972</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63754-2023</t>
        </is>
      </c>
      <c r="B1259" s="1" t="n">
        <v>45278.29936342593</v>
      </c>
      <c r="C1259" s="1" t="n">
        <v>45972</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66770-2020</t>
        </is>
      </c>
      <c r="B1260" s="1" t="n">
        <v>44179</v>
      </c>
      <c r="C1260" s="1" t="n">
        <v>45972</v>
      </c>
      <c r="D1260" t="inlineStr">
        <is>
          <t>JÄMTLANDS LÄN</t>
        </is>
      </c>
      <c r="E1260" t="inlineStr">
        <is>
          <t>STRÖMSUND</t>
        </is>
      </c>
      <c r="F1260" t="inlineStr">
        <is>
          <t>Holmen skog AB</t>
        </is>
      </c>
      <c r="G1260" t="n">
        <v>17.9</v>
      </c>
      <c r="H1260" t="n">
        <v>0</v>
      </c>
      <c r="I1260" t="n">
        <v>0</v>
      </c>
      <c r="J1260" t="n">
        <v>0</v>
      </c>
      <c r="K1260" t="n">
        <v>0</v>
      </c>
      <c r="L1260" t="n">
        <v>0</v>
      </c>
      <c r="M1260" t="n">
        <v>0</v>
      </c>
      <c r="N1260" t="n">
        <v>0</v>
      </c>
      <c r="O1260" t="n">
        <v>0</v>
      </c>
      <c r="P1260" t="n">
        <v>0</v>
      </c>
      <c r="Q1260" t="n">
        <v>0</v>
      </c>
      <c r="R1260" s="2" t="inlineStr"/>
    </row>
    <row r="1261" ht="15" customHeight="1">
      <c r="A1261" t="inlineStr">
        <is>
          <t>A 39357-2025</t>
        </is>
      </c>
      <c r="B1261" s="1" t="n">
        <v>45889.55276620371</v>
      </c>
      <c r="C1261" s="1" t="n">
        <v>45972</v>
      </c>
      <c r="D1261" t="inlineStr">
        <is>
          <t>JÄMTLANDS LÄN</t>
        </is>
      </c>
      <c r="E1261" t="inlineStr">
        <is>
          <t>STRÖMSUND</t>
        </is>
      </c>
      <c r="G1261" t="n">
        <v>24.6</v>
      </c>
      <c r="H1261" t="n">
        <v>0</v>
      </c>
      <c r="I1261" t="n">
        <v>0</v>
      </c>
      <c r="J1261" t="n">
        <v>0</v>
      </c>
      <c r="K1261" t="n">
        <v>0</v>
      </c>
      <c r="L1261" t="n">
        <v>0</v>
      </c>
      <c r="M1261" t="n">
        <v>0</v>
      </c>
      <c r="N1261" t="n">
        <v>0</v>
      </c>
      <c r="O1261" t="n">
        <v>0</v>
      </c>
      <c r="P1261" t="n">
        <v>0</v>
      </c>
      <c r="Q1261" t="n">
        <v>0</v>
      </c>
      <c r="R1261" s="2" t="inlineStr"/>
    </row>
    <row r="1262" ht="15" customHeight="1">
      <c r="A1262" t="inlineStr">
        <is>
          <t>A 52478-2023</t>
        </is>
      </c>
      <c r="B1262" s="1" t="n">
        <v>45225</v>
      </c>
      <c r="C1262" s="1" t="n">
        <v>45972</v>
      </c>
      <c r="D1262" t="inlineStr">
        <is>
          <t>JÄMTLANDS LÄN</t>
        </is>
      </c>
      <c r="E1262" t="inlineStr">
        <is>
          <t>STRÖMSUND</t>
        </is>
      </c>
      <c r="F1262" t="inlineStr">
        <is>
          <t>Holmen skog AB</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48476-2023</t>
        </is>
      </c>
      <c r="B1263" s="1" t="n">
        <v>45206</v>
      </c>
      <c r="C1263" s="1" t="n">
        <v>45972</v>
      </c>
      <c r="D1263" t="inlineStr">
        <is>
          <t>JÄMTLANDS LÄN</t>
        </is>
      </c>
      <c r="E1263" t="inlineStr">
        <is>
          <t>STRÖMSUND</t>
        </is>
      </c>
      <c r="F1263" t="inlineStr">
        <is>
          <t>SCA</t>
        </is>
      </c>
      <c r="G1263" t="n">
        <v>16.7</v>
      </c>
      <c r="H1263" t="n">
        <v>0</v>
      </c>
      <c r="I1263" t="n">
        <v>0</v>
      </c>
      <c r="J1263" t="n">
        <v>0</v>
      </c>
      <c r="K1263" t="n">
        <v>0</v>
      </c>
      <c r="L1263" t="n">
        <v>0</v>
      </c>
      <c r="M1263" t="n">
        <v>0</v>
      </c>
      <c r="N1263" t="n">
        <v>0</v>
      </c>
      <c r="O1263" t="n">
        <v>0</v>
      </c>
      <c r="P1263" t="n">
        <v>0</v>
      </c>
      <c r="Q1263" t="n">
        <v>0</v>
      </c>
      <c r="R1263" s="2" t="inlineStr"/>
    </row>
    <row r="1264" ht="15" customHeight="1">
      <c r="A1264" t="inlineStr">
        <is>
          <t>A 12201-2025</t>
        </is>
      </c>
      <c r="B1264" s="1" t="n">
        <v>45729</v>
      </c>
      <c r="C1264" s="1" t="n">
        <v>45972</v>
      </c>
      <c r="D1264" t="inlineStr">
        <is>
          <t>JÄMTLANDS LÄN</t>
        </is>
      </c>
      <c r="E1264" t="inlineStr">
        <is>
          <t>STRÖMSUND</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19761-2025</t>
        </is>
      </c>
      <c r="B1265" s="1" t="n">
        <v>45771.40674768519</v>
      </c>
      <c r="C1265" s="1" t="n">
        <v>45972</v>
      </c>
      <c r="D1265" t="inlineStr">
        <is>
          <t>JÄMTLANDS LÄN</t>
        </is>
      </c>
      <c r="E1265" t="inlineStr">
        <is>
          <t>STRÖMSUND</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10093-2025</t>
        </is>
      </c>
      <c r="B1266" s="1" t="n">
        <v>45719.57422453703</v>
      </c>
      <c r="C1266" s="1" t="n">
        <v>45972</v>
      </c>
      <c r="D1266" t="inlineStr">
        <is>
          <t>JÄMTLANDS LÄN</t>
        </is>
      </c>
      <c r="E1266" t="inlineStr">
        <is>
          <t>STRÖMSUND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45230-2021</t>
        </is>
      </c>
      <c r="B1267" s="1" t="n">
        <v>44439.58334490741</v>
      </c>
      <c r="C1267" s="1" t="n">
        <v>45972</v>
      </c>
      <c r="D1267" t="inlineStr">
        <is>
          <t>JÄMTLANDS LÄN</t>
        </is>
      </c>
      <c r="E1267" t="inlineStr">
        <is>
          <t>STRÖMSUND</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43889-2024</t>
        </is>
      </c>
      <c r="B1268" s="1" t="n">
        <v>45572.40922453703</v>
      </c>
      <c r="C1268" s="1" t="n">
        <v>45972</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47182-2023</t>
        </is>
      </c>
      <c r="B1269" s="1" t="n">
        <v>45201.94883101852</v>
      </c>
      <c r="C1269" s="1" t="n">
        <v>45972</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28377-2023</t>
        </is>
      </c>
      <c r="B1270" s="1" t="n">
        <v>45099.95422453704</v>
      </c>
      <c r="C1270" s="1" t="n">
        <v>45972</v>
      </c>
      <c r="D1270" t="inlineStr">
        <is>
          <t>JÄMTLANDS LÄN</t>
        </is>
      </c>
      <c r="E1270" t="inlineStr">
        <is>
          <t>STRÖMSUND</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41902-2024</t>
        </is>
      </c>
      <c r="B1271" s="1" t="n">
        <v>45561.53158564815</v>
      </c>
      <c r="C1271" s="1" t="n">
        <v>45972</v>
      </c>
      <c r="D1271" t="inlineStr">
        <is>
          <t>JÄMTLANDS LÄN</t>
        </is>
      </c>
      <c r="E1271" t="inlineStr">
        <is>
          <t>STRÖMSUND</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41905-2024</t>
        </is>
      </c>
      <c r="B1272" s="1" t="n">
        <v>45561.53282407407</v>
      </c>
      <c r="C1272" s="1" t="n">
        <v>45972</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1952-2023</t>
        </is>
      </c>
      <c r="B1273" s="1" t="n">
        <v>44938</v>
      </c>
      <c r="C1273" s="1" t="n">
        <v>45972</v>
      </c>
      <c r="D1273" t="inlineStr">
        <is>
          <t>JÄMTLANDS LÄN</t>
        </is>
      </c>
      <c r="E1273" t="inlineStr">
        <is>
          <t>STRÖMSUND</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43453-2022</t>
        </is>
      </c>
      <c r="B1274" s="1" t="n">
        <v>44835</v>
      </c>
      <c r="C1274" s="1" t="n">
        <v>45972</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53873-2024</t>
        </is>
      </c>
      <c r="B1275" s="1" t="n">
        <v>45615.65570601852</v>
      </c>
      <c r="C1275" s="1" t="n">
        <v>45972</v>
      </c>
      <c r="D1275" t="inlineStr">
        <is>
          <t>JÄMTLANDS LÄN</t>
        </is>
      </c>
      <c r="E1275" t="inlineStr">
        <is>
          <t>STRÖMSUND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38283-2024</t>
        </is>
      </c>
      <c r="B1276" s="1" t="n">
        <v>45545.61560185185</v>
      </c>
      <c r="C1276" s="1" t="n">
        <v>45972</v>
      </c>
      <c r="D1276" t="inlineStr">
        <is>
          <t>JÄMTLANDS LÄN</t>
        </is>
      </c>
      <c r="E1276" t="inlineStr">
        <is>
          <t>STRÖMSUND</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39314-2025</t>
        </is>
      </c>
      <c r="B1277" s="1" t="n">
        <v>45889</v>
      </c>
      <c r="C1277" s="1" t="n">
        <v>45972</v>
      </c>
      <c r="D1277" t="inlineStr">
        <is>
          <t>JÄMTLANDS LÄN</t>
        </is>
      </c>
      <c r="E1277" t="inlineStr">
        <is>
          <t>STRÖMSUND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39507-2025</t>
        </is>
      </c>
      <c r="B1278" s="1" t="n">
        <v>45890.40724537037</v>
      </c>
      <c r="C1278" s="1" t="n">
        <v>45972</v>
      </c>
      <c r="D1278" t="inlineStr">
        <is>
          <t>JÄMTLANDS LÄN</t>
        </is>
      </c>
      <c r="E1278" t="inlineStr">
        <is>
          <t>STRÖMSUND</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39559-2025</t>
        </is>
      </c>
      <c r="B1279" s="1" t="n">
        <v>45890.46996527778</v>
      </c>
      <c r="C1279" s="1" t="n">
        <v>45972</v>
      </c>
      <c r="D1279" t="inlineStr">
        <is>
          <t>JÄMTLANDS LÄN</t>
        </is>
      </c>
      <c r="E1279" t="inlineStr">
        <is>
          <t>STRÖMSUND</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47525-2025</t>
        </is>
      </c>
      <c r="B1280" s="1" t="n">
        <v>45931.34449074074</v>
      </c>
      <c r="C1280" s="1" t="n">
        <v>45972</v>
      </c>
      <c r="D1280" t="inlineStr">
        <is>
          <t>JÄMTLANDS LÄN</t>
        </is>
      </c>
      <c r="E1280" t="inlineStr">
        <is>
          <t>STRÖMSUND</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47526-2025</t>
        </is>
      </c>
      <c r="B1281" s="1" t="n">
        <v>45931.34471064815</v>
      </c>
      <c r="C1281" s="1" t="n">
        <v>45972</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48164-2025</t>
        </is>
      </c>
      <c r="B1282" s="1" t="n">
        <v>45933.42774305555</v>
      </c>
      <c r="C1282" s="1" t="n">
        <v>45972</v>
      </c>
      <c r="D1282" t="inlineStr">
        <is>
          <t>JÄMTLANDS LÄN</t>
        </is>
      </c>
      <c r="E1282" t="inlineStr">
        <is>
          <t>STRÖMSUND</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56961-2024</t>
        </is>
      </c>
      <c r="B1283" s="1" t="n">
        <v>45628.65688657408</v>
      </c>
      <c r="C1283" s="1" t="n">
        <v>45972</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40224-2025</t>
        </is>
      </c>
      <c r="B1284" s="1" t="n">
        <v>45894.69850694444</v>
      </c>
      <c r="C1284" s="1" t="n">
        <v>45972</v>
      </c>
      <c r="D1284" t="inlineStr">
        <is>
          <t>JÄMTLANDS LÄN</t>
        </is>
      </c>
      <c r="E1284" t="inlineStr">
        <is>
          <t>STRÖMSUND</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40126-2025</t>
        </is>
      </c>
      <c r="B1285" s="1" t="n">
        <v>45894.53192129629</v>
      </c>
      <c r="C1285" s="1" t="n">
        <v>45972</v>
      </c>
      <c r="D1285" t="inlineStr">
        <is>
          <t>JÄMTLANDS LÄN</t>
        </is>
      </c>
      <c r="E1285" t="inlineStr">
        <is>
          <t>STRÖMSUND</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48639-2025</t>
        </is>
      </c>
      <c r="B1286" s="1" t="n">
        <v>45936.53175925926</v>
      </c>
      <c r="C1286" s="1" t="n">
        <v>45972</v>
      </c>
      <c r="D1286" t="inlineStr">
        <is>
          <t>JÄMTLANDS LÄN</t>
        </is>
      </c>
      <c r="E1286" t="inlineStr">
        <is>
          <t>STRÖMSUND</t>
        </is>
      </c>
      <c r="F1286" t="inlineStr">
        <is>
          <t>SCA</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45366-2023</t>
        </is>
      </c>
      <c r="B1287" s="1" t="n">
        <v>45192</v>
      </c>
      <c r="C1287" s="1" t="n">
        <v>45972</v>
      </c>
      <c r="D1287" t="inlineStr">
        <is>
          <t>JÄMTLANDS LÄN</t>
        </is>
      </c>
      <c r="E1287" t="inlineStr">
        <is>
          <t>STRÖMSUND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10428-2025</t>
        </is>
      </c>
      <c r="B1288" s="1" t="n">
        <v>45720.65660879629</v>
      </c>
      <c r="C1288" s="1" t="n">
        <v>45972</v>
      </c>
      <c r="D1288" t="inlineStr">
        <is>
          <t>JÄMTLANDS LÄN</t>
        </is>
      </c>
      <c r="E1288" t="inlineStr">
        <is>
          <t>STRÖMSUND</t>
        </is>
      </c>
      <c r="F1288" t="inlineStr">
        <is>
          <t>SCA</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53609-2024</t>
        </is>
      </c>
      <c r="B1289" s="1" t="n">
        <v>45614</v>
      </c>
      <c r="C1289" s="1" t="n">
        <v>45972</v>
      </c>
      <c r="D1289" t="inlineStr">
        <is>
          <t>JÄMTLANDS LÄN</t>
        </is>
      </c>
      <c r="E1289" t="inlineStr">
        <is>
          <t>STRÖMSUND</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40176-2025</t>
        </is>
      </c>
      <c r="B1290" s="1" t="n">
        <v>45894.63623842593</v>
      </c>
      <c r="C1290" s="1" t="n">
        <v>45972</v>
      </c>
      <c r="D1290" t="inlineStr">
        <is>
          <t>JÄMTLANDS LÄN</t>
        </is>
      </c>
      <c r="E1290" t="inlineStr">
        <is>
          <t>STRÖMSUND</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42980-2024</t>
        </is>
      </c>
      <c r="B1291" s="1" t="n">
        <v>45567.37451388889</v>
      </c>
      <c r="C1291" s="1" t="n">
        <v>45972</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21546-2024</t>
        </is>
      </c>
      <c r="B1292" s="1" t="n">
        <v>45441.62353009259</v>
      </c>
      <c r="C1292" s="1" t="n">
        <v>45972</v>
      </c>
      <c r="D1292" t="inlineStr">
        <is>
          <t>JÄMTLANDS LÄN</t>
        </is>
      </c>
      <c r="E1292" t="inlineStr">
        <is>
          <t>STRÖMSUND</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45972</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40090-2024</t>
        </is>
      </c>
      <c r="B1294" s="1" t="n">
        <v>45554</v>
      </c>
      <c r="C1294" s="1" t="n">
        <v>45972</v>
      </c>
      <c r="D1294" t="inlineStr">
        <is>
          <t>JÄMTLANDS LÄN</t>
        </is>
      </c>
      <c r="E1294" t="inlineStr">
        <is>
          <t>STRÖMSUND</t>
        </is>
      </c>
      <c r="F1294" t="inlineStr">
        <is>
          <t>Kyrkan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48527-2025</t>
        </is>
      </c>
      <c r="B1295" s="1" t="n">
        <v>45936.40741898148</v>
      </c>
      <c r="C1295" s="1" t="n">
        <v>45972</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48529-2025</t>
        </is>
      </c>
      <c r="B1296" s="1" t="n">
        <v>45936.40775462963</v>
      </c>
      <c r="C1296" s="1" t="n">
        <v>45972</v>
      </c>
      <c r="D1296" t="inlineStr">
        <is>
          <t>JÄMTLANDS LÄN</t>
        </is>
      </c>
      <c r="E1296" t="inlineStr">
        <is>
          <t>STRÖMSUND</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40015-2025</t>
        </is>
      </c>
      <c r="B1297" s="1" t="n">
        <v>45894.34521990741</v>
      </c>
      <c r="C1297" s="1" t="n">
        <v>45972</v>
      </c>
      <c r="D1297" t="inlineStr">
        <is>
          <t>JÄMTLANDS LÄN</t>
        </is>
      </c>
      <c r="E1297" t="inlineStr">
        <is>
          <t>STRÖMSUND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58025-2022</t>
        </is>
      </c>
      <c r="B1298" s="1" t="n">
        <v>44893</v>
      </c>
      <c r="C1298" s="1" t="n">
        <v>45972</v>
      </c>
      <c r="D1298" t="inlineStr">
        <is>
          <t>JÄMTLANDS LÄN</t>
        </is>
      </c>
      <c r="E1298" t="inlineStr">
        <is>
          <t>STRÖMSUND</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22966-2022</t>
        </is>
      </c>
      <c r="B1299" s="1" t="n">
        <v>44715.94222222222</v>
      </c>
      <c r="C1299" s="1" t="n">
        <v>45972</v>
      </c>
      <c r="D1299" t="inlineStr">
        <is>
          <t>JÄMTLANDS LÄN</t>
        </is>
      </c>
      <c r="E1299" t="inlineStr">
        <is>
          <t>STRÖMSUND</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48474-2025</t>
        </is>
      </c>
      <c r="B1300" s="1" t="n">
        <v>45936.34571759259</v>
      </c>
      <c r="C1300" s="1" t="n">
        <v>45972</v>
      </c>
      <c r="D1300" t="inlineStr">
        <is>
          <t>JÄMTLANDS LÄN</t>
        </is>
      </c>
      <c r="E1300" t="inlineStr">
        <is>
          <t>STRÖMSUND</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40177-2025</t>
        </is>
      </c>
      <c r="B1301" s="1" t="n">
        <v>45894.63638888889</v>
      </c>
      <c r="C1301" s="1" t="n">
        <v>45972</v>
      </c>
      <c r="D1301" t="inlineStr">
        <is>
          <t>JÄMTLANDS LÄN</t>
        </is>
      </c>
      <c r="E1301" t="inlineStr">
        <is>
          <t>STRÖMSUND</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48116-2025</t>
        </is>
      </c>
      <c r="B1302" s="1" t="n">
        <v>45933.35678240741</v>
      </c>
      <c r="C1302" s="1" t="n">
        <v>45972</v>
      </c>
      <c r="D1302" t="inlineStr">
        <is>
          <t>JÄMTLANDS LÄN</t>
        </is>
      </c>
      <c r="E1302" t="inlineStr">
        <is>
          <t>STRÖMSUND</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17789-2023</t>
        </is>
      </c>
      <c r="B1303" s="1" t="n">
        <v>45036</v>
      </c>
      <c r="C1303" s="1" t="n">
        <v>45972</v>
      </c>
      <c r="D1303" t="inlineStr">
        <is>
          <t>JÄMTLANDS LÄN</t>
        </is>
      </c>
      <c r="E1303" t="inlineStr">
        <is>
          <t>STRÖMSUND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17798-2023</t>
        </is>
      </c>
      <c r="B1304" s="1" t="n">
        <v>45036</v>
      </c>
      <c r="C1304" s="1" t="n">
        <v>45972</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48144-2025</t>
        </is>
      </c>
      <c r="B1305" s="1" t="n">
        <v>45933.38697916667</v>
      </c>
      <c r="C1305" s="1" t="n">
        <v>45972</v>
      </c>
      <c r="D1305" t="inlineStr">
        <is>
          <t>JÄMTLANDS LÄN</t>
        </is>
      </c>
      <c r="E1305" t="inlineStr">
        <is>
          <t>STRÖMSUND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37441-2024</t>
        </is>
      </c>
      <c r="B1306" s="1" t="n">
        <v>45540</v>
      </c>
      <c r="C1306" s="1" t="n">
        <v>45972</v>
      </c>
      <c r="D1306" t="inlineStr">
        <is>
          <t>JÄMTLANDS LÄN</t>
        </is>
      </c>
      <c r="E1306" t="inlineStr">
        <is>
          <t>STRÖMSUND</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28753-2023</t>
        </is>
      </c>
      <c r="B1307" s="1" t="n">
        <v>45103.94179398148</v>
      </c>
      <c r="C1307" s="1" t="n">
        <v>45972</v>
      </c>
      <c r="D1307" t="inlineStr">
        <is>
          <t>JÄMTLANDS LÄN</t>
        </is>
      </c>
      <c r="E1307" t="inlineStr">
        <is>
          <t>STRÖMSUND</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54478-2023</t>
        </is>
      </c>
      <c r="B1308" s="1" t="n">
        <v>45233</v>
      </c>
      <c r="C1308" s="1" t="n">
        <v>45972</v>
      </c>
      <c r="D1308" t="inlineStr">
        <is>
          <t>JÄMTLANDS LÄN</t>
        </is>
      </c>
      <c r="E1308" t="inlineStr">
        <is>
          <t>STRÖMSUND</t>
        </is>
      </c>
      <c r="F1308" t="inlineStr">
        <is>
          <t>Holmen skog AB</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66130-2020</t>
        </is>
      </c>
      <c r="B1309" s="1" t="n">
        <v>44175</v>
      </c>
      <c r="C1309" s="1" t="n">
        <v>45972</v>
      </c>
      <c r="D1309" t="inlineStr">
        <is>
          <t>JÄMTLANDS LÄN</t>
        </is>
      </c>
      <c r="E1309" t="inlineStr">
        <is>
          <t>STRÖMSUND</t>
        </is>
      </c>
      <c r="F1309" t="inlineStr">
        <is>
          <t>Holmen skog AB</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56480-2023</t>
        </is>
      </c>
      <c r="B1310" s="1" t="n">
        <v>45237</v>
      </c>
      <c r="C1310" s="1" t="n">
        <v>45972</v>
      </c>
      <c r="D1310" t="inlineStr">
        <is>
          <t>JÄMTLANDS LÄN</t>
        </is>
      </c>
      <c r="E1310" t="inlineStr">
        <is>
          <t>STRÖMSUND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28752-2023</t>
        </is>
      </c>
      <c r="B1311" s="1" t="n">
        <v>45103.94172453704</v>
      </c>
      <c r="C1311" s="1" t="n">
        <v>45972</v>
      </c>
      <c r="D1311" t="inlineStr">
        <is>
          <t>JÄMTLANDS LÄN</t>
        </is>
      </c>
      <c r="E1311" t="inlineStr">
        <is>
          <t>STRÖMSUND</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30809-2024</t>
        </is>
      </c>
      <c r="B1312" s="1" t="n">
        <v>45497</v>
      </c>
      <c r="C1312" s="1" t="n">
        <v>45972</v>
      </c>
      <c r="D1312" t="inlineStr">
        <is>
          <t>JÄMTLANDS LÄN</t>
        </is>
      </c>
      <c r="E1312" t="inlineStr">
        <is>
          <t>STRÖMSUND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23941-2024</t>
        </is>
      </c>
      <c r="B1313" s="1" t="n">
        <v>45455.9633912037</v>
      </c>
      <c r="C1313" s="1" t="n">
        <v>45972</v>
      </c>
      <c r="D1313" t="inlineStr">
        <is>
          <t>JÄMTLANDS LÄN</t>
        </is>
      </c>
      <c r="E1313" t="inlineStr">
        <is>
          <t>STRÖMSUND</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39860-2025</t>
        </is>
      </c>
      <c r="B1314" s="1" t="n">
        <v>45891.59409722222</v>
      </c>
      <c r="C1314" s="1" t="n">
        <v>45972</v>
      </c>
      <c r="D1314" t="inlineStr">
        <is>
          <t>JÄMTLANDS LÄN</t>
        </is>
      </c>
      <c r="E1314" t="inlineStr">
        <is>
          <t>STRÖMSUND</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42681-2024</t>
        </is>
      </c>
      <c r="B1315" s="1" t="n">
        <v>45566.37802083333</v>
      </c>
      <c r="C1315" s="1" t="n">
        <v>45972</v>
      </c>
      <c r="D1315" t="inlineStr">
        <is>
          <t>JÄMTLANDS LÄN</t>
        </is>
      </c>
      <c r="E1315" t="inlineStr">
        <is>
          <t>STRÖMSUND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39966-2025</t>
        </is>
      </c>
      <c r="B1316" s="1" t="n">
        <v>45892.61496527777</v>
      </c>
      <c r="C1316" s="1" t="n">
        <v>45972</v>
      </c>
      <c r="D1316" t="inlineStr">
        <is>
          <t>JÄMTLANDS LÄN</t>
        </is>
      </c>
      <c r="E1316" t="inlineStr">
        <is>
          <t>STRÖMSUND</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41940-2023</t>
        </is>
      </c>
      <c r="B1317" s="1" t="n">
        <v>45176</v>
      </c>
      <c r="C1317" s="1" t="n">
        <v>45972</v>
      </c>
      <c r="D1317" t="inlineStr">
        <is>
          <t>JÄMTLANDS LÄN</t>
        </is>
      </c>
      <c r="E1317" t="inlineStr">
        <is>
          <t>STRÖMSUND</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41605-2024</t>
        </is>
      </c>
      <c r="B1318" s="1" t="n">
        <v>45560.58306712963</v>
      </c>
      <c r="C1318" s="1" t="n">
        <v>45972</v>
      </c>
      <c r="D1318" t="inlineStr">
        <is>
          <t>JÄMTLANDS LÄN</t>
        </is>
      </c>
      <c r="E1318" t="inlineStr">
        <is>
          <t>STRÖMSUND</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48513-2025</t>
        </is>
      </c>
      <c r="B1319" s="1" t="n">
        <v>45936.38680555556</v>
      </c>
      <c r="C1319" s="1" t="n">
        <v>45972</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55459-2022</t>
        </is>
      </c>
      <c r="B1320" s="1" t="n">
        <v>44882</v>
      </c>
      <c r="C1320" s="1" t="n">
        <v>45972</v>
      </c>
      <c r="D1320" t="inlineStr">
        <is>
          <t>JÄMTLANDS LÄN</t>
        </is>
      </c>
      <c r="E1320" t="inlineStr">
        <is>
          <t>STRÖMSUND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55690-2024</t>
        </is>
      </c>
      <c r="B1321" s="1" t="n">
        <v>45622.67746527777</v>
      </c>
      <c r="C1321" s="1" t="n">
        <v>45972</v>
      </c>
      <c r="D1321" t="inlineStr">
        <is>
          <t>JÄMTLANDS LÄN</t>
        </is>
      </c>
      <c r="E1321" t="inlineStr">
        <is>
          <t>STRÖMSUND</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7999-2025</t>
        </is>
      </c>
      <c r="B1322" s="1" t="n">
        <v>45706</v>
      </c>
      <c r="C1322" s="1" t="n">
        <v>45972</v>
      </c>
      <c r="D1322" t="inlineStr">
        <is>
          <t>JÄMTLANDS LÄN</t>
        </is>
      </c>
      <c r="E1322" t="inlineStr">
        <is>
          <t>STRÖMSUND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31710-2024</t>
        </is>
      </c>
      <c r="B1323" s="1" t="n">
        <v>45508.9509837963</v>
      </c>
      <c r="C1323" s="1" t="n">
        <v>45972</v>
      </c>
      <c r="D1323" t="inlineStr">
        <is>
          <t>JÄMTLANDS LÄN</t>
        </is>
      </c>
      <c r="E1323" t="inlineStr">
        <is>
          <t>STRÖMSUND</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16317-2022</t>
        </is>
      </c>
      <c r="B1324" s="1" t="n">
        <v>44670</v>
      </c>
      <c r="C1324" s="1" t="n">
        <v>45972</v>
      </c>
      <c r="D1324" t="inlineStr">
        <is>
          <t>JÄMTLANDS LÄN</t>
        </is>
      </c>
      <c r="E1324" t="inlineStr">
        <is>
          <t>STRÖMSUND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57748-2023</t>
        </is>
      </c>
      <c r="B1325" s="1" t="n">
        <v>45246</v>
      </c>
      <c r="C1325" s="1" t="n">
        <v>45972</v>
      </c>
      <c r="D1325" t="inlineStr">
        <is>
          <t>JÄMTLANDS LÄN</t>
        </is>
      </c>
      <c r="E1325" t="inlineStr">
        <is>
          <t>STRÖMSUND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31491-2023</t>
        </is>
      </c>
      <c r="B1326" s="1" t="n">
        <v>45114</v>
      </c>
      <c r="C1326" s="1" t="n">
        <v>45972</v>
      </c>
      <c r="D1326" t="inlineStr">
        <is>
          <t>JÄMTLANDS LÄN</t>
        </is>
      </c>
      <c r="E1326" t="inlineStr">
        <is>
          <t>STRÖMSUND</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19652-2023</t>
        </is>
      </c>
      <c r="B1327" s="1" t="n">
        <v>45050</v>
      </c>
      <c r="C1327" s="1" t="n">
        <v>45972</v>
      </c>
      <c r="D1327" t="inlineStr">
        <is>
          <t>JÄMTLANDS LÄN</t>
        </is>
      </c>
      <c r="E1327" t="inlineStr">
        <is>
          <t>STRÖMSUND</t>
        </is>
      </c>
      <c r="F1327" t="inlineStr">
        <is>
          <t>Kommuner</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42385-2024</t>
        </is>
      </c>
      <c r="B1328" s="1" t="n">
        <v>45562</v>
      </c>
      <c r="C1328" s="1" t="n">
        <v>45972</v>
      </c>
      <c r="D1328" t="inlineStr">
        <is>
          <t>JÄMTLANDS LÄN</t>
        </is>
      </c>
      <c r="E1328" t="inlineStr">
        <is>
          <t>STRÖMSUND</t>
        </is>
      </c>
      <c r="F1328" t="inlineStr">
        <is>
          <t>Övriga statliga verk och myndigheter</t>
        </is>
      </c>
      <c r="G1328" t="n">
        <v>4.1</v>
      </c>
      <c r="H1328" t="n">
        <v>0</v>
      </c>
      <c r="I1328" t="n">
        <v>0</v>
      </c>
      <c r="J1328" t="n">
        <v>0</v>
      </c>
      <c r="K1328" t="n">
        <v>0</v>
      </c>
      <c r="L1328" t="n">
        <v>0</v>
      </c>
      <c r="M1328" t="n">
        <v>0</v>
      </c>
      <c r="N1328" t="n">
        <v>0</v>
      </c>
      <c r="O1328" t="n">
        <v>0</v>
      </c>
      <c r="P1328" t="n">
        <v>0</v>
      </c>
      <c r="Q1328" t="n">
        <v>0</v>
      </c>
      <c r="R1328" s="2" t="inlineStr"/>
      <c r="T1328">
        <f>HYPERLINK("https://klasma.github.io/Logging_2313/kartor/A 42385-2024 karta.png", "A 42385-2024")</f>
        <v/>
      </c>
      <c r="V1328">
        <f>HYPERLINK("https://klasma.github.io/Logging_2313/klagomål/A 42385-2024 FSC-klagomål.docx", "A 42385-2024")</f>
        <v/>
      </c>
      <c r="W1328">
        <f>HYPERLINK("https://klasma.github.io/Logging_2313/klagomålsmail/A 42385-2024 FSC-klagomål mail.docx", "A 42385-2024")</f>
        <v/>
      </c>
      <c r="X1328">
        <f>HYPERLINK("https://klasma.github.io/Logging_2313/tillsyn/A 42385-2024 tillsynsbegäran.docx", "A 42385-2024")</f>
        <v/>
      </c>
      <c r="Y1328">
        <f>HYPERLINK("https://klasma.github.io/Logging_2313/tillsynsmail/A 42385-2024 tillsynsbegäran mail.docx", "A 42385-2024")</f>
        <v/>
      </c>
    </row>
    <row r="1329" ht="15" customHeight="1">
      <c r="A1329" t="inlineStr">
        <is>
          <t>A 58031-2022</t>
        </is>
      </c>
      <c r="B1329" s="1" t="n">
        <v>44893</v>
      </c>
      <c r="C1329" s="1" t="n">
        <v>45972</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37143-2023</t>
        </is>
      </c>
      <c r="B1330" s="1" t="n">
        <v>45155.58578703704</v>
      </c>
      <c r="C1330" s="1" t="n">
        <v>45972</v>
      </c>
      <c r="D1330" t="inlineStr">
        <is>
          <t>JÄMTLANDS LÄN</t>
        </is>
      </c>
      <c r="E1330" t="inlineStr">
        <is>
          <t>STRÖMSUND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35746-2024</t>
        </is>
      </c>
      <c r="B1331" s="1" t="n">
        <v>45532</v>
      </c>
      <c r="C1331" s="1" t="n">
        <v>45972</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59478-2023</t>
        </is>
      </c>
      <c r="B1332" s="1" t="n">
        <v>45254</v>
      </c>
      <c r="C1332" s="1" t="n">
        <v>45972</v>
      </c>
      <c r="D1332" t="inlineStr">
        <is>
          <t>JÄMTLANDS LÄN</t>
        </is>
      </c>
      <c r="E1332" t="inlineStr">
        <is>
          <t>STRÖMSUND</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51498-2024</t>
        </is>
      </c>
      <c r="B1333" s="1" t="n">
        <v>45604</v>
      </c>
      <c r="C1333" s="1" t="n">
        <v>45972</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40408-2023</t>
        </is>
      </c>
      <c r="B1334" s="1" t="n">
        <v>45169.93861111111</v>
      </c>
      <c r="C1334" s="1" t="n">
        <v>45972</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19826-2023</t>
        </is>
      </c>
      <c r="B1335" s="1" t="n">
        <v>45051.94119212963</v>
      </c>
      <c r="C1335" s="1" t="n">
        <v>45972</v>
      </c>
      <c r="D1335" t="inlineStr">
        <is>
          <t>JÄMTLANDS LÄN</t>
        </is>
      </c>
      <c r="E1335" t="inlineStr">
        <is>
          <t>STRÖMSUND</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28741-2023</t>
        </is>
      </c>
      <c r="B1336" s="1" t="n">
        <v>45103</v>
      </c>
      <c r="C1336" s="1" t="n">
        <v>45972</v>
      </c>
      <c r="D1336" t="inlineStr">
        <is>
          <t>JÄMTLANDS LÄN</t>
        </is>
      </c>
      <c r="E1336" t="inlineStr">
        <is>
          <t>STRÖMSUND</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33718-2023</t>
        </is>
      </c>
      <c r="B1337" s="1" t="n">
        <v>45132.9502662037</v>
      </c>
      <c r="C1337" s="1" t="n">
        <v>45972</v>
      </c>
      <c r="D1337" t="inlineStr">
        <is>
          <t>JÄMTLANDS LÄN</t>
        </is>
      </c>
      <c r="E1337" t="inlineStr">
        <is>
          <t>STRÖMSUND</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6693-2024</t>
        </is>
      </c>
      <c r="B1338" s="1" t="n">
        <v>45341.95372685185</v>
      </c>
      <c r="C1338" s="1" t="n">
        <v>45972</v>
      </c>
      <c r="D1338" t="inlineStr">
        <is>
          <t>JÄMTLANDS LÄN</t>
        </is>
      </c>
      <c r="E1338" t="inlineStr">
        <is>
          <t>STRÖMSUND</t>
        </is>
      </c>
      <c r="F1338" t="inlineStr">
        <is>
          <t>SCA</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55219-2024</t>
        </is>
      </c>
      <c r="B1339" s="1" t="n">
        <v>45621.57325231482</v>
      </c>
      <c r="C1339" s="1" t="n">
        <v>45972</v>
      </c>
      <c r="D1339" t="inlineStr">
        <is>
          <t>JÄMTLANDS LÄN</t>
        </is>
      </c>
      <c r="E1339" t="inlineStr">
        <is>
          <t>STRÖMSUND</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58449-2022</t>
        </is>
      </c>
      <c r="B1340" s="1" t="n">
        <v>44901.95508101852</v>
      </c>
      <c r="C1340" s="1" t="n">
        <v>45972</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12265-2025</t>
        </is>
      </c>
      <c r="B1341" s="1" t="n">
        <v>45729</v>
      </c>
      <c r="C1341" s="1" t="n">
        <v>45972</v>
      </c>
      <c r="D1341" t="inlineStr">
        <is>
          <t>JÄMTLANDS LÄN</t>
        </is>
      </c>
      <c r="E1341" t="inlineStr">
        <is>
          <t>STRÖMSUND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4988-2023</t>
        </is>
      </c>
      <c r="B1342" s="1" t="n">
        <v>44956</v>
      </c>
      <c r="C1342" s="1" t="n">
        <v>45972</v>
      </c>
      <c r="D1342" t="inlineStr">
        <is>
          <t>JÄMTLANDS LÄN</t>
        </is>
      </c>
      <c r="E1342" t="inlineStr">
        <is>
          <t>STRÖMSUND</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58391-2024</t>
        </is>
      </c>
      <c r="B1343" s="1" t="n">
        <v>45633.76444444444</v>
      </c>
      <c r="C1343" s="1" t="n">
        <v>45972</v>
      </c>
      <c r="D1343" t="inlineStr">
        <is>
          <t>JÄMTLANDS LÄN</t>
        </is>
      </c>
      <c r="E1343" t="inlineStr">
        <is>
          <t>STRÖMSUND</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8480-2025</t>
        </is>
      </c>
      <c r="B1344" s="1" t="n">
        <v>45706</v>
      </c>
      <c r="C1344" s="1" t="n">
        <v>45972</v>
      </c>
      <c r="D1344" t="inlineStr">
        <is>
          <t>JÄMTLANDS LÄN</t>
        </is>
      </c>
      <c r="E1344" t="inlineStr">
        <is>
          <t>STRÖMSUND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7324-2025</t>
        </is>
      </c>
      <c r="B1345" s="1" t="n">
        <v>45702</v>
      </c>
      <c r="C1345" s="1" t="n">
        <v>45972</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9195-2025</t>
        </is>
      </c>
      <c r="B1346" s="1" t="n">
        <v>45714.46916666667</v>
      </c>
      <c r="C1346" s="1" t="n">
        <v>45972</v>
      </c>
      <c r="D1346" t="inlineStr">
        <is>
          <t>JÄMTLANDS LÄN</t>
        </is>
      </c>
      <c r="E1346" t="inlineStr">
        <is>
          <t>STRÖMSUND</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61540-2024</t>
        </is>
      </c>
      <c r="B1347" s="1" t="n">
        <v>45646.5943287037</v>
      </c>
      <c r="C1347" s="1" t="n">
        <v>45972</v>
      </c>
      <c r="D1347" t="inlineStr">
        <is>
          <t>JÄMTLANDS LÄN</t>
        </is>
      </c>
      <c r="E1347" t="inlineStr">
        <is>
          <t>STRÖMSUND</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37632-2024</t>
        </is>
      </c>
      <c r="B1348" s="1" t="n">
        <v>45541</v>
      </c>
      <c r="C1348" s="1" t="n">
        <v>45972</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64760-2021</t>
        </is>
      </c>
      <c r="B1349" s="1" t="n">
        <v>44503</v>
      </c>
      <c r="C1349" s="1" t="n">
        <v>45972</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14072-2023</t>
        </is>
      </c>
      <c r="B1350" s="1" t="n">
        <v>45009.08899305556</v>
      </c>
      <c r="C1350" s="1" t="n">
        <v>45972</v>
      </c>
      <c r="D1350" t="inlineStr">
        <is>
          <t>JÄMTLANDS LÄN</t>
        </is>
      </c>
      <c r="E1350" t="inlineStr">
        <is>
          <t>STRÖMSUND</t>
        </is>
      </c>
      <c r="F1350" t="inlineStr">
        <is>
          <t>SCA</t>
        </is>
      </c>
      <c r="G1350" t="n">
        <v>24.8</v>
      </c>
      <c r="H1350" t="n">
        <v>0</v>
      </c>
      <c r="I1350" t="n">
        <v>0</v>
      </c>
      <c r="J1350" t="n">
        <v>0</v>
      </c>
      <c r="K1350" t="n">
        <v>0</v>
      </c>
      <c r="L1350" t="n">
        <v>0</v>
      </c>
      <c r="M1350" t="n">
        <v>0</v>
      </c>
      <c r="N1350" t="n">
        <v>0</v>
      </c>
      <c r="O1350" t="n">
        <v>0</v>
      </c>
      <c r="P1350" t="n">
        <v>0</v>
      </c>
      <c r="Q1350" t="n">
        <v>0</v>
      </c>
      <c r="R1350" s="2" t="inlineStr"/>
    </row>
    <row r="1351" ht="15" customHeight="1">
      <c r="A1351" t="inlineStr">
        <is>
          <t>A 48113-2025</t>
        </is>
      </c>
      <c r="B1351" s="1" t="n">
        <v>45933.35113425926</v>
      </c>
      <c r="C1351" s="1" t="n">
        <v>45972</v>
      </c>
      <c r="D1351" t="inlineStr">
        <is>
          <t>JÄMTLANDS LÄN</t>
        </is>
      </c>
      <c r="E1351" t="inlineStr">
        <is>
          <t>STRÖMSUND</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64505-2021</t>
        </is>
      </c>
      <c r="B1352" s="1" t="n">
        <v>44511</v>
      </c>
      <c r="C1352" s="1" t="n">
        <v>45972</v>
      </c>
      <c r="D1352" t="inlineStr">
        <is>
          <t>JÄMTLANDS LÄN</t>
        </is>
      </c>
      <c r="E1352" t="inlineStr">
        <is>
          <t>STRÖMSUND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45251-2024</t>
        </is>
      </c>
      <c r="B1353" s="1" t="n">
        <v>45576.32583333334</v>
      </c>
      <c r="C1353" s="1" t="n">
        <v>45972</v>
      </c>
      <c r="D1353" t="inlineStr">
        <is>
          <t>JÄMTLANDS LÄN</t>
        </is>
      </c>
      <c r="E1353" t="inlineStr">
        <is>
          <t>STRÖMSUND</t>
        </is>
      </c>
      <c r="F1353" t="inlineStr">
        <is>
          <t>Sveaskog</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582-2021</t>
        </is>
      </c>
      <c r="B1354" s="1" t="n">
        <v>44203</v>
      </c>
      <c r="C1354" s="1" t="n">
        <v>45972</v>
      </c>
      <c r="D1354" t="inlineStr">
        <is>
          <t>JÄMTLANDS LÄN</t>
        </is>
      </c>
      <c r="E1354" t="inlineStr">
        <is>
          <t>STRÖMSUND</t>
        </is>
      </c>
      <c r="F1354" t="inlineStr">
        <is>
          <t>SCA</t>
        </is>
      </c>
      <c r="G1354" t="n">
        <v>54.9</v>
      </c>
      <c r="H1354" t="n">
        <v>0</v>
      </c>
      <c r="I1354" t="n">
        <v>0</v>
      </c>
      <c r="J1354" t="n">
        <v>0</v>
      </c>
      <c r="K1354" t="n">
        <v>0</v>
      </c>
      <c r="L1354" t="n">
        <v>0</v>
      </c>
      <c r="M1354" t="n">
        <v>0</v>
      </c>
      <c r="N1354" t="n">
        <v>0</v>
      </c>
      <c r="O1354" t="n">
        <v>0</v>
      </c>
      <c r="P1354" t="n">
        <v>0</v>
      </c>
      <c r="Q1354" t="n">
        <v>0</v>
      </c>
      <c r="R1354" s="2" t="inlineStr"/>
    </row>
    <row r="1355" ht="15" customHeight="1">
      <c r="A1355" t="inlineStr">
        <is>
          <t>A 41633-2024</t>
        </is>
      </c>
      <c r="B1355" s="1" t="n">
        <v>45560.61454861111</v>
      </c>
      <c r="C1355" s="1" t="n">
        <v>45972</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9798-2025</t>
        </is>
      </c>
      <c r="B1356" s="1" t="n">
        <v>45716.55252314815</v>
      </c>
      <c r="C1356" s="1" t="n">
        <v>45972</v>
      </c>
      <c r="D1356" t="inlineStr">
        <is>
          <t>JÄMTLANDS LÄN</t>
        </is>
      </c>
      <c r="E1356" t="inlineStr">
        <is>
          <t>STRÖMSUND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13654-2025</t>
        </is>
      </c>
      <c r="B1357" s="1" t="n">
        <v>45736.71942129629</v>
      </c>
      <c r="C1357" s="1" t="n">
        <v>45972</v>
      </c>
      <c r="D1357" t="inlineStr">
        <is>
          <t>JÄMTLANDS LÄN</t>
        </is>
      </c>
      <c r="E1357" t="inlineStr">
        <is>
          <t>STRÖMSUND</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6394-2021</t>
        </is>
      </c>
      <c r="B1358" s="1" t="n">
        <v>44232</v>
      </c>
      <c r="C1358" s="1" t="n">
        <v>45972</v>
      </c>
      <c r="D1358" t="inlineStr">
        <is>
          <t>JÄMTLANDS LÄN</t>
        </is>
      </c>
      <c r="E1358" t="inlineStr">
        <is>
          <t>STRÖMSUND</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53240-2024</t>
        </is>
      </c>
      <c r="B1359" s="1" t="n">
        <v>45613.86699074074</v>
      </c>
      <c r="C1359" s="1" t="n">
        <v>45972</v>
      </c>
      <c r="D1359" t="inlineStr">
        <is>
          <t>JÄMTLANDS LÄN</t>
        </is>
      </c>
      <c r="E1359" t="inlineStr">
        <is>
          <t>STRÖMSUND</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53833-2024</t>
        </is>
      </c>
      <c r="B1360" s="1" t="n">
        <v>45615.61604166667</v>
      </c>
      <c r="C1360" s="1" t="n">
        <v>45972</v>
      </c>
      <c r="D1360" t="inlineStr">
        <is>
          <t>JÄMTLANDS LÄN</t>
        </is>
      </c>
      <c r="E1360" t="inlineStr">
        <is>
          <t>STRÖMSUND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39726-2025</t>
        </is>
      </c>
      <c r="B1361" s="1" t="n">
        <v>45891.34461805555</v>
      </c>
      <c r="C1361" s="1" t="n">
        <v>45972</v>
      </c>
      <c r="D1361" t="inlineStr">
        <is>
          <t>JÄMTLANDS LÄN</t>
        </is>
      </c>
      <c r="E1361" t="inlineStr">
        <is>
          <t>STRÖMSUND</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41070-2024</t>
        </is>
      </c>
      <c r="B1362" s="1" t="n">
        <v>45559.39347222223</v>
      </c>
      <c r="C1362" s="1" t="n">
        <v>45972</v>
      </c>
      <c r="D1362" t="inlineStr">
        <is>
          <t>JÄMTLANDS LÄN</t>
        </is>
      </c>
      <c r="E1362" t="inlineStr">
        <is>
          <t>STRÖMSUND</t>
        </is>
      </c>
      <c r="F1362" t="inlineStr">
        <is>
          <t>Holmen skog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13563-2021</t>
        </is>
      </c>
      <c r="B1363" s="1" t="n">
        <v>44273</v>
      </c>
      <c r="C1363" s="1" t="n">
        <v>45972</v>
      </c>
      <c r="D1363" t="inlineStr">
        <is>
          <t>JÄMTLANDS LÄN</t>
        </is>
      </c>
      <c r="E1363" t="inlineStr">
        <is>
          <t>STRÖMSUND</t>
        </is>
      </c>
      <c r="G1363" t="n">
        <v>27.1</v>
      </c>
      <c r="H1363" t="n">
        <v>0</v>
      </c>
      <c r="I1363" t="n">
        <v>0</v>
      </c>
      <c r="J1363" t="n">
        <v>0</v>
      </c>
      <c r="K1363" t="n">
        <v>0</v>
      </c>
      <c r="L1363" t="n">
        <v>0</v>
      </c>
      <c r="M1363" t="n">
        <v>0</v>
      </c>
      <c r="N1363" t="n">
        <v>0</v>
      </c>
      <c r="O1363" t="n">
        <v>0</v>
      </c>
      <c r="P1363" t="n">
        <v>0</v>
      </c>
      <c r="Q1363" t="n">
        <v>0</v>
      </c>
      <c r="R1363" s="2" t="inlineStr"/>
    </row>
    <row r="1364" ht="15" customHeight="1">
      <c r="A1364" t="inlineStr">
        <is>
          <t>A 24801-2024</t>
        </is>
      </c>
      <c r="B1364" s="1" t="n">
        <v>45460.95300925926</v>
      </c>
      <c r="C1364" s="1" t="n">
        <v>45972</v>
      </c>
      <c r="D1364" t="inlineStr">
        <is>
          <t>JÄMTLANDS LÄN</t>
        </is>
      </c>
      <c r="E1364" t="inlineStr">
        <is>
          <t>STRÖMSUND</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42992-2024</t>
        </is>
      </c>
      <c r="B1365" s="1" t="n">
        <v>45567.37559027778</v>
      </c>
      <c r="C1365" s="1" t="n">
        <v>45972</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16242-2024</t>
        </is>
      </c>
      <c r="B1366" s="1" t="n">
        <v>45407.05734953703</v>
      </c>
      <c r="C1366" s="1" t="n">
        <v>45972</v>
      </c>
      <c r="D1366" t="inlineStr">
        <is>
          <t>JÄMTLANDS LÄN</t>
        </is>
      </c>
      <c r="E1366" t="inlineStr">
        <is>
          <t>STRÖMSUND</t>
        </is>
      </c>
      <c r="F1366" t="inlineStr">
        <is>
          <t>SCA</t>
        </is>
      </c>
      <c r="G1366" t="n">
        <v>31.2</v>
      </c>
      <c r="H1366" t="n">
        <v>0</v>
      </c>
      <c r="I1366" t="n">
        <v>0</v>
      </c>
      <c r="J1366" t="n">
        <v>0</v>
      </c>
      <c r="K1366" t="n">
        <v>0</v>
      </c>
      <c r="L1366" t="n">
        <v>0</v>
      </c>
      <c r="M1366" t="n">
        <v>0</v>
      </c>
      <c r="N1366" t="n">
        <v>0</v>
      </c>
      <c r="O1366" t="n">
        <v>0</v>
      </c>
      <c r="P1366" t="n">
        <v>0</v>
      </c>
      <c r="Q1366" t="n">
        <v>0</v>
      </c>
      <c r="R1366" s="2" t="inlineStr"/>
    </row>
    <row r="1367" ht="15" customHeight="1">
      <c r="A1367" t="inlineStr">
        <is>
          <t>A 48553-2025</t>
        </is>
      </c>
      <c r="B1367" s="1" t="n">
        <v>45936.42771990741</v>
      </c>
      <c r="C1367" s="1" t="n">
        <v>45972</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45972</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1187-2023</t>
        </is>
      </c>
      <c r="B1369" s="1" t="n">
        <v>44930</v>
      </c>
      <c r="C1369" s="1" t="n">
        <v>45972</v>
      </c>
      <c r="D1369" t="inlineStr">
        <is>
          <t>JÄMTLANDS LÄN</t>
        </is>
      </c>
      <c r="E1369" t="inlineStr">
        <is>
          <t>STRÖMSUND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48124-2025</t>
        </is>
      </c>
      <c r="B1370" s="1" t="n">
        <v>45933.36506944444</v>
      </c>
      <c r="C1370" s="1" t="n">
        <v>45972</v>
      </c>
      <c r="D1370" t="inlineStr">
        <is>
          <t>JÄMTLANDS LÄN</t>
        </is>
      </c>
      <c r="E1370" t="inlineStr">
        <is>
          <t>STRÖMSUND</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19413-2025</t>
        </is>
      </c>
      <c r="B1371" s="1" t="n">
        <v>45769.69850694444</v>
      </c>
      <c r="C1371" s="1" t="n">
        <v>45972</v>
      </c>
      <c r="D1371" t="inlineStr">
        <is>
          <t>JÄMTLANDS LÄN</t>
        </is>
      </c>
      <c r="E1371" t="inlineStr">
        <is>
          <t>STRÖMSUND</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32673-2024</t>
        </is>
      </c>
      <c r="B1372" s="1" t="n">
        <v>45514.61270833333</v>
      </c>
      <c r="C1372" s="1" t="n">
        <v>45972</v>
      </c>
      <c r="D1372" t="inlineStr">
        <is>
          <t>JÄMTLANDS LÄN</t>
        </is>
      </c>
      <c r="E1372" t="inlineStr">
        <is>
          <t>STRÖMSUND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59645-2022</t>
        </is>
      </c>
      <c r="B1373" s="1" t="n">
        <v>44907.96560185185</v>
      </c>
      <c r="C1373" s="1" t="n">
        <v>45972</v>
      </c>
      <c r="D1373" t="inlineStr">
        <is>
          <t>JÄMTLANDS LÄN</t>
        </is>
      </c>
      <c r="E1373" t="inlineStr">
        <is>
          <t>STRÖMSUND</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40970-2024</t>
        </is>
      </c>
      <c r="B1374" s="1" t="n">
        <v>45558.67643518518</v>
      </c>
      <c r="C1374" s="1" t="n">
        <v>45972</v>
      </c>
      <c r="D1374" t="inlineStr">
        <is>
          <t>JÄMTLANDS LÄN</t>
        </is>
      </c>
      <c r="E1374" t="inlineStr">
        <is>
          <t>STRÖMSUND</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10323-2022</t>
        </is>
      </c>
      <c r="B1375" s="1" t="n">
        <v>44622.94203703704</v>
      </c>
      <c r="C1375" s="1" t="n">
        <v>45972</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c r="U1375">
        <f>HYPERLINK("https://klasma.github.io/Logging_2313/knärot/A 10323-2022 karta knärot.png", "A 10323-2022")</f>
        <v/>
      </c>
      <c r="V1375">
        <f>HYPERLINK("https://klasma.github.io/Logging_2313/klagomål/A 10323-2022 FSC-klagomål.docx", "A 10323-2022")</f>
        <v/>
      </c>
      <c r="W1375">
        <f>HYPERLINK("https://klasma.github.io/Logging_2313/klagomålsmail/A 10323-2022 FSC-klagomål mail.docx", "A 10323-2022")</f>
        <v/>
      </c>
      <c r="X1375">
        <f>HYPERLINK("https://klasma.github.io/Logging_2313/tillsyn/A 10323-2022 tillsynsbegäran.docx", "A 10323-2022")</f>
        <v/>
      </c>
      <c r="Y1375">
        <f>HYPERLINK("https://klasma.github.io/Logging_2313/tillsynsmail/A 10323-2022 tillsynsbegäran mail.docx", "A 10323-2022")</f>
        <v/>
      </c>
    </row>
    <row r="1376" ht="15" customHeight="1">
      <c r="A1376" t="inlineStr">
        <is>
          <t>A 59461-2022</t>
        </is>
      </c>
      <c r="B1376" s="1" t="n">
        <v>44907</v>
      </c>
      <c r="C1376" s="1" t="n">
        <v>45972</v>
      </c>
      <c r="D1376" t="inlineStr">
        <is>
          <t>JÄMTLANDS LÄN</t>
        </is>
      </c>
      <c r="E1376" t="inlineStr">
        <is>
          <t>STRÖMSUND</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27375-2023</t>
        </is>
      </c>
      <c r="B1377" s="1" t="n">
        <v>45096.93879629629</v>
      </c>
      <c r="C1377" s="1" t="n">
        <v>45972</v>
      </c>
      <c r="D1377" t="inlineStr">
        <is>
          <t>JÄMTLANDS LÄN</t>
        </is>
      </c>
      <c r="E1377" t="inlineStr">
        <is>
          <t>STRÖMSUND</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7112-2024</t>
        </is>
      </c>
      <c r="B1378" s="1" t="n">
        <v>45343.95170138889</v>
      </c>
      <c r="C1378" s="1" t="n">
        <v>45972</v>
      </c>
      <c r="D1378" t="inlineStr">
        <is>
          <t>JÄMTLANDS LÄN</t>
        </is>
      </c>
      <c r="E1378" t="inlineStr">
        <is>
          <t>STRÖMSUND</t>
        </is>
      </c>
      <c r="F1378" t="inlineStr">
        <is>
          <t>SCA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11763-2024</t>
        </is>
      </c>
      <c r="B1379" s="1" t="n">
        <v>45373.94820601852</v>
      </c>
      <c r="C1379" s="1" t="n">
        <v>45972</v>
      </c>
      <c r="D1379" t="inlineStr">
        <is>
          <t>JÄMTLANDS LÄN</t>
        </is>
      </c>
      <c r="E1379" t="inlineStr">
        <is>
          <t>STRÖMSUND</t>
        </is>
      </c>
      <c r="F1379" t="inlineStr">
        <is>
          <t>SCA</t>
        </is>
      </c>
      <c r="G1379" t="n">
        <v>31.6</v>
      </c>
      <c r="H1379" t="n">
        <v>0</v>
      </c>
      <c r="I1379" t="n">
        <v>0</v>
      </c>
      <c r="J1379" t="n">
        <v>0</v>
      </c>
      <c r="K1379" t="n">
        <v>0</v>
      </c>
      <c r="L1379" t="n">
        <v>0</v>
      </c>
      <c r="M1379" t="n">
        <v>0</v>
      </c>
      <c r="N1379" t="n">
        <v>0</v>
      </c>
      <c r="O1379" t="n">
        <v>0</v>
      </c>
      <c r="P1379" t="n">
        <v>0</v>
      </c>
      <c r="Q1379" t="n">
        <v>0</v>
      </c>
      <c r="R1379" s="2" t="inlineStr"/>
    </row>
    <row r="1380" ht="15" customHeight="1">
      <c r="A1380" t="inlineStr">
        <is>
          <t>A 65768-2020</t>
        </is>
      </c>
      <c r="B1380" s="1" t="n">
        <v>44174</v>
      </c>
      <c r="C1380" s="1" t="n">
        <v>45972</v>
      </c>
      <c r="D1380" t="inlineStr">
        <is>
          <t>JÄMTLANDS LÄN</t>
        </is>
      </c>
      <c r="E1380" t="inlineStr">
        <is>
          <t>STRÖMSUND</t>
        </is>
      </c>
      <c r="F1380" t="inlineStr">
        <is>
          <t>Holmen skog AB</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39689-2022</t>
        </is>
      </c>
      <c r="B1381" s="1" t="n">
        <v>44818</v>
      </c>
      <c r="C1381" s="1" t="n">
        <v>45972</v>
      </c>
      <c r="D1381" t="inlineStr">
        <is>
          <t>JÄMTLANDS LÄN</t>
        </is>
      </c>
      <c r="E1381" t="inlineStr">
        <is>
          <t>STRÖMSUND</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65797-2020</t>
        </is>
      </c>
      <c r="B1382" s="1" t="n">
        <v>44174</v>
      </c>
      <c r="C1382" s="1" t="n">
        <v>45972</v>
      </c>
      <c r="D1382" t="inlineStr">
        <is>
          <t>JÄMTLANDS LÄN</t>
        </is>
      </c>
      <c r="E1382" t="inlineStr">
        <is>
          <t>STRÖMSUND</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8895-2024</t>
        </is>
      </c>
      <c r="B1383" s="1" t="n">
        <v>45357.31908564815</v>
      </c>
      <c r="C1383" s="1" t="n">
        <v>45972</v>
      </c>
      <c r="D1383" t="inlineStr">
        <is>
          <t>JÄMTLANDS LÄN</t>
        </is>
      </c>
      <c r="E1383" t="inlineStr">
        <is>
          <t>STRÖMSUND</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19674-2025</t>
        </is>
      </c>
      <c r="B1384" s="1" t="n">
        <v>45770</v>
      </c>
      <c r="C1384" s="1" t="n">
        <v>45972</v>
      </c>
      <c r="D1384" t="inlineStr">
        <is>
          <t>JÄMTLANDS LÄN</t>
        </is>
      </c>
      <c r="E1384" t="inlineStr">
        <is>
          <t>STRÖMSUND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34817-2024</t>
        </is>
      </c>
      <c r="B1385" s="1" t="n">
        <v>45526.70909722222</v>
      </c>
      <c r="C1385" s="1" t="n">
        <v>45972</v>
      </c>
      <c r="D1385" t="inlineStr">
        <is>
          <t>JÄMTLANDS LÄN</t>
        </is>
      </c>
      <c r="E1385" t="inlineStr">
        <is>
          <t>STRÖMSUND</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44009-2024</t>
        </is>
      </c>
      <c r="B1386" s="1" t="n">
        <v>45572.55314814814</v>
      </c>
      <c r="C1386" s="1" t="n">
        <v>45972</v>
      </c>
      <c r="D1386" t="inlineStr">
        <is>
          <t>JÄMTLANDS LÄN</t>
        </is>
      </c>
      <c r="E1386" t="inlineStr">
        <is>
          <t>STRÖMSUND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24073-2023</t>
        </is>
      </c>
      <c r="B1387" s="1" t="n">
        <v>45078.9421412037</v>
      </c>
      <c r="C1387" s="1" t="n">
        <v>45972</v>
      </c>
      <c r="D1387" t="inlineStr">
        <is>
          <t>JÄMTLANDS LÄN</t>
        </is>
      </c>
      <c r="E1387" t="inlineStr">
        <is>
          <t>STRÖMSUND</t>
        </is>
      </c>
      <c r="F1387" t="inlineStr">
        <is>
          <t>SCA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39516-2024</t>
        </is>
      </c>
      <c r="B1388" s="1" t="n">
        <v>45551.69825231482</v>
      </c>
      <c r="C1388" s="1" t="n">
        <v>45972</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22452-2024</t>
        </is>
      </c>
      <c r="B1389" s="1" t="n">
        <v>45446.94908564815</v>
      </c>
      <c r="C1389" s="1" t="n">
        <v>45972</v>
      </c>
      <c r="D1389" t="inlineStr">
        <is>
          <t>JÄMTLANDS LÄN</t>
        </is>
      </c>
      <c r="E1389" t="inlineStr">
        <is>
          <t>STRÖMSUND</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6566-2024</t>
        </is>
      </c>
      <c r="B1390" s="1" t="n">
        <v>45341.46119212963</v>
      </c>
      <c r="C1390" s="1" t="n">
        <v>45972</v>
      </c>
      <c r="D1390" t="inlineStr">
        <is>
          <t>JÄMTLANDS LÄN</t>
        </is>
      </c>
      <c r="E1390" t="inlineStr">
        <is>
          <t>STRÖMSUND</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44615-2024</t>
        </is>
      </c>
      <c r="B1391" s="1" t="n">
        <v>45574.51277777777</v>
      </c>
      <c r="C1391" s="1" t="n">
        <v>45972</v>
      </c>
      <c r="D1391" t="inlineStr">
        <is>
          <t>JÄMTLANDS LÄN</t>
        </is>
      </c>
      <c r="E1391" t="inlineStr">
        <is>
          <t>STRÖMSUND</t>
        </is>
      </c>
      <c r="F1391" t="inlineStr">
        <is>
          <t>SCA</t>
        </is>
      </c>
      <c r="G1391" t="n">
        <v>2.7</v>
      </c>
      <c r="H1391" t="n">
        <v>0</v>
      </c>
      <c r="I1391" t="n">
        <v>0</v>
      </c>
      <c r="J1391" t="n">
        <v>0</v>
      </c>
      <c r="K1391" t="n">
        <v>0</v>
      </c>
      <c r="L1391" t="n">
        <v>0</v>
      </c>
      <c r="M1391" t="n">
        <v>0</v>
      </c>
      <c r="N1391" t="n">
        <v>0</v>
      </c>
      <c r="O1391" t="n">
        <v>0</v>
      </c>
      <c r="P1391" t="n">
        <v>0</v>
      </c>
      <c r="Q1391" t="n">
        <v>0</v>
      </c>
      <c r="R1391" s="2" t="inlineStr"/>
      <c r="U1391">
        <f>HYPERLINK("https://klasma.github.io/Logging_2313/knärot/A 44615-2024 karta knärot.png", "A 44615-2024")</f>
        <v/>
      </c>
      <c r="V1391">
        <f>HYPERLINK("https://klasma.github.io/Logging_2313/klagomål/A 44615-2024 FSC-klagomål.docx", "A 44615-2024")</f>
        <v/>
      </c>
      <c r="W1391">
        <f>HYPERLINK("https://klasma.github.io/Logging_2313/klagomålsmail/A 44615-2024 FSC-klagomål mail.docx", "A 44615-2024")</f>
        <v/>
      </c>
      <c r="X1391">
        <f>HYPERLINK("https://klasma.github.io/Logging_2313/tillsyn/A 44615-2024 tillsynsbegäran.docx", "A 44615-2024")</f>
        <v/>
      </c>
      <c r="Y1391">
        <f>HYPERLINK("https://klasma.github.io/Logging_2313/tillsynsmail/A 44615-2024 tillsynsbegäran mail.docx", "A 44615-2024")</f>
        <v/>
      </c>
    </row>
    <row r="1392" ht="15" customHeight="1">
      <c r="A1392" t="inlineStr">
        <is>
          <t>A 15259-2022</t>
        </is>
      </c>
      <c r="B1392" s="1" t="n">
        <v>44659</v>
      </c>
      <c r="C1392" s="1" t="n">
        <v>45972</v>
      </c>
      <c r="D1392" t="inlineStr">
        <is>
          <t>JÄMTLANDS LÄN</t>
        </is>
      </c>
      <c r="E1392" t="inlineStr">
        <is>
          <t>STRÖMSUND</t>
        </is>
      </c>
      <c r="G1392" t="n">
        <v>52.4</v>
      </c>
      <c r="H1392" t="n">
        <v>0</v>
      </c>
      <c r="I1392" t="n">
        <v>0</v>
      </c>
      <c r="J1392" t="n">
        <v>0</v>
      </c>
      <c r="K1392" t="n">
        <v>0</v>
      </c>
      <c r="L1392" t="n">
        <v>0</v>
      </c>
      <c r="M1392" t="n">
        <v>0</v>
      </c>
      <c r="N1392" t="n">
        <v>0</v>
      </c>
      <c r="O1392" t="n">
        <v>0</v>
      </c>
      <c r="P1392" t="n">
        <v>0</v>
      </c>
      <c r="Q1392" t="n">
        <v>0</v>
      </c>
      <c r="R1392" s="2" t="inlineStr"/>
    </row>
    <row r="1393" ht="15" customHeight="1">
      <c r="A1393" t="inlineStr">
        <is>
          <t>A 15273-2022</t>
        </is>
      </c>
      <c r="B1393" s="1" t="n">
        <v>44659</v>
      </c>
      <c r="C1393" s="1" t="n">
        <v>45972</v>
      </c>
      <c r="D1393" t="inlineStr">
        <is>
          <t>JÄMTLANDS LÄN</t>
        </is>
      </c>
      <c r="E1393" t="inlineStr">
        <is>
          <t>STRÖMSUND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44623-2024</t>
        </is>
      </c>
      <c r="B1394" s="1" t="n">
        <v>45574.51356481481</v>
      </c>
      <c r="C1394" s="1" t="n">
        <v>45972</v>
      </c>
      <c r="D1394" t="inlineStr">
        <is>
          <t>JÄMTLANDS LÄN</t>
        </is>
      </c>
      <c r="E1394" t="inlineStr">
        <is>
          <t>STRÖMSUND</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30024-2022</t>
        </is>
      </c>
      <c r="B1395" s="1" t="n">
        <v>44756.9447337963</v>
      </c>
      <c r="C1395" s="1" t="n">
        <v>45972</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2619-2024</t>
        </is>
      </c>
      <c r="B1396" s="1" t="n">
        <v>45313</v>
      </c>
      <c r="C1396" s="1" t="n">
        <v>45972</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20272-2024</t>
        </is>
      </c>
      <c r="B1397" s="1" t="n">
        <v>45434.94920138889</v>
      </c>
      <c r="C1397" s="1" t="n">
        <v>45972</v>
      </c>
      <c r="D1397" t="inlineStr">
        <is>
          <t>JÄMTLANDS LÄN</t>
        </is>
      </c>
      <c r="E1397" t="inlineStr">
        <is>
          <t>STRÖMSUND</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18751-2022</t>
        </is>
      </c>
      <c r="B1398" s="1" t="n">
        <v>44687.94190972222</v>
      </c>
      <c r="C1398" s="1" t="n">
        <v>45972</v>
      </c>
      <c r="D1398" t="inlineStr">
        <is>
          <t>JÄMTLANDS LÄN</t>
        </is>
      </c>
      <c r="E1398" t="inlineStr">
        <is>
          <t>STRÖMSUND</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54479-2023</t>
        </is>
      </c>
      <c r="B1399" s="1" t="n">
        <v>45233</v>
      </c>
      <c r="C1399" s="1" t="n">
        <v>45972</v>
      </c>
      <c r="D1399" t="inlineStr">
        <is>
          <t>JÄMTLANDS LÄN</t>
        </is>
      </c>
      <c r="E1399" t="inlineStr">
        <is>
          <t>STRÖMSUND</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62356-2023</t>
        </is>
      </c>
      <c r="B1400" s="1" t="n">
        <v>45267</v>
      </c>
      <c r="C1400" s="1" t="n">
        <v>45972</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21701-2022</t>
        </is>
      </c>
      <c r="B1401" s="1" t="n">
        <v>44707.93929398148</v>
      </c>
      <c r="C1401" s="1" t="n">
        <v>45972</v>
      </c>
      <c r="D1401" t="inlineStr">
        <is>
          <t>JÄMTLANDS LÄN</t>
        </is>
      </c>
      <c r="E1401" t="inlineStr">
        <is>
          <t>STRÖMSUND</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28016-2023</t>
        </is>
      </c>
      <c r="B1402" s="1" t="n">
        <v>45098.93996527778</v>
      </c>
      <c r="C1402" s="1" t="n">
        <v>45972</v>
      </c>
      <c r="D1402" t="inlineStr">
        <is>
          <t>JÄMTLANDS LÄN</t>
        </is>
      </c>
      <c r="E1402" t="inlineStr">
        <is>
          <t>STRÖMSUND</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41317-2024</t>
        </is>
      </c>
      <c r="B1403" s="1" t="n">
        <v>45559.63664351852</v>
      </c>
      <c r="C1403" s="1" t="n">
        <v>45972</v>
      </c>
      <c r="D1403" t="inlineStr">
        <is>
          <t>JÄMTLANDS LÄN</t>
        </is>
      </c>
      <c r="E1403" t="inlineStr">
        <is>
          <t>STRÖMSUND</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68653-2020</t>
        </is>
      </c>
      <c r="B1404" s="1" t="n">
        <v>44186</v>
      </c>
      <c r="C1404" s="1" t="n">
        <v>45972</v>
      </c>
      <c r="D1404" t="inlineStr">
        <is>
          <t>JÄMTLANDS LÄN</t>
        </is>
      </c>
      <c r="E1404" t="inlineStr">
        <is>
          <t>STRÖMSUND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12731-2023</t>
        </is>
      </c>
      <c r="B1405" s="1" t="n">
        <v>45000.92390046296</v>
      </c>
      <c r="C1405" s="1" t="n">
        <v>45972</v>
      </c>
      <c r="D1405" t="inlineStr">
        <is>
          <t>JÄMTLANDS LÄN</t>
        </is>
      </c>
      <c r="E1405" t="inlineStr">
        <is>
          <t>STRÖMSUND</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56490-2023</t>
        </is>
      </c>
      <c r="B1406" s="1" t="n">
        <v>45237</v>
      </c>
      <c r="C1406" s="1" t="n">
        <v>45972</v>
      </c>
      <c r="D1406" t="inlineStr">
        <is>
          <t>JÄMTLANDS LÄN</t>
        </is>
      </c>
      <c r="E1406" t="inlineStr">
        <is>
          <t>STRÖMSUND</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34344-2024</t>
        </is>
      </c>
      <c r="B1407" s="1" t="n">
        <v>45525</v>
      </c>
      <c r="C1407" s="1" t="n">
        <v>45972</v>
      </c>
      <c r="D1407" t="inlineStr">
        <is>
          <t>JÄMTLANDS LÄN</t>
        </is>
      </c>
      <c r="E1407" t="inlineStr">
        <is>
          <t>STRÖMSUND</t>
        </is>
      </c>
      <c r="F1407" t="inlineStr">
        <is>
          <t>Holmen skog AB</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59530-2024</t>
        </is>
      </c>
      <c r="B1408" s="1" t="n">
        <v>45638.59427083333</v>
      </c>
      <c r="C1408" s="1" t="n">
        <v>45972</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28003-2023</t>
        </is>
      </c>
      <c r="B1409" s="1" t="n">
        <v>45098.93894675926</v>
      </c>
      <c r="C1409" s="1" t="n">
        <v>45972</v>
      </c>
      <c r="D1409" t="inlineStr">
        <is>
          <t>JÄMTLANDS LÄN</t>
        </is>
      </c>
      <c r="E1409" t="inlineStr">
        <is>
          <t>STRÖMSUND</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48133-2025</t>
        </is>
      </c>
      <c r="B1410" s="1" t="n">
        <v>45933.37028935185</v>
      </c>
      <c r="C1410" s="1" t="n">
        <v>45972</v>
      </c>
      <c r="D1410" t="inlineStr">
        <is>
          <t>JÄMTLANDS LÄN</t>
        </is>
      </c>
      <c r="E1410" t="inlineStr">
        <is>
          <t>STRÖMSUND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3628-2024</t>
        </is>
      </c>
      <c r="B1411" s="1" t="n">
        <v>45320.95340277778</v>
      </c>
      <c r="C1411" s="1" t="n">
        <v>45972</v>
      </c>
      <c r="D1411" t="inlineStr">
        <is>
          <t>JÄMTLANDS LÄN</t>
        </is>
      </c>
      <c r="E1411" t="inlineStr">
        <is>
          <t>STRÖMSUND</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48509-2025</t>
        </is>
      </c>
      <c r="B1412" s="1" t="n">
        <v>45936.38618055556</v>
      </c>
      <c r="C1412" s="1" t="n">
        <v>45972</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48512-2025</t>
        </is>
      </c>
      <c r="B1413" s="1" t="n">
        <v>45936.38666666667</v>
      </c>
      <c r="C1413" s="1" t="n">
        <v>45972</v>
      </c>
      <c r="D1413" t="inlineStr">
        <is>
          <t>JÄMTLANDS LÄN</t>
        </is>
      </c>
      <c r="E1413" t="inlineStr">
        <is>
          <t>STRÖMSUND</t>
        </is>
      </c>
      <c r="F1413" t="inlineStr">
        <is>
          <t>SCA</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5453-2024</t>
        </is>
      </c>
      <c r="B1414" s="1" t="n">
        <v>45331.95241898148</v>
      </c>
      <c r="C1414" s="1" t="n">
        <v>45972</v>
      </c>
      <c r="D1414" t="inlineStr">
        <is>
          <t>JÄMTLANDS LÄN</t>
        </is>
      </c>
      <c r="E1414" t="inlineStr">
        <is>
          <t>STRÖMSUND</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19045-2025</t>
        </is>
      </c>
      <c r="B1415" s="1" t="n">
        <v>45764.71907407408</v>
      </c>
      <c r="C1415" s="1" t="n">
        <v>45972</v>
      </c>
      <c r="D1415" t="inlineStr">
        <is>
          <t>JÄMTLANDS LÄN</t>
        </is>
      </c>
      <c r="E1415" t="inlineStr">
        <is>
          <t>STRÖMSUND</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13782-2025</t>
        </is>
      </c>
      <c r="B1416" s="1" t="n">
        <v>45736</v>
      </c>
      <c r="C1416" s="1" t="n">
        <v>45972</v>
      </c>
      <c r="D1416" t="inlineStr">
        <is>
          <t>JÄMTLANDS LÄN</t>
        </is>
      </c>
      <c r="E1416" t="inlineStr">
        <is>
          <t>STRÖMSUND</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1542-2025</t>
        </is>
      </c>
      <c r="B1417" s="1" t="n">
        <v>45670</v>
      </c>
      <c r="C1417" s="1" t="n">
        <v>45972</v>
      </c>
      <c r="D1417" t="inlineStr">
        <is>
          <t>JÄMTLANDS LÄN</t>
        </is>
      </c>
      <c r="E1417" t="inlineStr">
        <is>
          <t>STRÖMSUND</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1543-2025</t>
        </is>
      </c>
      <c r="B1418" s="1" t="n">
        <v>45670</v>
      </c>
      <c r="C1418" s="1" t="n">
        <v>45972</v>
      </c>
      <c r="D1418" t="inlineStr">
        <is>
          <t>JÄMTLANDS LÄN</t>
        </is>
      </c>
      <c r="E1418" t="inlineStr">
        <is>
          <t>STRÖMSUND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1544-2025</t>
        </is>
      </c>
      <c r="B1419" s="1" t="n">
        <v>45670</v>
      </c>
      <c r="C1419" s="1" t="n">
        <v>45972</v>
      </c>
      <c r="D1419" t="inlineStr">
        <is>
          <t>JÄMTLANDS LÄN</t>
        </is>
      </c>
      <c r="E1419" t="inlineStr">
        <is>
          <t>STRÖMSUND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27036-2022</t>
        </is>
      </c>
      <c r="B1420" s="1" t="n">
        <v>44740.94358796296</v>
      </c>
      <c r="C1420" s="1" t="n">
        <v>45972</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1545-2025</t>
        </is>
      </c>
      <c r="B1421" s="1" t="n">
        <v>45670</v>
      </c>
      <c r="C1421" s="1" t="n">
        <v>45972</v>
      </c>
      <c r="D1421" t="inlineStr">
        <is>
          <t>JÄMTLANDS LÄN</t>
        </is>
      </c>
      <c r="E1421" t="inlineStr">
        <is>
          <t>STRÖMSUND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1547-2025</t>
        </is>
      </c>
      <c r="B1422" s="1" t="n">
        <v>45670</v>
      </c>
      <c r="C1422" s="1" t="n">
        <v>45972</v>
      </c>
      <c r="D1422" t="inlineStr">
        <is>
          <t>JÄMTLANDS LÄN</t>
        </is>
      </c>
      <c r="E1422" t="inlineStr">
        <is>
          <t>STRÖMSUND</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57012-2022</t>
        </is>
      </c>
      <c r="B1423" s="1" t="n">
        <v>44894.9581712963</v>
      </c>
      <c r="C1423" s="1" t="n">
        <v>45972</v>
      </c>
      <c r="D1423" t="inlineStr">
        <is>
          <t>JÄMTLANDS LÄN</t>
        </is>
      </c>
      <c r="E1423" t="inlineStr">
        <is>
          <t>STRÖMSUND</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57016-2022</t>
        </is>
      </c>
      <c r="B1424" s="1" t="n">
        <v>44894</v>
      </c>
      <c r="C1424" s="1" t="n">
        <v>45972</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19031-2025</t>
        </is>
      </c>
      <c r="B1425" s="1" t="n">
        <v>45764.65657407408</v>
      </c>
      <c r="C1425" s="1" t="n">
        <v>45972</v>
      </c>
      <c r="D1425" t="inlineStr">
        <is>
          <t>JÄMTLANDS LÄN</t>
        </is>
      </c>
      <c r="E1425" t="inlineStr">
        <is>
          <t>STRÖMSUND</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48134-2024</t>
        </is>
      </c>
      <c r="B1426" s="1" t="n">
        <v>45589</v>
      </c>
      <c r="C1426" s="1" t="n">
        <v>45972</v>
      </c>
      <c r="D1426" t="inlineStr">
        <is>
          <t>JÄMTLANDS LÄN</t>
        </is>
      </c>
      <c r="E1426" t="inlineStr">
        <is>
          <t>STRÖMSUND</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38093-2024</t>
        </is>
      </c>
      <c r="B1427" s="1" t="n">
        <v>45545.34461805555</v>
      </c>
      <c r="C1427" s="1" t="n">
        <v>45972</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48525-2025</t>
        </is>
      </c>
      <c r="B1428" s="1" t="n">
        <v>45936.40680555555</v>
      </c>
      <c r="C1428" s="1" t="n">
        <v>45972</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25328-2023</t>
        </is>
      </c>
      <c r="B1429" s="1" t="n">
        <v>45086.93983796296</v>
      </c>
      <c r="C1429" s="1" t="n">
        <v>45972</v>
      </c>
      <c r="D1429" t="inlineStr">
        <is>
          <t>JÄMTLANDS LÄN</t>
        </is>
      </c>
      <c r="E1429" t="inlineStr">
        <is>
          <t>STRÖMSUND</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39967-2025</t>
        </is>
      </c>
      <c r="B1430" s="1" t="n">
        <v>45892.61511574074</v>
      </c>
      <c r="C1430" s="1" t="n">
        <v>45972</v>
      </c>
      <c r="D1430" t="inlineStr">
        <is>
          <t>JÄMTLANDS LÄN</t>
        </is>
      </c>
      <c r="E1430" t="inlineStr">
        <is>
          <t>STRÖMSUND</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55942-2024</t>
        </is>
      </c>
      <c r="B1431" s="1" t="n">
        <v>45623.61278935185</v>
      </c>
      <c r="C1431" s="1" t="n">
        <v>45972</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14347-2023</t>
        </is>
      </c>
      <c r="B1432" s="1" t="n">
        <v>45012</v>
      </c>
      <c r="C1432" s="1" t="n">
        <v>45972</v>
      </c>
      <c r="D1432" t="inlineStr">
        <is>
          <t>JÄMTLANDS LÄN</t>
        </is>
      </c>
      <c r="E1432" t="inlineStr">
        <is>
          <t>STRÖMSUND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14975-2023</t>
        </is>
      </c>
      <c r="B1433" s="1" t="n">
        <v>45013</v>
      </c>
      <c r="C1433" s="1" t="n">
        <v>45972</v>
      </c>
      <c r="D1433" t="inlineStr">
        <is>
          <t>JÄMTLANDS LÄN</t>
        </is>
      </c>
      <c r="E1433" t="inlineStr">
        <is>
          <t>STRÖMSUND</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40104-2023</t>
        </is>
      </c>
      <c r="B1434" s="1" t="n">
        <v>45168.93770833333</v>
      </c>
      <c r="C1434" s="1" t="n">
        <v>45972</v>
      </c>
      <c r="D1434" t="inlineStr">
        <is>
          <t>JÄMTLANDS LÄN</t>
        </is>
      </c>
      <c r="E1434" t="inlineStr">
        <is>
          <t>STRÖMSUND</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39727-2025</t>
        </is>
      </c>
      <c r="B1435" s="1" t="n">
        <v>45891.34480324074</v>
      </c>
      <c r="C1435" s="1" t="n">
        <v>45972</v>
      </c>
      <c r="D1435" t="inlineStr">
        <is>
          <t>JÄMTLANDS LÄN</t>
        </is>
      </c>
      <c r="E1435" t="inlineStr">
        <is>
          <t>STRÖMSUND</t>
        </is>
      </c>
      <c r="F1435" t="inlineStr">
        <is>
          <t>SCA</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48139-2025</t>
        </is>
      </c>
      <c r="B1436" s="1" t="n">
        <v>45933.38321759259</v>
      </c>
      <c r="C1436" s="1" t="n">
        <v>45972</v>
      </c>
      <c r="D1436" t="inlineStr">
        <is>
          <t>JÄMTLANDS LÄN</t>
        </is>
      </c>
      <c r="E1436" t="inlineStr">
        <is>
          <t>STRÖMSUND</t>
        </is>
      </c>
      <c r="F1436" t="inlineStr">
        <is>
          <t>SCA</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38280-2024</t>
        </is>
      </c>
      <c r="B1437" s="1" t="n">
        <v>45545.61516203704</v>
      </c>
      <c r="C1437" s="1" t="n">
        <v>45972</v>
      </c>
      <c r="D1437" t="inlineStr">
        <is>
          <t>JÄMTLANDS LÄN</t>
        </is>
      </c>
      <c r="E1437" t="inlineStr">
        <is>
          <t>STRÖMSUND</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18915-2024</t>
        </is>
      </c>
      <c r="B1438" s="1" t="n">
        <v>45426</v>
      </c>
      <c r="C1438" s="1" t="n">
        <v>45972</v>
      </c>
      <c r="D1438" t="inlineStr">
        <is>
          <t>JÄMTLANDS LÄN</t>
        </is>
      </c>
      <c r="E1438" t="inlineStr">
        <is>
          <t>STRÖMSUND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20263-2025</t>
        </is>
      </c>
      <c r="B1439" s="1" t="n">
        <v>45773.38578703703</v>
      </c>
      <c r="C1439" s="1" t="n">
        <v>45972</v>
      </c>
      <c r="D1439" t="inlineStr">
        <is>
          <t>JÄMTLANDS LÄN</t>
        </is>
      </c>
      <c r="E1439" t="inlineStr">
        <is>
          <t>STRÖMSUND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59152-2024</t>
        </is>
      </c>
      <c r="B1440" s="1" t="n">
        <v>45637.46261574074</v>
      </c>
      <c r="C1440" s="1" t="n">
        <v>45972</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8743-2024</t>
        </is>
      </c>
      <c r="B1441" s="1" t="n">
        <v>45356</v>
      </c>
      <c r="C1441" s="1" t="n">
        <v>45972</v>
      </c>
      <c r="D1441" t="inlineStr">
        <is>
          <t>JÄMTLANDS LÄN</t>
        </is>
      </c>
      <c r="E1441" t="inlineStr">
        <is>
          <t>STRÖMSUND</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61365-2024</t>
        </is>
      </c>
      <c r="B1442" s="1" t="n">
        <v>45646.38611111111</v>
      </c>
      <c r="C1442" s="1" t="n">
        <v>45972</v>
      </c>
      <c r="D1442" t="inlineStr">
        <is>
          <t>JÄMTLANDS LÄN</t>
        </is>
      </c>
      <c r="E1442" t="inlineStr">
        <is>
          <t>STRÖMSUND</t>
        </is>
      </c>
      <c r="F1442" t="inlineStr">
        <is>
          <t>SCA</t>
        </is>
      </c>
      <c r="G1442" t="n">
        <v>12.9</v>
      </c>
      <c r="H1442" t="n">
        <v>0</v>
      </c>
      <c r="I1442" t="n">
        <v>0</v>
      </c>
      <c r="J1442" t="n">
        <v>0</v>
      </c>
      <c r="K1442" t="n">
        <v>0</v>
      </c>
      <c r="L1442" t="n">
        <v>0</v>
      </c>
      <c r="M1442" t="n">
        <v>0</v>
      </c>
      <c r="N1442" t="n">
        <v>0</v>
      </c>
      <c r="O1442" t="n">
        <v>0</v>
      </c>
      <c r="P1442" t="n">
        <v>0</v>
      </c>
      <c r="Q1442" t="n">
        <v>0</v>
      </c>
      <c r="R1442" s="2" t="inlineStr"/>
    </row>
    <row r="1443" ht="15" customHeight="1">
      <c r="A1443" t="inlineStr">
        <is>
          <t>A 40153-2025</t>
        </is>
      </c>
      <c r="B1443" s="1" t="n">
        <v>45894.59427083333</v>
      </c>
      <c r="C1443" s="1" t="n">
        <v>45972</v>
      </c>
      <c r="D1443" t="inlineStr">
        <is>
          <t>JÄMTLANDS LÄN</t>
        </is>
      </c>
      <c r="E1443" t="inlineStr">
        <is>
          <t>STRÖMSUND</t>
        </is>
      </c>
      <c r="F1443" t="inlineStr">
        <is>
          <t>SCA</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48146-2025</t>
        </is>
      </c>
      <c r="B1444" s="1" t="n">
        <v>45933.39275462963</v>
      </c>
      <c r="C1444" s="1" t="n">
        <v>45972</v>
      </c>
      <c r="D1444" t="inlineStr">
        <is>
          <t>JÄMTLANDS LÄN</t>
        </is>
      </c>
      <c r="E1444" t="inlineStr">
        <is>
          <t>STRÖMSUND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51696-2024</t>
        </is>
      </c>
      <c r="B1445" s="1" t="n">
        <v>45607.34748842593</v>
      </c>
      <c r="C1445" s="1" t="n">
        <v>45972</v>
      </c>
      <c r="D1445" t="inlineStr">
        <is>
          <t>JÄMTLANDS LÄN</t>
        </is>
      </c>
      <c r="E1445" t="inlineStr">
        <is>
          <t>STRÖMSUND</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48552-2025</t>
        </is>
      </c>
      <c r="B1446" s="1" t="n">
        <v>45936.42752314815</v>
      </c>
      <c r="C1446" s="1" t="n">
        <v>45972</v>
      </c>
      <c r="D1446" t="inlineStr">
        <is>
          <t>JÄMTLANDS LÄN</t>
        </is>
      </c>
      <c r="E1446" t="inlineStr">
        <is>
          <t>STRÖMSUND</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48288-2025</t>
        </is>
      </c>
      <c r="B1447" s="1" t="n">
        <v>45933.59466435185</v>
      </c>
      <c r="C1447" s="1" t="n">
        <v>45972</v>
      </c>
      <c r="D1447" t="inlineStr">
        <is>
          <t>JÄMTLANDS LÄN</t>
        </is>
      </c>
      <c r="E1447" t="inlineStr">
        <is>
          <t>STRÖMSUND</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47241-2024</t>
        </is>
      </c>
      <c r="B1448" s="1" t="n">
        <v>45586.69837962963</v>
      </c>
      <c r="C1448" s="1" t="n">
        <v>45972</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39286-2024</t>
        </is>
      </c>
      <c r="B1449" s="1" t="n">
        <v>45551.36491898148</v>
      </c>
      <c r="C1449" s="1" t="n">
        <v>45972</v>
      </c>
      <c r="D1449" t="inlineStr">
        <is>
          <t>JÄMTLANDS LÄN</t>
        </is>
      </c>
      <c r="E1449" t="inlineStr">
        <is>
          <t>STRÖMSUND</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40011-2025</t>
        </is>
      </c>
      <c r="B1450" s="1" t="n">
        <v>45894.34478009259</v>
      </c>
      <c r="C1450" s="1" t="n">
        <v>45972</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40012-2025</t>
        </is>
      </c>
      <c r="B1451" s="1" t="n">
        <v>45894.34487268519</v>
      </c>
      <c r="C1451" s="1" t="n">
        <v>45972</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53241-2024</t>
        </is>
      </c>
      <c r="B1452" s="1" t="n">
        <v>45613.87335648148</v>
      </c>
      <c r="C1452" s="1" t="n">
        <v>45972</v>
      </c>
      <c r="D1452" t="inlineStr">
        <is>
          <t>JÄMTLANDS LÄN</t>
        </is>
      </c>
      <c r="E1452" t="inlineStr">
        <is>
          <t>STRÖMSUND</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61854-2024</t>
        </is>
      </c>
      <c r="B1453" s="1" t="n">
        <v>45649.67358796296</v>
      </c>
      <c r="C1453" s="1" t="n">
        <v>45972</v>
      </c>
      <c r="D1453" t="inlineStr">
        <is>
          <t>JÄMTLANDS LÄN</t>
        </is>
      </c>
      <c r="E1453" t="inlineStr">
        <is>
          <t>STRÖMSUND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49547-2024</t>
        </is>
      </c>
      <c r="B1454" s="1" t="n">
        <v>45596.44854166666</v>
      </c>
      <c r="C1454" s="1" t="n">
        <v>45972</v>
      </c>
      <c r="D1454" t="inlineStr">
        <is>
          <t>JÄMTLANDS LÄN</t>
        </is>
      </c>
      <c r="E1454" t="inlineStr">
        <is>
          <t>STRÖMSUND</t>
        </is>
      </c>
      <c r="F1454" t="inlineStr">
        <is>
          <t>SCA</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40418-2025</t>
        </is>
      </c>
      <c r="B1455" s="1" t="n">
        <v>45895.57792824074</v>
      </c>
      <c r="C1455" s="1" t="n">
        <v>45972</v>
      </c>
      <c r="D1455" t="inlineStr">
        <is>
          <t>JÄMTLANDS LÄN</t>
        </is>
      </c>
      <c r="E1455" t="inlineStr">
        <is>
          <t>STRÖMSUND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55161-2024</t>
        </is>
      </c>
      <c r="B1456" s="1" t="n">
        <v>45621.51085648148</v>
      </c>
      <c r="C1456" s="1" t="n">
        <v>45972</v>
      </c>
      <c r="D1456" t="inlineStr">
        <is>
          <t>JÄMTLANDS LÄN</t>
        </is>
      </c>
      <c r="E1456" t="inlineStr">
        <is>
          <t>STRÖMSUND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51585-2024</t>
        </is>
      </c>
      <c r="B1457" s="1" t="n">
        <v>45604.64290509259</v>
      </c>
      <c r="C1457" s="1" t="n">
        <v>45972</v>
      </c>
      <c r="D1457" t="inlineStr">
        <is>
          <t>JÄMTLANDS LÄN</t>
        </is>
      </c>
      <c r="E1457" t="inlineStr">
        <is>
          <t>STRÖMSUND</t>
        </is>
      </c>
      <c r="F1457" t="inlineStr">
        <is>
          <t>Kommuner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49196-2024</t>
        </is>
      </c>
      <c r="B1458" s="1" t="n">
        <v>45595.35145833333</v>
      </c>
      <c r="C1458" s="1" t="n">
        <v>45972</v>
      </c>
      <c r="D1458" t="inlineStr">
        <is>
          <t>JÄMTLANDS LÄN</t>
        </is>
      </c>
      <c r="E1458" t="inlineStr">
        <is>
          <t>STRÖMSUND</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37147-2024</t>
        </is>
      </c>
      <c r="B1459" s="1" t="n">
        <v>45539.60231481482</v>
      </c>
      <c r="C1459" s="1" t="n">
        <v>45972</v>
      </c>
      <c r="D1459" t="inlineStr">
        <is>
          <t>JÄMTLANDS LÄN</t>
        </is>
      </c>
      <c r="E1459" t="inlineStr">
        <is>
          <t>STRÖMSUND</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37150-2024</t>
        </is>
      </c>
      <c r="B1460" s="1" t="n">
        <v>45539</v>
      </c>
      <c r="C1460" s="1" t="n">
        <v>45972</v>
      </c>
      <c r="D1460" t="inlineStr">
        <is>
          <t>JÄMTLANDS LÄN</t>
        </is>
      </c>
      <c r="E1460" t="inlineStr">
        <is>
          <t>STRÖMSUND</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49321-2025</t>
        </is>
      </c>
      <c r="B1461" s="1" t="n">
        <v>45938.57334490741</v>
      </c>
      <c r="C1461" s="1" t="n">
        <v>45972</v>
      </c>
      <c r="D1461" t="inlineStr">
        <is>
          <t>JÄMTLANDS LÄN</t>
        </is>
      </c>
      <c r="E1461" t="inlineStr">
        <is>
          <t>STRÖMSUND</t>
        </is>
      </c>
      <c r="F1461" t="inlineStr">
        <is>
          <t>SCA</t>
        </is>
      </c>
      <c r="G1461" t="n">
        <v>25.5</v>
      </c>
      <c r="H1461" t="n">
        <v>0</v>
      </c>
      <c r="I1461" t="n">
        <v>0</v>
      </c>
      <c r="J1461" t="n">
        <v>0</v>
      </c>
      <c r="K1461" t="n">
        <v>0</v>
      </c>
      <c r="L1461" t="n">
        <v>0</v>
      </c>
      <c r="M1461" t="n">
        <v>0</v>
      </c>
      <c r="N1461" t="n">
        <v>0</v>
      </c>
      <c r="O1461" t="n">
        <v>0</v>
      </c>
      <c r="P1461" t="n">
        <v>0</v>
      </c>
      <c r="Q1461" t="n">
        <v>0</v>
      </c>
      <c r="R1461" s="2" t="inlineStr"/>
    </row>
    <row r="1462" ht="15" customHeight="1">
      <c r="A1462" t="inlineStr">
        <is>
          <t>A 49253-2025</t>
        </is>
      </c>
      <c r="B1462" s="1" t="n">
        <v>45938.49127314815</v>
      </c>
      <c r="C1462" s="1" t="n">
        <v>45972</v>
      </c>
      <c r="D1462" t="inlineStr">
        <is>
          <t>JÄMTLANDS LÄN</t>
        </is>
      </c>
      <c r="E1462" t="inlineStr">
        <is>
          <t>STRÖMSUND</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58587-2023</t>
        </is>
      </c>
      <c r="B1463" s="1" t="n">
        <v>45251</v>
      </c>
      <c r="C1463" s="1" t="n">
        <v>45972</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49252-2025</t>
        </is>
      </c>
      <c r="B1464" s="1" t="n">
        <v>45938.49119212963</v>
      </c>
      <c r="C1464" s="1" t="n">
        <v>45972</v>
      </c>
      <c r="D1464" t="inlineStr">
        <is>
          <t>JÄMTLANDS LÄN</t>
        </is>
      </c>
      <c r="E1464" t="inlineStr">
        <is>
          <t>STRÖMSUND</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8364-2021</t>
        </is>
      </c>
      <c r="B1465" s="1" t="n">
        <v>44244</v>
      </c>
      <c r="C1465" s="1" t="n">
        <v>45972</v>
      </c>
      <c r="D1465" t="inlineStr">
        <is>
          <t>JÄMTLANDS LÄN</t>
        </is>
      </c>
      <c r="E1465" t="inlineStr">
        <is>
          <t>STRÖMSUND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49375-2025</t>
        </is>
      </c>
      <c r="B1466" s="1" t="n">
        <v>45938.63584490741</v>
      </c>
      <c r="C1466" s="1" t="n">
        <v>45972</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40453-2025</t>
        </is>
      </c>
      <c r="B1467" s="1" t="n">
        <v>45895.63631944444</v>
      </c>
      <c r="C1467" s="1" t="n">
        <v>45972</v>
      </c>
      <c r="D1467" t="inlineStr">
        <is>
          <t>JÄMTLANDS LÄN</t>
        </is>
      </c>
      <c r="E1467" t="inlineStr">
        <is>
          <t>STRÖMSUND</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51803-2024</t>
        </is>
      </c>
      <c r="B1468" s="1" t="n">
        <v>45607.47505787037</v>
      </c>
      <c r="C1468" s="1" t="n">
        <v>45972</v>
      </c>
      <c r="D1468" t="inlineStr">
        <is>
          <t>JÄMTLANDS LÄN</t>
        </is>
      </c>
      <c r="E1468" t="inlineStr">
        <is>
          <t>STRÖMSUND</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50638-2024</t>
        </is>
      </c>
      <c r="B1469" s="1" t="n">
        <v>45601.6775</v>
      </c>
      <c r="C1469" s="1" t="n">
        <v>45972</v>
      </c>
      <c r="D1469" t="inlineStr">
        <is>
          <t>JÄMTLANDS LÄN</t>
        </is>
      </c>
      <c r="E1469" t="inlineStr">
        <is>
          <t>STRÖMSUND</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49354-2025</t>
        </is>
      </c>
      <c r="B1470" s="1" t="n">
        <v>45938.61516203704</v>
      </c>
      <c r="C1470" s="1" t="n">
        <v>45972</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14043-2022</t>
        </is>
      </c>
      <c r="B1471" s="1" t="n">
        <v>44650</v>
      </c>
      <c r="C1471" s="1" t="n">
        <v>45972</v>
      </c>
      <c r="D1471" t="inlineStr">
        <is>
          <t>JÄMTLANDS LÄN</t>
        </is>
      </c>
      <c r="E1471" t="inlineStr">
        <is>
          <t>STRÖMSUND</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48902-2025</t>
        </is>
      </c>
      <c r="B1472" s="1" t="n">
        <v>45937.48152777777</v>
      </c>
      <c r="C1472" s="1" t="n">
        <v>45972</v>
      </c>
      <c r="D1472" t="inlineStr">
        <is>
          <t>JÄMTLANDS LÄN</t>
        </is>
      </c>
      <c r="E1472" t="inlineStr">
        <is>
          <t>STRÖMSUND</t>
        </is>
      </c>
      <c r="F1472" t="inlineStr">
        <is>
          <t>Sveaskog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40389-2025</t>
        </is>
      </c>
      <c r="B1473" s="1" t="n">
        <v>45895.55298611111</v>
      </c>
      <c r="C1473" s="1" t="n">
        <v>45972</v>
      </c>
      <c r="D1473" t="inlineStr">
        <is>
          <t>JÄMTLANDS LÄN</t>
        </is>
      </c>
      <c r="E1473" t="inlineStr">
        <is>
          <t>STRÖMSUND</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40427-2025</t>
        </is>
      </c>
      <c r="B1474" s="1" t="n">
        <v>45895.59434027778</v>
      </c>
      <c r="C1474" s="1" t="n">
        <v>45972</v>
      </c>
      <c r="D1474" t="inlineStr">
        <is>
          <t>JÄMTLANDS LÄN</t>
        </is>
      </c>
      <c r="E1474" t="inlineStr">
        <is>
          <t>STRÖMSUND</t>
        </is>
      </c>
      <c r="F1474" t="inlineStr">
        <is>
          <t>SCA</t>
        </is>
      </c>
      <c r="G1474" t="n">
        <v>17.1</v>
      </c>
      <c r="H1474" t="n">
        <v>0</v>
      </c>
      <c r="I1474" t="n">
        <v>0</v>
      </c>
      <c r="J1474" t="n">
        <v>0</v>
      </c>
      <c r="K1474" t="n">
        <v>0</v>
      </c>
      <c r="L1474" t="n">
        <v>0</v>
      </c>
      <c r="M1474" t="n">
        <v>0</v>
      </c>
      <c r="N1474" t="n">
        <v>0</v>
      </c>
      <c r="O1474" t="n">
        <v>0</v>
      </c>
      <c r="P1474" t="n">
        <v>0</v>
      </c>
      <c r="Q1474" t="n">
        <v>0</v>
      </c>
      <c r="R1474" s="2" t="inlineStr"/>
    </row>
    <row r="1475" ht="15" customHeight="1">
      <c r="A1475" t="inlineStr">
        <is>
          <t>A 44596-2024</t>
        </is>
      </c>
      <c r="B1475" s="1" t="n">
        <v>45574.5106712963</v>
      </c>
      <c r="C1475" s="1" t="n">
        <v>45972</v>
      </c>
      <c r="D1475" t="inlineStr">
        <is>
          <t>JÄMTLANDS LÄN</t>
        </is>
      </c>
      <c r="E1475" t="inlineStr">
        <is>
          <t>STRÖMSUND</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39939-2024</t>
        </is>
      </c>
      <c r="B1476" s="1" t="n">
        <v>45553</v>
      </c>
      <c r="C1476" s="1" t="n">
        <v>45972</v>
      </c>
      <c r="D1476" t="inlineStr">
        <is>
          <t>JÄMTLANDS LÄN</t>
        </is>
      </c>
      <c r="E1476" t="inlineStr">
        <is>
          <t>STRÖMSUND</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8419-2024</t>
        </is>
      </c>
      <c r="B1477" s="1" t="n">
        <v>45352</v>
      </c>
      <c r="C1477" s="1" t="n">
        <v>45972</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49051-2025</t>
        </is>
      </c>
      <c r="B1478" s="1" t="n">
        <v>45937.63782407407</v>
      </c>
      <c r="C1478" s="1" t="n">
        <v>45972</v>
      </c>
      <c r="D1478" t="inlineStr">
        <is>
          <t>JÄMTLANDS LÄN</t>
        </is>
      </c>
      <c r="E1478" t="inlineStr">
        <is>
          <t>STRÖMSUND</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48879-2025</t>
        </is>
      </c>
      <c r="B1479" s="1" t="n">
        <v>45937.45790509259</v>
      </c>
      <c r="C1479" s="1" t="n">
        <v>45972</v>
      </c>
      <c r="D1479" t="inlineStr">
        <is>
          <t>JÄMTLANDS LÄN</t>
        </is>
      </c>
      <c r="E1479" t="inlineStr">
        <is>
          <t>STRÖMSUND</t>
        </is>
      </c>
      <c r="F1479" t="inlineStr">
        <is>
          <t>SCA</t>
        </is>
      </c>
      <c r="G1479" t="n">
        <v>47.7</v>
      </c>
      <c r="H1479" t="n">
        <v>0</v>
      </c>
      <c r="I1479" t="n">
        <v>0</v>
      </c>
      <c r="J1479" t="n">
        <v>0</v>
      </c>
      <c r="K1479" t="n">
        <v>0</v>
      </c>
      <c r="L1479" t="n">
        <v>0</v>
      </c>
      <c r="M1479" t="n">
        <v>0</v>
      </c>
      <c r="N1479" t="n">
        <v>0</v>
      </c>
      <c r="O1479" t="n">
        <v>0</v>
      </c>
      <c r="P1479" t="n">
        <v>0</v>
      </c>
      <c r="Q1479" t="n">
        <v>0</v>
      </c>
      <c r="R1479" s="2" t="inlineStr"/>
    </row>
    <row r="1480" ht="15" customHeight="1">
      <c r="A1480" t="inlineStr">
        <is>
          <t>A 51757-2024</t>
        </is>
      </c>
      <c r="B1480" s="1" t="n">
        <v>45607.43525462963</v>
      </c>
      <c r="C1480" s="1" t="n">
        <v>45972</v>
      </c>
      <c r="D1480" t="inlineStr">
        <is>
          <t>JÄMTLANDS LÄN</t>
        </is>
      </c>
      <c r="E1480" t="inlineStr">
        <is>
          <t>STRÖMSUND</t>
        </is>
      </c>
      <c r="F1480" t="inlineStr">
        <is>
          <t>Kommuner</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47966-2025</t>
        </is>
      </c>
      <c r="B1481" s="1" t="n">
        <v>45932</v>
      </c>
      <c r="C1481" s="1" t="n">
        <v>45972</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48847-2025</t>
        </is>
      </c>
      <c r="B1482" s="1" t="n">
        <v>45937.42866898148</v>
      </c>
      <c r="C1482" s="1" t="n">
        <v>45972</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40426-2025</t>
        </is>
      </c>
      <c r="B1483" s="1" t="n">
        <v>45895</v>
      </c>
      <c r="C1483" s="1" t="n">
        <v>45972</v>
      </c>
      <c r="D1483" t="inlineStr">
        <is>
          <t>JÄMTLANDS LÄN</t>
        </is>
      </c>
      <c r="E1483" t="inlineStr">
        <is>
          <t>STRÖMSUND</t>
        </is>
      </c>
      <c r="G1483" t="n">
        <v>28.4</v>
      </c>
      <c r="H1483" t="n">
        <v>0</v>
      </c>
      <c r="I1483" t="n">
        <v>0</v>
      </c>
      <c r="J1483" t="n">
        <v>0</v>
      </c>
      <c r="K1483" t="n">
        <v>0</v>
      </c>
      <c r="L1483" t="n">
        <v>0</v>
      </c>
      <c r="M1483" t="n">
        <v>0</v>
      </c>
      <c r="N1483" t="n">
        <v>0</v>
      </c>
      <c r="O1483" t="n">
        <v>0</v>
      </c>
      <c r="P1483" t="n">
        <v>0</v>
      </c>
      <c r="Q1483" t="n">
        <v>0</v>
      </c>
      <c r="R1483" s="2" t="inlineStr"/>
    </row>
    <row r="1484" ht="15" customHeight="1">
      <c r="A1484" t="inlineStr">
        <is>
          <t>A 40452-2025</t>
        </is>
      </c>
      <c r="B1484" s="1" t="n">
        <v>45895.63626157407</v>
      </c>
      <c r="C1484" s="1" t="n">
        <v>45972</v>
      </c>
      <c r="D1484" t="inlineStr">
        <is>
          <t>JÄMTLANDS LÄN</t>
        </is>
      </c>
      <c r="E1484" t="inlineStr">
        <is>
          <t>STRÖMSUND</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20144-2025</t>
        </is>
      </c>
      <c r="B1485" s="1" t="n">
        <v>45772.53158564815</v>
      </c>
      <c r="C1485" s="1" t="n">
        <v>45972</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12042-2023</t>
        </is>
      </c>
      <c r="B1486" s="1" t="n">
        <v>44995.98364583333</v>
      </c>
      <c r="C1486" s="1" t="n">
        <v>45972</v>
      </c>
      <c r="D1486" t="inlineStr">
        <is>
          <t>JÄMTLANDS LÄN</t>
        </is>
      </c>
      <c r="E1486" t="inlineStr">
        <is>
          <t>STRÖMSUND</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2109-2024</t>
        </is>
      </c>
      <c r="B1487" s="1" t="n">
        <v>45309</v>
      </c>
      <c r="C1487" s="1" t="n">
        <v>45972</v>
      </c>
      <c r="D1487" t="inlineStr">
        <is>
          <t>JÄMTLANDS LÄN</t>
        </is>
      </c>
      <c r="E1487" t="inlineStr">
        <is>
          <t>STRÖMSUND</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47331-2024</t>
        </is>
      </c>
      <c r="B1488" s="1" t="n">
        <v>45587.38944444444</v>
      </c>
      <c r="C1488" s="1" t="n">
        <v>45972</v>
      </c>
      <c r="D1488" t="inlineStr">
        <is>
          <t>JÄMTLANDS LÄN</t>
        </is>
      </c>
      <c r="E1488" t="inlineStr">
        <is>
          <t>STRÖMSUND</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24965-2022</t>
        </is>
      </c>
      <c r="B1489" s="1" t="n">
        <v>44728</v>
      </c>
      <c r="C1489" s="1" t="n">
        <v>45972</v>
      </c>
      <c r="D1489" t="inlineStr">
        <is>
          <t>JÄMTLANDS LÄN</t>
        </is>
      </c>
      <c r="E1489" t="inlineStr">
        <is>
          <t>STRÖMSUND</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36502-2023</t>
        </is>
      </c>
      <c r="B1490" s="1" t="n">
        <v>45152.95280092592</v>
      </c>
      <c r="C1490" s="1" t="n">
        <v>45972</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40428-2025</t>
        </is>
      </c>
      <c r="B1491" s="1" t="n">
        <v>45895.59442129629</v>
      </c>
      <c r="C1491" s="1" t="n">
        <v>45972</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20783-2025</t>
        </is>
      </c>
      <c r="B1492" s="1" t="n">
        <v>45776.61612268518</v>
      </c>
      <c r="C1492" s="1" t="n">
        <v>45972</v>
      </c>
      <c r="D1492" t="inlineStr">
        <is>
          <t>JÄMTLANDS LÄN</t>
        </is>
      </c>
      <c r="E1492" t="inlineStr">
        <is>
          <t>STRÖMSUND</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33584-2024</t>
        </is>
      </c>
      <c r="B1493" s="1" t="n">
        <v>45520.34630787037</v>
      </c>
      <c r="C1493" s="1" t="n">
        <v>45972</v>
      </c>
      <c r="D1493" t="inlineStr">
        <is>
          <t>JÄMTLANDS LÄN</t>
        </is>
      </c>
      <c r="E1493" t="inlineStr">
        <is>
          <t>STRÖMSUND</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9390-2025</t>
        </is>
      </c>
      <c r="B1494" s="1" t="n">
        <v>45714</v>
      </c>
      <c r="C1494" s="1" t="n">
        <v>45972</v>
      </c>
      <c r="D1494" t="inlineStr">
        <is>
          <t>JÄMTLANDS LÄN</t>
        </is>
      </c>
      <c r="E1494" t="inlineStr">
        <is>
          <t>STRÖMSUND</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6-2024</t>
        </is>
      </c>
      <c r="B1495" s="1" t="n">
        <v>45293.33496527778</v>
      </c>
      <c r="C1495" s="1" t="n">
        <v>45972</v>
      </c>
      <c r="D1495" t="inlineStr">
        <is>
          <t>JÄMTLANDS LÄN</t>
        </is>
      </c>
      <c r="E1495" t="inlineStr">
        <is>
          <t>STRÖMSUND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24206-2024</t>
        </is>
      </c>
      <c r="B1496" s="1" t="n">
        <v>45456</v>
      </c>
      <c r="C1496" s="1" t="n">
        <v>45972</v>
      </c>
      <c r="D1496" t="inlineStr">
        <is>
          <t>JÄMTLANDS LÄN</t>
        </is>
      </c>
      <c r="E1496" t="inlineStr">
        <is>
          <t>STRÖMSUND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2643-2024</t>
        </is>
      </c>
      <c r="B1497" s="1" t="n">
        <v>45314</v>
      </c>
      <c r="C1497" s="1" t="n">
        <v>45972</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20814-2025</t>
        </is>
      </c>
      <c r="B1498" s="1" t="n">
        <v>45776.67769675926</v>
      </c>
      <c r="C1498" s="1" t="n">
        <v>45972</v>
      </c>
      <c r="D1498" t="inlineStr">
        <is>
          <t>JÄMTLANDS LÄN</t>
        </is>
      </c>
      <c r="E1498" t="inlineStr">
        <is>
          <t>STRÖMSUND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20815-2025</t>
        </is>
      </c>
      <c r="B1499" s="1" t="n">
        <v>45776.67771990741</v>
      </c>
      <c r="C1499" s="1" t="n">
        <v>45972</v>
      </c>
      <c r="D1499" t="inlineStr">
        <is>
          <t>JÄMTLANDS LÄN</t>
        </is>
      </c>
      <c r="E1499" t="inlineStr">
        <is>
          <t>STRÖMSUND</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49358-2025</t>
        </is>
      </c>
      <c r="B1500" s="1" t="n">
        <v>45938.61628472222</v>
      </c>
      <c r="C1500" s="1" t="n">
        <v>45972</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4537-2023</t>
        </is>
      </c>
      <c r="B1501" s="1" t="n">
        <v>44952</v>
      </c>
      <c r="C1501" s="1" t="n">
        <v>45972</v>
      </c>
      <c r="D1501" t="inlineStr">
        <is>
          <t>JÄMTLANDS LÄN</t>
        </is>
      </c>
      <c r="E1501" t="inlineStr">
        <is>
          <t>STRÖMSUND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18780-2025</t>
        </is>
      </c>
      <c r="B1502" s="1" t="n">
        <v>45763</v>
      </c>
      <c r="C1502" s="1" t="n">
        <v>45972</v>
      </c>
      <c r="D1502" t="inlineStr">
        <is>
          <t>JÄMTLANDS LÄN</t>
        </is>
      </c>
      <c r="E1502" t="inlineStr">
        <is>
          <t>STRÖMSUND</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48747-2025</t>
        </is>
      </c>
      <c r="B1503" s="1" t="n">
        <v>45936.67894675926</v>
      </c>
      <c r="C1503" s="1" t="n">
        <v>45972</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49223-2025</t>
        </is>
      </c>
      <c r="B1504" s="1" t="n">
        <v>45938</v>
      </c>
      <c r="C1504" s="1" t="n">
        <v>45972</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20667-2025</t>
        </is>
      </c>
      <c r="B1505" s="1" t="n">
        <v>45776.42745370371</v>
      </c>
      <c r="C1505" s="1" t="n">
        <v>45972</v>
      </c>
      <c r="D1505" t="inlineStr">
        <is>
          <t>JÄMTLANDS LÄN</t>
        </is>
      </c>
      <c r="E1505" t="inlineStr">
        <is>
          <t>STRÖMSUND</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20871-2025</t>
        </is>
      </c>
      <c r="B1506" s="1" t="n">
        <v>45777.34578703704</v>
      </c>
      <c r="C1506" s="1" t="n">
        <v>45972</v>
      </c>
      <c r="D1506" t="inlineStr">
        <is>
          <t>JÄMTLANDS LÄN</t>
        </is>
      </c>
      <c r="E1506" t="inlineStr">
        <is>
          <t>STRÖMSUND</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49407-2025</t>
        </is>
      </c>
      <c r="B1507" s="1" t="n">
        <v>45938.6778587963</v>
      </c>
      <c r="C1507" s="1" t="n">
        <v>45972</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28602-2024</t>
        </is>
      </c>
      <c r="B1508" s="1" t="n">
        <v>45478.42809027778</v>
      </c>
      <c r="C1508" s="1" t="n">
        <v>45972</v>
      </c>
      <c r="D1508" t="inlineStr">
        <is>
          <t>JÄMTLANDS LÄN</t>
        </is>
      </c>
      <c r="E1508" t="inlineStr">
        <is>
          <t>STRÖMSUND</t>
        </is>
      </c>
      <c r="G1508" t="n">
        <v>18.6</v>
      </c>
      <c r="H1508" t="n">
        <v>0</v>
      </c>
      <c r="I1508" t="n">
        <v>0</v>
      </c>
      <c r="J1508" t="n">
        <v>0</v>
      </c>
      <c r="K1508" t="n">
        <v>0</v>
      </c>
      <c r="L1508" t="n">
        <v>0</v>
      </c>
      <c r="M1508" t="n">
        <v>0</v>
      </c>
      <c r="N1508" t="n">
        <v>0</v>
      </c>
      <c r="O1508" t="n">
        <v>0</v>
      </c>
      <c r="P1508" t="n">
        <v>0</v>
      </c>
      <c r="Q1508" t="n">
        <v>0</v>
      </c>
      <c r="R1508" s="2" t="inlineStr"/>
    </row>
    <row r="1509" ht="15" customHeight="1">
      <c r="A1509" t="inlineStr">
        <is>
          <t>A 21735-2024</t>
        </is>
      </c>
      <c r="B1509" s="1" t="n">
        <v>45442.54158564815</v>
      </c>
      <c r="C1509" s="1" t="n">
        <v>45972</v>
      </c>
      <c r="D1509" t="inlineStr">
        <is>
          <t>JÄMTLANDS LÄN</t>
        </is>
      </c>
      <c r="E1509" t="inlineStr">
        <is>
          <t>STRÖMSUND</t>
        </is>
      </c>
      <c r="G1509" t="n">
        <v>15.1</v>
      </c>
      <c r="H1509" t="n">
        <v>0</v>
      </c>
      <c r="I1509" t="n">
        <v>0</v>
      </c>
      <c r="J1509" t="n">
        <v>0</v>
      </c>
      <c r="K1509" t="n">
        <v>0</v>
      </c>
      <c r="L1509" t="n">
        <v>0</v>
      </c>
      <c r="M1509" t="n">
        <v>0</v>
      </c>
      <c r="N1509" t="n">
        <v>0</v>
      </c>
      <c r="O1509" t="n">
        <v>0</v>
      </c>
      <c r="P1509" t="n">
        <v>0</v>
      </c>
      <c r="Q1509" t="n">
        <v>0</v>
      </c>
      <c r="R1509" s="2" t="inlineStr"/>
    </row>
    <row r="1510" ht="15" customHeight="1">
      <c r="A1510" t="inlineStr">
        <is>
          <t>A 4621-2023</t>
        </is>
      </c>
      <c r="B1510" s="1" t="n">
        <v>44956.9399537037</v>
      </c>
      <c r="C1510" s="1" t="n">
        <v>45972</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49049-2025</t>
        </is>
      </c>
      <c r="B1511" s="1" t="n">
        <v>45937.63725694444</v>
      </c>
      <c r="C1511" s="1" t="n">
        <v>45972</v>
      </c>
      <c r="D1511" t="inlineStr">
        <is>
          <t>JÄMTLANDS LÄN</t>
        </is>
      </c>
      <c r="E1511" t="inlineStr">
        <is>
          <t>STRÖMSUND</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21129-2025</t>
        </is>
      </c>
      <c r="B1512" s="1" t="n">
        <v>45778.34454861111</v>
      </c>
      <c r="C1512" s="1" t="n">
        <v>45972</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44642-2024</t>
        </is>
      </c>
      <c r="B1513" s="1" t="n">
        <v>45574.515625</v>
      </c>
      <c r="C1513" s="1" t="n">
        <v>45972</v>
      </c>
      <c r="D1513" t="inlineStr">
        <is>
          <t>JÄMTLANDS LÄN</t>
        </is>
      </c>
      <c r="E1513" t="inlineStr">
        <is>
          <t>STRÖMSUND</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42974-2024</t>
        </is>
      </c>
      <c r="B1514" s="1" t="n">
        <v>45567.37365740741</v>
      </c>
      <c r="C1514" s="1" t="n">
        <v>45972</v>
      </c>
      <c r="D1514" t="inlineStr">
        <is>
          <t>JÄMTLANDS LÄN</t>
        </is>
      </c>
      <c r="E1514" t="inlineStr">
        <is>
          <t>STRÖMSUND</t>
        </is>
      </c>
      <c r="F1514" t="inlineStr">
        <is>
          <t>SCA</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27642-2024</t>
        </is>
      </c>
      <c r="B1515" s="1" t="n">
        <v>45474.94703703704</v>
      </c>
      <c r="C1515" s="1" t="n">
        <v>45972</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32882-2023</t>
        </is>
      </c>
      <c r="B1516" s="1" t="n">
        <v>45112</v>
      </c>
      <c r="C1516" s="1" t="n">
        <v>45972</v>
      </c>
      <c r="D1516" t="inlineStr">
        <is>
          <t>JÄMTLANDS LÄN</t>
        </is>
      </c>
      <c r="E1516" t="inlineStr">
        <is>
          <t>STRÖMSUND</t>
        </is>
      </c>
      <c r="F1516" t="inlineStr">
        <is>
          <t>Kommuner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1798-2024</t>
        </is>
      </c>
      <c r="B1517" s="1" t="n">
        <v>45307</v>
      </c>
      <c r="C1517" s="1" t="n">
        <v>45972</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13236-2024</t>
        </is>
      </c>
      <c r="B1518" s="1" t="n">
        <v>45386</v>
      </c>
      <c r="C1518" s="1" t="n">
        <v>45972</v>
      </c>
      <c r="D1518" t="inlineStr">
        <is>
          <t>JÄMTLANDS LÄN</t>
        </is>
      </c>
      <c r="E1518" t="inlineStr">
        <is>
          <t>STRÖMSUND</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46816-2024</t>
        </is>
      </c>
      <c r="B1519" s="1" t="n">
        <v>45583.5734837963</v>
      </c>
      <c r="C1519" s="1" t="n">
        <v>45972</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48830-2025</t>
        </is>
      </c>
      <c r="B1520" s="1" t="n">
        <v>45937.38608796296</v>
      </c>
      <c r="C1520" s="1" t="n">
        <v>45972</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6414-2025</t>
        </is>
      </c>
      <c r="B1521" s="1" t="n">
        <v>45699.46289351852</v>
      </c>
      <c r="C1521" s="1" t="n">
        <v>45972</v>
      </c>
      <c r="D1521" t="inlineStr">
        <is>
          <t>JÄMTLANDS LÄN</t>
        </is>
      </c>
      <c r="E1521" t="inlineStr">
        <is>
          <t>STRÖMSUND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52559-2024</t>
        </is>
      </c>
      <c r="B1522" s="1" t="n">
        <v>45609.65274305556</v>
      </c>
      <c r="C1522" s="1" t="n">
        <v>45972</v>
      </c>
      <c r="D1522" t="inlineStr">
        <is>
          <t>JÄMTLANDS LÄN</t>
        </is>
      </c>
      <c r="E1522" t="inlineStr">
        <is>
          <t>STRÖMSUND</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49195-2025</t>
        </is>
      </c>
      <c r="B1523" s="1" t="n">
        <v>45938.40972222222</v>
      </c>
      <c r="C1523" s="1" t="n">
        <v>45972</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21557-2025</t>
        </is>
      </c>
      <c r="B1524" s="1" t="n">
        <v>45782.67844907408</v>
      </c>
      <c r="C1524" s="1" t="n">
        <v>45972</v>
      </c>
      <c r="D1524" t="inlineStr">
        <is>
          <t>JÄMTLANDS LÄN</t>
        </is>
      </c>
      <c r="E1524" t="inlineStr">
        <is>
          <t>STRÖMSUND</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7714-2023</t>
        </is>
      </c>
      <c r="B1525" s="1" t="n">
        <v>44972</v>
      </c>
      <c r="C1525" s="1" t="n">
        <v>45972</v>
      </c>
      <c r="D1525" t="inlineStr">
        <is>
          <t>JÄMTLANDS LÄN</t>
        </is>
      </c>
      <c r="E1525" t="inlineStr">
        <is>
          <t>STRÖMSUND</t>
        </is>
      </c>
      <c r="G1525" t="n">
        <v>23.9</v>
      </c>
      <c r="H1525" t="n">
        <v>0</v>
      </c>
      <c r="I1525" t="n">
        <v>0</v>
      </c>
      <c r="J1525" t="n">
        <v>0</v>
      </c>
      <c r="K1525" t="n">
        <v>0</v>
      </c>
      <c r="L1525" t="n">
        <v>0</v>
      </c>
      <c r="M1525" t="n">
        <v>0</v>
      </c>
      <c r="N1525" t="n">
        <v>0</v>
      </c>
      <c r="O1525" t="n">
        <v>0</v>
      </c>
      <c r="P1525" t="n">
        <v>0</v>
      </c>
      <c r="Q1525" t="n">
        <v>0</v>
      </c>
      <c r="R1525" s="2" t="inlineStr"/>
    </row>
    <row r="1526" ht="15" customHeight="1">
      <c r="A1526" t="inlineStr">
        <is>
          <t>A 41292-2024</t>
        </is>
      </c>
      <c r="B1526" s="1" t="n">
        <v>45559</v>
      </c>
      <c r="C1526" s="1" t="n">
        <v>45972</v>
      </c>
      <c r="D1526" t="inlineStr">
        <is>
          <t>JÄMTLANDS LÄN</t>
        </is>
      </c>
      <c r="E1526" t="inlineStr">
        <is>
          <t>STRÖMSUND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48889-2025</t>
        </is>
      </c>
      <c r="B1527" s="1" t="n">
        <v>45937.46951388889</v>
      </c>
      <c r="C1527" s="1" t="n">
        <v>45972</v>
      </c>
      <c r="D1527" t="inlineStr">
        <is>
          <t>JÄMTLANDS LÄN</t>
        </is>
      </c>
      <c r="E1527" t="inlineStr">
        <is>
          <t>STRÖMSUND</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48939-2025</t>
        </is>
      </c>
      <c r="B1528" s="1" t="n">
        <v>45937.53171296296</v>
      </c>
      <c r="C1528" s="1" t="n">
        <v>45972</v>
      </c>
      <c r="D1528" t="inlineStr">
        <is>
          <t>JÄMTLANDS LÄN</t>
        </is>
      </c>
      <c r="E1528" t="inlineStr">
        <is>
          <t>STRÖMSUND</t>
        </is>
      </c>
      <c r="F1528" t="inlineStr">
        <is>
          <t>SCA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8420-2024</t>
        </is>
      </c>
      <c r="B1529" s="1" t="n">
        <v>45352</v>
      </c>
      <c r="C1529" s="1" t="n">
        <v>45972</v>
      </c>
      <c r="D1529" t="inlineStr">
        <is>
          <t>JÄMTLANDS LÄN</t>
        </is>
      </c>
      <c r="E1529" t="inlineStr">
        <is>
          <t>STRÖMSUND</t>
        </is>
      </c>
      <c r="F1529" t="inlineStr">
        <is>
          <t>SCA</t>
        </is>
      </c>
      <c r="G1529" t="n">
        <v>9.800000000000001</v>
      </c>
      <c r="H1529" t="n">
        <v>0</v>
      </c>
      <c r="I1529" t="n">
        <v>0</v>
      </c>
      <c r="J1529" t="n">
        <v>0</v>
      </c>
      <c r="K1529" t="n">
        <v>0</v>
      </c>
      <c r="L1529" t="n">
        <v>0</v>
      </c>
      <c r="M1529" t="n">
        <v>0</v>
      </c>
      <c r="N1529" t="n">
        <v>0</v>
      </c>
      <c r="O1529" t="n">
        <v>0</v>
      </c>
      <c r="P1529" t="n">
        <v>0</v>
      </c>
      <c r="Q1529" t="n">
        <v>0</v>
      </c>
      <c r="R1529" s="2" t="inlineStr"/>
      <c r="U1529">
        <f>HYPERLINK("https://klasma.github.io/Logging_2313/knärot/A 8420-2024 karta knärot.png", "A 8420-2024")</f>
        <v/>
      </c>
      <c r="V1529">
        <f>HYPERLINK("https://klasma.github.io/Logging_2313/klagomål/A 8420-2024 FSC-klagomål.docx", "A 8420-2024")</f>
        <v/>
      </c>
      <c r="W1529">
        <f>HYPERLINK("https://klasma.github.io/Logging_2313/klagomålsmail/A 8420-2024 FSC-klagomål mail.docx", "A 8420-2024")</f>
        <v/>
      </c>
      <c r="X1529">
        <f>HYPERLINK("https://klasma.github.io/Logging_2313/tillsyn/A 8420-2024 tillsynsbegäran.docx", "A 8420-2024")</f>
        <v/>
      </c>
      <c r="Y1529">
        <f>HYPERLINK("https://klasma.github.io/Logging_2313/tillsynsmail/A 8420-2024 tillsynsbegäran mail.docx", "A 8420-2024")</f>
        <v/>
      </c>
    </row>
    <row r="1530" ht="15" customHeight="1">
      <c r="A1530" t="inlineStr">
        <is>
          <t>A 21337-2025</t>
        </is>
      </c>
      <c r="B1530" s="1" t="n">
        <v>45782.3819212963</v>
      </c>
      <c r="C1530" s="1" t="n">
        <v>45972</v>
      </c>
      <c r="D1530" t="inlineStr">
        <is>
          <t>JÄMTLANDS LÄN</t>
        </is>
      </c>
      <c r="E1530" t="inlineStr">
        <is>
          <t>STRÖMSUND</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21407-2025</t>
        </is>
      </c>
      <c r="B1531" s="1" t="n">
        <v>45782.49057870371</v>
      </c>
      <c r="C1531" s="1" t="n">
        <v>45972</v>
      </c>
      <c r="D1531" t="inlineStr">
        <is>
          <t>JÄMTLANDS LÄN</t>
        </is>
      </c>
      <c r="E1531" t="inlineStr">
        <is>
          <t>STRÖMSUND</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15064-2023</t>
        </is>
      </c>
      <c r="B1532" s="1" t="n">
        <v>45015</v>
      </c>
      <c r="C1532" s="1" t="n">
        <v>45972</v>
      </c>
      <c r="D1532" t="inlineStr">
        <is>
          <t>JÄMTLANDS LÄN</t>
        </is>
      </c>
      <c r="E1532" t="inlineStr">
        <is>
          <t>STRÖMSUND</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19261-2023</t>
        </is>
      </c>
      <c r="B1533" s="1" t="n">
        <v>45048</v>
      </c>
      <c r="C1533" s="1" t="n">
        <v>45972</v>
      </c>
      <c r="D1533" t="inlineStr">
        <is>
          <t>JÄMTLANDS LÄN</t>
        </is>
      </c>
      <c r="E1533" t="inlineStr">
        <is>
          <t>STRÖMSUND</t>
        </is>
      </c>
      <c r="G1533" t="n">
        <v>17.2</v>
      </c>
      <c r="H1533" t="n">
        <v>0</v>
      </c>
      <c r="I1533" t="n">
        <v>0</v>
      </c>
      <c r="J1533" t="n">
        <v>0</v>
      </c>
      <c r="K1533" t="n">
        <v>0</v>
      </c>
      <c r="L1533" t="n">
        <v>0</v>
      </c>
      <c r="M1533" t="n">
        <v>0</v>
      </c>
      <c r="N1533" t="n">
        <v>0</v>
      </c>
      <c r="O1533" t="n">
        <v>0</v>
      </c>
      <c r="P1533" t="n">
        <v>0</v>
      </c>
      <c r="Q1533" t="n">
        <v>0</v>
      </c>
      <c r="R1533" s="2" t="inlineStr"/>
    </row>
    <row r="1534" ht="15" customHeight="1">
      <c r="A1534" t="inlineStr">
        <is>
          <t>A 24301-2023</t>
        </is>
      </c>
      <c r="B1534" s="1" t="n">
        <v>45079.94189814815</v>
      </c>
      <c r="C1534" s="1" t="n">
        <v>45972</v>
      </c>
      <c r="D1534" t="inlineStr">
        <is>
          <t>JÄMTLANDS LÄN</t>
        </is>
      </c>
      <c r="E1534" t="inlineStr">
        <is>
          <t>STRÖMSUND</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21322-2025</t>
        </is>
      </c>
      <c r="B1535" s="1" t="n">
        <v>45782.34524305556</v>
      </c>
      <c r="C1535" s="1" t="n">
        <v>45972</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21353-2025</t>
        </is>
      </c>
      <c r="B1536" s="1" t="n">
        <v>45782.41182870371</v>
      </c>
      <c r="C1536" s="1" t="n">
        <v>45972</v>
      </c>
      <c r="D1536" t="inlineStr">
        <is>
          <t>JÄMTLANDS LÄN</t>
        </is>
      </c>
      <c r="E1536" t="inlineStr">
        <is>
          <t>STRÖMSUND</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21559-2025</t>
        </is>
      </c>
      <c r="B1537" s="1" t="n">
        <v>45782.67873842592</v>
      </c>
      <c r="C1537" s="1" t="n">
        <v>45972</v>
      </c>
      <c r="D1537" t="inlineStr">
        <is>
          <t>JÄMTLANDS LÄN</t>
        </is>
      </c>
      <c r="E1537" t="inlineStr">
        <is>
          <t>STRÖMSUND</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21180-2025</t>
        </is>
      </c>
      <c r="B1538" s="1" t="n">
        <v>45779.43546296296</v>
      </c>
      <c r="C1538" s="1" t="n">
        <v>45972</v>
      </c>
      <c r="D1538" t="inlineStr">
        <is>
          <t>JÄMTLANDS LÄN</t>
        </is>
      </c>
      <c r="E1538" t="inlineStr">
        <is>
          <t>STRÖMSUND</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52158-2024</t>
        </is>
      </c>
      <c r="B1539" s="1" t="n">
        <v>45608.5270949074</v>
      </c>
      <c r="C1539" s="1" t="n">
        <v>45972</v>
      </c>
      <c r="D1539" t="inlineStr">
        <is>
          <t>JÄMTLANDS LÄN</t>
        </is>
      </c>
      <c r="E1539" t="inlineStr">
        <is>
          <t>STRÖMSUND</t>
        </is>
      </c>
      <c r="F1539" t="inlineStr">
        <is>
          <t>SCA</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26037-2024</t>
        </is>
      </c>
      <c r="B1540" s="1" t="n">
        <v>45467.96422453703</v>
      </c>
      <c r="C1540" s="1" t="n">
        <v>45972</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1642-2023</t>
        </is>
      </c>
      <c r="B1541" s="1" t="n">
        <v>44937.92461805556</v>
      </c>
      <c r="C1541" s="1" t="n">
        <v>45972</v>
      </c>
      <c r="D1541" t="inlineStr">
        <is>
          <t>JÄMTLANDS LÄN</t>
        </is>
      </c>
      <c r="E1541" t="inlineStr">
        <is>
          <t>STRÖMSUND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41000-2025</t>
        </is>
      </c>
      <c r="B1542" s="1" t="n">
        <v>45898.34496527778</v>
      </c>
      <c r="C1542" s="1" t="n">
        <v>45972</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40770-2025</t>
        </is>
      </c>
      <c r="B1543" s="1" t="n">
        <v>45897.40724537037</v>
      </c>
      <c r="C1543" s="1" t="n">
        <v>45972</v>
      </c>
      <c r="D1543" t="inlineStr">
        <is>
          <t>JÄMTLANDS LÄN</t>
        </is>
      </c>
      <c r="E1543" t="inlineStr">
        <is>
          <t>STRÖMSUND</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40840-2025</t>
        </is>
      </c>
      <c r="B1544" s="1" t="n">
        <v>45897.53171296296</v>
      </c>
      <c r="C1544" s="1" t="n">
        <v>45972</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40846-2025</t>
        </is>
      </c>
      <c r="B1545" s="1" t="n">
        <v>45897</v>
      </c>
      <c r="C1545" s="1" t="n">
        <v>45972</v>
      </c>
      <c r="D1545" t="inlineStr">
        <is>
          <t>JÄMTLANDS LÄN</t>
        </is>
      </c>
      <c r="E1545" t="inlineStr">
        <is>
          <t>STRÖMSUND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21971-2025</t>
        </is>
      </c>
      <c r="B1546" s="1" t="n">
        <v>45784.63574074074</v>
      </c>
      <c r="C1546" s="1" t="n">
        <v>45972</v>
      </c>
      <c r="D1546" t="inlineStr">
        <is>
          <t>JÄMTLANDS LÄN</t>
        </is>
      </c>
      <c r="E1546" t="inlineStr">
        <is>
          <t>STRÖMSUND</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61500-2023</t>
        </is>
      </c>
      <c r="B1547" s="1" t="n">
        <v>45264</v>
      </c>
      <c r="C1547" s="1" t="n">
        <v>45972</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52645-2024</t>
        </is>
      </c>
      <c r="B1548" s="1" t="n">
        <v>45610.34516203704</v>
      </c>
      <c r="C1548" s="1" t="n">
        <v>45972</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39979-2024</t>
        </is>
      </c>
      <c r="B1549" s="1" t="n">
        <v>45553</v>
      </c>
      <c r="C1549" s="1" t="n">
        <v>45972</v>
      </c>
      <c r="D1549" t="inlineStr">
        <is>
          <t>JÄMTLANDS LÄN</t>
        </is>
      </c>
      <c r="E1549" t="inlineStr">
        <is>
          <t>STRÖMSUND</t>
        </is>
      </c>
      <c r="F1549" t="inlineStr">
        <is>
          <t>Kyrkan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39864-2024</t>
        </is>
      </c>
      <c r="B1550" s="1" t="n">
        <v>45553.4584375</v>
      </c>
      <c r="C1550" s="1" t="n">
        <v>45972</v>
      </c>
      <c r="D1550" t="inlineStr">
        <is>
          <t>JÄMTLANDS LÄN</t>
        </is>
      </c>
      <c r="E1550" t="inlineStr">
        <is>
          <t>STRÖMSUND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53328-2024</t>
        </is>
      </c>
      <c r="B1551" s="1" t="n">
        <v>45614.41456018519</v>
      </c>
      <c r="C1551" s="1" t="n">
        <v>45972</v>
      </c>
      <c r="D1551" t="inlineStr">
        <is>
          <t>JÄMTLANDS LÄN</t>
        </is>
      </c>
      <c r="E1551" t="inlineStr">
        <is>
          <t>STRÖMSUND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22001-2025</t>
        </is>
      </c>
      <c r="B1552" s="1" t="n">
        <v>45784.69862268519</v>
      </c>
      <c r="C1552" s="1" t="n">
        <v>45972</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40901-2025</t>
        </is>
      </c>
      <c r="B1553" s="1" t="n">
        <v>45897.615625</v>
      </c>
      <c r="C1553" s="1" t="n">
        <v>45972</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40906-2025</t>
        </is>
      </c>
      <c r="B1554" s="1" t="n">
        <v>45897.61641203704</v>
      </c>
      <c r="C1554" s="1" t="n">
        <v>45972</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11856-2022</t>
        </is>
      </c>
      <c r="B1555" s="1" t="n">
        <v>44635</v>
      </c>
      <c r="C1555" s="1" t="n">
        <v>45972</v>
      </c>
      <c r="D1555" t="inlineStr">
        <is>
          <t>JÄMTLANDS LÄN</t>
        </is>
      </c>
      <c r="E1555" t="inlineStr">
        <is>
          <t>STRÖMSUND</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23406-2023</t>
        </is>
      </c>
      <c r="B1556" s="1" t="n">
        <v>45076</v>
      </c>
      <c r="C1556" s="1" t="n">
        <v>45972</v>
      </c>
      <c r="D1556" t="inlineStr">
        <is>
          <t>JÄMTLANDS LÄN</t>
        </is>
      </c>
      <c r="E1556" t="inlineStr">
        <is>
          <t>STRÖMSUND</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41988-2024</t>
        </is>
      </c>
      <c r="B1557" s="1" t="n">
        <v>45561.63615740741</v>
      </c>
      <c r="C1557" s="1" t="n">
        <v>45972</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22005-2025</t>
        </is>
      </c>
      <c r="B1558" s="1" t="n">
        <v>45784</v>
      </c>
      <c r="C1558" s="1" t="n">
        <v>45972</v>
      </c>
      <c r="D1558" t="inlineStr">
        <is>
          <t>JÄMTLANDS LÄN</t>
        </is>
      </c>
      <c r="E1558" t="inlineStr">
        <is>
          <t>STRÖMSUND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15455-2023</t>
        </is>
      </c>
      <c r="B1559" s="1" t="n">
        <v>45019</v>
      </c>
      <c r="C1559" s="1" t="n">
        <v>45972</v>
      </c>
      <c r="D1559" t="inlineStr">
        <is>
          <t>JÄMTLANDS LÄN</t>
        </is>
      </c>
      <c r="E1559" t="inlineStr">
        <is>
          <t>STRÖMSUND</t>
        </is>
      </c>
      <c r="G1559" t="n">
        <v>20.3</v>
      </c>
      <c r="H1559" t="n">
        <v>0</v>
      </c>
      <c r="I1559" t="n">
        <v>0</v>
      </c>
      <c r="J1559" t="n">
        <v>0</v>
      </c>
      <c r="K1559" t="n">
        <v>0</v>
      </c>
      <c r="L1559" t="n">
        <v>0</v>
      </c>
      <c r="M1559" t="n">
        <v>0</v>
      </c>
      <c r="N1559" t="n">
        <v>0</v>
      </c>
      <c r="O1559" t="n">
        <v>0</v>
      </c>
      <c r="P1559" t="n">
        <v>0</v>
      </c>
      <c r="Q1559" t="n">
        <v>0</v>
      </c>
      <c r="R1559" s="2" t="inlineStr"/>
    </row>
    <row r="1560" ht="15" customHeight="1">
      <c r="A1560" t="inlineStr">
        <is>
          <t>A 53132-2024</t>
        </is>
      </c>
      <c r="B1560" s="1" t="n">
        <v>45611.59440972222</v>
      </c>
      <c r="C1560" s="1" t="n">
        <v>45972</v>
      </c>
      <c r="D1560" t="inlineStr">
        <is>
          <t>JÄMTLANDS LÄN</t>
        </is>
      </c>
      <c r="E1560" t="inlineStr">
        <is>
          <t>STRÖMSUND</t>
        </is>
      </c>
      <c r="F1560" t="inlineStr">
        <is>
          <t>SCA</t>
        </is>
      </c>
      <c r="G1560" t="n">
        <v>29.2</v>
      </c>
      <c r="H1560" t="n">
        <v>0</v>
      </c>
      <c r="I1560" t="n">
        <v>0</v>
      </c>
      <c r="J1560" t="n">
        <v>0</v>
      </c>
      <c r="K1560" t="n">
        <v>0</v>
      </c>
      <c r="L1560" t="n">
        <v>0</v>
      </c>
      <c r="M1560" t="n">
        <v>0</v>
      </c>
      <c r="N1560" t="n">
        <v>0</v>
      </c>
      <c r="O1560" t="n">
        <v>0</v>
      </c>
      <c r="P1560" t="n">
        <v>0</v>
      </c>
      <c r="Q1560" t="n">
        <v>0</v>
      </c>
      <c r="R1560" s="2" t="inlineStr"/>
    </row>
    <row r="1561" ht="15" customHeight="1">
      <c r="A1561" t="inlineStr">
        <is>
          <t>A 21682-2025</t>
        </is>
      </c>
      <c r="B1561" s="1" t="n">
        <v>45783.49026620371</v>
      </c>
      <c r="C1561" s="1" t="n">
        <v>45972</v>
      </c>
      <c r="D1561" t="inlineStr">
        <is>
          <t>JÄMTLANDS LÄN</t>
        </is>
      </c>
      <c r="E1561" t="inlineStr">
        <is>
          <t>STRÖMSUND</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52211-2024</t>
        </is>
      </c>
      <c r="B1562" s="1" t="n">
        <v>45608.59245370371</v>
      </c>
      <c r="C1562" s="1" t="n">
        <v>45972</v>
      </c>
      <c r="D1562" t="inlineStr">
        <is>
          <t>JÄMTLANDS LÄN</t>
        </is>
      </c>
      <c r="E1562" t="inlineStr">
        <is>
          <t>STRÖMSUND</t>
        </is>
      </c>
      <c r="F1562" t="inlineStr">
        <is>
          <t>SCA</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21633-2025</t>
        </is>
      </c>
      <c r="B1563" s="1" t="n">
        <v>45783.42767361111</v>
      </c>
      <c r="C1563" s="1" t="n">
        <v>45972</v>
      </c>
      <c r="D1563" t="inlineStr">
        <is>
          <t>JÄMTLANDS LÄN</t>
        </is>
      </c>
      <c r="E1563" t="inlineStr">
        <is>
          <t>STRÖMSUND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22093-2025</t>
        </is>
      </c>
      <c r="B1564" s="1" t="n">
        <v>45784</v>
      </c>
      <c r="C1564" s="1" t="n">
        <v>45972</v>
      </c>
      <c r="D1564" t="inlineStr">
        <is>
          <t>JÄMTLANDS LÄN</t>
        </is>
      </c>
      <c r="E1564" t="inlineStr">
        <is>
          <t>STRÖMSUND</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48936-2024</t>
        </is>
      </c>
      <c r="B1565" s="1" t="n">
        <v>45594</v>
      </c>
      <c r="C1565" s="1" t="n">
        <v>45972</v>
      </c>
      <c r="D1565" t="inlineStr">
        <is>
          <t>JÄMTLANDS LÄN</t>
        </is>
      </c>
      <c r="E1565" t="inlineStr">
        <is>
          <t>STRÖMSUND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56426-2024</t>
        </is>
      </c>
      <c r="B1566" s="1" t="n">
        <v>45624</v>
      </c>
      <c r="C1566" s="1" t="n">
        <v>45972</v>
      </c>
      <c r="D1566" t="inlineStr">
        <is>
          <t>JÄMTLANDS LÄN</t>
        </is>
      </c>
      <c r="E1566" t="inlineStr">
        <is>
          <t>STRÖMSUND</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28878-2024</t>
        </is>
      </c>
      <c r="B1567" s="1" t="n">
        <v>45478.94827546296</v>
      </c>
      <c r="C1567" s="1" t="n">
        <v>45972</v>
      </c>
      <c r="D1567" t="inlineStr">
        <is>
          <t>JÄMTLANDS LÄN</t>
        </is>
      </c>
      <c r="E1567" t="inlineStr">
        <is>
          <t>STRÖMSUND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22288-2025</t>
        </is>
      </c>
      <c r="B1568" s="1" t="n">
        <v>45786.34425925926</v>
      </c>
      <c r="C1568" s="1" t="n">
        <v>45972</v>
      </c>
      <c r="D1568" t="inlineStr">
        <is>
          <t>JÄMTLANDS LÄN</t>
        </is>
      </c>
      <c r="E1568" t="inlineStr">
        <is>
          <t>STRÖMSUND</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22238-2025</t>
        </is>
      </c>
      <c r="B1569" s="1" t="n">
        <v>45785.67763888889</v>
      </c>
      <c r="C1569" s="1" t="n">
        <v>45972</v>
      </c>
      <c r="D1569" t="inlineStr">
        <is>
          <t>JÄMTLANDS LÄN</t>
        </is>
      </c>
      <c r="E1569" t="inlineStr">
        <is>
          <t>STRÖMSUND</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49396-2024</t>
        </is>
      </c>
      <c r="B1570" s="1" t="n">
        <v>45595.67100694445</v>
      </c>
      <c r="C1570" s="1" t="n">
        <v>45972</v>
      </c>
      <c r="D1570" t="inlineStr">
        <is>
          <t>JÄMTLANDS LÄN</t>
        </is>
      </c>
      <c r="E1570" t="inlineStr">
        <is>
          <t>STRÖMSUND</t>
        </is>
      </c>
      <c r="F1570" t="inlineStr">
        <is>
          <t>SCA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53131-2024</t>
        </is>
      </c>
      <c r="B1571" s="1" t="n">
        <v>45611.59434027778</v>
      </c>
      <c r="C1571" s="1" t="n">
        <v>45972</v>
      </c>
      <c r="D1571" t="inlineStr">
        <is>
          <t>JÄMTLANDS LÄN</t>
        </is>
      </c>
      <c r="E1571" t="inlineStr">
        <is>
          <t>STRÖMSUND</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56314-2023</t>
        </is>
      </c>
      <c r="B1572" s="1" t="n">
        <v>45242.96574074074</v>
      </c>
      <c r="C1572" s="1" t="n">
        <v>45972</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58580-2023</t>
        </is>
      </c>
      <c r="B1573" s="1" t="n">
        <v>45251.45293981482</v>
      </c>
      <c r="C1573" s="1" t="n">
        <v>45972</v>
      </c>
      <c r="D1573" t="inlineStr">
        <is>
          <t>JÄMTLANDS LÄN</t>
        </is>
      </c>
      <c r="E1573" t="inlineStr">
        <is>
          <t>STRÖMSUND</t>
        </is>
      </c>
      <c r="F1573" t="inlineStr">
        <is>
          <t>Holmen skog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41182-2025</t>
        </is>
      </c>
      <c r="B1574" s="1" t="n">
        <v>45898.55322916667</v>
      </c>
      <c r="C1574" s="1" t="n">
        <v>45972</v>
      </c>
      <c r="D1574" t="inlineStr">
        <is>
          <t>JÄMTLANDS LÄN</t>
        </is>
      </c>
      <c r="E1574" t="inlineStr">
        <is>
          <t>STRÖMSUND</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22479-2025</t>
        </is>
      </c>
      <c r="B1575" s="1" t="n">
        <v>45786.63579861111</v>
      </c>
      <c r="C1575" s="1" t="n">
        <v>45972</v>
      </c>
      <c r="D1575" t="inlineStr">
        <is>
          <t>JÄMTLANDS LÄN</t>
        </is>
      </c>
      <c r="E1575" t="inlineStr">
        <is>
          <t>STRÖMSUND</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49790-2025</t>
        </is>
      </c>
      <c r="B1576" s="1" t="n">
        <v>45940.40688657408</v>
      </c>
      <c r="C1576" s="1" t="n">
        <v>45972</v>
      </c>
      <c r="D1576" t="inlineStr">
        <is>
          <t>JÄMTLANDS LÄN</t>
        </is>
      </c>
      <c r="E1576" t="inlineStr">
        <is>
          <t>STRÖMSUND</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32724-2023</t>
        </is>
      </c>
      <c r="B1577" s="1" t="n">
        <v>45121</v>
      </c>
      <c r="C1577" s="1" t="n">
        <v>45972</v>
      </c>
      <c r="D1577" t="inlineStr">
        <is>
          <t>JÄMTLANDS LÄN</t>
        </is>
      </c>
      <c r="E1577" t="inlineStr">
        <is>
          <t>STRÖMSUND</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8720-2025</t>
        </is>
      </c>
      <c r="B1578" s="1" t="n">
        <v>45712.50850694445</v>
      </c>
      <c r="C1578" s="1" t="n">
        <v>45972</v>
      </c>
      <c r="D1578" t="inlineStr">
        <is>
          <t>JÄMTLANDS LÄN</t>
        </is>
      </c>
      <c r="E1578" t="inlineStr">
        <is>
          <t>STRÖMSUND</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44601-2024</t>
        </is>
      </c>
      <c r="B1579" s="1" t="n">
        <v>45574.51127314815</v>
      </c>
      <c r="C1579" s="1" t="n">
        <v>45972</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22070-2025</t>
        </is>
      </c>
      <c r="B1580" s="1" t="n">
        <v>45785.40671296296</v>
      </c>
      <c r="C1580" s="1" t="n">
        <v>45972</v>
      </c>
      <c r="D1580" t="inlineStr">
        <is>
          <t>JÄMTLANDS LÄN</t>
        </is>
      </c>
      <c r="E1580" t="inlineStr">
        <is>
          <t>STRÖMSUND</t>
        </is>
      </c>
      <c r="F1580" t="inlineStr">
        <is>
          <t>SCA</t>
        </is>
      </c>
      <c r="G1580" t="n">
        <v>22.7</v>
      </c>
      <c r="H1580" t="n">
        <v>0</v>
      </c>
      <c r="I1580" t="n">
        <v>0</v>
      </c>
      <c r="J1580" t="n">
        <v>0</v>
      </c>
      <c r="K1580" t="n">
        <v>0</v>
      </c>
      <c r="L1580" t="n">
        <v>0</v>
      </c>
      <c r="M1580" t="n">
        <v>0</v>
      </c>
      <c r="N1580" t="n">
        <v>0</v>
      </c>
      <c r="O1580" t="n">
        <v>0</v>
      </c>
      <c r="P1580" t="n">
        <v>0</v>
      </c>
      <c r="Q1580" t="n">
        <v>0</v>
      </c>
      <c r="R1580" s="2" t="inlineStr"/>
    </row>
    <row r="1581" ht="15" customHeight="1">
      <c r="A1581" t="inlineStr">
        <is>
          <t>A 22239-2025</t>
        </is>
      </c>
      <c r="B1581" s="1" t="n">
        <v>45785.67766203704</v>
      </c>
      <c r="C1581" s="1" t="n">
        <v>45972</v>
      </c>
      <c r="D1581" t="inlineStr">
        <is>
          <t>JÄMTLANDS LÄN</t>
        </is>
      </c>
      <c r="E1581" t="inlineStr">
        <is>
          <t>STRÖMSUND</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41181-2025</t>
        </is>
      </c>
      <c r="B1582" s="1" t="n">
        <v>45898.55309027778</v>
      </c>
      <c r="C1582" s="1" t="n">
        <v>45972</v>
      </c>
      <c r="D1582" t="inlineStr">
        <is>
          <t>JÄMTLANDS LÄN</t>
        </is>
      </c>
      <c r="E1582" t="inlineStr">
        <is>
          <t>STRÖMSUND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1113-2024</t>
        </is>
      </c>
      <c r="B1583" s="1" t="n">
        <v>45302.42872685185</v>
      </c>
      <c r="C1583" s="1" t="n">
        <v>45972</v>
      </c>
      <c r="D1583" t="inlineStr">
        <is>
          <t>JÄMTLANDS LÄN</t>
        </is>
      </c>
      <c r="E1583" t="inlineStr">
        <is>
          <t>STRÖMSUND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17994-2025</t>
        </is>
      </c>
      <c r="B1584" s="1" t="n">
        <v>45761.40689814815</v>
      </c>
      <c r="C1584" s="1" t="n">
        <v>45972</v>
      </c>
      <c r="D1584" t="inlineStr">
        <is>
          <t>JÄMTLANDS LÄN</t>
        </is>
      </c>
      <c r="E1584" t="inlineStr">
        <is>
          <t>STRÖMSUND</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18770-2024</t>
        </is>
      </c>
      <c r="B1585" s="1" t="n">
        <v>45426</v>
      </c>
      <c r="C1585" s="1" t="n">
        <v>45972</v>
      </c>
      <c r="D1585" t="inlineStr">
        <is>
          <t>JÄMTLANDS LÄN</t>
        </is>
      </c>
      <c r="E1585" t="inlineStr">
        <is>
          <t>STRÖMSUND</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24802-2024</t>
        </is>
      </c>
      <c r="B1586" s="1" t="n">
        <v>45460.95309027778</v>
      </c>
      <c r="C1586" s="1" t="n">
        <v>45972</v>
      </c>
      <c r="D1586" t="inlineStr">
        <is>
          <t>JÄMTLANDS LÄN</t>
        </is>
      </c>
      <c r="E1586" t="inlineStr">
        <is>
          <t>STRÖMSUND</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24804-2024</t>
        </is>
      </c>
      <c r="B1587" s="1" t="n">
        <v>45460.95325231482</v>
      </c>
      <c r="C1587" s="1" t="n">
        <v>45972</v>
      </c>
      <c r="D1587" t="inlineStr">
        <is>
          <t>JÄMTLANDS LÄN</t>
        </is>
      </c>
      <c r="E1587" t="inlineStr">
        <is>
          <t>STRÖMSUND</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25378-2024</t>
        </is>
      </c>
      <c r="B1588" s="1" t="n">
        <v>45462.96231481482</v>
      </c>
      <c r="C1588" s="1" t="n">
        <v>45972</v>
      </c>
      <c r="D1588" t="inlineStr">
        <is>
          <t>JÄMTLANDS LÄN</t>
        </is>
      </c>
      <c r="E1588" t="inlineStr">
        <is>
          <t>STRÖMSUND</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4514-2024</t>
        </is>
      </c>
      <c r="B1589" s="1" t="n">
        <v>45327</v>
      </c>
      <c r="C1589" s="1" t="n">
        <v>45972</v>
      </c>
      <c r="D1589" t="inlineStr">
        <is>
          <t>JÄMTLANDS LÄN</t>
        </is>
      </c>
      <c r="E1589" t="inlineStr">
        <is>
          <t>STRÖMSUND</t>
        </is>
      </c>
      <c r="F1589" t="inlineStr">
        <is>
          <t>Kyrkan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67099-2021</t>
        </is>
      </c>
      <c r="B1590" s="1" t="n">
        <v>44522.94574074074</v>
      </c>
      <c r="C1590" s="1" t="n">
        <v>45972</v>
      </c>
      <c r="D1590" t="inlineStr">
        <is>
          <t>JÄMTLANDS LÄN</t>
        </is>
      </c>
      <c r="E1590" t="inlineStr">
        <is>
          <t>STRÖMSUND</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22256-2025</t>
        </is>
      </c>
      <c r="B1591" s="1" t="n">
        <v>45785.71936342592</v>
      </c>
      <c r="C1591" s="1" t="n">
        <v>45972</v>
      </c>
      <c r="D1591" t="inlineStr">
        <is>
          <t>JÄMTLANDS LÄN</t>
        </is>
      </c>
      <c r="E1591" t="inlineStr">
        <is>
          <t>STRÖMSUND</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1226-2024</t>
        </is>
      </c>
      <c r="B1592" s="1" t="n">
        <v>45302</v>
      </c>
      <c r="C1592" s="1" t="n">
        <v>45972</v>
      </c>
      <c r="D1592" t="inlineStr">
        <is>
          <t>JÄMTLANDS LÄN</t>
        </is>
      </c>
      <c r="E1592" t="inlineStr">
        <is>
          <t>STRÖMSUND</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32907-2023</t>
        </is>
      </c>
      <c r="B1593" s="1" t="n">
        <v>45124</v>
      </c>
      <c r="C1593" s="1" t="n">
        <v>45972</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32910-2023</t>
        </is>
      </c>
      <c r="B1594" s="1" t="n">
        <v>45124.95171296296</v>
      </c>
      <c r="C1594" s="1" t="n">
        <v>45972</v>
      </c>
      <c r="D1594" t="inlineStr">
        <is>
          <t>JÄMTLANDS LÄN</t>
        </is>
      </c>
      <c r="E1594" t="inlineStr">
        <is>
          <t>STRÖMSUND</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22073-2025</t>
        </is>
      </c>
      <c r="B1595" s="1" t="n">
        <v>45785.40710648148</v>
      </c>
      <c r="C1595" s="1" t="n">
        <v>45972</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54389-2024</t>
        </is>
      </c>
      <c r="B1596" s="1" t="n">
        <v>45617.45207175926</v>
      </c>
      <c r="C1596" s="1" t="n">
        <v>45972</v>
      </c>
      <c r="D1596" t="inlineStr">
        <is>
          <t>JÄMTLANDS LÄN</t>
        </is>
      </c>
      <c r="E1596" t="inlineStr">
        <is>
          <t>STRÖMSUND</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49581-2025</t>
        </is>
      </c>
      <c r="B1597" s="1" t="n">
        <v>45939.49783564815</v>
      </c>
      <c r="C1597" s="1" t="n">
        <v>45972</v>
      </c>
      <c r="D1597" t="inlineStr">
        <is>
          <t>JÄMTLANDS LÄN</t>
        </is>
      </c>
      <c r="E1597" t="inlineStr">
        <is>
          <t>STRÖMSUND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45249-2024</t>
        </is>
      </c>
      <c r="B1598" s="1" t="n">
        <v>45576.32144675926</v>
      </c>
      <c r="C1598" s="1" t="n">
        <v>45972</v>
      </c>
      <c r="D1598" t="inlineStr">
        <is>
          <t>JÄMTLANDS LÄN</t>
        </is>
      </c>
      <c r="E1598" t="inlineStr">
        <is>
          <t>STRÖMSUND</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41048-2025</t>
        </is>
      </c>
      <c r="B1599" s="1" t="n">
        <v>45898</v>
      </c>
      <c r="C1599" s="1" t="n">
        <v>45972</v>
      </c>
      <c r="D1599" t="inlineStr">
        <is>
          <t>JÄMTLANDS LÄN</t>
        </is>
      </c>
      <c r="E1599" t="inlineStr">
        <is>
          <t>STRÖMSUND</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22071-2025</t>
        </is>
      </c>
      <c r="B1600" s="1" t="n">
        <v>45785.40689814815</v>
      </c>
      <c r="C1600" s="1" t="n">
        <v>45972</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22864-2025</t>
        </is>
      </c>
      <c r="B1601" s="1" t="n">
        <v>45790.36502314815</v>
      </c>
      <c r="C1601" s="1" t="n">
        <v>45972</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9257-2025</t>
        </is>
      </c>
      <c r="B1602" s="1" t="n">
        <v>45714.59465277778</v>
      </c>
      <c r="C1602" s="1" t="n">
        <v>45972</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47877-2024</t>
        </is>
      </c>
      <c r="B1603" s="1" t="n">
        <v>45588</v>
      </c>
      <c r="C1603" s="1" t="n">
        <v>45972</v>
      </c>
      <c r="D1603" t="inlineStr">
        <is>
          <t>JÄMTLANDS LÄN</t>
        </is>
      </c>
      <c r="E1603" t="inlineStr">
        <is>
          <t>STRÖMSUND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40768-2025</t>
        </is>
      </c>
      <c r="B1604" s="1" t="n">
        <v>45897.40685185185</v>
      </c>
      <c r="C1604" s="1" t="n">
        <v>45972</v>
      </c>
      <c r="D1604" t="inlineStr">
        <is>
          <t>JÄMTLANDS LÄN</t>
        </is>
      </c>
      <c r="E1604" t="inlineStr">
        <is>
          <t>STRÖMSUND</t>
        </is>
      </c>
      <c r="F1604" t="inlineStr">
        <is>
          <t>SCA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40870-2025</t>
        </is>
      </c>
      <c r="B1605" s="1" t="n">
        <v>45897.57402777778</v>
      </c>
      <c r="C1605" s="1" t="n">
        <v>45972</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13685-2023</t>
        </is>
      </c>
      <c r="B1606" s="1" t="n">
        <v>45006</v>
      </c>
      <c r="C1606" s="1" t="n">
        <v>45972</v>
      </c>
      <c r="D1606" t="inlineStr">
        <is>
          <t>JÄMTLANDS LÄN</t>
        </is>
      </c>
      <c r="E1606" t="inlineStr">
        <is>
          <t>STRÖMSUND</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40867-2025</t>
        </is>
      </c>
      <c r="B1607" s="1" t="n">
        <v>45897.57342592593</v>
      </c>
      <c r="C1607" s="1" t="n">
        <v>45972</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40902-2025</t>
        </is>
      </c>
      <c r="B1608" s="1" t="n">
        <v>45897.61581018518</v>
      </c>
      <c r="C1608" s="1" t="n">
        <v>45972</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22741-2025</t>
        </is>
      </c>
      <c r="B1609" s="1" t="n">
        <v>45789.59423611111</v>
      </c>
      <c r="C1609" s="1" t="n">
        <v>45972</v>
      </c>
      <c r="D1609" t="inlineStr">
        <is>
          <t>JÄMTLANDS LÄN</t>
        </is>
      </c>
      <c r="E1609" t="inlineStr">
        <is>
          <t>STRÖMSUND</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22519-2025</t>
        </is>
      </c>
      <c r="B1610" s="1" t="n">
        <v>45786.67841435185</v>
      </c>
      <c r="C1610" s="1" t="n">
        <v>45972</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40891-2025</t>
        </is>
      </c>
      <c r="B1611" s="1" t="n">
        <v>45897.60731481481</v>
      </c>
      <c r="C1611" s="1" t="n">
        <v>45972</v>
      </c>
      <c r="D1611" t="inlineStr">
        <is>
          <t>JÄMTLANDS LÄN</t>
        </is>
      </c>
      <c r="E1611" t="inlineStr">
        <is>
          <t>STRÖMSUND</t>
        </is>
      </c>
      <c r="F1611" t="inlineStr">
        <is>
          <t>Holmen skog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40905-2025</t>
        </is>
      </c>
      <c r="B1612" s="1" t="n">
        <v>45897.61626157408</v>
      </c>
      <c r="C1612" s="1" t="n">
        <v>45972</v>
      </c>
      <c r="D1612" t="inlineStr">
        <is>
          <t>JÄMTLANDS LÄN</t>
        </is>
      </c>
      <c r="E1612" t="inlineStr">
        <is>
          <t>STRÖMSUND</t>
        </is>
      </c>
      <c r="F1612" t="inlineStr">
        <is>
          <t>SCA</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41304-2025</t>
        </is>
      </c>
      <c r="B1613" s="1" t="n">
        <v>45898.69829861111</v>
      </c>
      <c r="C1613" s="1" t="n">
        <v>45972</v>
      </c>
      <c r="D1613" t="inlineStr">
        <is>
          <t>JÄMTLANDS LÄN</t>
        </is>
      </c>
      <c r="E1613" t="inlineStr">
        <is>
          <t>STRÖMSUND</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22865-2025</t>
        </is>
      </c>
      <c r="B1614" s="1" t="n">
        <v>45790.3650462963</v>
      </c>
      <c r="C1614" s="1" t="n">
        <v>45972</v>
      </c>
      <c r="D1614" t="inlineStr">
        <is>
          <t>JÄMTLANDS LÄN</t>
        </is>
      </c>
      <c r="E1614" t="inlineStr">
        <is>
          <t>STRÖMSUND</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22497-2025</t>
        </is>
      </c>
      <c r="B1615" s="1" t="n">
        <v>45786.6568287037</v>
      </c>
      <c r="C1615" s="1" t="n">
        <v>45972</v>
      </c>
      <c r="D1615" t="inlineStr">
        <is>
          <t>JÄMTLANDS LÄN</t>
        </is>
      </c>
      <c r="E1615" t="inlineStr">
        <is>
          <t>STRÖMSUND</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33453-2023</t>
        </is>
      </c>
      <c r="B1616" s="1" t="n">
        <v>45130</v>
      </c>
      <c r="C1616" s="1" t="n">
        <v>45972</v>
      </c>
      <c r="D1616" t="inlineStr">
        <is>
          <t>JÄMTLANDS LÄN</t>
        </is>
      </c>
      <c r="E1616" t="inlineStr">
        <is>
          <t>STRÖMSUND</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22723-2025</t>
        </is>
      </c>
      <c r="B1617" s="1" t="n">
        <v>45789.5733912037</v>
      </c>
      <c r="C1617" s="1" t="n">
        <v>45972</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22476-2023</t>
        </is>
      </c>
      <c r="B1618" s="1" t="n">
        <v>45070</v>
      </c>
      <c r="C1618" s="1" t="n">
        <v>45972</v>
      </c>
      <c r="D1618" t="inlineStr">
        <is>
          <t>JÄMTLANDS LÄN</t>
        </is>
      </c>
      <c r="E1618" t="inlineStr">
        <is>
          <t>STRÖMSUND</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57963-2024</t>
        </is>
      </c>
      <c r="B1619" s="1" t="n">
        <v>45631.59405092592</v>
      </c>
      <c r="C1619" s="1" t="n">
        <v>45972</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17804-2025</t>
        </is>
      </c>
      <c r="B1620" s="1" t="n">
        <v>45758.55240740741</v>
      </c>
      <c r="C1620" s="1" t="n">
        <v>45972</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37104-2022</t>
        </is>
      </c>
      <c r="B1621" s="1" t="n">
        <v>44806</v>
      </c>
      <c r="C1621" s="1" t="n">
        <v>45972</v>
      </c>
      <c r="D1621" t="inlineStr">
        <is>
          <t>JÄMTLANDS LÄN</t>
        </is>
      </c>
      <c r="E1621" t="inlineStr">
        <is>
          <t>STRÖMSUND</t>
        </is>
      </c>
      <c r="F1621" t="inlineStr">
        <is>
          <t>Kommuner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5807-2025</t>
        </is>
      </c>
      <c r="B1622" s="1" t="n">
        <v>45694.6984837963</v>
      </c>
      <c r="C1622" s="1" t="n">
        <v>45972</v>
      </c>
      <c r="D1622" t="inlineStr">
        <is>
          <t>JÄMTLANDS LÄN</t>
        </is>
      </c>
      <c r="E1622" t="inlineStr">
        <is>
          <t>STRÖMSUND</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23362-2025</t>
        </is>
      </c>
      <c r="B1623" s="1" t="n">
        <v>45791.67763888889</v>
      </c>
      <c r="C1623" s="1" t="n">
        <v>45972</v>
      </c>
      <c r="D1623" t="inlineStr">
        <is>
          <t>JÄMTLANDS LÄN</t>
        </is>
      </c>
      <c r="E1623" t="inlineStr">
        <is>
          <t>STRÖMSUND</t>
        </is>
      </c>
      <c r="F1623" t="inlineStr">
        <is>
          <t>SCA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23093-2025</t>
        </is>
      </c>
      <c r="B1624" s="1" t="n">
        <v>45791.34475694445</v>
      </c>
      <c r="C1624" s="1" t="n">
        <v>45972</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37208-2024</t>
        </is>
      </c>
      <c r="B1625" s="1" t="n">
        <v>45539.67788194444</v>
      </c>
      <c r="C1625" s="1" t="n">
        <v>45972</v>
      </c>
      <c r="D1625" t="inlineStr">
        <is>
          <t>JÄMTLANDS LÄN</t>
        </is>
      </c>
      <c r="E1625" t="inlineStr">
        <is>
          <t>STRÖMSUND</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28766-2023</t>
        </is>
      </c>
      <c r="B1626" s="1" t="n">
        <v>45103.94268518518</v>
      </c>
      <c r="C1626" s="1" t="n">
        <v>45972</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217-2025</t>
        </is>
      </c>
      <c r="B1627" s="1" t="n">
        <v>45660.34424768519</v>
      </c>
      <c r="C1627" s="1" t="n">
        <v>45972</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32906-2023</t>
        </is>
      </c>
      <c r="B1628" s="1" t="n">
        <v>45124.95137731481</v>
      </c>
      <c r="C1628" s="1" t="n">
        <v>45972</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40714-2025</t>
        </is>
      </c>
      <c r="B1629" s="1" t="n">
        <v>45897.34424768519</v>
      </c>
      <c r="C1629" s="1" t="n">
        <v>45972</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49609-2025</t>
        </is>
      </c>
      <c r="B1630" s="1" t="n">
        <v>45939.57329861111</v>
      </c>
      <c r="C1630" s="1" t="n">
        <v>45972</v>
      </c>
      <c r="D1630" t="inlineStr">
        <is>
          <t>JÄMTLANDS LÄN</t>
        </is>
      </c>
      <c r="E1630" t="inlineStr">
        <is>
          <t>STRÖMSUND</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37084-2022</t>
        </is>
      </c>
      <c r="B1631" s="1" t="n">
        <v>44806</v>
      </c>
      <c r="C1631" s="1" t="n">
        <v>45972</v>
      </c>
      <c r="D1631" t="inlineStr">
        <is>
          <t>JÄMTLANDS LÄN</t>
        </is>
      </c>
      <c r="E1631" t="inlineStr">
        <is>
          <t>STRÖMSUND</t>
        </is>
      </c>
      <c r="F1631" t="inlineStr">
        <is>
          <t>Kommuner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37090-2022</t>
        </is>
      </c>
      <c r="B1632" s="1" t="n">
        <v>44806</v>
      </c>
      <c r="C1632" s="1" t="n">
        <v>45972</v>
      </c>
      <c r="D1632" t="inlineStr">
        <is>
          <t>JÄMTLANDS LÄN</t>
        </is>
      </c>
      <c r="E1632" t="inlineStr">
        <is>
          <t>STRÖMSUND</t>
        </is>
      </c>
      <c r="F1632" t="inlineStr">
        <is>
          <t>Kommuner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17975-2025</t>
        </is>
      </c>
      <c r="B1633" s="1" t="n">
        <v>45761.36520833334</v>
      </c>
      <c r="C1633" s="1" t="n">
        <v>45972</v>
      </c>
      <c r="D1633" t="inlineStr">
        <is>
          <t>JÄMTLANDS LÄN</t>
        </is>
      </c>
      <c r="E1633" t="inlineStr">
        <is>
          <t>STRÖMSUND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49472-2025</t>
        </is>
      </c>
      <c r="B1634" s="1" t="n">
        <v>45939.34438657408</v>
      </c>
      <c r="C1634" s="1" t="n">
        <v>45972</v>
      </c>
      <c r="D1634" t="inlineStr">
        <is>
          <t>JÄMTLANDS LÄN</t>
        </is>
      </c>
      <c r="E1634" t="inlineStr">
        <is>
          <t>STRÖMSUND</t>
        </is>
      </c>
      <c r="F1634" t="inlineStr">
        <is>
          <t>SCA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10180-2025</t>
        </is>
      </c>
      <c r="B1635" s="1" t="n">
        <v>45719.68037037037</v>
      </c>
      <c r="C1635" s="1" t="n">
        <v>45972</v>
      </c>
      <c r="D1635" t="inlineStr">
        <is>
          <t>JÄMTLANDS LÄN</t>
        </is>
      </c>
      <c r="E1635" t="inlineStr">
        <is>
          <t>STRÖMSUND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40732-2025</t>
        </is>
      </c>
      <c r="B1636" s="1" t="n">
        <v>45897</v>
      </c>
      <c r="C1636" s="1" t="n">
        <v>45972</v>
      </c>
      <c r="D1636" t="inlineStr">
        <is>
          <t>JÄMTLANDS LÄN</t>
        </is>
      </c>
      <c r="E1636" t="inlineStr">
        <is>
          <t>STRÖMSUND</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41020-2025</t>
        </is>
      </c>
      <c r="B1637" s="1" t="n">
        <v>45898.36521990741</v>
      </c>
      <c r="C1637" s="1" t="n">
        <v>45972</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32396-2024</t>
        </is>
      </c>
      <c r="B1638" s="1" t="n">
        <v>45512.64496527778</v>
      </c>
      <c r="C1638" s="1" t="n">
        <v>45972</v>
      </c>
      <c r="D1638" t="inlineStr">
        <is>
          <t>JÄMTLANDS LÄN</t>
        </is>
      </c>
      <c r="E1638" t="inlineStr">
        <is>
          <t>STRÖMSUND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5930-2024</t>
        </is>
      </c>
      <c r="B1639" s="1" t="n">
        <v>45336</v>
      </c>
      <c r="C1639" s="1" t="n">
        <v>45972</v>
      </c>
      <c r="D1639" t="inlineStr">
        <is>
          <t>JÄMTLANDS LÄN</t>
        </is>
      </c>
      <c r="E1639" t="inlineStr">
        <is>
          <t>STRÖMSUND</t>
        </is>
      </c>
      <c r="F1639" t="inlineStr">
        <is>
          <t>Holmen skog AB</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23628-2025</t>
        </is>
      </c>
      <c r="B1640" s="1" t="n">
        <v>45792.67740740741</v>
      </c>
      <c r="C1640" s="1" t="n">
        <v>45972</v>
      </c>
      <c r="D1640" t="inlineStr">
        <is>
          <t>JÄMTLANDS LÄN</t>
        </is>
      </c>
      <c r="E1640" t="inlineStr">
        <is>
          <t>STRÖMSUND</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41197-2025</t>
        </is>
      </c>
      <c r="B1641" s="1" t="n">
        <v>45898.5734837963</v>
      </c>
      <c r="C1641" s="1" t="n">
        <v>45972</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18750-2022</t>
        </is>
      </c>
      <c r="B1642" s="1" t="n">
        <v>44687.94185185185</v>
      </c>
      <c r="C1642" s="1" t="n">
        <v>45972</v>
      </c>
      <c r="D1642" t="inlineStr">
        <is>
          <t>JÄMTLANDS LÄN</t>
        </is>
      </c>
      <c r="E1642" t="inlineStr">
        <is>
          <t>STRÖMSUND</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41019-2025</t>
        </is>
      </c>
      <c r="B1643" s="1" t="n">
        <v>45898.36513888889</v>
      </c>
      <c r="C1643" s="1" t="n">
        <v>45972</v>
      </c>
      <c r="D1643" t="inlineStr">
        <is>
          <t>JÄMTLANDS LÄN</t>
        </is>
      </c>
      <c r="E1643" t="inlineStr">
        <is>
          <t>STRÖMSUND</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40966-2025</t>
        </is>
      </c>
      <c r="B1644" s="1" t="n">
        <v>45897.77532407407</v>
      </c>
      <c r="C1644" s="1" t="n">
        <v>45972</v>
      </c>
      <c r="D1644" t="inlineStr">
        <is>
          <t>JÄMTLANDS LÄN</t>
        </is>
      </c>
      <c r="E1644" t="inlineStr">
        <is>
          <t>STRÖMSUND</t>
        </is>
      </c>
      <c r="F1644" t="inlineStr">
        <is>
          <t>SCA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40998-2025</t>
        </is>
      </c>
      <c r="B1645" s="1" t="n">
        <v>45898.3446875</v>
      </c>
      <c r="C1645" s="1" t="n">
        <v>45972</v>
      </c>
      <c r="D1645" t="inlineStr">
        <is>
          <t>JÄMTLANDS LÄN</t>
        </is>
      </c>
      <c r="E1645" t="inlineStr">
        <is>
          <t>STRÖMSUND</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55675-2024</t>
        </is>
      </c>
      <c r="B1646" s="1" t="n">
        <v>45622.65668981482</v>
      </c>
      <c r="C1646" s="1" t="n">
        <v>45972</v>
      </c>
      <c r="D1646" t="inlineStr">
        <is>
          <t>JÄMTLANDS LÄN</t>
        </is>
      </c>
      <c r="E1646" t="inlineStr">
        <is>
          <t>STRÖMSUND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40960-2025</t>
        </is>
      </c>
      <c r="B1647" s="1" t="n">
        <v>45897.67907407408</v>
      </c>
      <c r="C1647" s="1" t="n">
        <v>45972</v>
      </c>
      <c r="D1647" t="inlineStr">
        <is>
          <t>JÄMTLANDS LÄN</t>
        </is>
      </c>
      <c r="E1647" t="inlineStr">
        <is>
          <t>STRÖMSUND</t>
        </is>
      </c>
      <c r="F1647" t="inlineStr">
        <is>
          <t>SCA</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49792-2025</t>
        </is>
      </c>
      <c r="B1648" s="1" t="n">
        <v>45940.40760416666</v>
      </c>
      <c r="C1648" s="1" t="n">
        <v>45972</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49796-2025</t>
        </is>
      </c>
      <c r="B1649" s="1" t="n">
        <v>45940.40790509259</v>
      </c>
      <c r="C1649" s="1" t="n">
        <v>45972</v>
      </c>
      <c r="D1649" t="inlineStr">
        <is>
          <t>JÄMTLANDS LÄN</t>
        </is>
      </c>
      <c r="E1649" t="inlineStr">
        <is>
          <t>STRÖMSUND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49798-2025</t>
        </is>
      </c>
      <c r="B1650" s="1" t="n">
        <v>45940.40819444445</v>
      </c>
      <c r="C1650" s="1" t="n">
        <v>45972</v>
      </c>
      <c r="D1650" t="inlineStr">
        <is>
          <t>JÄMTLANDS LÄN</t>
        </is>
      </c>
      <c r="E1650" t="inlineStr">
        <is>
          <t>STRÖMSUND</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8660-2025</t>
        </is>
      </c>
      <c r="B1651" s="1" t="n">
        <v>45712.38979166667</v>
      </c>
      <c r="C1651" s="1" t="n">
        <v>45972</v>
      </c>
      <c r="D1651" t="inlineStr">
        <is>
          <t>JÄMTLANDS LÄN</t>
        </is>
      </c>
      <c r="E1651" t="inlineStr">
        <is>
          <t>STRÖMSUND</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23155-2025</t>
        </is>
      </c>
      <c r="B1652" s="1" t="n">
        <v>45791.40679398148</v>
      </c>
      <c r="C1652" s="1" t="n">
        <v>45972</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22453-2024</t>
        </is>
      </c>
      <c r="B1653" s="1" t="n">
        <v>45446.94916666667</v>
      </c>
      <c r="C1653" s="1" t="n">
        <v>45972</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41404-2025</t>
        </is>
      </c>
      <c r="B1654" s="1" t="n">
        <v>45901.3446412037</v>
      </c>
      <c r="C1654" s="1" t="n">
        <v>45972</v>
      </c>
      <c r="D1654" t="inlineStr">
        <is>
          <t>JÄMTLANDS LÄN</t>
        </is>
      </c>
      <c r="E1654" t="inlineStr">
        <is>
          <t>STRÖMSUND</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23689-2025</t>
        </is>
      </c>
      <c r="B1655" s="1" t="n">
        <v>45793.34449074074</v>
      </c>
      <c r="C1655" s="1" t="n">
        <v>45972</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22026-2022</t>
        </is>
      </c>
      <c r="B1656" s="1" t="n">
        <v>44711</v>
      </c>
      <c r="C1656" s="1" t="n">
        <v>45972</v>
      </c>
      <c r="D1656" t="inlineStr">
        <is>
          <t>JÄMTLANDS LÄN</t>
        </is>
      </c>
      <c r="E1656" t="inlineStr">
        <is>
          <t>STRÖMSUND</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51074-2023</t>
        </is>
      </c>
      <c r="B1657" s="1" t="n">
        <v>45211</v>
      </c>
      <c r="C1657" s="1" t="n">
        <v>45972</v>
      </c>
      <c r="D1657" t="inlineStr">
        <is>
          <t>JÄMTLANDS LÄN</t>
        </is>
      </c>
      <c r="E1657" t="inlineStr">
        <is>
          <t>STRÖMSUND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25371-2024</t>
        </is>
      </c>
      <c r="B1658" s="1" t="n">
        <v>45462.96038194445</v>
      </c>
      <c r="C1658" s="1" t="n">
        <v>45972</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41448-2025</t>
        </is>
      </c>
      <c r="B1659" s="1" t="n">
        <v>45901.42773148148</v>
      </c>
      <c r="C1659" s="1" t="n">
        <v>45972</v>
      </c>
      <c r="D1659" t="inlineStr">
        <is>
          <t>JÄMTLANDS LÄN</t>
        </is>
      </c>
      <c r="E1659" t="inlineStr">
        <is>
          <t>STRÖMSUND</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50270-2025</t>
        </is>
      </c>
      <c r="B1660" s="1" t="n">
        <v>45944.3533912037</v>
      </c>
      <c r="C1660" s="1" t="n">
        <v>45972</v>
      </c>
      <c r="D1660" t="inlineStr">
        <is>
          <t>JÄMTLANDS LÄN</t>
        </is>
      </c>
      <c r="E1660" t="inlineStr">
        <is>
          <t>STRÖMSUND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41804-2025</t>
        </is>
      </c>
      <c r="B1661" s="1" t="n">
        <v>45902.63591435185</v>
      </c>
      <c r="C1661" s="1" t="n">
        <v>45972</v>
      </c>
      <c r="D1661" t="inlineStr">
        <is>
          <t>JÄMTLANDS LÄN</t>
        </is>
      </c>
      <c r="E1661" t="inlineStr">
        <is>
          <t>STRÖMSUND</t>
        </is>
      </c>
      <c r="F1661" t="inlineStr">
        <is>
          <t>SCA</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31156-2023</t>
        </is>
      </c>
      <c r="B1662" s="1" t="n">
        <v>45103</v>
      </c>
      <c r="C1662" s="1" t="n">
        <v>45972</v>
      </c>
      <c r="D1662" t="inlineStr">
        <is>
          <t>JÄMTLANDS LÄN</t>
        </is>
      </c>
      <c r="E1662" t="inlineStr">
        <is>
          <t>STRÖMSUND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7260-2022</t>
        </is>
      </c>
      <c r="B1663" s="1" t="n">
        <v>44606</v>
      </c>
      <c r="C1663" s="1" t="n">
        <v>45972</v>
      </c>
      <c r="D1663" t="inlineStr">
        <is>
          <t>JÄMTLANDS LÄN</t>
        </is>
      </c>
      <c r="E1663" t="inlineStr">
        <is>
          <t>STRÖMSUND</t>
        </is>
      </c>
      <c r="F1663" t="inlineStr">
        <is>
          <t>SCA</t>
        </is>
      </c>
      <c r="G1663" t="n">
        <v>76.40000000000001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41816-2025</t>
        </is>
      </c>
      <c r="B1664" s="1" t="n">
        <v>45902.65679398148</v>
      </c>
      <c r="C1664" s="1" t="n">
        <v>45972</v>
      </c>
      <c r="D1664" t="inlineStr">
        <is>
          <t>JÄMTLANDS LÄN</t>
        </is>
      </c>
      <c r="E1664" t="inlineStr">
        <is>
          <t>STRÖMSUND</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829-2022</t>
        </is>
      </c>
      <c r="B1665" s="1" t="n">
        <v>44568</v>
      </c>
      <c r="C1665" s="1" t="n">
        <v>45972</v>
      </c>
      <c r="D1665" t="inlineStr">
        <is>
          <t>JÄMTLANDS LÄN</t>
        </is>
      </c>
      <c r="E1665" t="inlineStr">
        <is>
          <t>STRÖMSUND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48888-2025</t>
        </is>
      </c>
      <c r="B1666" s="1" t="n">
        <v>45937</v>
      </c>
      <c r="C1666" s="1" t="n">
        <v>45972</v>
      </c>
      <c r="D1666" t="inlineStr">
        <is>
          <t>JÄMTLANDS LÄN</t>
        </is>
      </c>
      <c r="E1666" t="inlineStr">
        <is>
          <t>STRÖMSUND</t>
        </is>
      </c>
      <c r="F1666" t="inlineStr">
        <is>
          <t>SCA</t>
        </is>
      </c>
      <c r="G1666" t="n">
        <v>32.2</v>
      </c>
      <c r="H1666" t="n">
        <v>0</v>
      </c>
      <c r="I1666" t="n">
        <v>0</v>
      </c>
      <c r="J1666" t="n">
        <v>0</v>
      </c>
      <c r="K1666" t="n">
        <v>0</v>
      </c>
      <c r="L1666" t="n">
        <v>0</v>
      </c>
      <c r="M1666" t="n">
        <v>0</v>
      </c>
      <c r="N1666" t="n">
        <v>0</v>
      </c>
      <c r="O1666" t="n">
        <v>0</v>
      </c>
      <c r="P1666" t="n">
        <v>0</v>
      </c>
      <c r="Q1666" t="n">
        <v>0</v>
      </c>
      <c r="R1666" s="2" t="inlineStr"/>
    </row>
    <row r="1667" ht="15" customHeight="1">
      <c r="A1667" t="inlineStr">
        <is>
          <t>A 49618-2025</t>
        </is>
      </c>
      <c r="B1667" s="1" t="n">
        <v>45938</v>
      </c>
      <c r="C1667" s="1" t="n">
        <v>45972</v>
      </c>
      <c r="D1667" t="inlineStr">
        <is>
          <t>JÄMTLANDS LÄN</t>
        </is>
      </c>
      <c r="E1667" t="inlineStr">
        <is>
          <t>STRÖMSUND</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50274-2025</t>
        </is>
      </c>
      <c r="B1668" s="1" t="n">
        <v>45944.36866898148</v>
      </c>
      <c r="C1668" s="1" t="n">
        <v>45972</v>
      </c>
      <c r="D1668" t="inlineStr">
        <is>
          <t>JÄMTLANDS LÄN</t>
        </is>
      </c>
      <c r="E1668" t="inlineStr">
        <is>
          <t>STRÖMSUND</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50280-2025</t>
        </is>
      </c>
      <c r="B1669" s="1" t="n">
        <v>45944.38351851852</v>
      </c>
      <c r="C1669" s="1" t="n">
        <v>45972</v>
      </c>
      <c r="D1669" t="inlineStr">
        <is>
          <t>JÄMTLANDS LÄN</t>
        </is>
      </c>
      <c r="E1669" t="inlineStr">
        <is>
          <t>STRÖMSUND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50276-2025</t>
        </is>
      </c>
      <c r="B1670" s="1" t="n">
        <v>45944.37359953704</v>
      </c>
      <c r="C1670" s="1" t="n">
        <v>45972</v>
      </c>
      <c r="D1670" t="inlineStr">
        <is>
          <t>JÄMTLANDS LÄN</t>
        </is>
      </c>
      <c r="E1670" t="inlineStr">
        <is>
          <t>STRÖMSUND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10864-2025</t>
        </is>
      </c>
      <c r="B1671" s="1" t="n">
        <v>45722.61508101852</v>
      </c>
      <c r="C1671" s="1" t="n">
        <v>45972</v>
      </c>
      <c r="D1671" t="inlineStr">
        <is>
          <t>JÄMTLANDS LÄN</t>
        </is>
      </c>
      <c r="E1671" t="inlineStr">
        <is>
          <t>STRÖMSUND</t>
        </is>
      </c>
      <c r="F1671" t="inlineStr">
        <is>
          <t>SCA</t>
        </is>
      </c>
      <c r="G1671" t="n">
        <v>21.1</v>
      </c>
      <c r="H1671" t="n">
        <v>0</v>
      </c>
      <c r="I1671" t="n">
        <v>0</v>
      </c>
      <c r="J1671" t="n">
        <v>0</v>
      </c>
      <c r="K1671" t="n">
        <v>0</v>
      </c>
      <c r="L1671" t="n">
        <v>0</v>
      </c>
      <c r="M1671" t="n">
        <v>0</v>
      </c>
      <c r="N1671" t="n">
        <v>0</v>
      </c>
      <c r="O1671" t="n">
        <v>0</v>
      </c>
      <c r="P1671" t="n">
        <v>0</v>
      </c>
      <c r="Q1671" t="n">
        <v>0</v>
      </c>
      <c r="R1671" s="2" t="inlineStr"/>
    </row>
    <row r="1672" ht="15" customHeight="1">
      <c r="A1672" t="inlineStr">
        <is>
          <t>A 49258-2025</t>
        </is>
      </c>
      <c r="B1672" s="1" t="n">
        <v>45938</v>
      </c>
      <c r="C1672" s="1" t="n">
        <v>45972</v>
      </c>
      <c r="D1672" t="inlineStr">
        <is>
          <t>JÄMTLANDS LÄN</t>
        </is>
      </c>
      <c r="E1672" t="inlineStr">
        <is>
          <t>STRÖMSUND</t>
        </is>
      </c>
      <c r="G1672" t="n">
        <v>27.7</v>
      </c>
      <c r="H1672" t="n">
        <v>0</v>
      </c>
      <c r="I1672" t="n">
        <v>0</v>
      </c>
      <c r="J1672" t="n">
        <v>0</v>
      </c>
      <c r="K1672" t="n">
        <v>0</v>
      </c>
      <c r="L1672" t="n">
        <v>0</v>
      </c>
      <c r="M1672" t="n">
        <v>0</v>
      </c>
      <c r="N1672" t="n">
        <v>0</v>
      </c>
      <c r="O1672" t="n">
        <v>0</v>
      </c>
      <c r="P1672" t="n">
        <v>0</v>
      </c>
      <c r="Q1672" t="n">
        <v>0</v>
      </c>
      <c r="R1672" s="2" t="inlineStr"/>
    </row>
    <row r="1673" ht="15" customHeight="1">
      <c r="A1673" t="inlineStr">
        <is>
          <t>A 28767-2023</t>
        </is>
      </c>
      <c r="B1673" s="1" t="n">
        <v>45103.94275462963</v>
      </c>
      <c r="C1673" s="1" t="n">
        <v>45972</v>
      </c>
      <c r="D1673" t="inlineStr">
        <is>
          <t>JÄMTLANDS LÄN</t>
        </is>
      </c>
      <c r="E1673" t="inlineStr">
        <is>
          <t>STRÖMSUND</t>
        </is>
      </c>
      <c r="F1673" t="inlineStr">
        <is>
          <t>SCA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55327-2024</t>
        </is>
      </c>
      <c r="B1674" s="1" t="n">
        <v>45621</v>
      </c>
      <c r="C1674" s="1" t="n">
        <v>45972</v>
      </c>
      <c r="D1674" t="inlineStr">
        <is>
          <t>JÄMTLANDS LÄN</t>
        </is>
      </c>
      <c r="E1674" t="inlineStr">
        <is>
          <t>STRÖMSUND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9234-2025</t>
        </is>
      </c>
      <c r="B1675" s="1" t="n">
        <v>45714.55267361111</v>
      </c>
      <c r="C1675" s="1" t="n">
        <v>45972</v>
      </c>
      <c r="D1675" t="inlineStr">
        <is>
          <t>JÄMTLANDS LÄN</t>
        </is>
      </c>
      <c r="E1675" t="inlineStr">
        <is>
          <t>STRÖMSUND</t>
        </is>
      </c>
      <c r="F1675" t="inlineStr">
        <is>
          <t>SCA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50287-2025</t>
        </is>
      </c>
      <c r="B1676" s="1" t="n">
        <v>45944.39659722222</v>
      </c>
      <c r="C1676" s="1" t="n">
        <v>45972</v>
      </c>
      <c r="D1676" t="inlineStr">
        <is>
          <t>JÄMTLANDS LÄN</t>
        </is>
      </c>
      <c r="E1676" t="inlineStr">
        <is>
          <t>STRÖMSUND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14830-2025</t>
        </is>
      </c>
      <c r="B1677" s="1" t="n">
        <v>45743.37038194444</v>
      </c>
      <c r="C1677" s="1" t="n">
        <v>45972</v>
      </c>
      <c r="D1677" t="inlineStr">
        <is>
          <t>JÄMTLANDS LÄN</t>
        </is>
      </c>
      <c r="E1677" t="inlineStr">
        <is>
          <t>STRÖMSUND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45972</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3629-2024</t>
        </is>
      </c>
      <c r="B1679" s="1" t="n">
        <v>45320.95350694445</v>
      </c>
      <c r="C1679" s="1" t="n">
        <v>45972</v>
      </c>
      <c r="D1679" t="inlineStr">
        <is>
          <t>JÄMTLANDS LÄN</t>
        </is>
      </c>
      <c r="E1679" t="inlineStr">
        <is>
          <t>STRÖMSUND</t>
        </is>
      </c>
      <c r="F1679" t="inlineStr">
        <is>
          <t>SCA</t>
        </is>
      </c>
      <c r="G1679" t="n">
        <v>29.9</v>
      </c>
      <c r="H1679" t="n">
        <v>0</v>
      </c>
      <c r="I1679" t="n">
        <v>0</v>
      </c>
      <c r="J1679" t="n">
        <v>0</v>
      </c>
      <c r="K1679" t="n">
        <v>0</v>
      </c>
      <c r="L1679" t="n">
        <v>0</v>
      </c>
      <c r="M1679" t="n">
        <v>0</v>
      </c>
      <c r="N1679" t="n">
        <v>0</v>
      </c>
      <c r="O1679" t="n">
        <v>0</v>
      </c>
      <c r="P1679" t="n">
        <v>0</v>
      </c>
      <c r="Q1679" t="n">
        <v>0</v>
      </c>
      <c r="R1679" s="2" t="inlineStr"/>
    </row>
    <row r="1680" ht="15" customHeight="1">
      <c r="A1680" t="inlineStr">
        <is>
          <t>A 39946-2023</t>
        </is>
      </c>
      <c r="B1680" s="1" t="n">
        <v>45168.5315625</v>
      </c>
      <c r="C1680" s="1" t="n">
        <v>45972</v>
      </c>
      <c r="D1680" t="inlineStr">
        <is>
          <t>JÄMTLANDS LÄN</t>
        </is>
      </c>
      <c r="E1680" t="inlineStr">
        <is>
          <t>STRÖMSUND</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13044-2025</t>
        </is>
      </c>
      <c r="B1681" s="1" t="n">
        <v>45734.58930555556</v>
      </c>
      <c r="C1681" s="1" t="n">
        <v>45972</v>
      </c>
      <c r="D1681" t="inlineStr">
        <is>
          <t>JÄMTLANDS LÄN</t>
        </is>
      </c>
      <c r="E1681" t="inlineStr">
        <is>
          <t>STRÖMSUND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12188-2025</t>
        </is>
      </c>
      <c r="B1682" s="1" t="n">
        <v>45729.46936342592</v>
      </c>
      <c r="C1682" s="1" t="n">
        <v>45972</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50116-2025</t>
        </is>
      </c>
      <c r="B1683" s="1" t="n">
        <v>45943.54677083333</v>
      </c>
      <c r="C1683" s="1" t="n">
        <v>45972</v>
      </c>
      <c r="D1683" t="inlineStr">
        <is>
          <t>JÄMTLANDS LÄN</t>
        </is>
      </c>
      <c r="E1683" t="inlineStr">
        <is>
          <t>STRÖMSUND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32324-2024</t>
        </is>
      </c>
      <c r="B1684" s="1" t="n">
        <v>45512</v>
      </c>
      <c r="C1684" s="1" t="n">
        <v>45972</v>
      </c>
      <c r="D1684" t="inlineStr">
        <is>
          <t>JÄMTLANDS LÄN</t>
        </is>
      </c>
      <c r="E1684" t="inlineStr">
        <is>
          <t>STRÖMSUND</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6287-2024</t>
        </is>
      </c>
      <c r="B1685" s="1" t="n">
        <v>45337.95644675926</v>
      </c>
      <c r="C1685" s="1" t="n">
        <v>45972</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60905-2024</t>
        </is>
      </c>
      <c r="B1686" s="1" t="n">
        <v>45644</v>
      </c>
      <c r="C1686" s="1" t="n">
        <v>45972</v>
      </c>
      <c r="D1686" t="inlineStr">
        <is>
          <t>JÄMTLANDS LÄN</t>
        </is>
      </c>
      <c r="E1686" t="inlineStr">
        <is>
          <t>STRÖMSUND</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26348-2023</t>
        </is>
      </c>
      <c r="B1687" s="1" t="n">
        <v>45091.94203703704</v>
      </c>
      <c r="C1687" s="1" t="n">
        <v>45972</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24316-2025</t>
        </is>
      </c>
      <c r="B1688" s="1" t="n">
        <v>45797.53180555555</v>
      </c>
      <c r="C1688" s="1" t="n">
        <v>45972</v>
      </c>
      <c r="D1688" t="inlineStr">
        <is>
          <t>JÄMTLANDS LÄN</t>
        </is>
      </c>
      <c r="E1688" t="inlineStr">
        <is>
          <t>STRÖMSUND</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6576-2025</t>
        </is>
      </c>
      <c r="B1689" s="1" t="n">
        <v>45699.86989583333</v>
      </c>
      <c r="C1689" s="1" t="n">
        <v>45972</v>
      </c>
      <c r="D1689" t="inlineStr">
        <is>
          <t>JÄMTLANDS LÄN</t>
        </is>
      </c>
      <c r="E1689" t="inlineStr">
        <is>
          <t>STRÖMSUND</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24336-2025</t>
        </is>
      </c>
      <c r="B1690" s="1" t="n">
        <v>45797.57349537037</v>
      </c>
      <c r="C1690" s="1" t="n">
        <v>45972</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10647-2022</t>
        </is>
      </c>
      <c r="B1691" s="1" t="n">
        <v>44624</v>
      </c>
      <c r="C1691" s="1" t="n">
        <v>45972</v>
      </c>
      <c r="D1691" t="inlineStr">
        <is>
          <t>JÄMTLANDS LÄN</t>
        </is>
      </c>
      <c r="E1691" t="inlineStr">
        <is>
          <t>STRÖMSUND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41942-2024</t>
        </is>
      </c>
      <c r="B1692" s="1" t="n">
        <v>45561.57388888889</v>
      </c>
      <c r="C1692" s="1" t="n">
        <v>45972</v>
      </c>
      <c r="D1692" t="inlineStr">
        <is>
          <t>JÄMTLANDS LÄN</t>
        </is>
      </c>
      <c r="E1692" t="inlineStr">
        <is>
          <t>STRÖMSUND</t>
        </is>
      </c>
      <c r="F1692" t="inlineStr">
        <is>
          <t>SCA</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41659-2025</t>
        </is>
      </c>
      <c r="B1693" s="1" t="n">
        <v>45902.3446412037</v>
      </c>
      <c r="C1693" s="1" t="n">
        <v>45972</v>
      </c>
      <c r="D1693" t="inlineStr">
        <is>
          <t>JÄMTLANDS LÄN</t>
        </is>
      </c>
      <c r="E1693" t="inlineStr">
        <is>
          <t>STRÖMSUND</t>
        </is>
      </c>
      <c r="F1693" t="inlineStr">
        <is>
          <t>SCA</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60917-2024</t>
        </is>
      </c>
      <c r="B1694" s="1" t="n">
        <v>45644</v>
      </c>
      <c r="C1694" s="1" t="n">
        <v>45972</v>
      </c>
      <c r="D1694" t="inlineStr">
        <is>
          <t>JÄMTLANDS LÄN</t>
        </is>
      </c>
      <c r="E1694" t="inlineStr">
        <is>
          <t>STRÖMSUND</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24341-2025</t>
        </is>
      </c>
      <c r="B1695" s="1" t="n">
        <v>45797.57416666667</v>
      </c>
      <c r="C1695" s="1" t="n">
        <v>45972</v>
      </c>
      <c r="D1695" t="inlineStr">
        <is>
          <t>JÄMTLANDS LÄN</t>
        </is>
      </c>
      <c r="E1695" t="inlineStr">
        <is>
          <t>STRÖMSUND</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24343-2025</t>
        </is>
      </c>
      <c r="B1696" s="1" t="n">
        <v>45797.57434027778</v>
      </c>
      <c r="C1696" s="1" t="n">
        <v>45972</v>
      </c>
      <c r="D1696" t="inlineStr">
        <is>
          <t>JÄMTLANDS LÄN</t>
        </is>
      </c>
      <c r="E1696" t="inlineStr">
        <is>
          <t>STRÖMSUND</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24338-2025</t>
        </is>
      </c>
      <c r="B1697" s="1" t="n">
        <v>45797.57383101852</v>
      </c>
      <c r="C1697" s="1" t="n">
        <v>45972</v>
      </c>
      <c r="D1697" t="inlineStr">
        <is>
          <t>JÄMTLANDS LÄN</t>
        </is>
      </c>
      <c r="E1697" t="inlineStr">
        <is>
          <t>STRÖMSUND</t>
        </is>
      </c>
      <c r="F1697" t="inlineStr">
        <is>
          <t>SCA</t>
        </is>
      </c>
      <c r="G1697" t="n">
        <v>19.1</v>
      </c>
      <c r="H1697" t="n">
        <v>0</v>
      </c>
      <c r="I1697" t="n">
        <v>0</v>
      </c>
      <c r="J1697" t="n">
        <v>0</v>
      </c>
      <c r="K1697" t="n">
        <v>0</v>
      </c>
      <c r="L1697" t="n">
        <v>0</v>
      </c>
      <c r="M1697" t="n">
        <v>0</v>
      </c>
      <c r="N1697" t="n">
        <v>0</v>
      </c>
      <c r="O1697" t="n">
        <v>0</v>
      </c>
      <c r="P1697" t="n">
        <v>0</v>
      </c>
      <c r="Q1697" t="n">
        <v>0</v>
      </c>
      <c r="R1697" s="2" t="inlineStr"/>
    </row>
    <row r="1698" ht="15" customHeight="1">
      <c r="A1698" t="inlineStr">
        <is>
          <t>A 29335-2023</t>
        </is>
      </c>
      <c r="B1698" s="1" t="n">
        <v>45105.94405092593</v>
      </c>
      <c r="C1698" s="1" t="n">
        <v>45972</v>
      </c>
      <c r="D1698" t="inlineStr">
        <is>
          <t>JÄMTLANDS LÄN</t>
        </is>
      </c>
      <c r="E1698" t="inlineStr">
        <is>
          <t>STRÖMSUND</t>
        </is>
      </c>
      <c r="F1698" t="inlineStr">
        <is>
          <t>SCA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24263-2025</t>
        </is>
      </c>
      <c r="B1699" s="1" t="n">
        <v>45797.42107638889</v>
      </c>
      <c r="C1699" s="1" t="n">
        <v>45972</v>
      </c>
      <c r="D1699" t="inlineStr">
        <is>
          <t>JÄMTLANDS LÄN</t>
        </is>
      </c>
      <c r="E1699" t="inlineStr">
        <is>
          <t>STRÖMSUND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24299-2025</t>
        </is>
      </c>
      <c r="B1700" s="1" t="n">
        <v>45797.47692129629</v>
      </c>
      <c r="C1700" s="1" t="n">
        <v>45972</v>
      </c>
      <c r="D1700" t="inlineStr">
        <is>
          <t>JÄMTLANDS LÄN</t>
        </is>
      </c>
      <c r="E1700" t="inlineStr">
        <is>
          <t>STRÖMSUND</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41602-2025</t>
        </is>
      </c>
      <c r="B1701" s="1" t="n">
        <v>45901.65706018519</v>
      </c>
      <c r="C1701" s="1" t="n">
        <v>45972</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50088-2025</t>
        </is>
      </c>
      <c r="B1702" s="1" t="n">
        <v>45943.47976851852</v>
      </c>
      <c r="C1702" s="1" t="n">
        <v>45972</v>
      </c>
      <c r="D1702" t="inlineStr">
        <is>
          <t>JÄMTLANDS LÄN</t>
        </is>
      </c>
      <c r="E1702" t="inlineStr">
        <is>
          <t>STRÖMSUND</t>
        </is>
      </c>
      <c r="F1702" t="inlineStr">
        <is>
          <t>Holmen skog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24419-2025</t>
        </is>
      </c>
      <c r="B1703" s="1" t="n">
        <v>45797.67760416667</v>
      </c>
      <c r="C1703" s="1" t="n">
        <v>45972</v>
      </c>
      <c r="D1703" t="inlineStr">
        <is>
          <t>JÄMTLANDS LÄN</t>
        </is>
      </c>
      <c r="E1703" t="inlineStr">
        <is>
          <t>STRÖMSUND</t>
        </is>
      </c>
      <c r="F1703" t="inlineStr">
        <is>
          <t>SCA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50121-2025</t>
        </is>
      </c>
      <c r="B1704" s="1" t="n">
        <v>45943.54938657407</v>
      </c>
      <c r="C1704" s="1" t="n">
        <v>45972</v>
      </c>
      <c r="D1704" t="inlineStr">
        <is>
          <t>JÄMTLANDS LÄN</t>
        </is>
      </c>
      <c r="E1704" t="inlineStr">
        <is>
          <t>STRÖMSUND</t>
        </is>
      </c>
      <c r="F1704" t="inlineStr">
        <is>
          <t>Holmen skog AB</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24334-2025</t>
        </is>
      </c>
      <c r="B1705" s="1" t="n">
        <v>45797.57329861111</v>
      </c>
      <c r="C1705" s="1" t="n">
        <v>45972</v>
      </c>
      <c r="D1705" t="inlineStr">
        <is>
          <t>JÄMTLANDS LÄN</t>
        </is>
      </c>
      <c r="E1705" t="inlineStr">
        <is>
          <t>STRÖMSUND</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24337-2025</t>
        </is>
      </c>
      <c r="B1706" s="1" t="n">
        <v>45797.57368055556</v>
      </c>
      <c r="C1706" s="1" t="n">
        <v>45972</v>
      </c>
      <c r="D1706" t="inlineStr">
        <is>
          <t>JÄMTLANDS LÄN</t>
        </is>
      </c>
      <c r="E1706" t="inlineStr">
        <is>
          <t>STRÖMSUND</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31182-2023</t>
        </is>
      </c>
      <c r="B1707" s="1" t="n">
        <v>45113</v>
      </c>
      <c r="C1707" s="1" t="n">
        <v>45972</v>
      </c>
      <c r="D1707" t="inlineStr">
        <is>
          <t>JÄMTLANDS LÄN</t>
        </is>
      </c>
      <c r="E1707" t="inlineStr">
        <is>
          <t>STRÖMSUND</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31606-2024</t>
        </is>
      </c>
      <c r="B1708" s="1" t="n">
        <v>45506</v>
      </c>
      <c r="C1708" s="1" t="n">
        <v>45972</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57453-2024</t>
        </is>
      </c>
      <c r="B1709" s="1" t="n">
        <v>45630.29371527778</v>
      </c>
      <c r="C1709" s="1" t="n">
        <v>45972</v>
      </c>
      <c r="D1709" t="inlineStr">
        <is>
          <t>JÄMTLANDS LÄN</t>
        </is>
      </c>
      <c r="E1709" t="inlineStr">
        <is>
          <t>STRÖMSUND</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24340-2025</t>
        </is>
      </c>
      <c r="B1710" s="1" t="n">
        <v>45797.5740625</v>
      </c>
      <c r="C1710" s="1" t="n">
        <v>45972</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16848-2022</t>
        </is>
      </c>
      <c r="B1711" s="1" t="n">
        <v>44673.94145833333</v>
      </c>
      <c r="C1711" s="1" t="n">
        <v>45972</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25311-2025</t>
        </is>
      </c>
      <c r="B1712" s="1" t="n">
        <v>45800.57407407407</v>
      </c>
      <c r="C1712" s="1" t="n">
        <v>45972</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45972</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24952-2025</t>
        </is>
      </c>
      <c r="B1714" s="1" t="n">
        <v>45799.57366898148</v>
      </c>
      <c r="C1714" s="1" t="n">
        <v>45972</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24956-2025</t>
        </is>
      </c>
      <c r="B1715" s="1" t="n">
        <v>45799.57424768519</v>
      </c>
      <c r="C1715" s="1" t="n">
        <v>45972</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40399-2023</t>
        </is>
      </c>
      <c r="B1716" s="1" t="n">
        <v>45169.93790509259</v>
      </c>
      <c r="C1716" s="1" t="n">
        <v>45972</v>
      </c>
      <c r="D1716" t="inlineStr">
        <is>
          <t>JÄMTLANDS LÄN</t>
        </is>
      </c>
      <c r="E1716" t="inlineStr">
        <is>
          <t>STRÖMSUND</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40407-2023</t>
        </is>
      </c>
      <c r="B1717" s="1" t="n">
        <v>45169.93855324074</v>
      </c>
      <c r="C1717" s="1" t="n">
        <v>45972</v>
      </c>
      <c r="D1717" t="inlineStr">
        <is>
          <t>JÄMTLANDS LÄN</t>
        </is>
      </c>
      <c r="E1717" t="inlineStr">
        <is>
          <t>STRÖMSUND</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24742-2025</t>
        </is>
      </c>
      <c r="B1718" s="1" t="n">
        <v>45799.34582175926</v>
      </c>
      <c r="C1718" s="1" t="n">
        <v>45972</v>
      </c>
      <c r="D1718" t="inlineStr">
        <is>
          <t>JÄMTLANDS LÄN</t>
        </is>
      </c>
      <c r="E1718" t="inlineStr">
        <is>
          <t>STRÖMSUND</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25354-2025</t>
        </is>
      </c>
      <c r="B1719" s="1" t="n">
        <v>45800.61581018518</v>
      </c>
      <c r="C1719" s="1" t="n">
        <v>45972</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64599-2023</t>
        </is>
      </c>
      <c r="B1720" s="1" t="n">
        <v>45281</v>
      </c>
      <c r="C1720" s="1" t="n">
        <v>45972</v>
      </c>
      <c r="D1720" t="inlineStr">
        <is>
          <t>JÄMTLANDS LÄN</t>
        </is>
      </c>
      <c r="E1720" t="inlineStr">
        <is>
          <t>STRÖMSUND</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50643-2025</t>
        </is>
      </c>
      <c r="B1721" s="1" t="n">
        <v>45945.65666666667</v>
      </c>
      <c r="C1721" s="1" t="n">
        <v>45972</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50941-2025</t>
        </is>
      </c>
      <c r="B1722" s="1" t="n">
        <v>45946.71487268519</v>
      </c>
      <c r="C1722" s="1" t="n">
        <v>45972</v>
      </c>
      <c r="D1722" t="inlineStr">
        <is>
          <t>JÄMTLANDS LÄN</t>
        </is>
      </c>
      <c r="E1722" t="inlineStr">
        <is>
          <t>STRÖMSUND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39599-2024</t>
        </is>
      </c>
      <c r="B1723" s="1" t="n">
        <v>45552</v>
      </c>
      <c r="C1723" s="1" t="n">
        <v>45972</v>
      </c>
      <c r="D1723" t="inlineStr">
        <is>
          <t>JÄMTLANDS LÄN</t>
        </is>
      </c>
      <c r="E1723" t="inlineStr">
        <is>
          <t>STRÖMSUND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15463-2025</t>
        </is>
      </c>
      <c r="B1724" s="1" t="n">
        <v>45747.51116898148</v>
      </c>
      <c r="C1724" s="1" t="n">
        <v>45972</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41869-2025</t>
        </is>
      </c>
      <c r="B1725" s="1" t="n">
        <v>45903.34443287037</v>
      </c>
      <c r="C1725" s="1" t="n">
        <v>45972</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24863-2025</t>
        </is>
      </c>
      <c r="B1726" s="1" t="n">
        <v>45799.48059027778</v>
      </c>
      <c r="C1726" s="1" t="n">
        <v>45972</v>
      </c>
      <c r="D1726" t="inlineStr">
        <is>
          <t>JÄMTLANDS LÄN</t>
        </is>
      </c>
      <c r="E1726" t="inlineStr">
        <is>
          <t>STRÖMSUND</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35377-2022</t>
        </is>
      </c>
      <c r="B1727" s="1" t="n">
        <v>44798</v>
      </c>
      <c r="C1727" s="1" t="n">
        <v>45972</v>
      </c>
      <c r="D1727" t="inlineStr">
        <is>
          <t>JÄMTLANDS LÄN</t>
        </is>
      </c>
      <c r="E1727" t="inlineStr">
        <is>
          <t>STRÖMSUND</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24736-2025</t>
        </is>
      </c>
      <c r="B1728" s="1" t="n">
        <v>45799.34473379629</v>
      </c>
      <c r="C1728" s="1" t="n">
        <v>45972</v>
      </c>
      <c r="D1728" t="inlineStr">
        <is>
          <t>JÄMTLANDS LÄN</t>
        </is>
      </c>
      <c r="E1728" t="inlineStr">
        <is>
          <t>STRÖMSUND</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38642-2023</t>
        </is>
      </c>
      <c r="B1729" s="1" t="n">
        <v>45162</v>
      </c>
      <c r="C1729" s="1" t="n">
        <v>45972</v>
      </c>
      <c r="D1729" t="inlineStr">
        <is>
          <t>JÄMTLANDS LÄN</t>
        </is>
      </c>
      <c r="E1729" t="inlineStr">
        <is>
          <t>STRÖMSUND</t>
        </is>
      </c>
      <c r="F1729" t="inlineStr">
        <is>
          <t>Holmen skog AB</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18235-2024</t>
        </is>
      </c>
      <c r="B1730" s="1" t="n">
        <v>45420.96576388889</v>
      </c>
      <c r="C1730" s="1" t="n">
        <v>45972</v>
      </c>
      <c r="D1730" t="inlineStr">
        <is>
          <t>JÄMTLANDS LÄN</t>
        </is>
      </c>
      <c r="E1730" t="inlineStr">
        <is>
          <t>STRÖMSUND</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50856-2025</t>
        </is>
      </c>
      <c r="B1731" s="1" t="n">
        <v>45946.5902662037</v>
      </c>
      <c r="C1731" s="1" t="n">
        <v>45972</v>
      </c>
      <c r="D1731" t="inlineStr">
        <is>
          <t>JÄMTLANDS LÄN</t>
        </is>
      </c>
      <c r="E1731" t="inlineStr">
        <is>
          <t>STRÖMSUND</t>
        </is>
      </c>
      <c r="F1731" t="inlineStr">
        <is>
          <t>Holmen skog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18240-2024</t>
        </is>
      </c>
      <c r="B1732" s="1" t="n">
        <v>45420.96646990741</v>
      </c>
      <c r="C1732" s="1" t="n">
        <v>45972</v>
      </c>
      <c r="D1732" t="inlineStr">
        <is>
          <t>JÄMTLANDS LÄN</t>
        </is>
      </c>
      <c r="E1732" t="inlineStr">
        <is>
          <t>STRÖMSUND</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50598-2025</t>
        </is>
      </c>
      <c r="B1733" s="1" t="n">
        <v>45944</v>
      </c>
      <c r="C1733" s="1" t="n">
        <v>45972</v>
      </c>
      <c r="D1733" t="inlineStr">
        <is>
          <t>JÄMTLANDS LÄN</t>
        </is>
      </c>
      <c r="E1733" t="inlineStr">
        <is>
          <t>STRÖMSUND</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20273-2024</t>
        </is>
      </c>
      <c r="B1734" s="1" t="n">
        <v>45434</v>
      </c>
      <c r="C1734" s="1" t="n">
        <v>45972</v>
      </c>
      <c r="D1734" t="inlineStr">
        <is>
          <t>JÄMTLANDS LÄN</t>
        </is>
      </c>
      <c r="E1734" t="inlineStr">
        <is>
          <t>STRÖMSUND</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24831-2023</t>
        </is>
      </c>
      <c r="B1735" s="1" t="n">
        <v>45084.94445601852</v>
      </c>
      <c r="C1735" s="1" t="n">
        <v>45972</v>
      </c>
      <c r="D1735" t="inlineStr">
        <is>
          <t>JÄMTLANDS LÄN</t>
        </is>
      </c>
      <c r="E1735" t="inlineStr">
        <is>
          <t>STRÖMSUND</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18768-2023</t>
        </is>
      </c>
      <c r="B1736" s="1" t="n">
        <v>45043</v>
      </c>
      <c r="C1736" s="1" t="n">
        <v>45972</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18773-2023</t>
        </is>
      </c>
      <c r="B1737" s="1" t="n">
        <v>45043.94290509259</v>
      </c>
      <c r="C1737" s="1" t="n">
        <v>45972</v>
      </c>
      <c r="D1737" t="inlineStr">
        <is>
          <t>JÄMTLANDS LÄN</t>
        </is>
      </c>
      <c r="E1737" t="inlineStr">
        <is>
          <t>STRÖMSUND</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25156-2025</t>
        </is>
      </c>
      <c r="B1738" s="1" t="n">
        <v>45800.42793981481</v>
      </c>
      <c r="C1738" s="1" t="n">
        <v>45972</v>
      </c>
      <c r="D1738" t="inlineStr">
        <is>
          <t>JÄMTLANDS LÄN</t>
        </is>
      </c>
      <c r="E1738" t="inlineStr">
        <is>
          <t>STRÖMSUND</t>
        </is>
      </c>
      <c r="F1738" t="inlineStr">
        <is>
          <t>SCA</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25444-2025</t>
        </is>
      </c>
      <c r="B1739" s="1" t="n">
        <v>45801.52229166667</v>
      </c>
      <c r="C1739" s="1" t="n">
        <v>45972</v>
      </c>
      <c r="D1739" t="inlineStr">
        <is>
          <t>JÄMTLANDS LÄN</t>
        </is>
      </c>
      <c r="E1739" t="inlineStr">
        <is>
          <t>STRÖMSUND</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1429-2025</t>
        </is>
      </c>
      <c r="B1740" s="1" t="n">
        <v>45669.37052083333</v>
      </c>
      <c r="C1740" s="1" t="n">
        <v>45972</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18912-2024</t>
        </is>
      </c>
      <c r="B1741" s="1" t="n">
        <v>45426</v>
      </c>
      <c r="C1741" s="1" t="n">
        <v>45972</v>
      </c>
      <c r="D1741" t="inlineStr">
        <is>
          <t>JÄMTLANDS LÄN</t>
        </is>
      </c>
      <c r="E1741" t="inlineStr">
        <is>
          <t>STRÖMSUND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14294-2022</t>
        </is>
      </c>
      <c r="B1742" s="1" t="n">
        <v>44651.93856481482</v>
      </c>
      <c r="C1742" s="1" t="n">
        <v>45972</v>
      </c>
      <c r="D1742" t="inlineStr">
        <is>
          <t>JÄMTLANDS LÄN</t>
        </is>
      </c>
      <c r="E1742" t="inlineStr">
        <is>
          <t>STRÖMSUND</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355-2025</t>
        </is>
      </c>
      <c r="B1743" s="1" t="n">
        <v>45659</v>
      </c>
      <c r="C1743" s="1" t="n">
        <v>45972</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46258-2023</t>
        </is>
      </c>
      <c r="B1744" s="1" t="n">
        <v>45196.93822916667</v>
      </c>
      <c r="C1744" s="1" t="n">
        <v>45972</v>
      </c>
      <c r="D1744" t="inlineStr">
        <is>
          <t>JÄMTLANDS LÄN</t>
        </is>
      </c>
      <c r="E1744" t="inlineStr">
        <is>
          <t>STRÖMSUND</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50459-2025</t>
        </is>
      </c>
      <c r="B1745" s="1" t="n">
        <v>45945.34473379629</v>
      </c>
      <c r="C1745" s="1" t="n">
        <v>45972</v>
      </c>
      <c r="D1745" t="inlineStr">
        <is>
          <t>JÄMTLANDS LÄN</t>
        </is>
      </c>
      <c r="E1745" t="inlineStr">
        <is>
          <t>STRÖMSUND</t>
        </is>
      </c>
      <c r="F1745" t="inlineStr">
        <is>
          <t>SCA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25656-2025</t>
        </is>
      </c>
      <c r="B1746" s="1" t="n">
        <v>45803.61532407408</v>
      </c>
      <c r="C1746" s="1" t="n">
        <v>45972</v>
      </c>
      <c r="D1746" t="inlineStr">
        <is>
          <t>JÄMTLANDS LÄN</t>
        </is>
      </c>
      <c r="E1746" t="inlineStr">
        <is>
          <t>STRÖMSUND</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41875-2025</t>
        </is>
      </c>
      <c r="B1747" s="1" t="n">
        <v>45903.34546296296</v>
      </c>
      <c r="C1747" s="1" t="n">
        <v>45972</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42169-2025</t>
        </is>
      </c>
      <c r="B1748" s="1" t="n">
        <v>45904.42746527777</v>
      </c>
      <c r="C1748" s="1" t="n">
        <v>45972</v>
      </c>
      <c r="D1748" t="inlineStr">
        <is>
          <t>JÄMTLANDS LÄN</t>
        </is>
      </c>
      <c r="E1748" t="inlineStr">
        <is>
          <t>STRÖMSUND</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50585-2025</t>
        </is>
      </c>
      <c r="B1749" s="1" t="n">
        <v>45945.59418981482</v>
      </c>
      <c r="C1749" s="1" t="n">
        <v>45972</v>
      </c>
      <c r="D1749" t="inlineStr">
        <is>
          <t>JÄMTLANDS LÄN</t>
        </is>
      </c>
      <c r="E1749" t="inlineStr">
        <is>
          <t>STRÖMSUND</t>
        </is>
      </c>
      <c r="F1749" t="inlineStr">
        <is>
          <t>SCA</t>
        </is>
      </c>
      <c r="G1749" t="n">
        <v>31.8</v>
      </c>
      <c r="H1749" t="n">
        <v>0</v>
      </c>
      <c r="I1749" t="n">
        <v>0</v>
      </c>
      <c r="J1749" t="n">
        <v>0</v>
      </c>
      <c r="K1749" t="n">
        <v>0</v>
      </c>
      <c r="L1749" t="n">
        <v>0</v>
      </c>
      <c r="M1749" t="n">
        <v>0</v>
      </c>
      <c r="N1749" t="n">
        <v>0</v>
      </c>
      <c r="O1749" t="n">
        <v>0</v>
      </c>
      <c r="P1749" t="n">
        <v>0</v>
      </c>
      <c r="Q1749" t="n">
        <v>0</v>
      </c>
      <c r="R1749" s="2" t="inlineStr"/>
    </row>
    <row r="1750" ht="15" customHeight="1">
      <c r="A1750" t="inlineStr">
        <is>
          <t>A 25439-2025</t>
        </is>
      </c>
      <c r="B1750" s="1" t="n">
        <v>45801.34453703704</v>
      </c>
      <c r="C1750" s="1" t="n">
        <v>45972</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42154-2025</t>
        </is>
      </c>
      <c r="B1751" s="1" t="n">
        <v>45904.39456018519</v>
      </c>
      <c r="C1751" s="1" t="n">
        <v>45972</v>
      </c>
      <c r="D1751" t="inlineStr">
        <is>
          <t>JÄMTLANDS LÄN</t>
        </is>
      </c>
      <c r="E1751" t="inlineStr">
        <is>
          <t>STRÖMSUND</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25520-2025</t>
        </is>
      </c>
      <c r="B1752" s="1" t="n">
        <v>45803.38596064815</v>
      </c>
      <c r="C1752" s="1" t="n">
        <v>45972</v>
      </c>
      <c r="D1752" t="inlineStr">
        <is>
          <t>JÄMTLANDS LÄN</t>
        </is>
      </c>
      <c r="E1752" t="inlineStr">
        <is>
          <t>STRÖMSUND</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8133-2024</t>
        </is>
      </c>
      <c r="B1753" s="1" t="n">
        <v>45349</v>
      </c>
      <c r="C1753" s="1" t="n">
        <v>45972</v>
      </c>
      <c r="D1753" t="inlineStr">
        <is>
          <t>JÄMTLANDS LÄN</t>
        </is>
      </c>
      <c r="E1753" t="inlineStr">
        <is>
          <t>STRÖMSUND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22745-2023</t>
        </is>
      </c>
      <c r="B1754" s="1" t="n">
        <v>45071.94046296296</v>
      </c>
      <c r="C1754" s="1" t="n">
        <v>45972</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5910-2025</t>
        </is>
      </c>
      <c r="B1755" s="1" t="n">
        <v>45695.40684027778</v>
      </c>
      <c r="C1755" s="1" t="n">
        <v>45972</v>
      </c>
      <c r="D1755" t="inlineStr">
        <is>
          <t>JÄMTLANDS LÄN</t>
        </is>
      </c>
      <c r="E1755" t="inlineStr">
        <is>
          <t>STRÖMSUND</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43890-2024</t>
        </is>
      </c>
      <c r="B1756" s="1" t="n">
        <v>45572.40928240741</v>
      </c>
      <c r="C1756" s="1" t="n">
        <v>45972</v>
      </c>
      <c r="D1756" t="inlineStr">
        <is>
          <t>JÄMTLANDS LÄN</t>
        </is>
      </c>
      <c r="E1756" t="inlineStr">
        <is>
          <t>STRÖMSUND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5948-2025</t>
        </is>
      </c>
      <c r="B1757" s="1" t="n">
        <v>45695</v>
      </c>
      <c r="C1757" s="1" t="n">
        <v>45972</v>
      </c>
      <c r="D1757" t="inlineStr">
        <is>
          <t>JÄMTLANDS LÄN</t>
        </is>
      </c>
      <c r="E1757" t="inlineStr">
        <is>
          <t>STRÖMSUND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36176-2024</t>
        </is>
      </c>
      <c r="B1758" s="1" t="n">
        <v>45534.40876157407</v>
      </c>
      <c r="C1758" s="1" t="n">
        <v>45972</v>
      </c>
      <c r="D1758" t="inlineStr">
        <is>
          <t>JÄMTLANDS LÄN</t>
        </is>
      </c>
      <c r="E1758" t="inlineStr">
        <is>
          <t>STRÖMSUND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51941-2024</t>
        </is>
      </c>
      <c r="B1759" s="1" t="n">
        <v>45607.63574074074</v>
      </c>
      <c r="C1759" s="1" t="n">
        <v>45972</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51946-2024</t>
        </is>
      </c>
      <c r="B1760" s="1" t="n">
        <v>45607</v>
      </c>
      <c r="C1760" s="1" t="n">
        <v>45972</v>
      </c>
      <c r="D1760" t="inlineStr">
        <is>
          <t>JÄMTLANDS LÄN</t>
        </is>
      </c>
      <c r="E1760" t="inlineStr">
        <is>
          <t>STRÖMSUND</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34343-2024</t>
        </is>
      </c>
      <c r="B1761" s="1" t="n">
        <v>45525</v>
      </c>
      <c r="C1761" s="1" t="n">
        <v>45972</v>
      </c>
      <c r="D1761" t="inlineStr">
        <is>
          <t>JÄMTLANDS LÄN</t>
        </is>
      </c>
      <c r="E1761" t="inlineStr">
        <is>
          <t>STRÖMSUND</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35578-2024</t>
        </is>
      </c>
      <c r="B1762" s="1" t="n">
        <v>45531.64777777778</v>
      </c>
      <c r="C1762" s="1" t="n">
        <v>45972</v>
      </c>
      <c r="D1762" t="inlineStr">
        <is>
          <t>JÄMTLANDS LÄN</t>
        </is>
      </c>
      <c r="E1762" t="inlineStr">
        <is>
          <t>STRÖMSUND</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40109-2023</t>
        </is>
      </c>
      <c r="B1763" s="1" t="n">
        <v>45168</v>
      </c>
      <c r="C1763" s="1" t="n">
        <v>45972</v>
      </c>
      <c r="D1763" t="inlineStr">
        <is>
          <t>JÄMTLANDS LÄN</t>
        </is>
      </c>
      <c r="E1763" t="inlineStr">
        <is>
          <t>STRÖMSUND</t>
        </is>
      </c>
      <c r="F1763" t="inlineStr">
        <is>
          <t>SCA</t>
        </is>
      </c>
      <c r="G1763" t="n">
        <v>55.1</v>
      </c>
      <c r="H1763" t="n">
        <v>0</v>
      </c>
      <c r="I1763" t="n">
        <v>0</v>
      </c>
      <c r="J1763" t="n">
        <v>0</v>
      </c>
      <c r="K1763" t="n">
        <v>0</v>
      </c>
      <c r="L1763" t="n">
        <v>0</v>
      </c>
      <c r="M1763" t="n">
        <v>0</v>
      </c>
      <c r="N1763" t="n">
        <v>0</v>
      </c>
      <c r="O1763" t="n">
        <v>0</v>
      </c>
      <c r="P1763" t="n">
        <v>0</v>
      </c>
      <c r="Q1763" t="n">
        <v>0</v>
      </c>
      <c r="R1763" s="2" t="inlineStr"/>
    </row>
    <row r="1764" ht="15" customHeight="1">
      <c r="A1764" t="inlineStr">
        <is>
          <t>A 26265-2025</t>
        </is>
      </c>
      <c r="B1764" s="1" t="n">
        <v>45805</v>
      </c>
      <c r="C1764" s="1" t="n">
        <v>45972</v>
      </c>
      <c r="D1764" t="inlineStr">
        <is>
          <t>JÄMTLANDS LÄN</t>
        </is>
      </c>
      <c r="E1764" t="inlineStr">
        <is>
          <t>STRÖMSUND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41940-2024</t>
        </is>
      </c>
      <c r="B1765" s="1" t="n">
        <v>45561.57373842593</v>
      </c>
      <c r="C1765" s="1" t="n">
        <v>45972</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50718-2025</t>
        </is>
      </c>
      <c r="B1766" s="1" t="n">
        <v>45946.34625</v>
      </c>
      <c r="C1766" s="1" t="n">
        <v>45972</v>
      </c>
      <c r="D1766" t="inlineStr">
        <is>
          <t>JÄMTLANDS LÄN</t>
        </is>
      </c>
      <c r="E1766" t="inlineStr">
        <is>
          <t>STRÖMSUND</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50724-2025</t>
        </is>
      </c>
      <c r="B1767" s="1" t="n">
        <v>45946.34708333333</v>
      </c>
      <c r="C1767" s="1" t="n">
        <v>45972</v>
      </c>
      <c r="D1767" t="inlineStr">
        <is>
          <t>JÄMTLANDS LÄN</t>
        </is>
      </c>
      <c r="E1767" t="inlineStr">
        <is>
          <t>STRÖMSUND</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13617-2025</t>
        </is>
      </c>
      <c r="B1768" s="1" t="n">
        <v>45736.62881944444</v>
      </c>
      <c r="C1768" s="1" t="n">
        <v>45972</v>
      </c>
      <c r="D1768" t="inlineStr">
        <is>
          <t>JÄMTLANDS LÄN</t>
        </is>
      </c>
      <c r="E1768" t="inlineStr">
        <is>
          <t>STRÖMSUND</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48917-2024</t>
        </is>
      </c>
      <c r="B1769" s="1" t="n">
        <v>45594.36982638889</v>
      </c>
      <c r="C1769" s="1" t="n">
        <v>45972</v>
      </c>
      <c r="D1769" t="inlineStr">
        <is>
          <t>JÄMTLANDS LÄN</t>
        </is>
      </c>
      <c r="E1769" t="inlineStr">
        <is>
          <t>STRÖMSUND</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4460-2022</t>
        </is>
      </c>
      <c r="B1770" s="1" t="n">
        <v>44589</v>
      </c>
      <c r="C1770" s="1" t="n">
        <v>45972</v>
      </c>
      <c r="D1770" t="inlineStr">
        <is>
          <t>JÄMTLANDS LÄN</t>
        </is>
      </c>
      <c r="E1770" t="inlineStr">
        <is>
          <t>STRÖMSUND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50546-2025</t>
        </is>
      </c>
      <c r="B1771" s="1" t="n">
        <v>45945.51087962963</v>
      </c>
      <c r="C1771" s="1" t="n">
        <v>45972</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13740-2025</t>
        </is>
      </c>
      <c r="B1772" s="1" t="n">
        <v>45736</v>
      </c>
      <c r="C1772" s="1" t="n">
        <v>45972</v>
      </c>
      <c r="D1772" t="inlineStr">
        <is>
          <t>JÄMTLANDS LÄN</t>
        </is>
      </c>
      <c r="E1772" t="inlineStr">
        <is>
          <t>STRÖMSUND</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13777-2025</t>
        </is>
      </c>
      <c r="B1773" s="1" t="n">
        <v>45736</v>
      </c>
      <c r="C1773" s="1" t="n">
        <v>45972</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26220-2025</t>
        </is>
      </c>
      <c r="B1774" s="1" t="n">
        <v>45805.55241898148</v>
      </c>
      <c r="C1774" s="1" t="n">
        <v>45972</v>
      </c>
      <c r="D1774" t="inlineStr">
        <is>
          <t>JÄMTLANDS LÄN</t>
        </is>
      </c>
      <c r="E1774" t="inlineStr">
        <is>
          <t>STRÖMSUND</t>
        </is>
      </c>
      <c r="F1774" t="inlineStr">
        <is>
          <t>SCA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53400-2022</t>
        </is>
      </c>
      <c r="B1775" s="1" t="n">
        <v>44879</v>
      </c>
      <c r="C1775" s="1" t="n">
        <v>45972</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18775-2021</t>
        </is>
      </c>
      <c r="B1776" s="1" t="n">
        <v>44307</v>
      </c>
      <c r="C1776" s="1" t="n">
        <v>45972</v>
      </c>
      <c r="D1776" t="inlineStr">
        <is>
          <t>JÄMTLANDS LÄN</t>
        </is>
      </c>
      <c r="E1776" t="inlineStr">
        <is>
          <t>STRÖMSUND</t>
        </is>
      </c>
      <c r="G1776" t="n">
        <v>39.7</v>
      </c>
      <c r="H1776" t="n">
        <v>0</v>
      </c>
      <c r="I1776" t="n">
        <v>0</v>
      </c>
      <c r="J1776" t="n">
        <v>0</v>
      </c>
      <c r="K1776" t="n">
        <v>0</v>
      </c>
      <c r="L1776" t="n">
        <v>0</v>
      </c>
      <c r="M1776" t="n">
        <v>0</v>
      </c>
      <c r="N1776" t="n">
        <v>0</v>
      </c>
      <c r="O1776" t="n">
        <v>0</v>
      </c>
      <c r="P1776" t="n">
        <v>0</v>
      </c>
      <c r="Q1776" t="n">
        <v>0</v>
      </c>
      <c r="R1776" s="2" t="inlineStr"/>
    </row>
    <row r="1777" ht="15" customHeight="1">
      <c r="A1777" t="inlineStr">
        <is>
          <t>A 43090-2024</t>
        </is>
      </c>
      <c r="B1777" s="1" t="n">
        <v>45567.52511574074</v>
      </c>
      <c r="C1777" s="1" t="n">
        <v>45972</v>
      </c>
      <c r="D1777" t="inlineStr">
        <is>
          <t>JÄMTLANDS LÄN</t>
        </is>
      </c>
      <c r="E1777" t="inlineStr">
        <is>
          <t>STRÖMSUND</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13590-2024</t>
        </is>
      </c>
      <c r="B1778" s="1" t="n">
        <v>45389</v>
      </c>
      <c r="C1778" s="1" t="n">
        <v>45972</v>
      </c>
      <c r="D1778" t="inlineStr">
        <is>
          <t>JÄMTLANDS LÄN</t>
        </is>
      </c>
      <c r="E1778" t="inlineStr">
        <is>
          <t>STRÖMSUND</t>
        </is>
      </c>
      <c r="F1778" t="inlineStr">
        <is>
          <t>SCA</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26375-2025</t>
        </is>
      </c>
      <c r="B1779" s="1" t="n">
        <v>45806.4275462963</v>
      </c>
      <c r="C1779" s="1" t="n">
        <v>45972</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26339-2025</t>
        </is>
      </c>
      <c r="B1780" s="1" t="n">
        <v>45805.69855324074</v>
      </c>
      <c r="C1780" s="1" t="n">
        <v>45972</v>
      </c>
      <c r="D1780" t="inlineStr">
        <is>
          <t>JÄMTLANDS LÄN</t>
        </is>
      </c>
      <c r="E1780" t="inlineStr">
        <is>
          <t>STRÖMSUND</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13776-2025</t>
        </is>
      </c>
      <c r="B1781" s="1" t="n">
        <v>45736</v>
      </c>
      <c r="C1781" s="1" t="n">
        <v>45972</v>
      </c>
      <c r="D1781" t="inlineStr">
        <is>
          <t>JÄMTLANDS LÄN</t>
        </is>
      </c>
      <c r="E1781" t="inlineStr">
        <is>
          <t>STRÖMSUND</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6879-2025</t>
        </is>
      </c>
      <c r="B1782" s="1" t="n">
        <v>45701.34490740741</v>
      </c>
      <c r="C1782" s="1" t="n">
        <v>45972</v>
      </c>
      <c r="D1782" t="inlineStr">
        <is>
          <t>JÄMTLANDS LÄN</t>
        </is>
      </c>
      <c r="E1782" t="inlineStr">
        <is>
          <t>STRÖMSUND</t>
        </is>
      </c>
      <c r="F1782" t="inlineStr">
        <is>
          <t>SCA</t>
        </is>
      </c>
      <c r="G1782" t="n">
        <v>21.3</v>
      </c>
      <c r="H1782" t="n">
        <v>0</v>
      </c>
      <c r="I1782" t="n">
        <v>0</v>
      </c>
      <c r="J1782" t="n">
        <v>0</v>
      </c>
      <c r="K1782" t="n">
        <v>0</v>
      </c>
      <c r="L1782" t="n">
        <v>0</v>
      </c>
      <c r="M1782" t="n">
        <v>0</v>
      </c>
      <c r="N1782" t="n">
        <v>0</v>
      </c>
      <c r="O1782" t="n">
        <v>0</v>
      </c>
      <c r="P1782" t="n">
        <v>0</v>
      </c>
      <c r="Q1782" t="n">
        <v>0</v>
      </c>
      <c r="R1782" s="2" t="inlineStr"/>
    </row>
    <row r="1783" ht="15" customHeight="1">
      <c r="A1783" t="inlineStr">
        <is>
          <t>A 34179-2024</t>
        </is>
      </c>
      <c r="B1783" s="1" t="n">
        <v>45524.44645833333</v>
      </c>
      <c r="C1783" s="1" t="n">
        <v>45972</v>
      </c>
      <c r="D1783" t="inlineStr">
        <is>
          <t>JÄMTLANDS LÄN</t>
        </is>
      </c>
      <c r="E1783" t="inlineStr">
        <is>
          <t>STRÖMSUND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42291-2025</t>
        </is>
      </c>
      <c r="B1784" s="1" t="n">
        <v>45903</v>
      </c>
      <c r="C1784" s="1" t="n">
        <v>45972</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41873-2025</t>
        </is>
      </c>
      <c r="B1785" s="1" t="n">
        <v>45903.34513888889</v>
      </c>
      <c r="C1785" s="1" t="n">
        <v>45972</v>
      </c>
      <c r="D1785" t="inlineStr">
        <is>
          <t>JÄMTLANDS LÄN</t>
        </is>
      </c>
      <c r="E1785" t="inlineStr">
        <is>
          <t>STRÖMSUND</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15027-2025</t>
        </is>
      </c>
      <c r="B1786" s="1" t="n">
        <v>45743.65709490741</v>
      </c>
      <c r="C1786" s="1" t="n">
        <v>45972</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50953-2025</t>
        </is>
      </c>
      <c r="B1787" s="1" t="n">
        <v>45946.77162037037</v>
      </c>
      <c r="C1787" s="1" t="n">
        <v>45972</v>
      </c>
      <c r="D1787" t="inlineStr">
        <is>
          <t>JÄMTLANDS LÄN</t>
        </is>
      </c>
      <c r="E1787" t="inlineStr">
        <is>
          <t>STRÖMSUND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30284-2023</t>
        </is>
      </c>
      <c r="B1788" s="1" t="n">
        <v>45110</v>
      </c>
      <c r="C1788" s="1" t="n">
        <v>45972</v>
      </c>
      <c r="D1788" t="inlineStr">
        <is>
          <t>JÄMTLANDS LÄN</t>
        </is>
      </c>
      <c r="E1788" t="inlineStr">
        <is>
          <t>STRÖMSUND</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50887-2025</t>
        </is>
      </c>
      <c r="B1789" s="1" t="n">
        <v>45946.63635416667</v>
      </c>
      <c r="C1789" s="1" t="n">
        <v>45972</v>
      </c>
      <c r="D1789" t="inlineStr">
        <is>
          <t>JÄMTLANDS LÄN</t>
        </is>
      </c>
      <c r="E1789" t="inlineStr">
        <is>
          <t>STRÖMSUND</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38373-2025</t>
        </is>
      </c>
      <c r="B1790" s="1" t="n">
        <v>45883</v>
      </c>
      <c r="C1790" s="1" t="n">
        <v>45972</v>
      </c>
      <c r="D1790" t="inlineStr">
        <is>
          <t>JÄMTLANDS LÄN</t>
        </is>
      </c>
      <c r="E1790" t="inlineStr">
        <is>
          <t>STRÖMSUND</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5377-2025</t>
        </is>
      </c>
      <c r="B1791" s="1" t="n">
        <v>45692</v>
      </c>
      <c r="C1791" s="1" t="n">
        <v>45972</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10927-2025</t>
        </is>
      </c>
      <c r="B1792" s="1" t="n">
        <v>45722.870625</v>
      </c>
      <c r="C1792" s="1" t="n">
        <v>45972</v>
      </c>
      <c r="D1792" t="inlineStr">
        <is>
          <t>JÄMTLANDS LÄN</t>
        </is>
      </c>
      <c r="E1792" t="inlineStr">
        <is>
          <t>STRÖMSUND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50974-2025</t>
        </is>
      </c>
      <c r="B1793" s="1" t="n">
        <v>45947.31434027778</v>
      </c>
      <c r="C1793" s="1" t="n">
        <v>45972</v>
      </c>
      <c r="D1793" t="inlineStr">
        <is>
          <t>JÄMTLANDS LÄN</t>
        </is>
      </c>
      <c r="E1793" t="inlineStr">
        <is>
          <t>STRÖMSUND</t>
        </is>
      </c>
      <c r="F1793" t="inlineStr">
        <is>
          <t>Övriga statliga verk och myndigheter</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51006-2025</t>
        </is>
      </c>
      <c r="B1794" s="1" t="n">
        <v>45947.36521990741</v>
      </c>
      <c r="C1794" s="1" t="n">
        <v>45972</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17435-2024</t>
        </is>
      </c>
      <c r="B1795" s="1" t="n">
        <v>45415.33664351852</v>
      </c>
      <c r="C1795" s="1" t="n">
        <v>45972</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51260-2025</t>
        </is>
      </c>
      <c r="B1796" s="1" t="n">
        <v>45949.4590625</v>
      </c>
      <c r="C1796" s="1" t="n">
        <v>45972</v>
      </c>
      <c r="D1796" t="inlineStr">
        <is>
          <t>JÄMTLANDS LÄN</t>
        </is>
      </c>
      <c r="E1796" t="inlineStr">
        <is>
          <t>STRÖMSUND</t>
        </is>
      </c>
      <c r="F1796" t="inlineStr">
        <is>
          <t>Holmen skog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9799-2025</t>
        </is>
      </c>
      <c r="B1797" s="1" t="n">
        <v>45716.55253472222</v>
      </c>
      <c r="C1797" s="1" t="n">
        <v>45972</v>
      </c>
      <c r="D1797" t="inlineStr">
        <is>
          <t>JÄMTLANDS LÄN</t>
        </is>
      </c>
      <c r="E1797" t="inlineStr">
        <is>
          <t>STRÖMSUND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26498-2025</t>
        </is>
      </c>
      <c r="B1798" s="1" t="n">
        <v>45807.51077546296</v>
      </c>
      <c r="C1798" s="1" t="n">
        <v>45972</v>
      </c>
      <c r="D1798" t="inlineStr">
        <is>
          <t>JÄMTLANDS LÄN</t>
        </is>
      </c>
      <c r="E1798" t="inlineStr">
        <is>
          <t>STRÖMSUND</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42485-2025</t>
        </is>
      </c>
      <c r="B1799" s="1" t="n">
        <v>45905.49106481481</v>
      </c>
      <c r="C1799" s="1" t="n">
        <v>45972</v>
      </c>
      <c r="D1799" t="inlineStr">
        <is>
          <t>JÄMTLANDS LÄN</t>
        </is>
      </c>
      <c r="E1799" t="inlineStr">
        <is>
          <t>STRÖMSUND</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42721-2025</t>
        </is>
      </c>
      <c r="B1800" s="1" t="n">
        <v>45908</v>
      </c>
      <c r="C1800" s="1" t="n">
        <v>45972</v>
      </c>
      <c r="D1800" t="inlineStr">
        <is>
          <t>JÄMTLANDS LÄN</t>
        </is>
      </c>
      <c r="E1800" t="inlineStr">
        <is>
          <t>STRÖMSUND</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6883-2025</t>
        </is>
      </c>
      <c r="B1801" s="1" t="n">
        <v>45701.34560185186</v>
      </c>
      <c r="C1801" s="1" t="n">
        <v>45972</v>
      </c>
      <c r="D1801" t="inlineStr">
        <is>
          <t>JÄMTLANDS LÄN</t>
        </is>
      </c>
      <c r="E1801" t="inlineStr">
        <is>
          <t>STRÖMSUND</t>
        </is>
      </c>
      <c r="F1801" t="inlineStr">
        <is>
          <t>SCA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26773-2025</t>
        </is>
      </c>
      <c r="B1802" s="1" t="n">
        <v>45810.57366898148</v>
      </c>
      <c r="C1802" s="1" t="n">
        <v>45972</v>
      </c>
      <c r="D1802" t="inlineStr">
        <is>
          <t>JÄMTLANDS LÄN</t>
        </is>
      </c>
      <c r="E1802" t="inlineStr">
        <is>
          <t>STRÖMSUND</t>
        </is>
      </c>
      <c r="F1802" t="inlineStr">
        <is>
          <t>SCA</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42949-2025</t>
        </is>
      </c>
      <c r="B1803" s="1" t="n">
        <v>45908</v>
      </c>
      <c r="C1803" s="1" t="n">
        <v>45972</v>
      </c>
      <c r="D1803" t="inlineStr">
        <is>
          <t>JÄMTLANDS LÄN</t>
        </is>
      </c>
      <c r="E1803" t="inlineStr">
        <is>
          <t>STRÖMSUND</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51540-2025</t>
        </is>
      </c>
      <c r="B1804" s="1" t="n">
        <v>45950.69952546297</v>
      </c>
      <c r="C1804" s="1" t="n">
        <v>45972</v>
      </c>
      <c r="D1804" t="inlineStr">
        <is>
          <t>JÄMTLANDS LÄN</t>
        </is>
      </c>
      <c r="E1804" t="inlineStr">
        <is>
          <t>STRÖMSUND</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1913-2025</t>
        </is>
      </c>
      <c r="B1805" s="1" t="n">
        <v>45671.65716435185</v>
      </c>
      <c r="C1805" s="1" t="n">
        <v>45972</v>
      </c>
      <c r="D1805" t="inlineStr">
        <is>
          <t>JÄMTLANDS LÄN</t>
        </is>
      </c>
      <c r="E1805" t="inlineStr">
        <is>
          <t>STRÖMSUND</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57250-2024</t>
        </is>
      </c>
      <c r="B1806" s="1" t="n">
        <v>45628</v>
      </c>
      <c r="C1806" s="1" t="n">
        <v>45972</v>
      </c>
      <c r="D1806" t="inlineStr">
        <is>
          <t>JÄMTLANDS LÄN</t>
        </is>
      </c>
      <c r="E1806" t="inlineStr">
        <is>
          <t>STRÖMSUND</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51338-2025</t>
        </is>
      </c>
      <c r="B1807" s="1" t="n">
        <v>45947</v>
      </c>
      <c r="C1807" s="1" t="n">
        <v>45972</v>
      </c>
      <c r="D1807" t="inlineStr">
        <is>
          <t>JÄMTLANDS LÄN</t>
        </is>
      </c>
      <c r="E1807" t="inlineStr">
        <is>
          <t>STRÖMSUND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8326-2025</t>
        </is>
      </c>
      <c r="B1808" s="1" t="n">
        <v>45708.6365162037</v>
      </c>
      <c r="C1808" s="1" t="n">
        <v>45972</v>
      </c>
      <c r="D1808" t="inlineStr">
        <is>
          <t>JÄMTLANDS LÄN</t>
        </is>
      </c>
      <c r="E1808" t="inlineStr">
        <is>
          <t>STRÖMSUND</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13494-2024</t>
        </is>
      </c>
      <c r="B1809" s="1" t="n">
        <v>45387</v>
      </c>
      <c r="C1809" s="1" t="n">
        <v>45972</v>
      </c>
      <c r="D1809" t="inlineStr">
        <is>
          <t>JÄMTLANDS LÄN</t>
        </is>
      </c>
      <c r="E1809" t="inlineStr">
        <is>
          <t>STRÖMSUND</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22003-2025</t>
        </is>
      </c>
      <c r="B1810" s="1" t="n">
        <v>45784</v>
      </c>
      <c r="C1810" s="1" t="n">
        <v>45972</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51694-2024</t>
        </is>
      </c>
      <c r="B1811" s="1" t="n">
        <v>45607</v>
      </c>
      <c r="C1811" s="1" t="n">
        <v>45972</v>
      </c>
      <c r="D1811" t="inlineStr">
        <is>
          <t>JÄMTLANDS LÄN</t>
        </is>
      </c>
      <c r="E1811" t="inlineStr">
        <is>
          <t>STRÖMSUND</t>
        </is>
      </c>
      <c r="F1811" t="inlineStr">
        <is>
          <t>SCA</t>
        </is>
      </c>
      <c r="G1811" t="n">
        <v>82.7</v>
      </c>
      <c r="H1811" t="n">
        <v>0</v>
      </c>
      <c r="I1811" t="n">
        <v>0</v>
      </c>
      <c r="J1811" t="n">
        <v>0</v>
      </c>
      <c r="K1811" t="n">
        <v>0</v>
      </c>
      <c r="L1811" t="n">
        <v>0</v>
      </c>
      <c r="M1811" t="n">
        <v>0</v>
      </c>
      <c r="N1811" t="n">
        <v>0</v>
      </c>
      <c r="O1811" t="n">
        <v>0</v>
      </c>
      <c r="P1811" t="n">
        <v>0</v>
      </c>
      <c r="Q1811" t="n">
        <v>0</v>
      </c>
      <c r="R1811" s="2" t="inlineStr"/>
    </row>
    <row r="1812" ht="15" customHeight="1">
      <c r="A1812" t="inlineStr">
        <is>
          <t>A 52151-2024</t>
        </is>
      </c>
      <c r="B1812" s="1" t="n">
        <v>45608</v>
      </c>
      <c r="C1812" s="1" t="n">
        <v>45972</v>
      </c>
      <c r="D1812" t="inlineStr">
        <is>
          <t>JÄMTLANDS LÄN</t>
        </is>
      </c>
      <c r="E1812" t="inlineStr">
        <is>
          <t>STRÖMSUND</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67618-2020</t>
        </is>
      </c>
      <c r="B1813" s="1" t="n">
        <v>44181</v>
      </c>
      <c r="C1813" s="1" t="n">
        <v>45972</v>
      </c>
      <c r="D1813" t="inlineStr">
        <is>
          <t>JÄMTLANDS LÄN</t>
        </is>
      </c>
      <c r="E1813" t="inlineStr">
        <is>
          <t>STRÖMSUND</t>
        </is>
      </c>
      <c r="F1813" t="inlineStr">
        <is>
          <t>SCA</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66653-2020</t>
        </is>
      </c>
      <c r="B1814" s="1" t="n">
        <v>44179</v>
      </c>
      <c r="C1814" s="1" t="n">
        <v>45972</v>
      </c>
      <c r="D1814" t="inlineStr">
        <is>
          <t>JÄMTLANDS LÄN</t>
        </is>
      </c>
      <c r="E1814" t="inlineStr">
        <is>
          <t>STRÖMSUND</t>
        </is>
      </c>
      <c r="F1814" t="inlineStr">
        <is>
          <t>SCA</t>
        </is>
      </c>
      <c r="G1814" t="n">
        <v>27.7</v>
      </c>
      <c r="H1814" t="n">
        <v>0</v>
      </c>
      <c r="I1814" t="n">
        <v>0</v>
      </c>
      <c r="J1814" t="n">
        <v>0</v>
      </c>
      <c r="K1814" t="n">
        <v>0</v>
      </c>
      <c r="L1814" t="n">
        <v>0</v>
      </c>
      <c r="M1814" t="n">
        <v>0</v>
      </c>
      <c r="N1814" t="n">
        <v>0</v>
      </c>
      <c r="O1814" t="n">
        <v>0</v>
      </c>
      <c r="P1814" t="n">
        <v>0</v>
      </c>
      <c r="Q1814" t="n">
        <v>0</v>
      </c>
      <c r="R1814" s="2" t="inlineStr"/>
    </row>
    <row r="1815" ht="15" customHeight="1">
      <c r="A1815" t="inlineStr">
        <is>
          <t>A 51357-2025</t>
        </is>
      </c>
      <c r="B1815" s="1" t="n">
        <v>45947</v>
      </c>
      <c r="C1815" s="1" t="n">
        <v>45972</v>
      </c>
      <c r="D1815" t="inlineStr">
        <is>
          <t>JÄMTLANDS LÄN</t>
        </is>
      </c>
      <c r="E1815" t="inlineStr">
        <is>
          <t>STRÖMSUND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26263-2025</t>
        </is>
      </c>
      <c r="B1816" s="1" t="n">
        <v>45805</v>
      </c>
      <c r="C1816" s="1" t="n">
        <v>45972</v>
      </c>
      <c r="D1816" t="inlineStr">
        <is>
          <t>JÄMTLANDS LÄN</t>
        </is>
      </c>
      <c r="E1816" t="inlineStr">
        <is>
          <t>STRÖMSUND</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42493-2025</t>
        </is>
      </c>
      <c r="B1817" s="1" t="n">
        <v>45905.50447916667</v>
      </c>
      <c r="C1817" s="1" t="n">
        <v>45972</v>
      </c>
      <c r="D1817" t="inlineStr">
        <is>
          <t>JÄMTLANDS LÄN</t>
        </is>
      </c>
      <c r="E1817" t="inlineStr">
        <is>
          <t>STRÖMSUND</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42709-2025</t>
        </is>
      </c>
      <c r="B1818" s="1" t="n">
        <v>45908</v>
      </c>
      <c r="C1818" s="1" t="n">
        <v>45972</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51035-2025</t>
        </is>
      </c>
      <c r="B1819" s="1" t="n">
        <v>45947.40688657408</v>
      </c>
      <c r="C1819" s="1" t="n">
        <v>45972</v>
      </c>
      <c r="D1819" t="inlineStr">
        <is>
          <t>JÄMTLANDS LÄN</t>
        </is>
      </c>
      <c r="E1819" t="inlineStr">
        <is>
          <t>STRÖMSUND</t>
        </is>
      </c>
      <c r="F1819" t="inlineStr">
        <is>
          <t>SCA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51346-2025</t>
        </is>
      </c>
      <c r="B1820" s="1" t="n">
        <v>45947</v>
      </c>
      <c r="C1820" s="1" t="n">
        <v>45972</v>
      </c>
      <c r="D1820" t="inlineStr">
        <is>
          <t>JÄMTLANDS LÄN</t>
        </is>
      </c>
      <c r="E1820" t="inlineStr">
        <is>
          <t>STRÖMSUND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27276-2024</t>
        </is>
      </c>
      <c r="B1821" s="1" t="n">
        <v>45471.92549768519</v>
      </c>
      <c r="C1821" s="1" t="n">
        <v>45972</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51005-2025</t>
        </is>
      </c>
      <c r="B1822" s="1" t="n">
        <v>45947.36519675926</v>
      </c>
      <c r="C1822" s="1" t="n">
        <v>45972</v>
      </c>
      <c r="D1822" t="inlineStr">
        <is>
          <t>JÄMTLANDS LÄN</t>
        </is>
      </c>
      <c r="E1822" t="inlineStr">
        <is>
          <t>STRÖMSUND</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27365-2023</t>
        </is>
      </c>
      <c r="B1823" s="1" t="n">
        <v>45096.93800925926</v>
      </c>
      <c r="C1823" s="1" t="n">
        <v>45972</v>
      </c>
      <c r="D1823" t="inlineStr">
        <is>
          <t>JÄMTLANDS LÄN</t>
        </is>
      </c>
      <c r="E1823" t="inlineStr">
        <is>
          <t>STRÖMSUND</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60911-2024</t>
        </is>
      </c>
      <c r="B1824" s="1" t="n">
        <v>45644</v>
      </c>
      <c r="C1824" s="1" t="n">
        <v>45972</v>
      </c>
      <c r="D1824" t="inlineStr">
        <is>
          <t>JÄMTLANDS LÄN</t>
        </is>
      </c>
      <c r="E1824" t="inlineStr">
        <is>
          <t>STRÖMSUND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60848-2023</t>
        </is>
      </c>
      <c r="B1825" s="1" t="n">
        <v>45260.92621527778</v>
      </c>
      <c r="C1825" s="1" t="n">
        <v>45972</v>
      </c>
      <c r="D1825" t="inlineStr">
        <is>
          <t>JÄMTLANDS LÄN</t>
        </is>
      </c>
      <c r="E1825" t="inlineStr">
        <is>
          <t>STRÖMSUND</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42547-2025</t>
        </is>
      </c>
      <c r="B1826" s="1" t="n">
        <v>45905.58885416666</v>
      </c>
      <c r="C1826" s="1" t="n">
        <v>45972</v>
      </c>
      <c r="D1826" t="inlineStr">
        <is>
          <t>JÄMTLANDS LÄN</t>
        </is>
      </c>
      <c r="E1826" t="inlineStr">
        <is>
          <t>STRÖMSUND</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53795-2024</t>
        </is>
      </c>
      <c r="B1827" s="1" t="n">
        <v>45615</v>
      </c>
      <c r="C1827" s="1" t="n">
        <v>45972</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50994-2025</t>
        </is>
      </c>
      <c r="B1828" s="1" t="n">
        <v>45947.34699074074</v>
      </c>
      <c r="C1828" s="1" t="n">
        <v>45972</v>
      </c>
      <c r="D1828" t="inlineStr">
        <is>
          <t>JÄMTLANDS LÄN</t>
        </is>
      </c>
      <c r="E1828" t="inlineStr">
        <is>
          <t>STRÖMSUND</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42487-2025</t>
        </is>
      </c>
      <c r="B1829" s="1" t="n">
        <v>45905.49262731482</v>
      </c>
      <c r="C1829" s="1" t="n">
        <v>45972</v>
      </c>
      <c r="D1829" t="inlineStr">
        <is>
          <t>JÄMTLANDS LÄN</t>
        </is>
      </c>
      <c r="E1829" t="inlineStr">
        <is>
          <t>STRÖMSUND</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42523-2025</t>
        </is>
      </c>
      <c r="B1830" s="1" t="n">
        <v>45905.55248842593</v>
      </c>
      <c r="C1830" s="1" t="n">
        <v>45972</v>
      </c>
      <c r="D1830" t="inlineStr">
        <is>
          <t>JÄMTLANDS LÄN</t>
        </is>
      </c>
      <c r="E1830" t="inlineStr">
        <is>
          <t>STRÖMSUND</t>
        </is>
      </c>
      <c r="F1830" t="inlineStr">
        <is>
          <t>SCA</t>
        </is>
      </c>
      <c r="G1830" t="n">
        <v>18.3</v>
      </c>
      <c r="H1830" t="n">
        <v>0</v>
      </c>
      <c r="I1830" t="n">
        <v>0</v>
      </c>
      <c r="J1830" t="n">
        <v>0</v>
      </c>
      <c r="K1830" t="n">
        <v>0</v>
      </c>
      <c r="L1830" t="n">
        <v>0</v>
      </c>
      <c r="M1830" t="n">
        <v>0</v>
      </c>
      <c r="N1830" t="n">
        <v>0</v>
      </c>
      <c r="O1830" t="n">
        <v>0</v>
      </c>
      <c r="P1830" t="n">
        <v>0</v>
      </c>
      <c r="Q1830" t="n">
        <v>0</v>
      </c>
      <c r="R1830" s="2" t="inlineStr"/>
    </row>
    <row r="1831" ht="15" customHeight="1">
      <c r="A1831" t="inlineStr">
        <is>
          <t>A 6202-2022</t>
        </is>
      </c>
      <c r="B1831" s="1" t="n">
        <v>44600</v>
      </c>
      <c r="C1831" s="1" t="n">
        <v>45972</v>
      </c>
      <c r="D1831" t="inlineStr">
        <is>
          <t>JÄMTLANDS LÄN</t>
        </is>
      </c>
      <c r="E1831" t="inlineStr">
        <is>
          <t>STRÖMSUND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57278-2022</t>
        </is>
      </c>
      <c r="B1832" s="1" t="n">
        <v>44895.9491550926</v>
      </c>
      <c r="C1832" s="1" t="n">
        <v>45972</v>
      </c>
      <c r="D1832" t="inlineStr">
        <is>
          <t>JÄMTLANDS LÄN</t>
        </is>
      </c>
      <c r="E1832" t="inlineStr">
        <is>
          <t>STRÖMSUND</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26499-2025</t>
        </is>
      </c>
      <c r="B1833" s="1" t="n">
        <v>45807.5109837963</v>
      </c>
      <c r="C1833" s="1" t="n">
        <v>45972</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42662-2025</t>
        </is>
      </c>
      <c r="B1834" s="1" t="n">
        <v>45907.61496527777</v>
      </c>
      <c r="C1834" s="1" t="n">
        <v>45972</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6894-2024</t>
        </is>
      </c>
      <c r="B1835" s="1" t="n">
        <v>45342.92760416667</v>
      </c>
      <c r="C1835" s="1" t="n">
        <v>45972</v>
      </c>
      <c r="D1835" t="inlineStr">
        <is>
          <t>JÄMTLANDS LÄN</t>
        </is>
      </c>
      <c r="E1835" t="inlineStr">
        <is>
          <t>STRÖMSUND</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26660-2023</t>
        </is>
      </c>
      <c r="B1836" s="1" t="n">
        <v>45092</v>
      </c>
      <c r="C1836" s="1" t="n">
        <v>45972</v>
      </c>
      <c r="D1836" t="inlineStr">
        <is>
          <t>JÄMTLANDS LÄN</t>
        </is>
      </c>
      <c r="E1836" t="inlineStr">
        <is>
          <t>STRÖMSUND</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26680-2025</t>
        </is>
      </c>
      <c r="B1837" s="1" t="n">
        <v>45810</v>
      </c>
      <c r="C1837" s="1" t="n">
        <v>45972</v>
      </c>
      <c r="D1837" t="inlineStr">
        <is>
          <t>JÄMTLANDS LÄN</t>
        </is>
      </c>
      <c r="E1837" t="inlineStr">
        <is>
          <t>STRÖMSUND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26650-2025</t>
        </is>
      </c>
      <c r="B1838" s="1" t="n">
        <v>45810.38618055556</v>
      </c>
      <c r="C1838" s="1" t="n">
        <v>45972</v>
      </c>
      <c r="D1838" t="inlineStr">
        <is>
          <t>JÄMTLANDS LÄN</t>
        </is>
      </c>
      <c r="E1838" t="inlineStr">
        <is>
          <t>STRÖMSUND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19788-2025</t>
        </is>
      </c>
      <c r="B1839" s="1" t="n">
        <v>45771.44377314814</v>
      </c>
      <c r="C1839" s="1" t="n">
        <v>45972</v>
      </c>
      <c r="D1839" t="inlineStr">
        <is>
          <t>JÄMTLANDS LÄN</t>
        </is>
      </c>
      <c r="E1839" t="inlineStr">
        <is>
          <t>STRÖMSUND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51373-2025</t>
        </is>
      </c>
      <c r="B1840" s="1" t="n">
        <v>45950.44868055556</v>
      </c>
      <c r="C1840" s="1" t="n">
        <v>45972</v>
      </c>
      <c r="D1840" t="inlineStr">
        <is>
          <t>JÄMTLANDS LÄN</t>
        </is>
      </c>
      <c r="E1840" t="inlineStr">
        <is>
          <t>STRÖMSUND</t>
        </is>
      </c>
      <c r="F1840" t="inlineStr">
        <is>
          <t>SCA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43242-2025</t>
        </is>
      </c>
      <c r="B1841" s="1" t="n">
        <v>45910.53799768518</v>
      </c>
      <c r="C1841" s="1" t="n">
        <v>45972</v>
      </c>
      <c r="D1841" t="inlineStr">
        <is>
          <t>JÄMTLANDS LÄN</t>
        </is>
      </c>
      <c r="E1841" t="inlineStr">
        <is>
          <t>STRÖMSUND</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43247-2025</t>
        </is>
      </c>
      <c r="B1842" s="1" t="n">
        <v>45910.54983796296</v>
      </c>
      <c r="C1842" s="1" t="n">
        <v>45972</v>
      </c>
      <c r="D1842" t="inlineStr">
        <is>
          <t>JÄMTLANDS LÄN</t>
        </is>
      </c>
      <c r="E1842" t="inlineStr">
        <is>
          <t>STRÖMSUND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51734-2025</t>
        </is>
      </c>
      <c r="B1843" s="1" t="n">
        <v>45951.59497685185</v>
      </c>
      <c r="C1843" s="1" t="n">
        <v>45972</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27399-2025</t>
        </is>
      </c>
      <c r="B1844" s="1" t="n">
        <v>45812.69826388889</v>
      </c>
      <c r="C1844" s="1" t="n">
        <v>45972</v>
      </c>
      <c r="D1844" t="inlineStr">
        <is>
          <t>JÄMTLANDS LÄN</t>
        </is>
      </c>
      <c r="E1844" t="inlineStr">
        <is>
          <t>STRÖMSUND</t>
        </is>
      </c>
      <c r="F1844" t="inlineStr">
        <is>
          <t>SCA</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51732-2025</t>
        </is>
      </c>
      <c r="B1845" s="1" t="n">
        <v>45951.59487268519</v>
      </c>
      <c r="C1845" s="1" t="n">
        <v>45972</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43301-2025</t>
        </is>
      </c>
      <c r="B1846" s="1" t="n">
        <v>45910.63481481482</v>
      </c>
      <c r="C1846" s="1" t="n">
        <v>45972</v>
      </c>
      <c r="D1846" t="inlineStr">
        <is>
          <t>JÄMTLANDS LÄN</t>
        </is>
      </c>
      <c r="E1846" t="inlineStr">
        <is>
          <t>STRÖMSUND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43357-2025</t>
        </is>
      </c>
      <c r="B1847" s="1" t="n">
        <v>45910</v>
      </c>
      <c r="C1847" s="1" t="n">
        <v>45972</v>
      </c>
      <c r="D1847" t="inlineStr">
        <is>
          <t>JÄMTLANDS LÄN</t>
        </is>
      </c>
      <c r="E1847" t="inlineStr">
        <is>
          <t>STRÖMSUND</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43288-2025</t>
        </is>
      </c>
      <c r="B1848" s="1" t="n">
        <v>45910.61513888889</v>
      </c>
      <c r="C1848" s="1" t="n">
        <v>45972</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43290-2025</t>
        </is>
      </c>
      <c r="B1849" s="1" t="n">
        <v>45910.61677083333</v>
      </c>
      <c r="C1849" s="1" t="n">
        <v>45972</v>
      </c>
      <c r="D1849" t="inlineStr">
        <is>
          <t>JÄMTLANDS LÄN</t>
        </is>
      </c>
      <c r="E1849" t="inlineStr">
        <is>
          <t>STRÖMSUND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43320-2025</t>
        </is>
      </c>
      <c r="B1850" s="1" t="n">
        <v>45910.65835648148</v>
      </c>
      <c r="C1850" s="1" t="n">
        <v>45972</v>
      </c>
      <c r="D1850" t="inlineStr">
        <is>
          <t>JÄMTLANDS LÄN</t>
        </is>
      </c>
      <c r="E1850" t="inlineStr">
        <is>
          <t>STRÖMSUND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27358-2025</t>
        </is>
      </c>
      <c r="B1851" s="1" t="n">
        <v>45812</v>
      </c>
      <c r="C1851" s="1" t="n">
        <v>45972</v>
      </c>
      <c r="D1851" t="inlineStr">
        <is>
          <t>JÄMTLANDS LÄN</t>
        </is>
      </c>
      <c r="E1851" t="inlineStr">
        <is>
          <t>STRÖMSUND</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43164-2025</t>
        </is>
      </c>
      <c r="B1852" s="1" t="n">
        <v>45909</v>
      </c>
      <c r="C1852" s="1" t="n">
        <v>45972</v>
      </c>
      <c r="D1852" t="inlineStr">
        <is>
          <t>JÄMTLANDS LÄN</t>
        </is>
      </c>
      <c r="E1852" t="inlineStr">
        <is>
          <t>STRÖMSUND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43168-2025</t>
        </is>
      </c>
      <c r="B1853" s="1" t="n">
        <v>45909</v>
      </c>
      <c r="C1853" s="1" t="n">
        <v>45972</v>
      </c>
      <c r="D1853" t="inlineStr">
        <is>
          <t>JÄMTLANDS LÄN</t>
        </is>
      </c>
      <c r="E1853" t="inlineStr">
        <is>
          <t>STRÖMSUND</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51869-2025</t>
        </is>
      </c>
      <c r="B1854" s="1" t="n">
        <v>45952.38428240741</v>
      </c>
      <c r="C1854" s="1" t="n">
        <v>45972</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16310-2025</t>
        </is>
      </c>
      <c r="B1855" s="1" t="n">
        <v>45751.34716435185</v>
      </c>
      <c r="C1855" s="1" t="n">
        <v>45972</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52059-2025</t>
        </is>
      </c>
      <c r="B1856" s="1" t="n">
        <v>45952.6362037037</v>
      </c>
      <c r="C1856" s="1" t="n">
        <v>45972</v>
      </c>
      <c r="D1856" t="inlineStr">
        <is>
          <t>JÄMTLANDS LÄN</t>
        </is>
      </c>
      <c r="E1856" t="inlineStr">
        <is>
          <t>STRÖMSUND</t>
        </is>
      </c>
      <c r="F1856" t="inlineStr">
        <is>
          <t>SCA</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52063-2025</t>
        </is>
      </c>
      <c r="B1857" s="1" t="n">
        <v>45952.6369212963</v>
      </c>
      <c r="C1857" s="1" t="n">
        <v>45972</v>
      </c>
      <c r="D1857" t="inlineStr">
        <is>
          <t>JÄMTLANDS LÄN</t>
        </is>
      </c>
      <c r="E1857" t="inlineStr">
        <is>
          <t>STRÖMSUND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43239-2025</t>
        </is>
      </c>
      <c r="B1858" s="1" t="n">
        <v>45910.52289351852</v>
      </c>
      <c r="C1858" s="1" t="n">
        <v>45972</v>
      </c>
      <c r="D1858" t="inlineStr">
        <is>
          <t>JÄMTLANDS LÄN</t>
        </is>
      </c>
      <c r="E1858" t="inlineStr">
        <is>
          <t>STRÖMSUND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27166-2025</t>
        </is>
      </c>
      <c r="B1859" s="1" t="n">
        <v>45812.34453703704</v>
      </c>
      <c r="C1859" s="1" t="n">
        <v>45972</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27170-2025</t>
        </is>
      </c>
      <c r="B1860" s="1" t="n">
        <v>45812.34488425926</v>
      </c>
      <c r="C1860" s="1" t="n">
        <v>45972</v>
      </c>
      <c r="D1860" t="inlineStr">
        <is>
          <t>JÄMTLANDS LÄN</t>
        </is>
      </c>
      <c r="E1860" t="inlineStr">
        <is>
          <t>STRÖMSUND</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27308-2025</t>
        </is>
      </c>
      <c r="B1861" s="1" t="n">
        <v>45812.57364583333</v>
      </c>
      <c r="C1861" s="1" t="n">
        <v>45972</v>
      </c>
      <c r="D1861" t="inlineStr">
        <is>
          <t>JÄMTLANDS LÄN</t>
        </is>
      </c>
      <c r="E1861" t="inlineStr">
        <is>
          <t>STRÖMSUND</t>
        </is>
      </c>
      <c r="F1861" t="inlineStr">
        <is>
          <t>SCA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26939-2025</t>
        </is>
      </c>
      <c r="B1862" s="1" t="n">
        <v>45811.41568287037</v>
      </c>
      <c r="C1862" s="1" t="n">
        <v>45972</v>
      </c>
      <c r="D1862" t="inlineStr">
        <is>
          <t>JÄMTLANDS LÄN</t>
        </is>
      </c>
      <c r="E1862" t="inlineStr">
        <is>
          <t>STRÖMSUND</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46054-2022</t>
        </is>
      </c>
      <c r="B1863" s="1" t="n">
        <v>44846</v>
      </c>
      <c r="C1863" s="1" t="n">
        <v>45972</v>
      </c>
      <c r="D1863" t="inlineStr">
        <is>
          <t>JÄMTLANDS LÄN</t>
        </is>
      </c>
      <c r="E1863" t="inlineStr">
        <is>
          <t>STRÖMSUND</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16490-2024</t>
        </is>
      </c>
      <c r="B1864" s="1" t="n">
        <v>45408.3474074074</v>
      </c>
      <c r="C1864" s="1" t="n">
        <v>45972</v>
      </c>
      <c r="D1864" t="inlineStr">
        <is>
          <t>JÄMTLANDS LÄN</t>
        </is>
      </c>
      <c r="E1864" t="inlineStr">
        <is>
          <t>STRÖMSUND</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43296-2025</t>
        </is>
      </c>
      <c r="B1865" s="1" t="n">
        <v>45910.62386574074</v>
      </c>
      <c r="C1865" s="1" t="n">
        <v>45972</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10144-2022</t>
        </is>
      </c>
      <c r="B1866" s="1" t="n">
        <v>44621</v>
      </c>
      <c r="C1866" s="1" t="n">
        <v>45972</v>
      </c>
      <c r="D1866" t="inlineStr">
        <is>
          <t>JÄMTLANDS LÄN</t>
        </is>
      </c>
      <c r="E1866" t="inlineStr">
        <is>
          <t>STRÖMSUND</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27196-2025</t>
        </is>
      </c>
      <c r="B1867" s="1" t="n">
        <v>45812.38579861111</v>
      </c>
      <c r="C1867" s="1" t="n">
        <v>45972</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56655-2021</t>
        </is>
      </c>
      <c r="B1868" s="1" t="n">
        <v>44480</v>
      </c>
      <c r="C1868" s="1" t="n">
        <v>45972</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292-2025</t>
        </is>
      </c>
      <c r="B1869" s="1" t="n">
        <v>45660.53174768519</v>
      </c>
      <c r="C1869" s="1" t="n">
        <v>45972</v>
      </c>
      <c r="D1869" t="inlineStr">
        <is>
          <t>JÄMTLANDS LÄN</t>
        </is>
      </c>
      <c r="E1869" t="inlineStr">
        <is>
          <t>STRÖMSUND</t>
        </is>
      </c>
      <c r="F1869" t="inlineStr">
        <is>
          <t>SCA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43166-2025</t>
        </is>
      </c>
      <c r="B1870" s="1" t="n">
        <v>45909</v>
      </c>
      <c r="C1870" s="1" t="n">
        <v>45972</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2533-2025</t>
        </is>
      </c>
      <c r="B1871" s="1" t="n">
        <v>45674.61496527777</v>
      </c>
      <c r="C1871" s="1" t="n">
        <v>45972</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55197-2024</t>
        </is>
      </c>
      <c r="B1872" s="1" t="n">
        <v>45621.55234953704</v>
      </c>
      <c r="C1872" s="1" t="n">
        <v>45972</v>
      </c>
      <c r="D1872" t="inlineStr">
        <is>
          <t>JÄMTLANDS LÄN</t>
        </is>
      </c>
      <c r="E1872" t="inlineStr">
        <is>
          <t>STRÖMSUND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27646-2025</t>
        </is>
      </c>
      <c r="B1873" s="1" t="n">
        <v>45813.59443287037</v>
      </c>
      <c r="C1873" s="1" t="n">
        <v>45972</v>
      </c>
      <c r="D1873" t="inlineStr">
        <is>
          <t>JÄMTLANDS LÄN</t>
        </is>
      </c>
      <c r="E1873" t="inlineStr">
        <is>
          <t>STRÖMSUND</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27648-2025</t>
        </is>
      </c>
      <c r="B1874" s="1" t="n">
        <v>45813.59472222222</v>
      </c>
      <c r="C1874" s="1" t="n">
        <v>45972</v>
      </c>
      <c r="D1874" t="inlineStr">
        <is>
          <t>JÄMTLANDS LÄN</t>
        </is>
      </c>
      <c r="E1874" t="inlineStr">
        <is>
          <t>STRÖMSUND</t>
        </is>
      </c>
      <c r="F1874" t="inlineStr">
        <is>
          <t>SCA</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27650-2025</t>
        </is>
      </c>
      <c r="B1875" s="1" t="n">
        <v>45813.59482638889</v>
      </c>
      <c r="C1875" s="1" t="n">
        <v>45972</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27651-2025</t>
        </is>
      </c>
      <c r="B1876" s="1" t="n">
        <v>45813.59488425926</v>
      </c>
      <c r="C1876" s="1" t="n">
        <v>45972</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27691-2025</t>
        </is>
      </c>
      <c r="B1877" s="1" t="n">
        <v>45813.65671296296</v>
      </c>
      <c r="C1877" s="1" t="n">
        <v>45972</v>
      </c>
      <c r="D1877" t="inlineStr">
        <is>
          <t>JÄMTLANDS LÄN</t>
        </is>
      </c>
      <c r="E1877" t="inlineStr">
        <is>
          <t>STRÖMSUND</t>
        </is>
      </c>
      <c r="F1877" t="inlineStr">
        <is>
          <t>SCA</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27570-2025</t>
        </is>
      </c>
      <c r="B1878" s="1" t="n">
        <v>45813.49027777778</v>
      </c>
      <c r="C1878" s="1" t="n">
        <v>45972</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52455-2025</t>
        </is>
      </c>
      <c r="B1879" s="1" t="n">
        <v>45954.42763888889</v>
      </c>
      <c r="C1879" s="1" t="n">
        <v>45972</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27661-2025</t>
        </is>
      </c>
      <c r="B1880" s="1" t="n">
        <v>45813.61508101852</v>
      </c>
      <c r="C1880" s="1" t="n">
        <v>45972</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43521-2025</t>
        </is>
      </c>
      <c r="B1881" s="1" t="n">
        <v>45911.57503472222</v>
      </c>
      <c r="C1881" s="1" t="n">
        <v>45972</v>
      </c>
      <c r="D1881" t="inlineStr">
        <is>
          <t>JÄMTLANDS LÄN</t>
        </is>
      </c>
      <c r="E1881" t="inlineStr">
        <is>
          <t>STRÖMSUND</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43363-2025</t>
        </is>
      </c>
      <c r="B1882" s="1" t="n">
        <v>45911.34452546296</v>
      </c>
      <c r="C1882" s="1" t="n">
        <v>45972</v>
      </c>
      <c r="D1882" t="inlineStr">
        <is>
          <t>JÄMTLANDS LÄN</t>
        </is>
      </c>
      <c r="E1882" t="inlineStr">
        <is>
          <t>STRÖMSUND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27726-2025</t>
        </is>
      </c>
      <c r="B1883" s="1" t="n">
        <v>45814.51081018519</v>
      </c>
      <c r="C1883" s="1" t="n">
        <v>45972</v>
      </c>
      <c r="D1883" t="inlineStr">
        <is>
          <t>JÄMTLANDS LÄN</t>
        </is>
      </c>
      <c r="E1883" t="inlineStr">
        <is>
          <t>STRÖMSUND</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32452-2024</t>
        </is>
      </c>
      <c r="B1884" s="1" t="n">
        <v>45512.958125</v>
      </c>
      <c r="C1884" s="1" t="n">
        <v>45972</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43613-2025</t>
        </is>
      </c>
      <c r="B1885" s="1" t="n">
        <v>45911.67755787037</v>
      </c>
      <c r="C1885" s="1" t="n">
        <v>45972</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43534-2025</t>
        </is>
      </c>
      <c r="B1886" s="1" t="n">
        <v>45911.59768518519</v>
      </c>
      <c r="C1886" s="1" t="n">
        <v>45972</v>
      </c>
      <c r="D1886" t="inlineStr">
        <is>
          <t>JÄMTLANDS LÄN</t>
        </is>
      </c>
      <c r="E1886" t="inlineStr">
        <is>
          <t>STRÖMSUND</t>
        </is>
      </c>
      <c r="F1886" t="inlineStr">
        <is>
          <t>Holmen skog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43777-2025</t>
        </is>
      </c>
      <c r="B1887" s="1" t="n">
        <v>45912.51105324074</v>
      </c>
      <c r="C1887" s="1" t="n">
        <v>45972</v>
      </c>
      <c r="D1887" t="inlineStr">
        <is>
          <t>JÄMTLANDS LÄN</t>
        </is>
      </c>
      <c r="E1887" t="inlineStr">
        <is>
          <t>STRÖMSUND</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27649-2025</t>
        </is>
      </c>
      <c r="B1888" s="1" t="n">
        <v>45813.59481481482</v>
      </c>
      <c r="C1888" s="1" t="n">
        <v>45972</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27662-2025</t>
        </is>
      </c>
      <c r="B1889" s="1" t="n">
        <v>45813.61521990741</v>
      </c>
      <c r="C1889" s="1" t="n">
        <v>45972</v>
      </c>
      <c r="D1889" t="inlineStr">
        <is>
          <t>JÄMTLANDS LÄN</t>
        </is>
      </c>
      <c r="E1889" t="inlineStr">
        <is>
          <t>STRÖMSUND</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27692-2025</t>
        </is>
      </c>
      <c r="B1890" s="1" t="n">
        <v>45813.65686342592</v>
      </c>
      <c r="C1890" s="1" t="n">
        <v>45972</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43388-2025</t>
        </is>
      </c>
      <c r="B1891" s="1" t="n">
        <v>45911.36547453704</v>
      </c>
      <c r="C1891" s="1" t="n">
        <v>45972</v>
      </c>
      <c r="D1891" t="inlineStr">
        <is>
          <t>JÄMTLANDS LÄN</t>
        </is>
      </c>
      <c r="E1891" t="inlineStr">
        <is>
          <t>STRÖMSUND</t>
        </is>
      </c>
      <c r="F1891" t="inlineStr">
        <is>
          <t>SCA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363-2021</t>
        </is>
      </c>
      <c r="B1892" s="1" t="n">
        <v>44201</v>
      </c>
      <c r="C1892" s="1" t="n">
        <v>45972</v>
      </c>
      <c r="D1892" t="inlineStr">
        <is>
          <t>JÄMTLANDS LÄN</t>
        </is>
      </c>
      <c r="E1892" t="inlineStr">
        <is>
          <t>STRÖMSUND</t>
        </is>
      </c>
      <c r="F1892" t="inlineStr">
        <is>
          <t>SCA</t>
        </is>
      </c>
      <c r="G1892" t="n">
        <v>52.4</v>
      </c>
      <c r="H1892" t="n">
        <v>0</v>
      </c>
      <c r="I1892" t="n">
        <v>0</v>
      </c>
      <c r="J1892" t="n">
        <v>0</v>
      </c>
      <c r="K1892" t="n">
        <v>0</v>
      </c>
      <c r="L1892" t="n">
        <v>0</v>
      </c>
      <c r="M1892" t="n">
        <v>0</v>
      </c>
      <c r="N1892" t="n">
        <v>0</v>
      </c>
      <c r="O1892" t="n">
        <v>0</v>
      </c>
      <c r="P1892" t="n">
        <v>0</v>
      </c>
      <c r="Q1892" t="n">
        <v>0</v>
      </c>
      <c r="R1892" s="2" t="inlineStr"/>
    </row>
    <row r="1893" ht="15" customHeight="1">
      <c r="A1893" t="inlineStr">
        <is>
          <t>A 27465-2025</t>
        </is>
      </c>
      <c r="B1893" s="1" t="n">
        <v>45813.34636574074</v>
      </c>
      <c r="C1893" s="1" t="n">
        <v>45972</v>
      </c>
      <c r="D1893" t="inlineStr">
        <is>
          <t>JÄMTLANDS LÄN</t>
        </is>
      </c>
      <c r="E1893" t="inlineStr">
        <is>
          <t>STRÖMSUND</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49287-2022</t>
        </is>
      </c>
      <c r="B1894" s="1" t="n">
        <v>44858</v>
      </c>
      <c r="C1894" s="1" t="n">
        <v>45972</v>
      </c>
      <c r="D1894" t="inlineStr">
        <is>
          <t>JÄMTLANDS LÄN</t>
        </is>
      </c>
      <c r="E1894" t="inlineStr">
        <is>
          <t>STRÖMSUND</t>
        </is>
      </c>
      <c r="G1894" t="n">
        <v>200</v>
      </c>
      <c r="H1894" t="n">
        <v>0</v>
      </c>
      <c r="I1894" t="n">
        <v>0</v>
      </c>
      <c r="J1894" t="n">
        <v>0</v>
      </c>
      <c r="K1894" t="n">
        <v>0</v>
      </c>
      <c r="L1894" t="n">
        <v>0</v>
      </c>
      <c r="M1894" t="n">
        <v>0</v>
      </c>
      <c r="N1894" t="n">
        <v>0</v>
      </c>
      <c r="O1894" t="n">
        <v>0</v>
      </c>
      <c r="P1894" t="n">
        <v>0</v>
      </c>
      <c r="Q1894" t="n">
        <v>0</v>
      </c>
      <c r="R1894" s="2" t="inlineStr"/>
    </row>
    <row r="1895" ht="15" customHeight="1">
      <c r="A1895" t="inlineStr">
        <is>
          <t>A 28042-2025</t>
        </is>
      </c>
      <c r="B1895" s="1" t="n">
        <v>45817</v>
      </c>
      <c r="C1895" s="1" t="n">
        <v>45972</v>
      </c>
      <c r="D1895" t="inlineStr">
        <is>
          <t>JÄMTLANDS LÄN</t>
        </is>
      </c>
      <c r="E1895" t="inlineStr">
        <is>
          <t>STRÖMSUND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15407-2022</t>
        </is>
      </c>
      <c r="B1896" s="1" t="n">
        <v>44662</v>
      </c>
      <c r="C1896" s="1" t="n">
        <v>45972</v>
      </c>
      <c r="D1896" t="inlineStr">
        <is>
          <t>JÄMTLANDS LÄN</t>
        </is>
      </c>
      <c r="E1896" t="inlineStr">
        <is>
          <t>STRÖMSUND</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28188-2025</t>
        </is>
      </c>
      <c r="B1897" s="1" t="n">
        <v>45818.41302083333</v>
      </c>
      <c r="C1897" s="1" t="n">
        <v>45972</v>
      </c>
      <c r="D1897" t="inlineStr">
        <is>
          <t>JÄMTLANDS LÄN</t>
        </is>
      </c>
      <c r="E1897" t="inlineStr">
        <is>
          <t>STRÖMSUND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43146-2022</t>
        </is>
      </c>
      <c r="B1898" s="1" t="n">
        <v>44833</v>
      </c>
      <c r="C1898" s="1" t="n">
        <v>45972</v>
      </c>
      <c r="D1898" t="inlineStr">
        <is>
          <t>JÄMTLANDS LÄN</t>
        </is>
      </c>
      <c r="E1898" t="inlineStr">
        <is>
          <t>STRÖMSUND</t>
        </is>
      </c>
      <c r="F1898" t="inlineStr">
        <is>
          <t>SCA</t>
        </is>
      </c>
      <c r="G1898" t="n">
        <v>33.3</v>
      </c>
      <c r="H1898" t="n">
        <v>0</v>
      </c>
      <c r="I1898" t="n">
        <v>0</v>
      </c>
      <c r="J1898" t="n">
        <v>0</v>
      </c>
      <c r="K1898" t="n">
        <v>0</v>
      </c>
      <c r="L1898" t="n">
        <v>0</v>
      </c>
      <c r="M1898" t="n">
        <v>0</v>
      </c>
      <c r="N1898" t="n">
        <v>0</v>
      </c>
      <c r="O1898" t="n">
        <v>0</v>
      </c>
      <c r="P1898" t="n">
        <v>0</v>
      </c>
      <c r="Q1898" t="n">
        <v>0</v>
      </c>
      <c r="R1898" s="2" t="inlineStr"/>
    </row>
    <row r="1899" ht="15" customHeight="1">
      <c r="A1899" t="inlineStr">
        <is>
          <t>A 27953-2025</t>
        </is>
      </c>
      <c r="B1899" s="1" t="n">
        <v>45817.53171296296</v>
      </c>
      <c r="C1899" s="1" t="n">
        <v>45972</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28015-2025</t>
        </is>
      </c>
      <c r="B1900" s="1" t="n">
        <v>45817.61491898148</v>
      </c>
      <c r="C1900" s="1" t="n">
        <v>45972</v>
      </c>
      <c r="D1900" t="inlineStr">
        <is>
          <t>JÄMTLANDS LÄN</t>
        </is>
      </c>
      <c r="E1900" t="inlineStr">
        <is>
          <t>STRÖMSUND</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43563-2025</t>
        </is>
      </c>
      <c r="B1901" s="1" t="n">
        <v>45911.63133101852</v>
      </c>
      <c r="C1901" s="1" t="n">
        <v>45972</v>
      </c>
      <c r="D1901" t="inlineStr">
        <is>
          <t>JÄMTLANDS LÄN</t>
        </is>
      </c>
      <c r="E1901" t="inlineStr">
        <is>
          <t>STRÖMSUND</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27852-2025</t>
        </is>
      </c>
      <c r="B1902" s="1" t="n">
        <v>45817.40177083333</v>
      </c>
      <c r="C1902" s="1" t="n">
        <v>45972</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30836-2023</t>
        </is>
      </c>
      <c r="B1903" s="1" t="n">
        <v>45112.94390046296</v>
      </c>
      <c r="C1903" s="1" t="n">
        <v>45972</v>
      </c>
      <c r="D1903" t="inlineStr">
        <is>
          <t>JÄMTLANDS LÄN</t>
        </is>
      </c>
      <c r="E1903" t="inlineStr">
        <is>
          <t>STRÖMSUND</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66983-2020</t>
        </is>
      </c>
      <c r="B1904" s="1" t="n">
        <v>44176</v>
      </c>
      <c r="C1904" s="1" t="n">
        <v>45972</v>
      </c>
      <c r="D1904" t="inlineStr">
        <is>
          <t>JÄMTLANDS LÄN</t>
        </is>
      </c>
      <c r="E1904" t="inlineStr">
        <is>
          <t>STRÖMSUND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28000-2025</t>
        </is>
      </c>
      <c r="B1905" s="1" t="n">
        <v>45817.59496527778</v>
      </c>
      <c r="C1905" s="1" t="n">
        <v>45972</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18254-2025</t>
        </is>
      </c>
      <c r="B1906" s="1" t="n">
        <v>45762.34459490741</v>
      </c>
      <c r="C1906" s="1" t="n">
        <v>45972</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52184-2025</t>
        </is>
      </c>
      <c r="B1907" s="1" t="n">
        <v>45953.38594907407</v>
      </c>
      <c r="C1907" s="1" t="n">
        <v>45972</v>
      </c>
      <c r="D1907" t="inlineStr">
        <is>
          <t>JÄMTLANDS LÄN</t>
        </is>
      </c>
      <c r="E1907" t="inlineStr">
        <is>
          <t>STRÖMSUND</t>
        </is>
      </c>
      <c r="F1907" t="inlineStr">
        <is>
          <t>SCA</t>
        </is>
      </c>
      <c r="G1907" t="n">
        <v>18.8</v>
      </c>
      <c r="H1907" t="n">
        <v>0</v>
      </c>
      <c r="I1907" t="n">
        <v>0</v>
      </c>
      <c r="J1907" t="n">
        <v>0</v>
      </c>
      <c r="K1907" t="n">
        <v>0</v>
      </c>
      <c r="L1907" t="n">
        <v>0</v>
      </c>
      <c r="M1907" t="n">
        <v>0</v>
      </c>
      <c r="N1907" t="n">
        <v>0</v>
      </c>
      <c r="O1907" t="n">
        <v>0</v>
      </c>
      <c r="P1907" t="n">
        <v>0</v>
      </c>
      <c r="Q1907" t="n">
        <v>0</v>
      </c>
      <c r="R1907" s="2" t="inlineStr"/>
    </row>
    <row r="1908" ht="15" customHeight="1">
      <c r="A1908" t="inlineStr">
        <is>
          <t>A 28578-2025</t>
        </is>
      </c>
      <c r="B1908" s="1" t="n">
        <v>45819.57326388889</v>
      </c>
      <c r="C1908" s="1" t="n">
        <v>45972</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51075-2023</t>
        </is>
      </c>
      <c r="B1909" s="1" t="n">
        <v>45211</v>
      </c>
      <c r="C1909" s="1" t="n">
        <v>45972</v>
      </c>
      <c r="D1909" t="inlineStr">
        <is>
          <t>JÄMTLANDS LÄN</t>
        </is>
      </c>
      <c r="E1909" t="inlineStr">
        <is>
          <t>STRÖMSUND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28653-2025</t>
        </is>
      </c>
      <c r="B1910" s="1" t="n">
        <v>45819.65170138889</v>
      </c>
      <c r="C1910" s="1" t="n">
        <v>45972</v>
      </c>
      <c r="D1910" t="inlineStr">
        <is>
          <t>JÄMTLANDS LÄN</t>
        </is>
      </c>
      <c r="E1910" t="inlineStr">
        <is>
          <t>STRÖMSUND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34818-2024</t>
        </is>
      </c>
      <c r="B1911" s="1" t="n">
        <v>45526.70923611111</v>
      </c>
      <c r="C1911" s="1" t="n">
        <v>45972</v>
      </c>
      <c r="D1911" t="inlineStr">
        <is>
          <t>JÄMTLANDS LÄN</t>
        </is>
      </c>
      <c r="E1911" t="inlineStr">
        <is>
          <t>STRÖMSUND</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57361-2023</t>
        </is>
      </c>
      <c r="B1912" s="1" t="n">
        <v>45240</v>
      </c>
      <c r="C1912" s="1" t="n">
        <v>45972</v>
      </c>
      <c r="D1912" t="inlineStr">
        <is>
          <t>JÄMTLANDS LÄN</t>
        </is>
      </c>
      <c r="E1912" t="inlineStr">
        <is>
          <t>STRÖMSUND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52547-2025</t>
        </is>
      </c>
      <c r="B1913" s="1" t="n">
        <v>45954.55262731481</v>
      </c>
      <c r="C1913" s="1" t="n">
        <v>45972</v>
      </c>
      <c r="D1913" t="inlineStr">
        <is>
          <t>JÄMTLANDS LÄN</t>
        </is>
      </c>
      <c r="E1913" t="inlineStr">
        <is>
          <t>STRÖMSUND</t>
        </is>
      </c>
      <c r="F1913" t="inlineStr">
        <is>
          <t>SCA</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28493-2025</t>
        </is>
      </c>
      <c r="B1914" s="1" t="n">
        <v>45819.46922453704</v>
      </c>
      <c r="C1914" s="1" t="n">
        <v>45972</v>
      </c>
      <c r="D1914" t="inlineStr">
        <is>
          <t>JÄMTLANDS LÄN</t>
        </is>
      </c>
      <c r="E1914" t="inlineStr">
        <is>
          <t>STRÖMSUND</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59436-2023</t>
        </is>
      </c>
      <c r="B1915" s="1" t="n">
        <v>45253</v>
      </c>
      <c r="C1915" s="1" t="n">
        <v>45972</v>
      </c>
      <c r="D1915" t="inlineStr">
        <is>
          <t>JÄMTLANDS LÄN</t>
        </is>
      </c>
      <c r="E1915" t="inlineStr">
        <is>
          <t>STRÖMSUND</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28806-2025</t>
        </is>
      </c>
      <c r="B1916" s="1" t="n">
        <v>45820.5107175926</v>
      </c>
      <c r="C1916" s="1" t="n">
        <v>45972</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43481-2025</t>
        </is>
      </c>
      <c r="B1917" s="1" t="n">
        <v>45911.50042824074</v>
      </c>
      <c r="C1917" s="1" t="n">
        <v>45972</v>
      </c>
      <c r="D1917" t="inlineStr">
        <is>
          <t>JÄMTLANDS LÄN</t>
        </is>
      </c>
      <c r="E1917" t="inlineStr">
        <is>
          <t>STRÖMSUND</t>
        </is>
      </c>
      <c r="F1917" t="inlineStr">
        <is>
          <t>Holmen skog AB</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28537-2025</t>
        </is>
      </c>
      <c r="B1918" s="1" t="n">
        <v>45819.51075231482</v>
      </c>
      <c r="C1918" s="1" t="n">
        <v>45972</v>
      </c>
      <c r="D1918" t="inlineStr">
        <is>
          <t>JÄMTLANDS LÄN</t>
        </is>
      </c>
      <c r="E1918" t="inlineStr">
        <is>
          <t>STRÖMSUND</t>
        </is>
      </c>
      <c r="F1918" t="inlineStr">
        <is>
          <t>SCA</t>
        </is>
      </c>
      <c r="G1918" t="n">
        <v>19.7</v>
      </c>
      <c r="H1918" t="n">
        <v>0</v>
      </c>
      <c r="I1918" t="n">
        <v>0</v>
      </c>
      <c r="J1918" t="n">
        <v>0</v>
      </c>
      <c r="K1918" t="n">
        <v>0</v>
      </c>
      <c r="L1918" t="n">
        <v>0</v>
      </c>
      <c r="M1918" t="n">
        <v>0</v>
      </c>
      <c r="N1918" t="n">
        <v>0</v>
      </c>
      <c r="O1918" t="n">
        <v>0</v>
      </c>
      <c r="P1918" t="n">
        <v>0</v>
      </c>
      <c r="Q1918" t="n">
        <v>0</v>
      </c>
      <c r="R1918" s="2" t="inlineStr"/>
    </row>
    <row r="1919" ht="15" customHeight="1">
      <c r="A1919" t="inlineStr">
        <is>
          <t>A 28467-2025</t>
        </is>
      </c>
      <c r="B1919" s="1" t="n">
        <v>45819.42740740741</v>
      </c>
      <c r="C1919" s="1" t="n">
        <v>45972</v>
      </c>
      <c r="D1919" t="inlineStr">
        <is>
          <t>JÄMTLANDS LÄN</t>
        </is>
      </c>
      <c r="E1919" t="inlineStr">
        <is>
          <t>STRÖMSUND</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43500-2025</t>
        </is>
      </c>
      <c r="B1920" s="1" t="n">
        <v>45911.53392361111</v>
      </c>
      <c r="C1920" s="1" t="n">
        <v>45972</v>
      </c>
      <c r="D1920" t="inlineStr">
        <is>
          <t>JÄMTLANDS LÄN</t>
        </is>
      </c>
      <c r="E1920" t="inlineStr">
        <is>
          <t>STRÖMSUND</t>
        </is>
      </c>
      <c r="F1920" t="inlineStr">
        <is>
          <t>Holmen skog AB</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7545-2025</t>
        </is>
      </c>
      <c r="B1921" s="1" t="n">
        <v>45705.57388888889</v>
      </c>
      <c r="C1921" s="1" t="n">
        <v>45972</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31497-2023</t>
        </is>
      </c>
      <c r="B1922" s="1" t="n">
        <v>45114.94144675926</v>
      </c>
      <c r="C1922" s="1" t="n">
        <v>45972</v>
      </c>
      <c r="D1922" t="inlineStr">
        <is>
          <t>JÄMTLANDS LÄN</t>
        </is>
      </c>
      <c r="E1922" t="inlineStr">
        <is>
          <t>STRÖMSUND</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52614-2025</t>
        </is>
      </c>
      <c r="B1923" s="1" t="n">
        <v>45954.67756944444</v>
      </c>
      <c r="C1923" s="1" t="n">
        <v>45972</v>
      </c>
      <c r="D1923" t="inlineStr">
        <is>
          <t>JÄMTLANDS LÄN</t>
        </is>
      </c>
      <c r="E1923" t="inlineStr">
        <is>
          <t>STRÖMSUND</t>
        </is>
      </c>
      <c r="F1923" t="inlineStr">
        <is>
          <t>SCA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6685-2025</t>
        </is>
      </c>
      <c r="B1924" s="1" t="n">
        <v>45700.48990740741</v>
      </c>
      <c r="C1924" s="1" t="n">
        <v>45972</v>
      </c>
      <c r="D1924" t="inlineStr">
        <is>
          <t>JÄMTLANDS LÄN</t>
        </is>
      </c>
      <c r="E1924" t="inlineStr">
        <is>
          <t>STRÖMSUND</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28967-2025</t>
        </is>
      </c>
      <c r="B1925" s="1" t="n">
        <v>45821.34440972222</v>
      </c>
      <c r="C1925" s="1" t="n">
        <v>45972</v>
      </c>
      <c r="D1925" t="inlineStr">
        <is>
          <t>JÄMTLANDS LÄN</t>
        </is>
      </c>
      <c r="E1925" t="inlineStr">
        <is>
          <t>STRÖMSUND</t>
        </is>
      </c>
      <c r="F1925" t="inlineStr">
        <is>
          <t>SCA</t>
        </is>
      </c>
      <c r="G1925" t="n">
        <v>24.3</v>
      </c>
      <c r="H1925" t="n">
        <v>0</v>
      </c>
      <c r="I1925" t="n">
        <v>0</v>
      </c>
      <c r="J1925" t="n">
        <v>0</v>
      </c>
      <c r="K1925" t="n">
        <v>0</v>
      </c>
      <c r="L1925" t="n">
        <v>0</v>
      </c>
      <c r="M1925" t="n">
        <v>0</v>
      </c>
      <c r="N1925" t="n">
        <v>0</v>
      </c>
      <c r="O1925" t="n">
        <v>0</v>
      </c>
      <c r="P1925" t="n">
        <v>0</v>
      </c>
      <c r="Q1925" t="n">
        <v>0</v>
      </c>
      <c r="R1925" s="2" t="inlineStr"/>
    </row>
    <row r="1926" ht="15" customHeight="1">
      <c r="A1926" t="inlineStr">
        <is>
          <t>A 59141-2024</t>
        </is>
      </c>
      <c r="B1926" s="1" t="n">
        <v>45637.44400462963</v>
      </c>
      <c r="C1926" s="1" t="n">
        <v>45972</v>
      </c>
      <c r="D1926" t="inlineStr">
        <is>
          <t>JÄMTLANDS LÄN</t>
        </is>
      </c>
      <c r="E1926" t="inlineStr">
        <is>
          <t>STRÖMSUND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43722-2025</t>
        </is>
      </c>
      <c r="B1927" s="1" t="n">
        <v>45912.42824074074</v>
      </c>
      <c r="C1927" s="1" t="n">
        <v>45972</v>
      </c>
      <c r="D1927" t="inlineStr">
        <is>
          <t>JÄMTLANDS LÄN</t>
        </is>
      </c>
      <c r="E1927" t="inlineStr">
        <is>
          <t>STRÖMSUND</t>
        </is>
      </c>
      <c r="F1927" t="inlineStr">
        <is>
          <t>SCA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41916-2023</t>
        </is>
      </c>
      <c r="B1928" s="1" t="n">
        <v>45176.94403935185</v>
      </c>
      <c r="C1928" s="1" t="n">
        <v>45972</v>
      </c>
      <c r="D1928" t="inlineStr">
        <is>
          <t>JÄMTLANDS LÄN</t>
        </is>
      </c>
      <c r="E1928" t="inlineStr">
        <is>
          <t>STRÖMSUND</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28968-2025</t>
        </is>
      </c>
      <c r="B1929" s="1" t="n">
        <v>45821.34444444445</v>
      </c>
      <c r="C1929" s="1" t="n">
        <v>45972</v>
      </c>
      <c r="D1929" t="inlineStr">
        <is>
          <t>JÄMTLANDS LÄN</t>
        </is>
      </c>
      <c r="E1929" t="inlineStr">
        <is>
          <t>STRÖMSUND</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28974-2025</t>
        </is>
      </c>
      <c r="B1930" s="1" t="n">
        <v>45821.34523148148</v>
      </c>
      <c r="C1930" s="1" t="n">
        <v>45972</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56437-2023</t>
        </is>
      </c>
      <c r="B1931" s="1" t="n">
        <v>45237</v>
      </c>
      <c r="C1931" s="1" t="n">
        <v>45972</v>
      </c>
      <c r="D1931" t="inlineStr">
        <is>
          <t>JÄMTLANDS LÄN</t>
        </is>
      </c>
      <c r="E1931" t="inlineStr">
        <is>
          <t>STRÖMSUND</t>
        </is>
      </c>
      <c r="G1931" t="n">
        <v>35.8</v>
      </c>
      <c r="H1931" t="n">
        <v>0</v>
      </c>
      <c r="I1931" t="n">
        <v>0</v>
      </c>
      <c r="J1931" t="n">
        <v>0</v>
      </c>
      <c r="K1931" t="n">
        <v>0</v>
      </c>
      <c r="L1931" t="n">
        <v>0</v>
      </c>
      <c r="M1931" t="n">
        <v>0</v>
      </c>
      <c r="N1931" t="n">
        <v>0</v>
      </c>
      <c r="O1931" t="n">
        <v>0</v>
      </c>
      <c r="P1931" t="n">
        <v>0</v>
      </c>
      <c r="Q1931" t="n">
        <v>0</v>
      </c>
      <c r="R1931" s="2" t="inlineStr"/>
    </row>
    <row r="1932" ht="15" customHeight="1">
      <c r="A1932" t="inlineStr">
        <is>
          <t>A 28970-2025</t>
        </is>
      </c>
      <c r="B1932" s="1" t="n">
        <v>45821.34480324074</v>
      </c>
      <c r="C1932" s="1" t="n">
        <v>45972</v>
      </c>
      <c r="D1932" t="inlineStr">
        <is>
          <t>JÄMTLANDS LÄN</t>
        </is>
      </c>
      <c r="E1932" t="inlineStr">
        <is>
          <t>STRÖMSUND</t>
        </is>
      </c>
      <c r="F1932" t="inlineStr">
        <is>
          <t>SCA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44280-2025</t>
        </is>
      </c>
      <c r="B1933" s="1" t="n">
        <v>45916.34502314815</v>
      </c>
      <c r="C1933" s="1" t="n">
        <v>45972</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28971-2025</t>
        </is>
      </c>
      <c r="B1934" s="1" t="n">
        <v>45821.34490740741</v>
      </c>
      <c r="C1934" s="1" t="n">
        <v>45972</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32259-2021</t>
        </is>
      </c>
      <c r="B1935" s="1" t="n">
        <v>44371</v>
      </c>
      <c r="C1935" s="1" t="n">
        <v>45972</v>
      </c>
      <c r="D1935" t="inlineStr">
        <is>
          <t>JÄMTLANDS LÄN</t>
        </is>
      </c>
      <c r="E1935" t="inlineStr">
        <is>
          <t>STRÖMSUND</t>
        </is>
      </c>
      <c r="F1935" t="inlineStr">
        <is>
          <t>SCA</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55340-2023</t>
        </is>
      </c>
      <c r="B1936" s="1" t="n">
        <v>45237</v>
      </c>
      <c r="C1936" s="1" t="n">
        <v>45972</v>
      </c>
      <c r="D1936" t="inlineStr">
        <is>
          <t>JÄMTLANDS LÄN</t>
        </is>
      </c>
      <c r="E1936" t="inlineStr">
        <is>
          <t>STRÖMSUND</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28754-2023</t>
        </is>
      </c>
      <c r="B1937" s="1" t="n">
        <v>45103.94185185185</v>
      </c>
      <c r="C1937" s="1" t="n">
        <v>45972</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28969-2025</t>
        </is>
      </c>
      <c r="B1938" s="1" t="n">
        <v>45821.34475694445</v>
      </c>
      <c r="C1938" s="1" t="n">
        <v>45972</v>
      </c>
      <c r="D1938" t="inlineStr">
        <is>
          <t>JÄMTLANDS LÄN</t>
        </is>
      </c>
      <c r="E1938" t="inlineStr">
        <is>
          <t>STRÖMSUND</t>
        </is>
      </c>
      <c r="F1938" t="inlineStr">
        <is>
          <t>SCA</t>
        </is>
      </c>
      <c r="G1938" t="n">
        <v>24.3</v>
      </c>
      <c r="H1938" t="n">
        <v>0</v>
      </c>
      <c r="I1938" t="n">
        <v>0</v>
      </c>
      <c r="J1938" t="n">
        <v>0</v>
      </c>
      <c r="K1938" t="n">
        <v>0</v>
      </c>
      <c r="L1938" t="n">
        <v>0</v>
      </c>
      <c r="M1938" t="n">
        <v>0</v>
      </c>
      <c r="N1938" t="n">
        <v>0</v>
      </c>
      <c r="O1938" t="n">
        <v>0</v>
      </c>
      <c r="P1938" t="n">
        <v>0</v>
      </c>
      <c r="Q1938" t="n">
        <v>0</v>
      </c>
      <c r="R1938" s="2" t="inlineStr"/>
    </row>
    <row r="1939" ht="15" customHeight="1">
      <c r="A1939" t="inlineStr">
        <is>
          <t>A 60334-2023</t>
        </is>
      </c>
      <c r="B1939" s="1" t="n">
        <v>45258.95184027778</v>
      </c>
      <c r="C1939" s="1" t="n">
        <v>45972</v>
      </c>
      <c r="D1939" t="inlineStr">
        <is>
          <t>JÄMTLANDS LÄN</t>
        </is>
      </c>
      <c r="E1939" t="inlineStr">
        <is>
          <t>STRÖMSUND</t>
        </is>
      </c>
      <c r="F1939" t="inlineStr">
        <is>
          <t>SCA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29854-2025</t>
        </is>
      </c>
      <c r="B1940" s="1" t="n">
        <v>45826.34461805555</v>
      </c>
      <c r="C1940" s="1" t="n">
        <v>45972</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30094-2025</t>
        </is>
      </c>
      <c r="B1941" s="1" t="n">
        <v>45826.6634837963</v>
      </c>
      <c r="C1941" s="1" t="n">
        <v>45972</v>
      </c>
      <c r="D1941" t="inlineStr">
        <is>
          <t>JÄMTLANDS LÄN</t>
        </is>
      </c>
      <c r="E1941" t="inlineStr">
        <is>
          <t>STRÖMSUND</t>
        </is>
      </c>
      <c r="F1941" t="inlineStr">
        <is>
          <t>Sveaskog</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52788-2025</t>
        </is>
      </c>
      <c r="B1942" s="1" t="n">
        <v>45957.42761574074</v>
      </c>
      <c r="C1942" s="1" t="n">
        <v>45972</v>
      </c>
      <c r="D1942" t="inlineStr">
        <is>
          <t>JÄMTLANDS LÄN</t>
        </is>
      </c>
      <c r="E1942" t="inlineStr">
        <is>
          <t>STRÖMSUND</t>
        </is>
      </c>
      <c r="F1942" t="inlineStr">
        <is>
          <t>SCA</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52874-2025</t>
        </is>
      </c>
      <c r="B1943" s="1" t="n">
        <v>45957.53193287037</v>
      </c>
      <c r="C1943" s="1" t="n">
        <v>45972</v>
      </c>
      <c r="D1943" t="inlineStr">
        <is>
          <t>JÄMTLANDS LÄN</t>
        </is>
      </c>
      <c r="E1943" t="inlineStr">
        <is>
          <t>STRÖMSUND</t>
        </is>
      </c>
      <c r="F1943" t="inlineStr">
        <is>
          <t>SCA</t>
        </is>
      </c>
      <c r="G1943" t="n">
        <v>15.7</v>
      </c>
      <c r="H1943" t="n">
        <v>0</v>
      </c>
      <c r="I1943" t="n">
        <v>0</v>
      </c>
      <c r="J1943" t="n">
        <v>0</v>
      </c>
      <c r="K1943" t="n">
        <v>0</v>
      </c>
      <c r="L1943" t="n">
        <v>0</v>
      </c>
      <c r="M1943" t="n">
        <v>0</v>
      </c>
      <c r="N1943" t="n">
        <v>0</v>
      </c>
      <c r="O1943" t="n">
        <v>0</v>
      </c>
      <c r="P1943" t="n">
        <v>0</v>
      </c>
      <c r="Q1943" t="n">
        <v>0</v>
      </c>
      <c r="R1943" s="2" t="inlineStr"/>
    </row>
    <row r="1944" ht="15" customHeight="1">
      <c r="A1944" t="inlineStr">
        <is>
          <t>A 29754-2025</t>
        </is>
      </c>
      <c r="B1944" s="1" t="n">
        <v>45825.61229166666</v>
      </c>
      <c r="C1944" s="1" t="n">
        <v>45972</v>
      </c>
      <c r="D1944" t="inlineStr">
        <is>
          <t>JÄMTLANDS LÄN</t>
        </is>
      </c>
      <c r="E1944" t="inlineStr">
        <is>
          <t>STRÖMSUND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29764-2025</t>
        </is>
      </c>
      <c r="B1945" s="1" t="n">
        <v>45825.61850694445</v>
      </c>
      <c r="C1945" s="1" t="n">
        <v>45972</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52921-2025</t>
        </is>
      </c>
      <c r="B1946" s="1" t="n">
        <v>45957.61527777778</v>
      </c>
      <c r="C1946" s="1" t="n">
        <v>45972</v>
      </c>
      <c r="D1946" t="inlineStr">
        <is>
          <t>JÄMTLANDS LÄN</t>
        </is>
      </c>
      <c r="E1946" t="inlineStr">
        <is>
          <t>STRÖMSUND</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29953-2025</t>
        </is>
      </c>
      <c r="B1947" s="1" t="n">
        <v>45826.46978009259</v>
      </c>
      <c r="C1947" s="1" t="n">
        <v>45972</v>
      </c>
      <c r="D1947" t="inlineStr">
        <is>
          <t>JÄMTLANDS LÄN</t>
        </is>
      </c>
      <c r="E1947" t="inlineStr">
        <is>
          <t>STRÖMSUND</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30062-2025</t>
        </is>
      </c>
      <c r="B1948" s="1" t="n">
        <v>45826.61506944444</v>
      </c>
      <c r="C1948" s="1" t="n">
        <v>45972</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4419-2025</t>
        </is>
      </c>
      <c r="B1949" s="1" t="n">
        <v>45686</v>
      </c>
      <c r="C1949" s="1" t="n">
        <v>45972</v>
      </c>
      <c r="D1949" t="inlineStr">
        <is>
          <t>JÄMTLANDS LÄN</t>
        </is>
      </c>
      <c r="E1949" t="inlineStr">
        <is>
          <t>STRÖMSUND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30051-2025</t>
        </is>
      </c>
      <c r="B1950" s="1" t="n">
        <v>45826.59434027778</v>
      </c>
      <c r="C1950" s="1" t="n">
        <v>45972</v>
      </c>
      <c r="D1950" t="inlineStr">
        <is>
          <t>JÄMTLANDS LÄN</t>
        </is>
      </c>
      <c r="E1950" t="inlineStr">
        <is>
          <t>STRÖMSUND</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59358-2023</t>
        </is>
      </c>
      <c r="B1951" s="1" t="n">
        <v>45253.68273148148</v>
      </c>
      <c r="C1951" s="1" t="n">
        <v>45972</v>
      </c>
      <c r="D1951" t="inlineStr">
        <is>
          <t>JÄMTLANDS LÄN</t>
        </is>
      </c>
      <c r="E1951" t="inlineStr">
        <is>
          <t>STRÖMSUND</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52848-2025</t>
        </is>
      </c>
      <c r="B1952" s="1" t="n">
        <v>45957.49008101852</v>
      </c>
      <c r="C1952" s="1" t="n">
        <v>45972</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15783-2025</t>
        </is>
      </c>
      <c r="B1953" s="1" t="n">
        <v>45748.6204050926</v>
      </c>
      <c r="C1953" s="1" t="n">
        <v>45972</v>
      </c>
      <c r="D1953" t="inlineStr">
        <is>
          <t>JÄMTLANDS LÄN</t>
        </is>
      </c>
      <c r="E1953" t="inlineStr">
        <is>
          <t>STRÖMSUND</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44191-2025</t>
        </is>
      </c>
      <c r="B1954" s="1" t="n">
        <v>45915.61539351852</v>
      </c>
      <c r="C1954" s="1" t="n">
        <v>45972</v>
      </c>
      <c r="D1954" t="inlineStr">
        <is>
          <t>JÄMTLANDS LÄN</t>
        </is>
      </c>
      <c r="E1954" t="inlineStr">
        <is>
          <t>STRÖMSUND</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44193-2025</t>
        </is>
      </c>
      <c r="B1955" s="1" t="n">
        <v>45915.61585648148</v>
      </c>
      <c r="C1955" s="1" t="n">
        <v>45972</v>
      </c>
      <c r="D1955" t="inlineStr">
        <is>
          <t>JÄMTLANDS LÄN</t>
        </is>
      </c>
      <c r="E1955" t="inlineStr">
        <is>
          <t>STRÖMSUND</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30015-2025</t>
        </is>
      </c>
      <c r="B1956" s="1" t="n">
        <v>45826.55267361111</v>
      </c>
      <c r="C1956" s="1" t="n">
        <v>45972</v>
      </c>
      <c r="D1956" t="inlineStr">
        <is>
          <t>JÄMTLANDS LÄN</t>
        </is>
      </c>
      <c r="E1956" t="inlineStr">
        <is>
          <t>STRÖMSUND</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29787-2025</t>
        </is>
      </c>
      <c r="B1957" s="1" t="n">
        <v>45825.65677083333</v>
      </c>
      <c r="C1957" s="1" t="n">
        <v>45972</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29997-2025</t>
        </is>
      </c>
      <c r="B1958" s="1" t="n">
        <v>45826.51113425926</v>
      </c>
      <c r="C1958" s="1" t="n">
        <v>45972</v>
      </c>
      <c r="D1958" t="inlineStr">
        <is>
          <t>JÄMTLANDS LÄN</t>
        </is>
      </c>
      <c r="E1958" t="inlineStr">
        <is>
          <t>STRÖMSUND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57431-2023</t>
        </is>
      </c>
      <c r="B1959" s="1" t="n">
        <v>45240</v>
      </c>
      <c r="C1959" s="1" t="n">
        <v>45972</v>
      </c>
      <c r="D1959" t="inlineStr">
        <is>
          <t>JÄMTLANDS LÄN</t>
        </is>
      </c>
      <c r="E1959" t="inlineStr">
        <is>
          <t>STRÖMSUND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52139-2023</t>
        </is>
      </c>
      <c r="B1960" s="1" t="n">
        <v>45223</v>
      </c>
      <c r="C1960" s="1" t="n">
        <v>45972</v>
      </c>
      <c r="D1960" t="inlineStr">
        <is>
          <t>JÄMTLANDS LÄN</t>
        </is>
      </c>
      <c r="E1960" t="inlineStr">
        <is>
          <t>STRÖMSUND</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30060-2025</t>
        </is>
      </c>
      <c r="B1961" s="1" t="n">
        <v>45826.61493055556</v>
      </c>
      <c r="C1961" s="1" t="n">
        <v>45972</v>
      </c>
      <c r="D1961" t="inlineStr">
        <is>
          <t>JÄMTLANDS LÄN</t>
        </is>
      </c>
      <c r="E1961" t="inlineStr">
        <is>
          <t>STRÖMSUND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29536-2025</t>
        </is>
      </c>
      <c r="B1962" s="1" t="n">
        <v>45825.34496527778</v>
      </c>
      <c r="C1962" s="1" t="n">
        <v>45972</v>
      </c>
      <c r="D1962" t="inlineStr">
        <is>
          <t>JÄMTLANDS LÄN</t>
        </is>
      </c>
      <c r="E1962" t="inlineStr">
        <is>
          <t>STRÖMSUND</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29798-2025</t>
        </is>
      </c>
      <c r="B1963" s="1" t="n">
        <v>45825.67758101852</v>
      </c>
      <c r="C1963" s="1" t="n">
        <v>45972</v>
      </c>
      <c r="D1963" t="inlineStr">
        <is>
          <t>JÄMTLANDS LÄN</t>
        </is>
      </c>
      <c r="E1963" t="inlineStr">
        <is>
          <t>STRÖMSUND</t>
        </is>
      </c>
      <c r="F1963" t="inlineStr">
        <is>
          <t>SCA</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29539-2025</t>
        </is>
      </c>
      <c r="B1964" s="1" t="n">
        <v>45825.34530092592</v>
      </c>
      <c r="C1964" s="1" t="n">
        <v>45972</v>
      </c>
      <c r="D1964" t="inlineStr">
        <is>
          <t>JÄMTLANDS LÄN</t>
        </is>
      </c>
      <c r="E1964" t="inlineStr">
        <is>
          <t>STRÖMSUND</t>
        </is>
      </c>
      <c r="F1964" t="inlineStr">
        <is>
          <t>SCA</t>
        </is>
      </c>
      <c r="G1964" t="n">
        <v>17.3</v>
      </c>
      <c r="H1964" t="n">
        <v>0</v>
      </c>
      <c r="I1964" t="n">
        <v>0</v>
      </c>
      <c r="J1964" t="n">
        <v>0</v>
      </c>
      <c r="K1964" t="n">
        <v>0</v>
      </c>
      <c r="L1964" t="n">
        <v>0</v>
      </c>
      <c r="M1964" t="n">
        <v>0</v>
      </c>
      <c r="N1964" t="n">
        <v>0</v>
      </c>
      <c r="O1964" t="n">
        <v>0</v>
      </c>
      <c r="P1964" t="n">
        <v>0</v>
      </c>
      <c r="Q1964" t="n">
        <v>0</v>
      </c>
      <c r="R1964" s="2" t="inlineStr"/>
    </row>
    <row r="1965" ht="15" customHeight="1">
      <c r="A1965" t="inlineStr">
        <is>
          <t>A 29328-2023</t>
        </is>
      </c>
      <c r="B1965" s="1" t="n">
        <v>45105.94356481481</v>
      </c>
      <c r="C1965" s="1" t="n">
        <v>45972</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29806-2025</t>
        </is>
      </c>
      <c r="B1966" s="1" t="n">
        <v>45825.73248842593</v>
      </c>
      <c r="C1966" s="1" t="n">
        <v>45972</v>
      </c>
      <c r="D1966" t="inlineStr">
        <is>
          <t>JÄMTLANDS LÄN</t>
        </is>
      </c>
      <c r="E1966" t="inlineStr">
        <is>
          <t>STRÖMSUND</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52808-2025</t>
        </is>
      </c>
      <c r="B1967" s="1" t="n">
        <v>45957.4485300926</v>
      </c>
      <c r="C1967" s="1" t="n">
        <v>45972</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52745-2025</t>
        </is>
      </c>
      <c r="B1968" s="1" t="n">
        <v>45957.38400462963</v>
      </c>
      <c r="C1968" s="1" t="n">
        <v>45972</v>
      </c>
      <c r="D1968" t="inlineStr">
        <is>
          <t>JÄMTLANDS LÄN</t>
        </is>
      </c>
      <c r="E1968" t="inlineStr">
        <is>
          <t>STRÖMSUND</t>
        </is>
      </c>
      <c r="F1968" t="inlineStr">
        <is>
          <t>Övriga statliga verk och myndigheter</t>
        </is>
      </c>
      <c r="G1968" t="n">
        <v>17.9</v>
      </c>
      <c r="H1968" t="n">
        <v>0</v>
      </c>
      <c r="I1968" t="n">
        <v>0</v>
      </c>
      <c r="J1968" t="n">
        <v>0</v>
      </c>
      <c r="K1968" t="n">
        <v>0</v>
      </c>
      <c r="L1968" t="n">
        <v>0</v>
      </c>
      <c r="M1968" t="n">
        <v>0</v>
      </c>
      <c r="N1968" t="n">
        <v>0</v>
      </c>
      <c r="O1968" t="n">
        <v>0</v>
      </c>
      <c r="P1968" t="n">
        <v>0</v>
      </c>
      <c r="Q1968" t="n">
        <v>0</v>
      </c>
      <c r="R1968" s="2" t="inlineStr"/>
    </row>
    <row r="1969" ht="15" customHeight="1">
      <c r="A1969" t="inlineStr">
        <is>
          <t>A 52753-2025</t>
        </is>
      </c>
      <c r="B1969" s="1" t="n">
        <v>45957.38975694445</v>
      </c>
      <c r="C1969" s="1" t="n">
        <v>45972</v>
      </c>
      <c r="D1969" t="inlineStr">
        <is>
          <t>JÄMTLANDS LÄN</t>
        </is>
      </c>
      <c r="E1969" t="inlineStr">
        <is>
          <t>STRÖMSUND</t>
        </is>
      </c>
      <c r="F1969" t="inlineStr">
        <is>
          <t>Övriga statliga verk och myndigheter</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30209-2025</t>
        </is>
      </c>
      <c r="B1970" s="1" t="n">
        <v>45827.365625</v>
      </c>
      <c r="C1970" s="1" t="n">
        <v>45972</v>
      </c>
      <c r="D1970" t="inlineStr">
        <is>
          <t>JÄMTLANDS LÄN</t>
        </is>
      </c>
      <c r="E1970" t="inlineStr">
        <is>
          <t>STRÖMSUND</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30208-2025</t>
        </is>
      </c>
      <c r="B1971" s="1" t="n">
        <v>45827.36526620371</v>
      </c>
      <c r="C1971" s="1" t="n">
        <v>45972</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52866-2025</t>
        </is>
      </c>
      <c r="B1972" s="1" t="n">
        <v>45957.51115740741</v>
      </c>
      <c r="C1972" s="1" t="n">
        <v>45972</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30325-2025</t>
        </is>
      </c>
      <c r="B1973" s="1" t="n">
        <v>45827.50361111111</v>
      </c>
      <c r="C1973" s="1" t="n">
        <v>45972</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39870-2023</t>
        </is>
      </c>
      <c r="B1974" s="1" t="n">
        <v>45168</v>
      </c>
      <c r="C1974" s="1" t="n">
        <v>45972</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21192-2022</t>
        </is>
      </c>
      <c r="B1975" s="1" t="n">
        <v>44704.94199074074</v>
      </c>
      <c r="C1975" s="1" t="n">
        <v>45972</v>
      </c>
      <c r="D1975" t="inlineStr">
        <is>
          <t>JÄMTLANDS LÄN</t>
        </is>
      </c>
      <c r="E1975" t="inlineStr">
        <is>
          <t>STRÖMSUND</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30395-2025</t>
        </is>
      </c>
      <c r="B1976" s="1" t="n">
        <v>45827.57462962963</v>
      </c>
      <c r="C1976" s="1" t="n">
        <v>45972</v>
      </c>
      <c r="D1976" t="inlineStr">
        <is>
          <t>JÄMTLANDS LÄN</t>
        </is>
      </c>
      <c r="E1976" t="inlineStr">
        <is>
          <t>STRÖMSUND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13499-2024</t>
        </is>
      </c>
      <c r="B1977" s="1" t="n">
        <v>45387</v>
      </c>
      <c r="C1977" s="1" t="n">
        <v>45972</v>
      </c>
      <c r="D1977" t="inlineStr">
        <is>
          <t>JÄMTLANDS LÄN</t>
        </is>
      </c>
      <c r="E1977" t="inlineStr">
        <is>
          <t>STRÖMSUND</t>
        </is>
      </c>
      <c r="F1977" t="inlineStr">
        <is>
          <t>Kommuner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30332-2025</t>
        </is>
      </c>
      <c r="B1978" s="1" t="n">
        <v>45827.5084375</v>
      </c>
      <c r="C1978" s="1" t="n">
        <v>45972</v>
      </c>
      <c r="D1978" t="inlineStr">
        <is>
          <t>JÄMTLANDS LÄN</t>
        </is>
      </c>
      <c r="E1978" t="inlineStr">
        <is>
          <t>STRÖMSUND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46342-2022</t>
        </is>
      </c>
      <c r="B1979" s="1" t="n">
        <v>44847.9502199074</v>
      </c>
      <c r="C1979" s="1" t="n">
        <v>45972</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30138-2025</t>
        </is>
      </c>
      <c r="B1980" s="1" t="n">
        <v>45826.8940162037</v>
      </c>
      <c r="C1980" s="1" t="n">
        <v>45972</v>
      </c>
      <c r="D1980" t="inlineStr">
        <is>
          <t>JÄMTLANDS LÄN</t>
        </is>
      </c>
      <c r="E1980" t="inlineStr">
        <is>
          <t>STRÖMSUND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30140-2025</t>
        </is>
      </c>
      <c r="B1981" s="1" t="n">
        <v>45826.90293981481</v>
      </c>
      <c r="C1981" s="1" t="n">
        <v>45972</v>
      </c>
      <c r="D1981" t="inlineStr">
        <is>
          <t>JÄMTLANDS LÄN</t>
        </is>
      </c>
      <c r="E1981" t="inlineStr">
        <is>
          <t>STRÖMSUND</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30188-2025</t>
        </is>
      </c>
      <c r="B1982" s="1" t="n">
        <v>45827.34741898148</v>
      </c>
      <c r="C1982" s="1" t="n">
        <v>45972</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30407-2025</t>
        </is>
      </c>
      <c r="B1983" s="1" t="n">
        <v>45827.59425925926</v>
      </c>
      <c r="C1983" s="1" t="n">
        <v>45972</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58446-2023</t>
        </is>
      </c>
      <c r="B1984" s="1" t="n">
        <v>45250</v>
      </c>
      <c r="C1984" s="1" t="n">
        <v>45972</v>
      </c>
      <c r="D1984" t="inlineStr">
        <is>
          <t>JÄMTLANDS LÄN</t>
        </is>
      </c>
      <c r="E1984" t="inlineStr">
        <is>
          <t>STRÖMSUND</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45809-2023</t>
        </is>
      </c>
      <c r="B1985" s="1" t="n">
        <v>45195.49412037037</v>
      </c>
      <c r="C1985" s="1" t="n">
        <v>45972</v>
      </c>
      <c r="D1985" t="inlineStr">
        <is>
          <t>JÄMTLANDS LÄN</t>
        </is>
      </c>
      <c r="E1985" t="inlineStr">
        <is>
          <t>STRÖMSUND</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44356-2025</t>
        </is>
      </c>
      <c r="B1986" s="1" t="n">
        <v>45916.44834490741</v>
      </c>
      <c r="C1986" s="1" t="n">
        <v>45972</v>
      </c>
      <c r="D1986" t="inlineStr">
        <is>
          <t>JÄMTLANDS LÄN</t>
        </is>
      </c>
      <c r="E1986" t="inlineStr">
        <is>
          <t>STRÖMSUND</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30755-2025</t>
        </is>
      </c>
      <c r="B1987" s="1" t="n">
        <v>45831.59438657408</v>
      </c>
      <c r="C1987" s="1" t="n">
        <v>45972</v>
      </c>
      <c r="D1987" t="inlineStr">
        <is>
          <t>JÄMTLANDS LÄN</t>
        </is>
      </c>
      <c r="E1987" t="inlineStr">
        <is>
          <t>STRÖMSUND</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30805-2025</t>
        </is>
      </c>
      <c r="B1988" s="1" t="n">
        <v>45831.65662037037</v>
      </c>
      <c r="C1988" s="1" t="n">
        <v>45972</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47391-2022</t>
        </is>
      </c>
      <c r="B1989" s="1" t="n">
        <v>44853</v>
      </c>
      <c r="C1989" s="1" t="n">
        <v>45972</v>
      </c>
      <c r="D1989" t="inlineStr">
        <is>
          <t>JÄMTLANDS LÄN</t>
        </is>
      </c>
      <c r="E1989" t="inlineStr">
        <is>
          <t>STRÖMSUND</t>
        </is>
      </c>
      <c r="F1989" t="inlineStr">
        <is>
          <t>Holmen skog AB</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32362-2022</t>
        </is>
      </c>
      <c r="B1990" s="1" t="n">
        <v>44781.94354166667</v>
      </c>
      <c r="C1990" s="1" t="n">
        <v>45972</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34023-2022</t>
        </is>
      </c>
      <c r="B1991" s="1" t="n">
        <v>44790</v>
      </c>
      <c r="C1991" s="1" t="n">
        <v>45972</v>
      </c>
      <c r="D1991" t="inlineStr">
        <is>
          <t>JÄMTLANDS LÄN</t>
        </is>
      </c>
      <c r="E1991" t="inlineStr">
        <is>
          <t>STRÖMSUND</t>
        </is>
      </c>
      <c r="G1991" t="n">
        <v>34.5</v>
      </c>
      <c r="H1991" t="n">
        <v>0</v>
      </c>
      <c r="I1991" t="n">
        <v>0</v>
      </c>
      <c r="J1991" t="n">
        <v>0</v>
      </c>
      <c r="K1991" t="n">
        <v>0</v>
      </c>
      <c r="L1991" t="n">
        <v>0</v>
      </c>
      <c r="M1991" t="n">
        <v>0</v>
      </c>
      <c r="N1991" t="n">
        <v>0</v>
      </c>
      <c r="O1991" t="n">
        <v>0</v>
      </c>
      <c r="P1991" t="n">
        <v>0</v>
      </c>
      <c r="Q1991" t="n">
        <v>0</v>
      </c>
      <c r="R1991" s="2" t="inlineStr"/>
    </row>
    <row r="1992" ht="15" customHeight="1">
      <c r="A1992" t="inlineStr">
        <is>
          <t>A 31155-2025</t>
        </is>
      </c>
      <c r="B1992" s="1" t="n">
        <v>45832.65060185185</v>
      </c>
      <c r="C1992" s="1" t="n">
        <v>45972</v>
      </c>
      <c r="D1992" t="inlineStr">
        <is>
          <t>JÄMTLANDS LÄN</t>
        </is>
      </c>
      <c r="E1992" t="inlineStr">
        <is>
          <t>STRÖMSUND</t>
        </is>
      </c>
      <c r="F1992" t="inlineStr">
        <is>
          <t>Holmen skog AB</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31141-2025</t>
        </is>
      </c>
      <c r="B1993" s="1" t="n">
        <v>45832.63659722222</v>
      </c>
      <c r="C1993" s="1" t="n">
        <v>45972</v>
      </c>
      <c r="D1993" t="inlineStr">
        <is>
          <t>JÄMTLANDS LÄN</t>
        </is>
      </c>
      <c r="E1993" t="inlineStr">
        <is>
          <t>STRÖMSUND</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31187-2025</t>
        </is>
      </c>
      <c r="B1994" s="1" t="n">
        <v>45832.67828703704</v>
      </c>
      <c r="C1994" s="1" t="n">
        <v>45972</v>
      </c>
      <c r="D1994" t="inlineStr">
        <is>
          <t>JÄMTLANDS LÄN</t>
        </is>
      </c>
      <c r="E1994" t="inlineStr">
        <is>
          <t>STRÖMSUND</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30833-2025</t>
        </is>
      </c>
      <c r="B1995" s="1" t="n">
        <v>45831.69828703703</v>
      </c>
      <c r="C1995" s="1" t="n">
        <v>45972</v>
      </c>
      <c r="D1995" t="inlineStr">
        <is>
          <t>JÄMTLANDS LÄN</t>
        </is>
      </c>
      <c r="E1995" t="inlineStr">
        <is>
          <t>STRÖMSUND</t>
        </is>
      </c>
      <c r="F1995" t="inlineStr">
        <is>
          <t>SCA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1929-2024</t>
        </is>
      </c>
      <c r="B1996" s="1" t="n">
        <v>45308.45653935185</v>
      </c>
      <c r="C1996" s="1" t="n">
        <v>45972</v>
      </c>
      <c r="D1996" t="inlineStr">
        <is>
          <t>JÄMTLANDS LÄN</t>
        </is>
      </c>
      <c r="E1996" t="inlineStr">
        <is>
          <t>STRÖMSUND</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52806-2025</t>
        </is>
      </c>
      <c r="B1997" s="1" t="n">
        <v>45957.44835648148</v>
      </c>
      <c r="C1997" s="1" t="n">
        <v>45972</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31142-2025</t>
        </is>
      </c>
      <c r="B1998" s="1" t="n">
        <v>45832.63677083333</v>
      </c>
      <c r="C1998" s="1" t="n">
        <v>45972</v>
      </c>
      <c r="D1998" t="inlineStr">
        <is>
          <t>JÄMTLANDS LÄN</t>
        </is>
      </c>
      <c r="E1998" t="inlineStr">
        <is>
          <t>STRÖMSUND</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31091-2025</t>
        </is>
      </c>
      <c r="B1999" s="1" t="n">
        <v>45832.59475694445</v>
      </c>
      <c r="C1999" s="1" t="n">
        <v>45972</v>
      </c>
      <c r="D1999" t="inlineStr">
        <is>
          <t>JÄMTLANDS LÄN</t>
        </is>
      </c>
      <c r="E1999" t="inlineStr">
        <is>
          <t>STRÖMSUND</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44457-2025</t>
        </is>
      </c>
      <c r="B2000" s="1" t="n">
        <v>45916.61498842593</v>
      </c>
      <c r="C2000" s="1" t="n">
        <v>45972</v>
      </c>
      <c r="D2000" t="inlineStr">
        <is>
          <t>JÄMTLANDS LÄN</t>
        </is>
      </c>
      <c r="E2000" t="inlineStr">
        <is>
          <t>STRÖMSUND</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33502-2022</t>
        </is>
      </c>
      <c r="B2001" s="1" t="n">
        <v>44788.92712962963</v>
      </c>
      <c r="C2001" s="1" t="n">
        <v>45972</v>
      </c>
      <c r="D2001" t="inlineStr">
        <is>
          <t>JÄMTLANDS LÄN</t>
        </is>
      </c>
      <c r="E2001" t="inlineStr">
        <is>
          <t>STRÖMSUND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30807-2025</t>
        </is>
      </c>
      <c r="B2002" s="1" t="n">
        <v>45831.65692129629</v>
      </c>
      <c r="C2002" s="1" t="n">
        <v>45972</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30712-2025</t>
        </is>
      </c>
      <c r="B2003" s="1" t="n">
        <v>45831.55253472222</v>
      </c>
      <c r="C2003" s="1" t="n">
        <v>45972</v>
      </c>
      <c r="D2003" t="inlineStr">
        <is>
          <t>JÄMTLANDS LÄN</t>
        </is>
      </c>
      <c r="E2003" t="inlineStr">
        <is>
          <t>STRÖMSUND</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16722-2025</t>
        </is>
      </c>
      <c r="B2004" s="1" t="n">
        <v>45754.49059027778</v>
      </c>
      <c r="C2004" s="1" t="n">
        <v>45972</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41261-2025</t>
        </is>
      </c>
      <c r="B2005" s="1" t="n">
        <v>45898</v>
      </c>
      <c r="C2005" s="1" t="n">
        <v>45972</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51077-2023</t>
        </is>
      </c>
      <c r="B2006" s="1" t="n">
        <v>45211</v>
      </c>
      <c r="C2006" s="1" t="n">
        <v>45972</v>
      </c>
      <c r="D2006" t="inlineStr">
        <is>
          <t>JÄMTLANDS LÄN</t>
        </is>
      </c>
      <c r="E2006" t="inlineStr">
        <is>
          <t>STRÖMSUND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26665-2023</t>
        </is>
      </c>
      <c r="B2007" s="1" t="n">
        <v>45092.94055555556</v>
      </c>
      <c r="C2007" s="1" t="n">
        <v>45972</v>
      </c>
      <c r="D2007" t="inlineStr">
        <is>
          <t>JÄMTLANDS LÄN</t>
        </is>
      </c>
      <c r="E2007" t="inlineStr">
        <is>
          <t>STRÖMSUND</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26666-2023</t>
        </is>
      </c>
      <c r="B2008" s="1" t="n">
        <v>45092.940625</v>
      </c>
      <c r="C2008" s="1" t="n">
        <v>45972</v>
      </c>
      <c r="D2008" t="inlineStr">
        <is>
          <t>JÄMTLANDS LÄN</t>
        </is>
      </c>
      <c r="E2008" t="inlineStr">
        <is>
          <t>STRÖMSUND</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44250-2025</t>
        </is>
      </c>
      <c r="B2009" s="1" t="n">
        <v>45915.69828703703</v>
      </c>
      <c r="C2009" s="1" t="n">
        <v>45972</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31160-2025</t>
        </is>
      </c>
      <c r="B2010" s="1" t="n">
        <v>45832.65451388889</v>
      </c>
      <c r="C2010" s="1" t="n">
        <v>45972</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31184-2025</t>
        </is>
      </c>
      <c r="B2011" s="1" t="n">
        <v>45832.67788194444</v>
      </c>
      <c r="C2011" s="1" t="n">
        <v>45972</v>
      </c>
      <c r="D2011" t="inlineStr">
        <is>
          <t>JÄMTLANDS LÄN</t>
        </is>
      </c>
      <c r="E2011" t="inlineStr">
        <is>
          <t>STRÖMSUND</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30568-2025</t>
        </is>
      </c>
      <c r="B2012" s="1" t="n">
        <v>45831.40677083333</v>
      </c>
      <c r="C2012" s="1" t="n">
        <v>45972</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53259-2025</t>
        </is>
      </c>
      <c r="B2013" s="1" t="n">
        <v>45958.67768518518</v>
      </c>
      <c r="C2013" s="1" t="n">
        <v>45972</v>
      </c>
      <c r="D2013" t="inlineStr">
        <is>
          <t>JÄMTLANDS LÄN</t>
        </is>
      </c>
      <c r="E2013" t="inlineStr">
        <is>
          <t>STRÖMSUND</t>
        </is>
      </c>
      <c r="F2013" t="inlineStr">
        <is>
          <t>SCA</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31769-2025</t>
        </is>
      </c>
      <c r="B2014" s="1" t="n">
        <v>45834.5025</v>
      </c>
      <c r="C2014" s="1" t="n">
        <v>45972</v>
      </c>
      <c r="D2014" t="inlineStr">
        <is>
          <t>JÄMTLANDS LÄN</t>
        </is>
      </c>
      <c r="E2014" t="inlineStr">
        <is>
          <t>STRÖMSUND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31694-2025</t>
        </is>
      </c>
      <c r="B2015" s="1" t="n">
        <v>45834.40692129629</v>
      </c>
      <c r="C2015" s="1" t="n">
        <v>45972</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18236-2024</t>
        </is>
      </c>
      <c r="B2016" s="1" t="n">
        <v>45420</v>
      </c>
      <c r="C2016" s="1" t="n">
        <v>45972</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15141-2022</t>
        </is>
      </c>
      <c r="B2017" s="1" t="n">
        <v>44658</v>
      </c>
      <c r="C2017" s="1" t="n">
        <v>45972</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31441-2025</t>
        </is>
      </c>
      <c r="B2018" s="1" t="n">
        <v>45833.51097222222</v>
      </c>
      <c r="C2018" s="1" t="n">
        <v>45972</v>
      </c>
      <c r="D2018" t="inlineStr">
        <is>
          <t>JÄMTLANDS LÄN</t>
        </is>
      </c>
      <c r="E2018" t="inlineStr">
        <is>
          <t>STRÖMSUND</t>
        </is>
      </c>
      <c r="F2018" t="inlineStr">
        <is>
          <t>SCA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44514-2025</t>
        </is>
      </c>
      <c r="B2019" s="1" t="n">
        <v>45916.69831018519</v>
      </c>
      <c r="C2019" s="1" t="n">
        <v>45972</v>
      </c>
      <c r="D2019" t="inlineStr">
        <is>
          <t>JÄMTLANDS LÄN</t>
        </is>
      </c>
      <c r="E2019" t="inlineStr">
        <is>
          <t>STRÖMSUND</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44219-2025</t>
        </is>
      </c>
      <c r="B2020" s="1" t="n">
        <v>45915.63640046296</v>
      </c>
      <c r="C2020" s="1" t="n">
        <v>45972</v>
      </c>
      <c r="D2020" t="inlineStr">
        <is>
          <t>JÄMTLANDS LÄN</t>
        </is>
      </c>
      <c r="E2020" t="inlineStr">
        <is>
          <t>STRÖMSUND</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34005-2023</t>
        </is>
      </c>
      <c r="B2021" s="1" t="n">
        <v>45134</v>
      </c>
      <c r="C2021" s="1" t="n">
        <v>45972</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31877-2025</t>
        </is>
      </c>
      <c r="B2022" s="1" t="n">
        <v>45834.65267361111</v>
      </c>
      <c r="C2022" s="1" t="n">
        <v>45972</v>
      </c>
      <c r="D2022" t="inlineStr">
        <is>
          <t>JÄMTLANDS LÄN</t>
        </is>
      </c>
      <c r="E2022" t="inlineStr">
        <is>
          <t>STRÖMSUND</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53263-2025</t>
        </is>
      </c>
      <c r="B2023" s="1" t="n">
        <v>45958.67818287037</v>
      </c>
      <c r="C2023" s="1" t="n">
        <v>45972</v>
      </c>
      <c r="D2023" t="inlineStr">
        <is>
          <t>JÄMTLANDS LÄN</t>
        </is>
      </c>
      <c r="E2023" t="inlineStr">
        <is>
          <t>STRÖMSUND</t>
        </is>
      </c>
      <c r="F2023" t="inlineStr">
        <is>
          <t>SCA</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17191-2025</t>
        </is>
      </c>
      <c r="B2024" s="1" t="n">
        <v>45756.39342592593</v>
      </c>
      <c r="C2024" s="1" t="n">
        <v>45972</v>
      </c>
      <c r="D2024" t="inlineStr">
        <is>
          <t>JÄMTLANDS LÄN</t>
        </is>
      </c>
      <c r="E2024" t="inlineStr">
        <is>
          <t>STRÖMSUND</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17213-2025</t>
        </is>
      </c>
      <c r="B2025" s="1" t="n">
        <v>45756.44826388889</v>
      </c>
      <c r="C2025" s="1" t="n">
        <v>45972</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52749-2025</t>
        </is>
      </c>
      <c r="B2026" s="1" t="n">
        <v>45957.38637731481</v>
      </c>
      <c r="C2026" s="1" t="n">
        <v>45972</v>
      </c>
      <c r="D2026" t="inlineStr">
        <is>
          <t>JÄMTLANDS LÄN</t>
        </is>
      </c>
      <c r="E2026" t="inlineStr">
        <is>
          <t>STRÖMSUND</t>
        </is>
      </c>
      <c r="F2026" t="inlineStr">
        <is>
          <t>Övriga statliga verk och myndigheter</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44037-2025</t>
        </is>
      </c>
      <c r="B2027" s="1" t="n">
        <v>45915.49099537037</v>
      </c>
      <c r="C2027" s="1" t="n">
        <v>45972</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44442-2025</t>
        </is>
      </c>
      <c r="B2028" s="1" t="n">
        <v>45916.59424768519</v>
      </c>
      <c r="C2028" s="1" t="n">
        <v>45972</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45619-2025</t>
        </is>
      </c>
      <c r="B2029" s="1" t="n">
        <v>45922</v>
      </c>
      <c r="C2029" s="1" t="n">
        <v>45972</v>
      </c>
      <c r="D2029" t="inlineStr">
        <is>
          <t>JÄMTLANDS LÄN</t>
        </is>
      </c>
      <c r="E2029" t="inlineStr">
        <is>
          <t>STRÖMSUND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44459-2025</t>
        </is>
      </c>
      <c r="B2030" s="1" t="n">
        <v>45916.61518518518</v>
      </c>
      <c r="C2030" s="1" t="n">
        <v>45972</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34512-2022</t>
        </is>
      </c>
      <c r="B2031" s="1" t="n">
        <v>44792.92616898148</v>
      </c>
      <c r="C2031" s="1" t="n">
        <v>45972</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34524-2022</t>
        </is>
      </c>
      <c r="B2032" s="1" t="n">
        <v>44792.94508101852</v>
      </c>
      <c r="C2032" s="1" t="n">
        <v>45972</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31712-2025</t>
        </is>
      </c>
      <c r="B2033" s="1" t="n">
        <v>45834.44834490741</v>
      </c>
      <c r="C2033" s="1" t="n">
        <v>45972</v>
      </c>
      <c r="D2033" t="inlineStr">
        <is>
          <t>JÄMTLANDS LÄN</t>
        </is>
      </c>
      <c r="E2033" t="inlineStr">
        <is>
          <t>STRÖMSUND</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44912-2025</t>
        </is>
      </c>
      <c r="B2034" s="1" t="n">
        <v>45918.53466435185</v>
      </c>
      <c r="C2034" s="1" t="n">
        <v>45972</v>
      </c>
      <c r="D2034" t="inlineStr">
        <is>
          <t>JÄMTLANDS LÄN</t>
        </is>
      </c>
      <c r="E2034" t="inlineStr">
        <is>
          <t>STRÖMSUND</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31722-2025</t>
        </is>
      </c>
      <c r="B2035" s="1" t="n">
        <v>45834.46181712963</v>
      </c>
      <c r="C2035" s="1" t="n">
        <v>45972</v>
      </c>
      <c r="D2035" t="inlineStr">
        <is>
          <t>JÄMTLANDS LÄN</t>
        </is>
      </c>
      <c r="E2035" t="inlineStr">
        <is>
          <t>STRÖMSUND</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54598-2023</t>
        </is>
      </c>
      <c r="B2036" s="1" t="n">
        <v>45233.92585648148</v>
      </c>
      <c r="C2036" s="1" t="n">
        <v>45972</v>
      </c>
      <c r="D2036" t="inlineStr">
        <is>
          <t>JÄMTLANDS LÄN</t>
        </is>
      </c>
      <c r="E2036" t="inlineStr">
        <is>
          <t>STRÖMSUND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53671-2025</t>
        </is>
      </c>
      <c r="B2037" s="1" t="n">
        <v>45960.55252314815</v>
      </c>
      <c r="C2037" s="1" t="n">
        <v>45972</v>
      </c>
      <c r="D2037" t="inlineStr">
        <is>
          <t>JÄMTLANDS LÄN</t>
        </is>
      </c>
      <c r="E2037" t="inlineStr">
        <is>
          <t>STRÖMSUND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44928-2025</t>
        </is>
      </c>
      <c r="B2038" s="1" t="n">
        <v>45918.56171296296</v>
      </c>
      <c r="C2038" s="1" t="n">
        <v>45972</v>
      </c>
      <c r="D2038" t="inlineStr">
        <is>
          <t>JÄMTLANDS LÄN</t>
        </is>
      </c>
      <c r="E2038" t="inlineStr">
        <is>
          <t>STRÖMSUND</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48420-2023</t>
        </is>
      </c>
      <c r="B2039" s="1" t="n">
        <v>45205</v>
      </c>
      <c r="C2039" s="1" t="n">
        <v>45972</v>
      </c>
      <c r="D2039" t="inlineStr">
        <is>
          <t>JÄMTLANDS LÄN</t>
        </is>
      </c>
      <c r="E2039" t="inlineStr">
        <is>
          <t>STRÖMSUND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53581-2025</t>
        </is>
      </c>
      <c r="B2040" s="1" t="n">
        <v>45960.42800925926</v>
      </c>
      <c r="C2040" s="1" t="n">
        <v>45972</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10163-2025</t>
        </is>
      </c>
      <c r="B2041" s="1" t="n">
        <v>45719.64944444445</v>
      </c>
      <c r="C2041" s="1" t="n">
        <v>45972</v>
      </c>
      <c r="D2041" t="inlineStr">
        <is>
          <t>JÄMTLANDS LÄN</t>
        </is>
      </c>
      <c r="E2041" t="inlineStr">
        <is>
          <t>STRÖMSUND</t>
        </is>
      </c>
      <c r="F2041" t="inlineStr">
        <is>
          <t>Kyrkan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32657-2025</t>
        </is>
      </c>
      <c r="B2042" s="1" t="n">
        <v>45838.67841435185</v>
      </c>
      <c r="C2042" s="1" t="n">
        <v>45972</v>
      </c>
      <c r="D2042" t="inlineStr">
        <is>
          <t>JÄMTLANDS LÄN</t>
        </is>
      </c>
      <c r="E2042" t="inlineStr">
        <is>
          <t>STRÖMSUND</t>
        </is>
      </c>
      <c r="G2042" t="n">
        <v>15.4</v>
      </c>
      <c r="H2042" t="n">
        <v>0</v>
      </c>
      <c r="I2042" t="n">
        <v>0</v>
      </c>
      <c r="J2042" t="n">
        <v>0</v>
      </c>
      <c r="K2042" t="n">
        <v>0</v>
      </c>
      <c r="L2042" t="n">
        <v>0</v>
      </c>
      <c r="M2042" t="n">
        <v>0</v>
      </c>
      <c r="N2042" t="n">
        <v>0</v>
      </c>
      <c r="O2042" t="n">
        <v>0</v>
      </c>
      <c r="P2042" t="n">
        <v>0</v>
      </c>
      <c r="Q2042" t="n">
        <v>0</v>
      </c>
      <c r="R2042" s="2" t="inlineStr"/>
    </row>
    <row r="2043" ht="15" customHeight="1">
      <c r="A2043" t="inlineStr">
        <is>
          <t>A 54482-2023</t>
        </is>
      </c>
      <c r="B2043" s="1" t="n">
        <v>45233</v>
      </c>
      <c r="C2043" s="1" t="n">
        <v>45972</v>
      </c>
      <c r="D2043" t="inlineStr">
        <is>
          <t>JÄMTLANDS LÄN</t>
        </is>
      </c>
      <c r="E2043" t="inlineStr">
        <is>
          <t>STRÖMSUND</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60310-2024</t>
        </is>
      </c>
      <c r="B2044" s="1" t="n">
        <v>45643.34416666667</v>
      </c>
      <c r="C2044" s="1" t="n">
        <v>45972</v>
      </c>
      <c r="D2044" t="inlineStr">
        <is>
          <t>JÄMTLANDS LÄN</t>
        </is>
      </c>
      <c r="E2044" t="inlineStr">
        <is>
          <t>STRÖMSUND</t>
        </is>
      </c>
      <c r="F2044" t="inlineStr">
        <is>
          <t>SCA</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32297-2025</t>
        </is>
      </c>
      <c r="B2045" s="1" t="n">
        <v>45835.71186342592</v>
      </c>
      <c r="C2045" s="1" t="n">
        <v>45972</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32473-2025</t>
        </is>
      </c>
      <c r="B2046" s="1" t="n">
        <v>45838.42783564814</v>
      </c>
      <c r="C2046" s="1" t="n">
        <v>45972</v>
      </c>
      <c r="D2046" t="inlineStr">
        <is>
          <t>JÄMTLANDS LÄN</t>
        </is>
      </c>
      <c r="E2046" t="inlineStr">
        <is>
          <t>STRÖMSUND</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15375-2024</t>
        </is>
      </c>
      <c r="B2047" s="1" t="n">
        <v>45400</v>
      </c>
      <c r="C2047" s="1" t="n">
        <v>45972</v>
      </c>
      <c r="D2047" t="inlineStr">
        <is>
          <t>JÄMTLANDS LÄN</t>
        </is>
      </c>
      <c r="E2047" t="inlineStr">
        <is>
          <t>STRÖMSUND</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32567-2025</t>
        </is>
      </c>
      <c r="B2048" s="1" t="n">
        <v>45838.5737037037</v>
      </c>
      <c r="C2048" s="1" t="n">
        <v>45972</v>
      </c>
      <c r="D2048" t="inlineStr">
        <is>
          <t>JÄMTLANDS LÄN</t>
        </is>
      </c>
      <c r="E2048" t="inlineStr">
        <is>
          <t>STRÖMSUND</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15950-2025</t>
        </is>
      </c>
      <c r="B2049" s="1" t="n">
        <v>45749.4984837963</v>
      </c>
      <c r="C2049" s="1" t="n">
        <v>45972</v>
      </c>
      <c r="D2049" t="inlineStr">
        <is>
          <t>JÄMTLANDS LÄN</t>
        </is>
      </c>
      <c r="E2049" t="inlineStr">
        <is>
          <t>STRÖMSUND</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32471-2025</t>
        </is>
      </c>
      <c r="B2050" s="1" t="n">
        <v>45838.42762731481</v>
      </c>
      <c r="C2050" s="1" t="n">
        <v>45972</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32595-2025</t>
        </is>
      </c>
      <c r="B2051" s="1" t="n">
        <v>45838.61568287037</v>
      </c>
      <c r="C2051" s="1" t="n">
        <v>45972</v>
      </c>
      <c r="D2051" t="inlineStr">
        <is>
          <t>JÄMTLANDS LÄN</t>
        </is>
      </c>
      <c r="E2051" t="inlineStr">
        <is>
          <t>STRÖMSUND</t>
        </is>
      </c>
      <c r="F2051" t="inlineStr">
        <is>
          <t>SCA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32006-2025</t>
        </is>
      </c>
      <c r="B2052" s="1" t="n">
        <v>45835.38586805556</v>
      </c>
      <c r="C2052" s="1" t="n">
        <v>45972</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44634-2025</t>
        </is>
      </c>
      <c r="B2053" s="1" t="n">
        <v>45917.48998842593</v>
      </c>
      <c r="C2053" s="1" t="n">
        <v>45972</v>
      </c>
      <c r="D2053" t="inlineStr">
        <is>
          <t>JÄMTLANDS LÄN</t>
        </is>
      </c>
      <c r="E2053" t="inlineStr">
        <is>
          <t>STRÖMSUND</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32023-2025</t>
        </is>
      </c>
      <c r="B2054" s="1" t="n">
        <v>45835.40689814815</v>
      </c>
      <c r="C2054" s="1" t="n">
        <v>45972</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32027-2025</t>
        </is>
      </c>
      <c r="B2055" s="1" t="n">
        <v>45835.40758101852</v>
      </c>
      <c r="C2055" s="1" t="n">
        <v>45972</v>
      </c>
      <c r="D2055" t="inlineStr">
        <is>
          <t>JÄMTLANDS LÄN</t>
        </is>
      </c>
      <c r="E2055" t="inlineStr">
        <is>
          <t>STRÖMSUND</t>
        </is>
      </c>
      <c r="F2055" t="inlineStr">
        <is>
          <t>SCA</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32103-2025</t>
        </is>
      </c>
      <c r="B2056" s="1" t="n">
        <v>45835.46946759259</v>
      </c>
      <c r="C2056" s="1" t="n">
        <v>45972</v>
      </c>
      <c r="D2056" t="inlineStr">
        <is>
          <t>JÄMTLANDS LÄN</t>
        </is>
      </c>
      <c r="E2056" t="inlineStr">
        <is>
          <t>STRÖMSUND</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8809-2025</t>
        </is>
      </c>
      <c r="B2057" s="1" t="n">
        <v>45712.67755787037</v>
      </c>
      <c r="C2057" s="1" t="n">
        <v>45972</v>
      </c>
      <c r="D2057" t="inlineStr">
        <is>
          <t>JÄMTLANDS LÄN</t>
        </is>
      </c>
      <c r="E2057" t="inlineStr">
        <is>
          <t>STRÖMSUND</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1271-2024</t>
        </is>
      </c>
      <c r="B2058" s="1" t="n">
        <v>45302.93324074074</v>
      </c>
      <c r="C2058" s="1" t="n">
        <v>45972</v>
      </c>
      <c r="D2058" t="inlineStr">
        <is>
          <t>JÄMTLANDS LÄN</t>
        </is>
      </c>
      <c r="E2058" t="inlineStr">
        <is>
          <t>STRÖMSUND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8812-2025</t>
        </is>
      </c>
      <c r="B2059" s="1" t="n">
        <v>45712.68813657408</v>
      </c>
      <c r="C2059" s="1" t="n">
        <v>45972</v>
      </c>
      <c r="D2059" t="inlineStr">
        <is>
          <t>JÄMTLANDS LÄN</t>
        </is>
      </c>
      <c r="E2059" t="inlineStr">
        <is>
          <t>STRÖMSUND</t>
        </is>
      </c>
      <c r="F2059" t="inlineStr">
        <is>
          <t>Kyrkan</t>
        </is>
      </c>
      <c r="G2059" t="n">
        <v>38.1</v>
      </c>
      <c r="H2059" t="n">
        <v>0</v>
      </c>
      <c r="I2059" t="n">
        <v>0</v>
      </c>
      <c r="J2059" t="n">
        <v>0</v>
      </c>
      <c r="K2059" t="n">
        <v>0</v>
      </c>
      <c r="L2059" t="n">
        <v>0</v>
      </c>
      <c r="M2059" t="n">
        <v>0</v>
      </c>
      <c r="N2059" t="n">
        <v>0</v>
      </c>
      <c r="O2059" t="n">
        <v>0</v>
      </c>
      <c r="P2059" t="n">
        <v>0</v>
      </c>
      <c r="Q2059" t="n">
        <v>0</v>
      </c>
      <c r="R2059" s="2" t="inlineStr"/>
    </row>
    <row r="2060" ht="15" customHeight="1">
      <c r="A2060" t="inlineStr">
        <is>
          <t>A 32028-2025</t>
        </is>
      </c>
      <c r="B2060" s="1" t="n">
        <v>45835.40774305556</v>
      </c>
      <c r="C2060" s="1" t="n">
        <v>45972</v>
      </c>
      <c r="D2060" t="inlineStr">
        <is>
          <t>JÄMTLANDS LÄN</t>
        </is>
      </c>
      <c r="E2060" t="inlineStr">
        <is>
          <t>STRÖMSUND</t>
        </is>
      </c>
      <c r="F2060" t="inlineStr">
        <is>
          <t>SCA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56312-2023</t>
        </is>
      </c>
      <c r="B2061" s="1" t="n">
        <v>45242</v>
      </c>
      <c r="C2061" s="1" t="n">
        <v>45972</v>
      </c>
      <c r="D2061" t="inlineStr">
        <is>
          <t>JÄMTLANDS LÄN</t>
        </is>
      </c>
      <c r="E2061" t="inlineStr">
        <is>
          <t>STRÖMSUND</t>
        </is>
      </c>
      <c r="F2061" t="inlineStr">
        <is>
          <t>SCA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53339-2025</t>
        </is>
      </c>
      <c r="B2062" s="1" t="n">
        <v>45959.40692129629</v>
      </c>
      <c r="C2062" s="1" t="n">
        <v>45972</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53406-2025</t>
        </is>
      </c>
      <c r="B2063" s="1" t="n">
        <v>45959.57344907407</v>
      </c>
      <c r="C2063" s="1" t="n">
        <v>45972</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32652-2025</t>
        </is>
      </c>
      <c r="B2064" s="1" t="n">
        <v>45838.67770833334</v>
      </c>
      <c r="C2064" s="1" t="n">
        <v>45972</v>
      </c>
      <c r="D2064" t="inlineStr">
        <is>
          <t>JÄMTLANDS LÄN</t>
        </is>
      </c>
      <c r="E2064" t="inlineStr">
        <is>
          <t>STRÖMSUND</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53720-2025</t>
        </is>
      </c>
      <c r="B2065" s="1" t="n">
        <v>45960.62061342593</v>
      </c>
      <c r="C2065" s="1" t="n">
        <v>45972</v>
      </c>
      <c r="D2065" t="inlineStr">
        <is>
          <t>JÄMTLANDS LÄN</t>
        </is>
      </c>
      <c r="E2065" t="inlineStr">
        <is>
          <t>STRÖMSUND</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32418-2025</t>
        </is>
      </c>
      <c r="B2066" s="1" t="n">
        <v>45838.34474537037</v>
      </c>
      <c r="C2066" s="1" t="n">
        <v>45972</v>
      </c>
      <c r="D2066" t="inlineStr">
        <is>
          <t>JÄMTLANDS LÄN</t>
        </is>
      </c>
      <c r="E2066" t="inlineStr">
        <is>
          <t>STRÖMSUND</t>
        </is>
      </c>
      <c r="F2066" t="inlineStr">
        <is>
          <t>SCA</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57549-2023</t>
        </is>
      </c>
      <c r="B2067" s="1" t="n">
        <v>45246.48318287037</v>
      </c>
      <c r="C2067" s="1" t="n">
        <v>45972</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44761-2025</t>
        </is>
      </c>
      <c r="B2068" s="1" t="n">
        <v>45917.71915509259</v>
      </c>
      <c r="C2068" s="1" t="n">
        <v>45972</v>
      </c>
      <c r="D2068" t="inlineStr">
        <is>
          <t>JÄMTLANDS LÄN</t>
        </is>
      </c>
      <c r="E2068" t="inlineStr">
        <is>
          <t>STRÖMSUND</t>
        </is>
      </c>
      <c r="F2068" t="inlineStr">
        <is>
          <t>SCA</t>
        </is>
      </c>
      <c r="G2068" t="n">
        <v>29.7</v>
      </c>
      <c r="H2068" t="n">
        <v>0</v>
      </c>
      <c r="I2068" t="n">
        <v>0</v>
      </c>
      <c r="J2068" t="n">
        <v>0</v>
      </c>
      <c r="K2068" t="n">
        <v>0</v>
      </c>
      <c r="L2068" t="n">
        <v>0</v>
      </c>
      <c r="M2068" t="n">
        <v>0</v>
      </c>
      <c r="N2068" t="n">
        <v>0</v>
      </c>
      <c r="O2068" t="n">
        <v>0</v>
      </c>
      <c r="P2068" t="n">
        <v>0</v>
      </c>
      <c r="Q2068" t="n">
        <v>0</v>
      </c>
      <c r="R2068" s="2" t="inlineStr"/>
    </row>
    <row r="2069" ht="15" customHeight="1">
      <c r="A2069" t="inlineStr">
        <is>
          <t>A 55657-2023</t>
        </is>
      </c>
      <c r="B2069" s="1" t="n">
        <v>45238</v>
      </c>
      <c r="C2069" s="1" t="n">
        <v>45972</v>
      </c>
      <c r="D2069" t="inlineStr">
        <is>
          <t>JÄMTLANDS LÄN</t>
        </is>
      </c>
      <c r="E2069" t="inlineStr">
        <is>
          <t>STRÖMSUND</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32072-2025</t>
        </is>
      </c>
      <c r="B2070" s="1" t="n">
        <v>45835.44925925926</v>
      </c>
      <c r="C2070" s="1" t="n">
        <v>45972</v>
      </c>
      <c r="D2070" t="inlineStr">
        <is>
          <t>JÄMTLANDS LÄN</t>
        </is>
      </c>
      <c r="E2070" t="inlineStr">
        <is>
          <t>STRÖMSUND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32750-2025</t>
        </is>
      </c>
      <c r="B2071" s="1" t="n">
        <v>45839.42850694444</v>
      </c>
      <c r="C2071" s="1" t="n">
        <v>45972</v>
      </c>
      <c r="D2071" t="inlineStr">
        <is>
          <t>JÄMTLANDS LÄN</t>
        </is>
      </c>
      <c r="E2071" t="inlineStr">
        <is>
          <t>STRÖMSUND</t>
        </is>
      </c>
      <c r="F2071" t="inlineStr">
        <is>
          <t>SCA</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32734-2025</t>
        </is>
      </c>
      <c r="B2072" s="1" t="n">
        <v>45839.40707175926</v>
      </c>
      <c r="C2072" s="1" t="n">
        <v>45972</v>
      </c>
      <c r="D2072" t="inlineStr">
        <is>
          <t>JÄMTLANDS LÄN</t>
        </is>
      </c>
      <c r="E2072" t="inlineStr">
        <is>
          <t>STRÖMSUND</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32925-2025</t>
        </is>
      </c>
      <c r="B2073" s="1" t="n">
        <v>45839.65662037037</v>
      </c>
      <c r="C2073" s="1" t="n">
        <v>45972</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32442-2025</t>
        </is>
      </c>
      <c r="B2074" s="1" t="n">
        <v>45838.38597222222</v>
      </c>
      <c r="C2074" s="1" t="n">
        <v>45972</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15134-2025</t>
        </is>
      </c>
      <c r="B2075" s="1" t="n">
        <v>45744.38596064815</v>
      </c>
      <c r="C2075" s="1" t="n">
        <v>45972</v>
      </c>
      <c r="D2075" t="inlineStr">
        <is>
          <t>JÄMTLANDS LÄN</t>
        </is>
      </c>
      <c r="E2075" t="inlineStr">
        <is>
          <t>STRÖMSUND</t>
        </is>
      </c>
      <c r="F2075" t="inlineStr">
        <is>
          <t>SCA</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32733-2025</t>
        </is>
      </c>
      <c r="B2076" s="1" t="n">
        <v>45839.40694444445</v>
      </c>
      <c r="C2076" s="1" t="n">
        <v>45972</v>
      </c>
      <c r="D2076" t="inlineStr">
        <is>
          <t>JÄMTLANDS LÄN</t>
        </is>
      </c>
      <c r="E2076" t="inlineStr">
        <is>
          <t>STRÖMSUND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44574-2025</t>
        </is>
      </c>
      <c r="B2077" s="1" t="n">
        <v>45917.39420138889</v>
      </c>
      <c r="C2077" s="1" t="n">
        <v>45972</v>
      </c>
      <c r="D2077" t="inlineStr">
        <is>
          <t>JÄMTLANDS LÄN</t>
        </is>
      </c>
      <c r="E2077" t="inlineStr">
        <is>
          <t>STRÖMSUND</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17256-2025</t>
        </is>
      </c>
      <c r="B2078" s="1" t="n">
        <v>45756.5315162037</v>
      </c>
      <c r="C2078" s="1" t="n">
        <v>45972</v>
      </c>
      <c r="D2078" t="inlineStr">
        <is>
          <t>JÄMTLANDS LÄN</t>
        </is>
      </c>
      <c r="E2078" t="inlineStr">
        <is>
          <t>STRÖMSUND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12870-2025</t>
        </is>
      </c>
      <c r="B2079" s="1" t="n">
        <v>45733.67751157407</v>
      </c>
      <c r="C2079" s="1" t="n">
        <v>45972</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32895-2025</t>
        </is>
      </c>
      <c r="B2080" s="1" t="n">
        <v>45839.61513888889</v>
      </c>
      <c r="C2080" s="1" t="n">
        <v>45972</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53217-2024</t>
        </is>
      </c>
      <c r="B2081" s="1" t="n">
        <v>45612.83778935186</v>
      </c>
      <c r="C2081" s="1" t="n">
        <v>45972</v>
      </c>
      <c r="D2081" t="inlineStr">
        <is>
          <t>JÄMTLANDS LÄN</t>
        </is>
      </c>
      <c r="E2081" t="inlineStr">
        <is>
          <t>STRÖMSUND</t>
        </is>
      </c>
      <c r="G2081" t="n">
        <v>27.9</v>
      </c>
      <c r="H2081" t="n">
        <v>0</v>
      </c>
      <c r="I2081" t="n">
        <v>0</v>
      </c>
      <c r="J2081" t="n">
        <v>0</v>
      </c>
      <c r="K2081" t="n">
        <v>0</v>
      </c>
      <c r="L2081" t="n">
        <v>0</v>
      </c>
      <c r="M2081" t="n">
        <v>0</v>
      </c>
      <c r="N2081" t="n">
        <v>0</v>
      </c>
      <c r="O2081" t="n">
        <v>0</v>
      </c>
      <c r="P2081" t="n">
        <v>0</v>
      </c>
      <c r="Q2081" t="n">
        <v>0</v>
      </c>
      <c r="R2081" s="2" t="inlineStr"/>
    </row>
    <row r="2082" ht="15" customHeight="1">
      <c r="A2082" t="inlineStr">
        <is>
          <t>A 33212-2025</t>
        </is>
      </c>
      <c r="B2082" s="1" t="n">
        <v>45840.62780092593</v>
      </c>
      <c r="C2082" s="1" t="n">
        <v>45972</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32746-2025</t>
        </is>
      </c>
      <c r="B2083" s="1" t="n">
        <v>45839.42783564814</v>
      </c>
      <c r="C2083" s="1" t="n">
        <v>45972</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15364-2024</t>
        </is>
      </c>
      <c r="B2084" s="1" t="n">
        <v>45400</v>
      </c>
      <c r="C2084" s="1" t="n">
        <v>45972</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53563-2025</t>
        </is>
      </c>
      <c r="B2085" s="1" t="n">
        <v>45960.40680555555</v>
      </c>
      <c r="C2085" s="1" t="n">
        <v>45972</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33014-2025</t>
        </is>
      </c>
      <c r="B2086" s="1" t="n">
        <v>45840.36533564814</v>
      </c>
      <c r="C2086" s="1" t="n">
        <v>45972</v>
      </c>
      <c r="D2086" t="inlineStr">
        <is>
          <t>JÄMTLANDS LÄN</t>
        </is>
      </c>
      <c r="E2086" t="inlineStr">
        <is>
          <t>STRÖMSUND</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57416-2023</t>
        </is>
      </c>
      <c r="B2087" s="1" t="n">
        <v>45245</v>
      </c>
      <c r="C2087" s="1" t="n">
        <v>45972</v>
      </c>
      <c r="D2087" t="inlineStr">
        <is>
          <t>JÄMTLANDS LÄN</t>
        </is>
      </c>
      <c r="E2087" t="inlineStr">
        <is>
          <t>STRÖMSUND</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32999-2025</t>
        </is>
      </c>
      <c r="B2088" s="1" t="n">
        <v>45840.34418981482</v>
      </c>
      <c r="C2088" s="1" t="n">
        <v>45972</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12666-2025</t>
        </is>
      </c>
      <c r="B2089" s="1" t="n">
        <v>45733.42768518518</v>
      </c>
      <c r="C2089" s="1" t="n">
        <v>45972</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13350-2025</t>
        </is>
      </c>
      <c r="B2090" s="1" t="n">
        <v>45735.63578703703</v>
      </c>
      <c r="C2090" s="1" t="n">
        <v>45972</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32472-2025</t>
        </is>
      </c>
      <c r="B2091" s="1" t="n">
        <v>45838.42770833334</v>
      </c>
      <c r="C2091" s="1" t="n">
        <v>45972</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33264-2025</t>
        </is>
      </c>
      <c r="B2092" s="1" t="n">
        <v>45840.67819444444</v>
      </c>
      <c r="C2092" s="1" t="n">
        <v>45972</v>
      </c>
      <c r="D2092" t="inlineStr">
        <is>
          <t>JÄMTLANDS LÄN</t>
        </is>
      </c>
      <c r="E2092" t="inlineStr">
        <is>
          <t>STRÖMSUND</t>
        </is>
      </c>
      <c r="F2092" t="inlineStr">
        <is>
          <t>SCA</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32706-2025</t>
        </is>
      </c>
      <c r="B2093" s="1" t="n">
        <v>45839.36495370371</v>
      </c>
      <c r="C2093" s="1" t="n">
        <v>45972</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32699-2025</t>
        </is>
      </c>
      <c r="B2094" s="1" t="n">
        <v>45839.34450231482</v>
      </c>
      <c r="C2094" s="1" t="n">
        <v>45972</v>
      </c>
      <c r="D2094" t="inlineStr">
        <is>
          <t>JÄMTLANDS LÄN</t>
        </is>
      </c>
      <c r="E2094" t="inlineStr">
        <is>
          <t>STRÖMSUND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32732-2025</t>
        </is>
      </c>
      <c r="B2095" s="1" t="n">
        <v>45839.40679398148</v>
      </c>
      <c r="C2095" s="1" t="n">
        <v>45972</v>
      </c>
      <c r="D2095" t="inlineStr">
        <is>
          <t>JÄMTLANDS LÄN</t>
        </is>
      </c>
      <c r="E2095" t="inlineStr">
        <is>
          <t>STRÖMSUND</t>
        </is>
      </c>
      <c r="F2095" t="inlineStr">
        <is>
          <t>SCA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14812-2024</t>
        </is>
      </c>
      <c r="B2096" s="1" t="n">
        <v>45397</v>
      </c>
      <c r="C2096" s="1" t="n">
        <v>45972</v>
      </c>
      <c r="D2096" t="inlineStr">
        <is>
          <t>JÄMTLANDS LÄN</t>
        </is>
      </c>
      <c r="E2096" t="inlineStr">
        <is>
          <t>STRÖMSUND</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33055-2025</t>
        </is>
      </c>
      <c r="B2097" s="1" t="n">
        <v>45840.42765046296</v>
      </c>
      <c r="C2097" s="1" t="n">
        <v>45972</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9956-2025</t>
        </is>
      </c>
      <c r="B2098" s="1" t="n">
        <v>45719.35915509259</v>
      </c>
      <c r="C2098" s="1" t="n">
        <v>45972</v>
      </c>
      <c r="D2098" t="inlineStr">
        <is>
          <t>JÄMTLANDS LÄN</t>
        </is>
      </c>
      <c r="E2098" t="inlineStr">
        <is>
          <t>STRÖMSUND</t>
        </is>
      </c>
      <c r="F2098" t="inlineStr">
        <is>
          <t>Holmen skog AB</t>
        </is>
      </c>
      <c r="G2098" t="n">
        <v>21.4</v>
      </c>
      <c r="H2098" t="n">
        <v>0</v>
      </c>
      <c r="I2098" t="n">
        <v>0</v>
      </c>
      <c r="J2098" t="n">
        <v>0</v>
      </c>
      <c r="K2098" t="n">
        <v>0</v>
      </c>
      <c r="L2098" t="n">
        <v>0</v>
      </c>
      <c r="M2098" t="n">
        <v>0</v>
      </c>
      <c r="N2098" t="n">
        <v>0</v>
      </c>
      <c r="O2098" t="n">
        <v>0</v>
      </c>
      <c r="P2098" t="n">
        <v>0</v>
      </c>
      <c r="Q2098" t="n">
        <v>0</v>
      </c>
      <c r="R2098" s="2" t="inlineStr"/>
    </row>
    <row r="2099" ht="15" customHeight="1">
      <c r="A2099" t="inlineStr">
        <is>
          <t>A 1823-2025</t>
        </is>
      </c>
      <c r="B2099" s="1" t="n">
        <v>45671.53167824074</v>
      </c>
      <c r="C2099" s="1" t="n">
        <v>45972</v>
      </c>
      <c r="D2099" t="inlineStr">
        <is>
          <t>JÄMTLANDS LÄN</t>
        </is>
      </c>
      <c r="E2099" t="inlineStr">
        <is>
          <t>STRÖMSUND</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9258-2025</t>
        </is>
      </c>
      <c r="B2100" s="1" t="n">
        <v>45714.59476851852</v>
      </c>
      <c r="C2100" s="1" t="n">
        <v>45972</v>
      </c>
      <c r="D2100" t="inlineStr">
        <is>
          <t>JÄMTLANDS LÄN</t>
        </is>
      </c>
      <c r="E2100" t="inlineStr">
        <is>
          <t>STRÖMSUND</t>
        </is>
      </c>
      <c r="F2100" t="inlineStr">
        <is>
          <t>SCA</t>
        </is>
      </c>
      <c r="G2100" t="n">
        <v>15.4</v>
      </c>
      <c r="H2100" t="n">
        <v>0</v>
      </c>
      <c r="I2100" t="n">
        <v>0</v>
      </c>
      <c r="J2100" t="n">
        <v>0</v>
      </c>
      <c r="K2100" t="n">
        <v>0</v>
      </c>
      <c r="L2100" t="n">
        <v>0</v>
      </c>
      <c r="M2100" t="n">
        <v>0</v>
      </c>
      <c r="N2100" t="n">
        <v>0</v>
      </c>
      <c r="O2100" t="n">
        <v>0</v>
      </c>
      <c r="P2100" t="n">
        <v>0</v>
      </c>
      <c r="Q2100" t="n">
        <v>0</v>
      </c>
      <c r="R2100" s="2" t="inlineStr"/>
    </row>
    <row r="2101" ht="15" customHeight="1">
      <c r="A2101" t="inlineStr">
        <is>
          <t>A 33326-2025</t>
        </is>
      </c>
      <c r="B2101" s="1" t="n">
        <v>45841.34584490741</v>
      </c>
      <c r="C2101" s="1" t="n">
        <v>45972</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20551-2025</t>
        </is>
      </c>
      <c r="B2102" s="1" t="n">
        <v>45775.63619212963</v>
      </c>
      <c r="C2102" s="1" t="n">
        <v>45972</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33756-2025</t>
        </is>
      </c>
      <c r="B2103" s="1" t="n">
        <v>45842.37733796296</v>
      </c>
      <c r="C2103" s="1" t="n">
        <v>45972</v>
      </c>
      <c r="D2103" t="inlineStr">
        <is>
          <t>JÄMTLANDS LÄN</t>
        </is>
      </c>
      <c r="E2103" t="inlineStr">
        <is>
          <t>STRÖMSUND</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47098-2022</t>
        </is>
      </c>
      <c r="B2104" s="1" t="n">
        <v>44852.47255787037</v>
      </c>
      <c r="C2104" s="1" t="n">
        <v>45972</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45972</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33327-2025</t>
        </is>
      </c>
      <c r="B2106" s="1" t="n">
        <v>45841.34599537037</v>
      </c>
      <c r="C2106" s="1" t="n">
        <v>45972</v>
      </c>
      <c r="D2106" t="inlineStr">
        <is>
          <t>JÄMTLANDS LÄN</t>
        </is>
      </c>
      <c r="E2106" t="inlineStr">
        <is>
          <t>STRÖMSUND</t>
        </is>
      </c>
      <c r="F2106" t="inlineStr">
        <is>
          <t>SCA</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33889-2025</t>
        </is>
      </c>
      <c r="B2107" s="1" t="n">
        <v>45842.57365740741</v>
      </c>
      <c r="C2107" s="1" t="n">
        <v>45972</v>
      </c>
      <c r="D2107" t="inlineStr">
        <is>
          <t>JÄMTLANDS LÄN</t>
        </is>
      </c>
      <c r="E2107" t="inlineStr">
        <is>
          <t>STRÖMSUND</t>
        </is>
      </c>
      <c r="F2107" t="inlineStr">
        <is>
          <t>SCA</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33898-2025</t>
        </is>
      </c>
      <c r="B2108" s="1" t="n">
        <v>45842.59422453704</v>
      </c>
      <c r="C2108" s="1" t="n">
        <v>45972</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33434-2025</t>
        </is>
      </c>
      <c r="B2109" s="1" t="n">
        <v>45841.44868055556</v>
      </c>
      <c r="C2109" s="1" t="n">
        <v>45972</v>
      </c>
      <c r="D2109" t="inlineStr">
        <is>
          <t>JÄMTLANDS LÄN</t>
        </is>
      </c>
      <c r="E2109" t="inlineStr">
        <is>
          <t>STRÖMSUND</t>
        </is>
      </c>
      <c r="F2109" t="inlineStr">
        <is>
          <t>SCA</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44995-2023</t>
        </is>
      </c>
      <c r="B2110" s="1" t="n">
        <v>45190.95940972222</v>
      </c>
      <c r="C2110" s="1" t="n">
        <v>45972</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33797-2025</t>
        </is>
      </c>
      <c r="B2111" s="1" t="n">
        <v>45842.436875</v>
      </c>
      <c r="C2111" s="1" t="n">
        <v>45972</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47320-2022</t>
        </is>
      </c>
      <c r="B2112" s="1" t="n">
        <v>44846</v>
      </c>
      <c r="C2112" s="1" t="n">
        <v>45972</v>
      </c>
      <c r="D2112" t="inlineStr">
        <is>
          <t>JÄMTLANDS LÄN</t>
        </is>
      </c>
      <c r="E2112" t="inlineStr">
        <is>
          <t>STRÖMSUND</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33843-2025</t>
        </is>
      </c>
      <c r="B2113" s="1" t="n">
        <v>45842.48445601852</v>
      </c>
      <c r="C2113" s="1" t="n">
        <v>45972</v>
      </c>
      <c r="D2113" t="inlineStr">
        <is>
          <t>JÄMTLANDS LÄN</t>
        </is>
      </c>
      <c r="E2113" t="inlineStr">
        <is>
          <t>STRÖMSUND</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33626-2025</t>
        </is>
      </c>
      <c r="B2114" s="1" t="n">
        <v>45841.63570601852</v>
      </c>
      <c r="C2114" s="1" t="n">
        <v>45972</v>
      </c>
      <c r="D2114" t="inlineStr">
        <is>
          <t>JÄMTLANDS LÄN</t>
        </is>
      </c>
      <c r="E2114" t="inlineStr">
        <is>
          <t>STRÖMSUND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53142-2023</t>
        </is>
      </c>
      <c r="B2115" s="1" t="n">
        <v>45229</v>
      </c>
      <c r="C2115" s="1" t="n">
        <v>45972</v>
      </c>
      <c r="D2115" t="inlineStr">
        <is>
          <t>JÄMTLANDS LÄN</t>
        </is>
      </c>
      <c r="E2115" t="inlineStr">
        <is>
          <t>STRÖMSUND</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33435-2025</t>
        </is>
      </c>
      <c r="B2116" s="1" t="n">
        <v>45841.4488425926</v>
      </c>
      <c r="C2116" s="1" t="n">
        <v>45972</v>
      </c>
      <c r="D2116" t="inlineStr">
        <is>
          <t>JÄMTLANDS LÄN</t>
        </is>
      </c>
      <c r="E2116" t="inlineStr">
        <is>
          <t>STRÖMSUND</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18252-2025</t>
        </is>
      </c>
      <c r="B2117" s="1" t="n">
        <v>45762.34435185185</v>
      </c>
      <c r="C2117" s="1" t="n">
        <v>45972</v>
      </c>
      <c r="D2117" t="inlineStr">
        <is>
          <t>JÄMTLANDS LÄN</t>
        </is>
      </c>
      <c r="E2117" t="inlineStr">
        <is>
          <t>STRÖMSUND</t>
        </is>
      </c>
      <c r="F2117" t="inlineStr">
        <is>
          <t>SCA</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18253-2025</t>
        </is>
      </c>
      <c r="B2118" s="1" t="n">
        <v>45762.34449074074</v>
      </c>
      <c r="C2118" s="1" t="n">
        <v>45972</v>
      </c>
      <c r="D2118" t="inlineStr">
        <is>
          <t>JÄMTLANDS LÄN</t>
        </is>
      </c>
      <c r="E2118" t="inlineStr">
        <is>
          <t>STRÖMSUND</t>
        </is>
      </c>
      <c r="F2118" t="inlineStr">
        <is>
          <t>SCA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44969-2025</t>
        </is>
      </c>
      <c r="B2119" s="1" t="n">
        <v>45918.63583333333</v>
      </c>
      <c r="C2119" s="1" t="n">
        <v>45972</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44402-2023</t>
        </is>
      </c>
      <c r="B2120" s="1" t="n">
        <v>45188</v>
      </c>
      <c r="C2120" s="1" t="n">
        <v>45972</v>
      </c>
      <c r="D2120" t="inlineStr">
        <is>
          <t>JÄMTLANDS LÄN</t>
        </is>
      </c>
      <c r="E2120" t="inlineStr">
        <is>
          <t>STRÖMSUND</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508-2024</t>
        </is>
      </c>
      <c r="B2121" s="1" t="n">
        <v>45299</v>
      </c>
      <c r="C2121" s="1" t="n">
        <v>45972</v>
      </c>
      <c r="D2121" t="inlineStr">
        <is>
          <t>JÄMTLANDS LÄN</t>
        </is>
      </c>
      <c r="E2121" t="inlineStr">
        <is>
          <t>STRÖMSUND</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33888-2025</t>
        </is>
      </c>
      <c r="B2122" s="1" t="n">
        <v>45842.57351851852</v>
      </c>
      <c r="C2122" s="1" t="n">
        <v>45972</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34186-2025</t>
        </is>
      </c>
      <c r="B2123" s="1" t="n">
        <v>45845.61497685185</v>
      </c>
      <c r="C2123" s="1" t="n">
        <v>45972</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55156-2023</t>
        </is>
      </c>
      <c r="B2124" s="1" t="n">
        <v>45237</v>
      </c>
      <c r="C2124" s="1" t="n">
        <v>45972</v>
      </c>
      <c r="D2124" t="inlineStr">
        <is>
          <t>JÄMTLANDS LÄN</t>
        </is>
      </c>
      <c r="E2124" t="inlineStr">
        <is>
          <t>STRÖMSUND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8756-2025</t>
        </is>
      </c>
      <c r="B2125" s="1" t="n">
        <v>45712.57337962963</v>
      </c>
      <c r="C2125" s="1" t="n">
        <v>45972</v>
      </c>
      <c r="D2125" t="inlineStr">
        <is>
          <t>JÄMTLANDS LÄN</t>
        </is>
      </c>
      <c r="E2125" t="inlineStr">
        <is>
          <t>STRÖMSUND</t>
        </is>
      </c>
      <c r="F2125" t="inlineStr">
        <is>
          <t>SCA</t>
        </is>
      </c>
      <c r="G2125" t="n">
        <v>27.9</v>
      </c>
      <c r="H2125" t="n">
        <v>0</v>
      </c>
      <c r="I2125" t="n">
        <v>0</v>
      </c>
      <c r="J2125" t="n">
        <v>0</v>
      </c>
      <c r="K2125" t="n">
        <v>0</v>
      </c>
      <c r="L2125" t="n">
        <v>0</v>
      </c>
      <c r="M2125" t="n">
        <v>0</v>
      </c>
      <c r="N2125" t="n">
        <v>0</v>
      </c>
      <c r="O2125" t="n">
        <v>0</v>
      </c>
      <c r="P2125" t="n">
        <v>0</v>
      </c>
      <c r="Q2125" t="n">
        <v>0</v>
      </c>
      <c r="R2125" s="2" t="inlineStr"/>
    </row>
    <row r="2126" ht="15" customHeight="1">
      <c r="A2126" t="inlineStr">
        <is>
          <t>A 45618-2025</t>
        </is>
      </c>
      <c r="B2126" s="1" t="n">
        <v>45922</v>
      </c>
      <c r="C2126" s="1" t="n">
        <v>45972</v>
      </c>
      <c r="D2126" t="inlineStr">
        <is>
          <t>JÄMTLANDS LÄN</t>
        </is>
      </c>
      <c r="E2126" t="inlineStr">
        <is>
          <t>STRÖMSUND</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34222-2025</t>
        </is>
      </c>
      <c r="B2127" s="1" t="n">
        <v>45845.65076388889</v>
      </c>
      <c r="C2127" s="1" t="n">
        <v>45972</v>
      </c>
      <c r="D2127" t="inlineStr">
        <is>
          <t>JÄMTLANDS LÄN</t>
        </is>
      </c>
      <c r="E2127" t="inlineStr">
        <is>
          <t>STRÖMSUND</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59469-2023</t>
        </is>
      </c>
      <c r="B2128" s="1" t="n">
        <v>45254</v>
      </c>
      <c r="C2128" s="1" t="n">
        <v>45972</v>
      </c>
      <c r="D2128" t="inlineStr">
        <is>
          <t>JÄMTLANDS LÄN</t>
        </is>
      </c>
      <c r="E2128" t="inlineStr">
        <is>
          <t>STRÖMSUND</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59476-2023</t>
        </is>
      </c>
      <c r="B2129" s="1" t="n">
        <v>45254</v>
      </c>
      <c r="C2129" s="1" t="n">
        <v>45972</v>
      </c>
      <c r="D2129" t="inlineStr">
        <is>
          <t>JÄMTLANDS LÄN</t>
        </is>
      </c>
      <c r="E2129" t="inlineStr">
        <is>
          <t>STRÖMSUND</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34187-2025</t>
        </is>
      </c>
      <c r="B2130" s="1" t="n">
        <v>45845.61516203704</v>
      </c>
      <c r="C2130" s="1" t="n">
        <v>45972</v>
      </c>
      <c r="D2130" t="inlineStr">
        <is>
          <t>JÄMTLANDS LÄN</t>
        </is>
      </c>
      <c r="E2130" t="inlineStr">
        <is>
          <t>STRÖMSUND</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45521-2025</t>
        </is>
      </c>
      <c r="B2131" s="1" t="n">
        <v>45922.59420138889</v>
      </c>
      <c r="C2131" s="1" t="n">
        <v>45972</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5267-2024</t>
        </is>
      </c>
      <c r="B2132" s="1" t="n">
        <v>45330.96278935186</v>
      </c>
      <c r="C2132" s="1" t="n">
        <v>45972</v>
      </c>
      <c r="D2132" t="inlineStr">
        <is>
          <t>JÄMTLANDS LÄN</t>
        </is>
      </c>
      <c r="E2132" t="inlineStr">
        <is>
          <t>STRÖMSUND</t>
        </is>
      </c>
      <c r="F2132" t="inlineStr">
        <is>
          <t>SCA</t>
        </is>
      </c>
      <c r="G2132" t="n">
        <v>29.1</v>
      </c>
      <c r="H2132" t="n">
        <v>0</v>
      </c>
      <c r="I2132" t="n">
        <v>0</v>
      </c>
      <c r="J2132" t="n">
        <v>0</v>
      </c>
      <c r="K2132" t="n">
        <v>0</v>
      </c>
      <c r="L2132" t="n">
        <v>0</v>
      </c>
      <c r="M2132" t="n">
        <v>0</v>
      </c>
      <c r="N2132" t="n">
        <v>0</v>
      </c>
      <c r="O2132" t="n">
        <v>0</v>
      </c>
      <c r="P2132" t="n">
        <v>0</v>
      </c>
      <c r="Q2132" t="n">
        <v>0</v>
      </c>
      <c r="R2132" s="2" t="inlineStr"/>
    </row>
    <row r="2133" ht="15" customHeight="1">
      <c r="A2133" t="inlineStr">
        <is>
          <t>A 34207-2025</t>
        </is>
      </c>
      <c r="B2133" s="1" t="n">
        <v>45845.63596064815</v>
      </c>
      <c r="C2133" s="1" t="n">
        <v>45972</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42237-2022</t>
        </is>
      </c>
      <c r="B2134" s="1" t="n">
        <v>44830</v>
      </c>
      <c r="C2134" s="1" t="n">
        <v>45972</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57638-2024</t>
        </is>
      </c>
      <c r="B2135" s="1" t="n">
        <v>45630.5733912037</v>
      </c>
      <c r="C2135" s="1" t="n">
        <v>45972</v>
      </c>
      <c r="D2135" t="inlineStr">
        <is>
          <t>JÄMTLANDS LÄN</t>
        </is>
      </c>
      <c r="E2135" t="inlineStr">
        <is>
          <t>STRÖMSUND</t>
        </is>
      </c>
      <c r="F2135" t="inlineStr">
        <is>
          <t>SCA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34206-2025</t>
        </is>
      </c>
      <c r="B2136" s="1" t="n">
        <v>45845.6358912037</v>
      </c>
      <c r="C2136" s="1" t="n">
        <v>45972</v>
      </c>
      <c r="D2136" t="inlineStr">
        <is>
          <t>JÄMTLANDS LÄN</t>
        </is>
      </c>
      <c r="E2136" t="inlineStr">
        <is>
          <t>STRÖMSUND</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34156-2025</t>
        </is>
      </c>
      <c r="B2137" s="1" t="n">
        <v>45845.57354166666</v>
      </c>
      <c r="C2137" s="1" t="n">
        <v>45972</v>
      </c>
      <c r="D2137" t="inlineStr">
        <is>
          <t>JÄMTLANDS LÄN</t>
        </is>
      </c>
      <c r="E2137" t="inlineStr">
        <is>
          <t>STRÖMSUND</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34188-2025</t>
        </is>
      </c>
      <c r="B2138" s="1" t="n">
        <v>45845.61542824074</v>
      </c>
      <c r="C2138" s="1" t="n">
        <v>45972</v>
      </c>
      <c r="D2138" t="inlineStr">
        <is>
          <t>JÄMTLANDS LÄN</t>
        </is>
      </c>
      <c r="E2138" t="inlineStr">
        <is>
          <t>STRÖMSUND</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35278-2023</t>
        </is>
      </c>
      <c r="B2139" s="1" t="n">
        <v>45145.95423611111</v>
      </c>
      <c r="C2139" s="1" t="n">
        <v>45972</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32443-2024</t>
        </is>
      </c>
      <c r="B2140" s="1" t="n">
        <v>45512.95568287037</v>
      </c>
      <c r="C2140" s="1" t="n">
        <v>45972</v>
      </c>
      <c r="D2140" t="inlineStr">
        <is>
          <t>JÄMTLANDS LÄN</t>
        </is>
      </c>
      <c r="E2140" t="inlineStr">
        <is>
          <t>STRÖMSUND</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53946-2025</t>
        </is>
      </c>
      <c r="B2141" s="1" t="n">
        <v>45961</v>
      </c>
      <c r="C2141" s="1" t="n">
        <v>45972</v>
      </c>
      <c r="D2141" t="inlineStr">
        <is>
          <t>JÄMTLANDS LÄN</t>
        </is>
      </c>
      <c r="E2141" t="inlineStr">
        <is>
          <t>STRÖMSUND</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23779-2023</t>
        </is>
      </c>
      <c r="B2142" s="1" t="n">
        <v>45077.94695601852</v>
      </c>
      <c r="C2142" s="1" t="n">
        <v>45972</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23783-2023</t>
        </is>
      </c>
      <c r="B2143" s="1" t="n">
        <v>45077.94710648148</v>
      </c>
      <c r="C2143" s="1" t="n">
        <v>45972</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34750-2025</t>
        </is>
      </c>
      <c r="B2144" s="1" t="n">
        <v>45848.61577546296</v>
      </c>
      <c r="C2144" s="1" t="n">
        <v>45972</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34685-2025</t>
        </is>
      </c>
      <c r="B2145" s="1" t="n">
        <v>45848.42905092592</v>
      </c>
      <c r="C2145" s="1" t="n">
        <v>45972</v>
      </c>
      <c r="D2145" t="inlineStr">
        <is>
          <t>JÄMTLANDS LÄN</t>
        </is>
      </c>
      <c r="E2145" t="inlineStr">
        <is>
          <t>STRÖMSUND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34491-2025</t>
        </is>
      </c>
      <c r="B2146" s="1" t="n">
        <v>45847.40736111111</v>
      </c>
      <c r="C2146" s="1" t="n">
        <v>45972</v>
      </c>
      <c r="D2146" t="inlineStr">
        <is>
          <t>JÄMTLANDS LÄN</t>
        </is>
      </c>
      <c r="E2146" t="inlineStr">
        <is>
          <t>STRÖMSUND</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34683-2025</t>
        </is>
      </c>
      <c r="B2147" s="1" t="n">
        <v>45848.42895833333</v>
      </c>
      <c r="C2147" s="1" t="n">
        <v>45972</v>
      </c>
      <c r="D2147" t="inlineStr">
        <is>
          <t>JÄMTLANDS LÄN</t>
        </is>
      </c>
      <c r="E2147" t="inlineStr">
        <is>
          <t>STRÖMSUND</t>
        </is>
      </c>
      <c r="F2147" t="inlineStr">
        <is>
          <t>SCA</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63362-2023</t>
        </is>
      </c>
      <c r="B2148" s="1" t="n">
        <v>45273</v>
      </c>
      <c r="C2148" s="1" t="n">
        <v>45972</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5277-2023</t>
        </is>
      </c>
      <c r="B2149" s="1" t="n">
        <v>44959</v>
      </c>
      <c r="C2149" s="1" t="n">
        <v>45972</v>
      </c>
      <c r="D2149" t="inlineStr">
        <is>
          <t>JÄMTLANDS LÄN</t>
        </is>
      </c>
      <c r="E2149" t="inlineStr">
        <is>
          <t>STRÖMSUND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5278-2023</t>
        </is>
      </c>
      <c r="B2150" s="1" t="n">
        <v>44959.4874537037</v>
      </c>
      <c r="C2150" s="1" t="n">
        <v>45972</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35308-2022</t>
        </is>
      </c>
      <c r="B2151" s="1" t="n">
        <v>44798</v>
      </c>
      <c r="C2151" s="1" t="n">
        <v>45972</v>
      </c>
      <c r="D2151" t="inlineStr">
        <is>
          <t>JÄMTLANDS LÄN</t>
        </is>
      </c>
      <c r="E2151" t="inlineStr">
        <is>
          <t>STRÖMSUND</t>
        </is>
      </c>
      <c r="F2151" t="inlineStr">
        <is>
          <t>Kommuner</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34684-2025</t>
        </is>
      </c>
      <c r="B2152" s="1" t="n">
        <v>45848.42901620371</v>
      </c>
      <c r="C2152" s="1" t="n">
        <v>45972</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52736-2023</t>
        </is>
      </c>
      <c r="B2153" s="1" t="n">
        <v>45225.96627314815</v>
      </c>
      <c r="C2153" s="1" t="n">
        <v>45972</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24509-2022</t>
        </is>
      </c>
      <c r="B2154" s="1" t="n">
        <v>44726</v>
      </c>
      <c r="C2154" s="1" t="n">
        <v>45972</v>
      </c>
      <c r="D2154" t="inlineStr">
        <is>
          <t>JÄMTLANDS LÄN</t>
        </is>
      </c>
      <c r="E2154" t="inlineStr">
        <is>
          <t>STRÖMSUND</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45235-2025</t>
        </is>
      </c>
      <c r="B2155" s="1" t="n">
        <v>45919.59434027778</v>
      </c>
      <c r="C2155" s="1" t="n">
        <v>45972</v>
      </c>
      <c r="D2155" t="inlineStr">
        <is>
          <t>JÄMTLANDS LÄN</t>
        </is>
      </c>
      <c r="E2155" t="inlineStr">
        <is>
          <t>STRÖMSUND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45258-2025</t>
        </is>
      </c>
      <c r="B2156" s="1" t="n">
        <v>45919.62483796296</v>
      </c>
      <c r="C2156" s="1" t="n">
        <v>45972</v>
      </c>
      <c r="D2156" t="inlineStr">
        <is>
          <t>JÄMTLANDS LÄN</t>
        </is>
      </c>
      <c r="E2156" t="inlineStr">
        <is>
          <t>STRÖMSUND</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34467-2025</t>
        </is>
      </c>
      <c r="B2157" s="1" t="n">
        <v>45847.34582175926</v>
      </c>
      <c r="C2157" s="1" t="n">
        <v>45972</v>
      </c>
      <c r="D2157" t="inlineStr">
        <is>
          <t>JÄMTLANDS LÄN</t>
        </is>
      </c>
      <c r="E2157" t="inlineStr">
        <is>
          <t>STRÖMSUND</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5105-2024</t>
        </is>
      </c>
      <c r="B2158" s="1" t="n">
        <v>45330</v>
      </c>
      <c r="C2158" s="1" t="n">
        <v>45972</v>
      </c>
      <c r="D2158" t="inlineStr">
        <is>
          <t>JÄMTLANDS LÄN</t>
        </is>
      </c>
      <c r="E2158" t="inlineStr">
        <is>
          <t>STRÖMSUND</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34884-2025</t>
        </is>
      </c>
      <c r="B2159" s="1" t="n">
        <v>45849.46958333333</v>
      </c>
      <c r="C2159" s="1" t="n">
        <v>45972</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34815-2025</t>
        </is>
      </c>
      <c r="B2160" s="1" t="n">
        <v>45849.35287037037</v>
      </c>
      <c r="C2160" s="1" t="n">
        <v>45972</v>
      </c>
      <c r="D2160" t="inlineStr">
        <is>
          <t>JÄMTLANDS LÄN</t>
        </is>
      </c>
      <c r="E2160" t="inlineStr">
        <is>
          <t>STRÖMSUND</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27643-2024</t>
        </is>
      </c>
      <c r="B2161" s="1" t="n">
        <v>45474.94711805556</v>
      </c>
      <c r="C2161" s="1" t="n">
        <v>45972</v>
      </c>
      <c r="D2161" t="inlineStr">
        <is>
          <t>JÄMTLANDS LÄN</t>
        </is>
      </c>
      <c r="E2161" t="inlineStr">
        <is>
          <t>STRÖMSUND</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34891-2025</t>
        </is>
      </c>
      <c r="B2162" s="1" t="n">
        <v>45849.49033564814</v>
      </c>
      <c r="C2162" s="1" t="n">
        <v>45972</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35070-2025</t>
        </is>
      </c>
      <c r="B2163" s="1" t="n">
        <v>45852.46909722222</v>
      </c>
      <c r="C2163" s="1" t="n">
        <v>45972</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54037-2025</t>
        </is>
      </c>
      <c r="B2164" s="1" t="n">
        <v>45963.67755787037</v>
      </c>
      <c r="C2164" s="1" t="n">
        <v>45972</v>
      </c>
      <c r="D2164" t="inlineStr">
        <is>
          <t>JÄMTLANDS LÄN</t>
        </is>
      </c>
      <c r="E2164" t="inlineStr">
        <is>
          <t>STRÖMSUND</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45270-2025</t>
        </is>
      </c>
      <c r="B2165" s="1" t="n">
        <v>45919.68295138889</v>
      </c>
      <c r="C2165" s="1" t="n">
        <v>45972</v>
      </c>
      <c r="D2165" t="inlineStr">
        <is>
          <t>JÄMTLANDS LÄN</t>
        </is>
      </c>
      <c r="E2165" t="inlineStr">
        <is>
          <t>STRÖMSUND</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72749-2021</t>
        </is>
      </c>
      <c r="B2166" s="1" t="n">
        <v>44546</v>
      </c>
      <c r="C2166" s="1" t="n">
        <v>45972</v>
      </c>
      <c r="D2166" t="inlineStr">
        <is>
          <t>JÄMTLANDS LÄN</t>
        </is>
      </c>
      <c r="E2166" t="inlineStr">
        <is>
          <t>STRÖMSUND</t>
        </is>
      </c>
      <c r="G2166" t="n">
        <v>35.6</v>
      </c>
      <c r="H2166" t="n">
        <v>0</v>
      </c>
      <c r="I2166" t="n">
        <v>0</v>
      </c>
      <c r="J2166" t="n">
        <v>0</v>
      </c>
      <c r="K2166" t="n">
        <v>0</v>
      </c>
      <c r="L2166" t="n">
        <v>0</v>
      </c>
      <c r="M2166" t="n">
        <v>0</v>
      </c>
      <c r="N2166" t="n">
        <v>0</v>
      </c>
      <c r="O2166" t="n">
        <v>0</v>
      </c>
      <c r="P2166" t="n">
        <v>0</v>
      </c>
      <c r="Q2166" t="n">
        <v>0</v>
      </c>
      <c r="R2166" s="2" t="inlineStr"/>
    </row>
    <row r="2167" ht="15" customHeight="1">
      <c r="A2167" t="inlineStr">
        <is>
          <t>A 54034-2025</t>
        </is>
      </c>
      <c r="B2167" s="1" t="n">
        <v>45963.38520833333</v>
      </c>
      <c r="C2167" s="1" t="n">
        <v>45972</v>
      </c>
      <c r="D2167" t="inlineStr">
        <is>
          <t>JÄMTLANDS LÄN</t>
        </is>
      </c>
      <c r="E2167" t="inlineStr">
        <is>
          <t>STRÖMSUND</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57789-2023</t>
        </is>
      </c>
      <c r="B2168" s="1" t="n">
        <v>45246.96806712963</v>
      </c>
      <c r="C2168" s="1" t="n">
        <v>45972</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34882-2025</t>
        </is>
      </c>
      <c r="B2169" s="1" t="n">
        <v>45849.46928240741</v>
      </c>
      <c r="C2169" s="1" t="n">
        <v>45972</v>
      </c>
      <c r="D2169" t="inlineStr">
        <is>
          <t>JÄMTLANDS LÄN</t>
        </is>
      </c>
      <c r="E2169" t="inlineStr">
        <is>
          <t>STRÖMSUND</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34811-2025</t>
        </is>
      </c>
      <c r="B2170" s="1" t="n">
        <v>45849.34430555555</v>
      </c>
      <c r="C2170" s="1" t="n">
        <v>45972</v>
      </c>
      <c r="D2170" t="inlineStr">
        <is>
          <t>JÄMTLANDS LÄN</t>
        </is>
      </c>
      <c r="E2170" t="inlineStr">
        <is>
          <t>STRÖMSUND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34812-2025</t>
        </is>
      </c>
      <c r="B2171" s="1" t="n">
        <v>45849.34442129629</v>
      </c>
      <c r="C2171" s="1" t="n">
        <v>45972</v>
      </c>
      <c r="D2171" t="inlineStr">
        <is>
          <t>JÄMTLANDS LÄN</t>
        </is>
      </c>
      <c r="E2171" t="inlineStr">
        <is>
          <t>STRÖMSUND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34833-2025</t>
        </is>
      </c>
      <c r="B2172" s="1" t="n">
        <v>45849.38658564815</v>
      </c>
      <c r="C2172" s="1" t="n">
        <v>45972</v>
      </c>
      <c r="D2172" t="inlineStr">
        <is>
          <t>JÄMTLANDS LÄN</t>
        </is>
      </c>
      <c r="E2172" t="inlineStr">
        <is>
          <t>STRÖMSUND</t>
        </is>
      </c>
      <c r="F2172" t="inlineStr">
        <is>
          <t>Sveaskog</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34838-2025</t>
        </is>
      </c>
      <c r="B2173" s="1" t="n">
        <v>45849.39423611111</v>
      </c>
      <c r="C2173" s="1" t="n">
        <v>45972</v>
      </c>
      <c r="D2173" t="inlineStr">
        <is>
          <t>JÄMTLANDS LÄN</t>
        </is>
      </c>
      <c r="E2173" t="inlineStr">
        <is>
          <t>STRÖMSUND</t>
        </is>
      </c>
      <c r="F2173" t="inlineStr">
        <is>
          <t>Sveaskog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34841-2025</t>
        </is>
      </c>
      <c r="B2174" s="1" t="n">
        <v>45849.3993287037</v>
      </c>
      <c r="C2174" s="1" t="n">
        <v>45972</v>
      </c>
      <c r="D2174" t="inlineStr">
        <is>
          <t>JÄMTLANDS LÄN</t>
        </is>
      </c>
      <c r="E2174" t="inlineStr">
        <is>
          <t>STRÖMSUND</t>
        </is>
      </c>
      <c r="F2174" t="inlineStr">
        <is>
          <t>Sveaskog</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35081-2025</t>
        </is>
      </c>
      <c r="B2175" s="1" t="n">
        <v>45852.48996527777</v>
      </c>
      <c r="C2175" s="1" t="n">
        <v>45972</v>
      </c>
      <c r="D2175" t="inlineStr">
        <is>
          <t>JÄMTLANDS LÄN</t>
        </is>
      </c>
      <c r="E2175" t="inlineStr">
        <is>
          <t>STRÖMSUND</t>
        </is>
      </c>
      <c r="F2175" t="inlineStr">
        <is>
          <t>SCA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52818-2023</t>
        </is>
      </c>
      <c r="B2176" s="1" t="n">
        <v>45226.38400462963</v>
      </c>
      <c r="C2176" s="1" t="n">
        <v>45972</v>
      </c>
      <c r="D2176" t="inlineStr">
        <is>
          <t>JÄMTLANDS LÄN</t>
        </is>
      </c>
      <c r="E2176" t="inlineStr">
        <is>
          <t>STRÖMSUND</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52826-2023</t>
        </is>
      </c>
      <c r="B2177" s="1" t="n">
        <v>45226.40184027778</v>
      </c>
      <c r="C2177" s="1" t="n">
        <v>45972</v>
      </c>
      <c r="D2177" t="inlineStr">
        <is>
          <t>JÄMTLANDS LÄN</t>
        </is>
      </c>
      <c r="E2177" t="inlineStr">
        <is>
          <t>STRÖMSUND</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30062-2024</t>
        </is>
      </c>
      <c r="B2178" s="1" t="n">
        <v>45488.94832175926</v>
      </c>
      <c r="C2178" s="1" t="n">
        <v>45972</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45522-2025</t>
        </is>
      </c>
      <c r="B2179" s="1" t="n">
        <v>45922.59444444445</v>
      </c>
      <c r="C2179" s="1" t="n">
        <v>45972</v>
      </c>
      <c r="D2179" t="inlineStr">
        <is>
          <t>JÄMTLANDS LÄN</t>
        </is>
      </c>
      <c r="E2179" t="inlineStr">
        <is>
          <t>STRÖMSUND</t>
        </is>
      </c>
      <c r="F2179" t="inlineStr">
        <is>
          <t>SCA</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18146-2025</t>
        </is>
      </c>
      <c r="B2180" s="1" t="n">
        <v>45761.61534722222</v>
      </c>
      <c r="C2180" s="1" t="n">
        <v>45972</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54216-2025</t>
        </is>
      </c>
      <c r="B2181" s="1" t="n">
        <v>45964.59493055556</v>
      </c>
      <c r="C2181" s="1" t="n">
        <v>45972</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45600-2025</t>
        </is>
      </c>
      <c r="B2182" s="1" t="n">
        <v>45922.68890046296</v>
      </c>
      <c r="C2182" s="1" t="n">
        <v>45972</v>
      </c>
      <c r="D2182" t="inlineStr">
        <is>
          <t>JÄMTLANDS LÄN</t>
        </is>
      </c>
      <c r="E2182" t="inlineStr">
        <is>
          <t>STRÖMSUND</t>
        </is>
      </c>
      <c r="G2182" t="n">
        <v>33.4</v>
      </c>
      <c r="H2182" t="n">
        <v>0</v>
      </c>
      <c r="I2182" t="n">
        <v>0</v>
      </c>
      <c r="J2182" t="n">
        <v>0</v>
      </c>
      <c r="K2182" t="n">
        <v>0</v>
      </c>
      <c r="L2182" t="n">
        <v>0</v>
      </c>
      <c r="M2182" t="n">
        <v>0</v>
      </c>
      <c r="N2182" t="n">
        <v>0</v>
      </c>
      <c r="O2182" t="n">
        <v>0</v>
      </c>
      <c r="P2182" t="n">
        <v>0</v>
      </c>
      <c r="Q2182" t="n">
        <v>0</v>
      </c>
      <c r="R2182" s="2" t="inlineStr"/>
    </row>
    <row r="2183" ht="15" customHeight="1">
      <c r="A2183" t="inlineStr">
        <is>
          <t>A 60014-2023</t>
        </is>
      </c>
      <c r="B2183" s="1" t="n">
        <v>45257.97363425926</v>
      </c>
      <c r="C2183" s="1" t="n">
        <v>45972</v>
      </c>
      <c r="D2183" t="inlineStr">
        <is>
          <t>JÄMTLANDS LÄN</t>
        </is>
      </c>
      <c r="E2183" t="inlineStr">
        <is>
          <t>STRÖMSUND</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35308-2025</t>
        </is>
      </c>
      <c r="B2184" s="1" t="n">
        <v>45854.44831018519</v>
      </c>
      <c r="C2184" s="1" t="n">
        <v>45972</v>
      </c>
      <c r="D2184" t="inlineStr">
        <is>
          <t>JÄMTLANDS LÄN</t>
        </is>
      </c>
      <c r="E2184" t="inlineStr">
        <is>
          <t>STRÖMSUND</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35340-2025</t>
        </is>
      </c>
      <c r="B2185" s="1" t="n">
        <v>45854.59417824074</v>
      </c>
      <c r="C2185" s="1" t="n">
        <v>45972</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40412-2025</t>
        </is>
      </c>
      <c r="B2186" s="1" t="n">
        <v>45895</v>
      </c>
      <c r="C2186" s="1" t="n">
        <v>45972</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35219-2025</t>
        </is>
      </c>
      <c r="B2187" s="1" t="n">
        <v>45853.51078703703</v>
      </c>
      <c r="C2187" s="1" t="n">
        <v>45972</v>
      </c>
      <c r="D2187" t="inlineStr">
        <is>
          <t>JÄMTLANDS LÄN</t>
        </is>
      </c>
      <c r="E2187" t="inlineStr">
        <is>
          <t>STRÖMSUND</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54038-2025</t>
        </is>
      </c>
      <c r="B2188" s="1" t="n">
        <v>45963.71952546296</v>
      </c>
      <c r="C2188" s="1" t="n">
        <v>45972</v>
      </c>
      <c r="D2188" t="inlineStr">
        <is>
          <t>JÄMTLANDS LÄN</t>
        </is>
      </c>
      <c r="E2188" t="inlineStr">
        <is>
          <t>STRÖMSUND</t>
        </is>
      </c>
      <c r="F2188" t="inlineStr">
        <is>
          <t>SCA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62493-2023</t>
        </is>
      </c>
      <c r="B2189" s="1" t="n">
        <v>45268.59108796297</v>
      </c>
      <c r="C2189" s="1" t="n">
        <v>45972</v>
      </c>
      <c r="D2189" t="inlineStr">
        <is>
          <t>JÄMTLANDS LÄN</t>
        </is>
      </c>
      <c r="E2189" t="inlineStr">
        <is>
          <t>STRÖMSUND</t>
        </is>
      </c>
      <c r="F2189" t="inlineStr">
        <is>
          <t>Holmen skog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14568-2024</t>
        </is>
      </c>
      <c r="B2190" s="1" t="n">
        <v>45394</v>
      </c>
      <c r="C2190" s="1" t="n">
        <v>45972</v>
      </c>
      <c r="D2190" t="inlineStr">
        <is>
          <t>JÄMTLANDS LÄN</t>
        </is>
      </c>
      <c r="E2190" t="inlineStr">
        <is>
          <t>STRÖMSUND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32172-2025</t>
        </is>
      </c>
      <c r="B2191" s="1" t="n">
        <v>45835</v>
      </c>
      <c r="C2191" s="1" t="n">
        <v>45972</v>
      </c>
      <c r="D2191" t="inlineStr">
        <is>
          <t>JÄMTLANDS LÄN</t>
        </is>
      </c>
      <c r="E2191" t="inlineStr">
        <is>
          <t>STRÖMSUND</t>
        </is>
      </c>
      <c r="F2191" t="inlineStr">
        <is>
          <t>Övriga statliga verk och myndigheter</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17031-2025</t>
        </is>
      </c>
      <c r="B2192" s="1" t="n">
        <v>45755.57349537037</v>
      </c>
      <c r="C2192" s="1" t="n">
        <v>45972</v>
      </c>
      <c r="D2192" t="inlineStr">
        <is>
          <t>JÄMTLANDS LÄN</t>
        </is>
      </c>
      <c r="E2192" t="inlineStr">
        <is>
          <t>STRÖMSUND</t>
        </is>
      </c>
      <c r="F2192" t="inlineStr">
        <is>
          <t>SCA</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35507-2025</t>
        </is>
      </c>
      <c r="B2193" s="1" t="n">
        <v>45856.34442129629</v>
      </c>
      <c r="C2193" s="1" t="n">
        <v>45972</v>
      </c>
      <c r="D2193" t="inlineStr">
        <is>
          <t>JÄMTLANDS LÄN</t>
        </is>
      </c>
      <c r="E2193" t="inlineStr">
        <is>
          <t>STRÖMSUND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45089-2025</t>
        </is>
      </c>
      <c r="B2194" s="1" t="n">
        <v>45919.37613425926</v>
      </c>
      <c r="C2194" s="1" t="n">
        <v>45972</v>
      </c>
      <c r="D2194" t="inlineStr">
        <is>
          <t>JÄMTLANDS LÄN</t>
        </is>
      </c>
      <c r="E2194" t="inlineStr">
        <is>
          <t>STRÖMSUND</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13054-2025</t>
        </is>
      </c>
      <c r="B2195" s="1" t="n">
        <v>45734.59476851852</v>
      </c>
      <c r="C2195" s="1" t="n">
        <v>45972</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35178-2024</t>
        </is>
      </c>
      <c r="B2196" s="1" t="n">
        <v>45530.43956018519</v>
      </c>
      <c r="C2196" s="1" t="n">
        <v>45972</v>
      </c>
      <c r="D2196" t="inlineStr">
        <is>
          <t>JÄMTLANDS LÄN</t>
        </is>
      </c>
      <c r="E2196" t="inlineStr">
        <is>
          <t>STRÖMSUND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35244-2024</t>
        </is>
      </c>
      <c r="B2197" s="1" t="n">
        <v>45530.55811342593</v>
      </c>
      <c r="C2197" s="1" t="n">
        <v>45972</v>
      </c>
      <c r="D2197" t="inlineStr">
        <is>
          <t>JÄMTLANDS LÄN</t>
        </is>
      </c>
      <c r="E2197" t="inlineStr">
        <is>
          <t>STRÖMSUND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57429-2023</t>
        </is>
      </c>
      <c r="B2198" s="1" t="n">
        <v>45240</v>
      </c>
      <c r="C2198" s="1" t="n">
        <v>45972</v>
      </c>
      <c r="D2198" t="inlineStr">
        <is>
          <t>JÄMTLANDS LÄN</t>
        </is>
      </c>
      <c r="E2198" t="inlineStr">
        <is>
          <t>STRÖMSUND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61833-2023</t>
        </is>
      </c>
      <c r="B2199" s="1" t="n">
        <v>45264</v>
      </c>
      <c r="C2199" s="1" t="n">
        <v>45972</v>
      </c>
      <c r="D2199" t="inlineStr">
        <is>
          <t>JÄMTLANDS LÄN</t>
        </is>
      </c>
      <c r="E2199" t="inlineStr">
        <is>
          <t>STRÖMSUND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32528-2022</t>
        </is>
      </c>
      <c r="B2200" s="1" t="n">
        <v>44782.94291666667</v>
      </c>
      <c r="C2200" s="1" t="n">
        <v>45972</v>
      </c>
      <c r="D2200" t="inlineStr">
        <is>
          <t>JÄMTLANDS LÄN</t>
        </is>
      </c>
      <c r="E2200" t="inlineStr">
        <is>
          <t>STRÖMSUND</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354-2025</t>
        </is>
      </c>
      <c r="B2201" s="1" t="n">
        <v>45659</v>
      </c>
      <c r="C2201" s="1" t="n">
        <v>45972</v>
      </c>
      <c r="D2201" t="inlineStr">
        <is>
          <t>JÄMTLANDS LÄN</t>
        </is>
      </c>
      <c r="E2201" t="inlineStr">
        <is>
          <t>STRÖMSUND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35512-2025</t>
        </is>
      </c>
      <c r="B2202" s="1" t="n">
        <v>45856.36510416667</v>
      </c>
      <c r="C2202" s="1" t="n">
        <v>45972</v>
      </c>
      <c r="D2202" t="inlineStr">
        <is>
          <t>JÄMTLANDS LÄN</t>
        </is>
      </c>
      <c r="E2202" t="inlineStr">
        <is>
          <t>STRÖMSUND</t>
        </is>
      </c>
      <c r="F2202" t="inlineStr">
        <is>
          <t>SCA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54067-2025</t>
        </is>
      </c>
      <c r="B2203" s="1" t="n">
        <v>45964.3443287037</v>
      </c>
      <c r="C2203" s="1" t="n">
        <v>45972</v>
      </c>
      <c r="D2203" t="inlineStr">
        <is>
          <t>JÄMTLANDS LÄN</t>
        </is>
      </c>
      <c r="E2203" t="inlineStr">
        <is>
          <t>STRÖMSUND</t>
        </is>
      </c>
      <c r="F2203" t="inlineStr">
        <is>
          <t>SCA</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54228-2025</t>
        </is>
      </c>
      <c r="B2204" s="1" t="n">
        <v>45964.61509259259</v>
      </c>
      <c r="C2204" s="1" t="n">
        <v>45972</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63140-2023</t>
        </is>
      </c>
      <c r="B2205" s="1" t="n">
        <v>45273.47074074074</v>
      </c>
      <c r="C2205" s="1" t="n">
        <v>45972</v>
      </c>
      <c r="D2205" t="inlineStr">
        <is>
          <t>JÄMTLANDS LÄN</t>
        </is>
      </c>
      <c r="E2205" t="inlineStr">
        <is>
          <t>STRÖMSUND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27223-2025</t>
        </is>
      </c>
      <c r="B2206" s="1" t="n">
        <v>45812.42733796296</v>
      </c>
      <c r="C2206" s="1" t="n">
        <v>45972</v>
      </c>
      <c r="D2206" t="inlineStr">
        <is>
          <t>JÄMTLANDS LÄN</t>
        </is>
      </c>
      <c r="E2206" t="inlineStr">
        <is>
          <t>STRÖMSUND</t>
        </is>
      </c>
      <c r="G2206" t="n">
        <v>30.5</v>
      </c>
      <c r="H2206" t="n">
        <v>0</v>
      </c>
      <c r="I2206" t="n">
        <v>0</v>
      </c>
      <c r="J2206" t="n">
        <v>0</v>
      </c>
      <c r="K2206" t="n">
        <v>0</v>
      </c>
      <c r="L2206" t="n">
        <v>0</v>
      </c>
      <c r="M2206" t="n">
        <v>0</v>
      </c>
      <c r="N2206" t="n">
        <v>0</v>
      </c>
      <c r="O2206" t="n">
        <v>0</v>
      </c>
      <c r="P2206" t="n">
        <v>0</v>
      </c>
      <c r="Q2206" t="n">
        <v>0</v>
      </c>
      <c r="R2206" s="2" t="inlineStr"/>
    </row>
    <row r="2207" ht="15" customHeight="1">
      <c r="A2207" t="inlineStr">
        <is>
          <t>A 54231-2025</t>
        </is>
      </c>
      <c r="B2207" s="1" t="n">
        <v>45964.61983796296</v>
      </c>
      <c r="C2207" s="1" t="n">
        <v>45972</v>
      </c>
      <c r="D2207" t="inlineStr">
        <is>
          <t>JÄMTLANDS LÄN</t>
        </is>
      </c>
      <c r="E2207" t="inlineStr">
        <is>
          <t>STRÖMSUND</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41277-2025</t>
        </is>
      </c>
      <c r="B2208" s="1" t="n">
        <v>45898</v>
      </c>
      <c r="C2208" s="1" t="n">
        <v>45972</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35657-2025</t>
        </is>
      </c>
      <c r="B2209" s="1" t="n">
        <v>45859.59420138889</v>
      </c>
      <c r="C2209" s="1" t="n">
        <v>45972</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44618-2024</t>
        </is>
      </c>
      <c r="B2210" s="1" t="n">
        <v>45574.51304398148</v>
      </c>
      <c r="C2210" s="1" t="n">
        <v>45972</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35663-2025</t>
        </is>
      </c>
      <c r="B2211" s="1" t="n">
        <v>45859.61510416667</v>
      </c>
      <c r="C2211" s="1" t="n">
        <v>45972</v>
      </c>
      <c r="D2211" t="inlineStr">
        <is>
          <t>JÄMTLANDS LÄN</t>
        </is>
      </c>
      <c r="E2211" t="inlineStr">
        <is>
          <t>STRÖMSUND</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35661-2025</t>
        </is>
      </c>
      <c r="B2212" s="1" t="n">
        <v>45859.61494212963</v>
      </c>
      <c r="C2212" s="1" t="n">
        <v>45972</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54063-2023</t>
        </is>
      </c>
      <c r="B2213" s="1" t="n">
        <v>45231</v>
      </c>
      <c r="C2213" s="1" t="n">
        <v>45972</v>
      </c>
      <c r="D2213" t="inlineStr">
        <is>
          <t>JÄMTLANDS LÄN</t>
        </is>
      </c>
      <c r="E2213" t="inlineStr">
        <is>
          <t>STRÖMSUND</t>
        </is>
      </c>
      <c r="F2213" t="inlineStr">
        <is>
          <t>SCA</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45145-2025</t>
        </is>
      </c>
      <c r="B2214" s="1" t="n">
        <v>45919</v>
      </c>
      <c r="C2214" s="1" t="n">
        <v>45972</v>
      </c>
      <c r="D2214" t="inlineStr">
        <is>
          <t>JÄMTLANDS LÄN</t>
        </is>
      </c>
      <c r="E2214" t="inlineStr">
        <is>
          <t>STRÖMSUND</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35874-2025</t>
        </is>
      </c>
      <c r="B2215" s="1" t="n">
        <v>45862.34422453704</v>
      </c>
      <c r="C2215" s="1" t="n">
        <v>45972</v>
      </c>
      <c r="D2215" t="inlineStr">
        <is>
          <t>JÄMTLANDS LÄN</t>
        </is>
      </c>
      <c r="E2215" t="inlineStr">
        <is>
          <t>STRÖMSUND</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42156-2025</t>
        </is>
      </c>
      <c r="B2216" s="1" t="n">
        <v>45904.40098379629</v>
      </c>
      <c r="C2216" s="1" t="n">
        <v>45972</v>
      </c>
      <c r="D2216" t="inlineStr">
        <is>
          <t>JÄMTLANDS LÄN</t>
        </is>
      </c>
      <c r="E2216" t="inlineStr">
        <is>
          <t>STRÖMSUND</t>
        </is>
      </c>
      <c r="G2216" t="n">
        <v>11.3</v>
      </c>
      <c r="H2216" t="n">
        <v>0</v>
      </c>
      <c r="I2216" t="n">
        <v>0</v>
      </c>
      <c r="J2216" t="n">
        <v>0</v>
      </c>
      <c r="K2216" t="n">
        <v>0</v>
      </c>
      <c r="L2216" t="n">
        <v>0</v>
      </c>
      <c r="M2216" t="n">
        <v>0</v>
      </c>
      <c r="N2216" t="n">
        <v>0</v>
      </c>
      <c r="O2216" t="n">
        <v>0</v>
      </c>
      <c r="P2216" t="n">
        <v>0</v>
      </c>
      <c r="Q2216" t="n">
        <v>0</v>
      </c>
      <c r="R2216" s="2" t="inlineStr"/>
    </row>
    <row r="2217" ht="15" customHeight="1">
      <c r="A2217" t="inlineStr">
        <is>
          <t>A 54945-2024</t>
        </is>
      </c>
      <c r="B2217" s="1" t="n">
        <v>45619.344375</v>
      </c>
      <c r="C2217" s="1" t="n">
        <v>45972</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51174-2025</t>
        </is>
      </c>
      <c r="B2218" s="1" t="n">
        <v>45947</v>
      </c>
      <c r="C2218" s="1" t="n">
        <v>45972</v>
      </c>
      <c r="D2218" t="inlineStr">
        <is>
          <t>JÄMTLANDS LÄN</t>
        </is>
      </c>
      <c r="E2218" t="inlineStr">
        <is>
          <t>STRÖMSUND</t>
        </is>
      </c>
      <c r="F2218" t="inlineStr">
        <is>
          <t>Kyrkan</t>
        </is>
      </c>
      <c r="G2218" t="n">
        <v>41.9</v>
      </c>
      <c r="H2218" t="n">
        <v>0</v>
      </c>
      <c r="I2218" t="n">
        <v>0</v>
      </c>
      <c r="J2218" t="n">
        <v>0</v>
      </c>
      <c r="K2218" t="n">
        <v>0</v>
      </c>
      <c r="L2218" t="n">
        <v>0</v>
      </c>
      <c r="M2218" t="n">
        <v>0</v>
      </c>
      <c r="N2218" t="n">
        <v>0</v>
      </c>
      <c r="O2218" t="n">
        <v>0</v>
      </c>
      <c r="P2218" t="n">
        <v>0</v>
      </c>
      <c r="Q2218" t="n">
        <v>0</v>
      </c>
      <c r="R2218" s="2" t="inlineStr"/>
      <c r="U2218">
        <f>HYPERLINK("https://klasma.github.io/Logging_2313/knärot/A 51174-2025 karta knärot.png", "A 51174-2025")</f>
        <v/>
      </c>
      <c r="V2218">
        <f>HYPERLINK("https://klasma.github.io/Logging_2313/klagomål/A 51174-2025 FSC-klagomål.docx", "A 51174-2025")</f>
        <v/>
      </c>
      <c r="W2218">
        <f>HYPERLINK("https://klasma.github.io/Logging_2313/klagomålsmail/A 51174-2025 FSC-klagomål mail.docx", "A 51174-2025")</f>
        <v/>
      </c>
      <c r="X2218">
        <f>HYPERLINK("https://klasma.github.io/Logging_2313/tillsyn/A 51174-2025 tillsynsbegäran.docx", "A 51174-2025")</f>
        <v/>
      </c>
      <c r="Y2218">
        <f>HYPERLINK("https://klasma.github.io/Logging_2313/tillsynsmail/A 51174-2025 tillsynsbegäran mail.docx", "A 51174-2025")</f>
        <v/>
      </c>
    </row>
    <row r="2219" ht="15" customHeight="1">
      <c r="A2219" t="inlineStr">
        <is>
          <t>A 53834-2025</t>
        </is>
      </c>
      <c r="B2219" s="1" t="n">
        <v>45961.34525462963</v>
      </c>
      <c r="C2219" s="1" t="n">
        <v>45972</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53835-2025</t>
        </is>
      </c>
      <c r="B2220" s="1" t="n">
        <v>45961.3453125</v>
      </c>
      <c r="C2220" s="1" t="n">
        <v>45972</v>
      </c>
      <c r="D2220" t="inlineStr">
        <is>
          <t>JÄMTLANDS LÄN</t>
        </is>
      </c>
      <c r="E2220" t="inlineStr">
        <is>
          <t>STRÖMSUND</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45335-2025</t>
        </is>
      </c>
      <c r="B2221" s="1" t="n">
        <v>45922.34186342593</v>
      </c>
      <c r="C2221" s="1" t="n">
        <v>45972</v>
      </c>
      <c r="D2221" t="inlineStr">
        <is>
          <t>JÄMTLANDS LÄN</t>
        </is>
      </c>
      <c r="E2221" t="inlineStr">
        <is>
          <t>STRÖMSUND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36110-2025</t>
        </is>
      </c>
      <c r="B2222" s="1" t="n">
        <v>45866.57337962963</v>
      </c>
      <c r="C2222" s="1" t="n">
        <v>45972</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57274-2022</t>
        </is>
      </c>
      <c r="B2223" s="1" t="n">
        <v>44895.94886574074</v>
      </c>
      <c r="C2223" s="1" t="n">
        <v>45972</v>
      </c>
      <c r="D2223" t="inlineStr">
        <is>
          <t>JÄMTLANDS LÄN</t>
        </is>
      </c>
      <c r="E2223" t="inlineStr">
        <is>
          <t>STRÖMSUND</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36025-2025</t>
        </is>
      </c>
      <c r="B2224" s="1" t="n">
        <v>45864.40675925926</v>
      </c>
      <c r="C2224" s="1" t="n">
        <v>45972</v>
      </c>
      <c r="D2224" t="inlineStr">
        <is>
          <t>JÄMTLANDS LÄN</t>
        </is>
      </c>
      <c r="E2224" t="inlineStr">
        <is>
          <t>STRÖMSUND</t>
        </is>
      </c>
      <c r="F2224" t="inlineStr">
        <is>
          <t>SCA</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57804-2023</t>
        </is>
      </c>
      <c r="B2225" s="1" t="n">
        <v>45243</v>
      </c>
      <c r="C2225" s="1" t="n">
        <v>45972</v>
      </c>
      <c r="D2225" t="inlineStr">
        <is>
          <t>JÄMTLANDS LÄN</t>
        </is>
      </c>
      <c r="E2225" t="inlineStr">
        <is>
          <t>STRÖMSUND</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54660-2025</t>
        </is>
      </c>
      <c r="B2226" s="1" t="n">
        <v>45966.40671296296</v>
      </c>
      <c r="C2226" s="1" t="n">
        <v>45972</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15522-2022</t>
        </is>
      </c>
      <c r="B2227" s="1" t="n">
        <v>44662</v>
      </c>
      <c r="C2227" s="1" t="n">
        <v>45972</v>
      </c>
      <c r="D2227" t="inlineStr">
        <is>
          <t>JÄMTLANDS LÄN</t>
        </is>
      </c>
      <c r="E2227" t="inlineStr">
        <is>
          <t>STRÖMSUND</t>
        </is>
      </c>
      <c r="G2227" t="n">
        <v>41.8</v>
      </c>
      <c r="H2227" t="n">
        <v>0</v>
      </c>
      <c r="I2227" t="n">
        <v>0</v>
      </c>
      <c r="J2227" t="n">
        <v>0</v>
      </c>
      <c r="K2227" t="n">
        <v>0</v>
      </c>
      <c r="L2227" t="n">
        <v>0</v>
      </c>
      <c r="M2227" t="n">
        <v>0</v>
      </c>
      <c r="N2227" t="n">
        <v>0</v>
      </c>
      <c r="O2227" t="n">
        <v>0</v>
      </c>
      <c r="P2227" t="n">
        <v>0</v>
      </c>
      <c r="Q2227" t="n">
        <v>0</v>
      </c>
      <c r="R2227" s="2" t="inlineStr"/>
    </row>
    <row r="2228" ht="15" customHeight="1">
      <c r="A2228" t="inlineStr">
        <is>
          <t>A 45844-2025</t>
        </is>
      </c>
      <c r="B2228" s="1" t="n">
        <v>45923.61561342593</v>
      </c>
      <c r="C2228" s="1" t="n">
        <v>45972</v>
      </c>
      <c r="D2228" t="inlineStr">
        <is>
          <t>JÄMTLANDS LÄN</t>
        </is>
      </c>
      <c r="E2228" t="inlineStr">
        <is>
          <t>STRÖMSUND</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36247-2025</t>
        </is>
      </c>
      <c r="B2229" s="1" t="n">
        <v>45867.56798611111</v>
      </c>
      <c r="C2229" s="1" t="n">
        <v>45972</v>
      </c>
      <c r="D2229" t="inlineStr">
        <is>
          <t>JÄMTLANDS LÄN</t>
        </is>
      </c>
      <c r="E2229" t="inlineStr">
        <is>
          <t>STRÖMSUND</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35185-2024</t>
        </is>
      </c>
      <c r="B2230" s="1" t="n">
        <v>45530.45151620371</v>
      </c>
      <c r="C2230" s="1" t="n">
        <v>45972</v>
      </c>
      <c r="D2230" t="inlineStr">
        <is>
          <t>JÄMTLANDS LÄN</t>
        </is>
      </c>
      <c r="E2230" t="inlineStr">
        <is>
          <t>STRÖMSUND</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36238-2025</t>
        </is>
      </c>
      <c r="B2231" s="1" t="n">
        <v>45867.55275462963</v>
      </c>
      <c r="C2231" s="1" t="n">
        <v>45972</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54640-2025</t>
        </is>
      </c>
      <c r="B2232" s="1" t="n">
        <v>45966.36534722222</v>
      </c>
      <c r="C2232" s="1" t="n">
        <v>45972</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36239-2025</t>
        </is>
      </c>
      <c r="B2233" s="1" t="n">
        <v>45867.55287037037</v>
      </c>
      <c r="C2233" s="1" t="n">
        <v>45972</v>
      </c>
      <c r="D2233" t="inlineStr">
        <is>
          <t>JÄMTLANDS LÄN</t>
        </is>
      </c>
      <c r="E2233" t="inlineStr">
        <is>
          <t>STRÖMSUND</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45091-2023</t>
        </is>
      </c>
      <c r="B2234" s="1" t="n">
        <v>45191</v>
      </c>
      <c r="C2234" s="1" t="n">
        <v>45972</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35747-2024</t>
        </is>
      </c>
      <c r="B2235" s="1" t="n">
        <v>45532.55229166667</v>
      </c>
      <c r="C2235" s="1" t="n">
        <v>45972</v>
      </c>
      <c r="D2235" t="inlineStr">
        <is>
          <t>JÄMTLANDS LÄN</t>
        </is>
      </c>
      <c r="E2235" t="inlineStr">
        <is>
          <t>STRÖMSUND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36378-2025</t>
        </is>
      </c>
      <c r="B2236" s="1" t="n">
        <v>45868.57364583333</v>
      </c>
      <c r="C2236" s="1" t="n">
        <v>45972</v>
      </c>
      <c r="D2236" t="inlineStr">
        <is>
          <t>JÄMTLANDS LÄN</t>
        </is>
      </c>
      <c r="E2236" t="inlineStr">
        <is>
          <t>STRÖMSUND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36379-2025</t>
        </is>
      </c>
      <c r="B2237" s="1" t="n">
        <v>45868.57386574074</v>
      </c>
      <c r="C2237" s="1" t="n">
        <v>45972</v>
      </c>
      <c r="D2237" t="inlineStr">
        <is>
          <t>JÄMTLANDS LÄN</t>
        </is>
      </c>
      <c r="E2237" t="inlineStr">
        <is>
          <t>STRÖMSUND</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59003-2022</t>
        </is>
      </c>
      <c r="B2238" s="1" t="n">
        <v>44903.79608796296</v>
      </c>
      <c r="C2238" s="1" t="n">
        <v>45972</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36380-2025</t>
        </is>
      </c>
      <c r="B2239" s="1" t="n">
        <v>45868.57390046296</v>
      </c>
      <c r="C2239" s="1" t="n">
        <v>45972</v>
      </c>
      <c r="D2239" t="inlineStr">
        <is>
          <t>JÄMTLANDS LÄN</t>
        </is>
      </c>
      <c r="E2239" t="inlineStr">
        <is>
          <t>STRÖMSUND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11733-2025</t>
        </is>
      </c>
      <c r="B2240" s="1" t="n">
        <v>45727</v>
      </c>
      <c r="C2240" s="1" t="n">
        <v>45972</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36444-2025</t>
        </is>
      </c>
      <c r="B2241" s="1" t="n">
        <v>45869.40662037037</v>
      </c>
      <c r="C2241" s="1" t="n">
        <v>45972</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36428-2025</t>
        </is>
      </c>
      <c r="B2242" s="1" t="n">
        <v>45869.34424768519</v>
      </c>
      <c r="C2242" s="1" t="n">
        <v>45972</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54294-2025</t>
        </is>
      </c>
      <c r="B2243" s="1" t="n">
        <v>45964.87017361111</v>
      </c>
      <c r="C2243" s="1" t="n">
        <v>45972</v>
      </c>
      <c r="D2243" t="inlineStr">
        <is>
          <t>JÄMTLANDS LÄN</t>
        </is>
      </c>
      <c r="E2243" t="inlineStr">
        <is>
          <t>STRÖMSUND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36430-2025</t>
        </is>
      </c>
      <c r="B2244" s="1" t="n">
        <v>45869.34453703704</v>
      </c>
      <c r="C2244" s="1" t="n">
        <v>45972</v>
      </c>
      <c r="D2244" t="inlineStr">
        <is>
          <t>JÄMTLANDS LÄN</t>
        </is>
      </c>
      <c r="E2244" t="inlineStr">
        <is>
          <t>STRÖMSUND</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18774-2023</t>
        </is>
      </c>
      <c r="B2245" s="1" t="n">
        <v>45043.94297453704</v>
      </c>
      <c r="C2245" s="1" t="n">
        <v>45972</v>
      </c>
      <c r="D2245" t="inlineStr">
        <is>
          <t>JÄMTLANDS LÄN</t>
        </is>
      </c>
      <c r="E2245" t="inlineStr">
        <is>
          <t>STRÖMSUND</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18777-2023</t>
        </is>
      </c>
      <c r="B2246" s="1" t="n">
        <v>45043.94318287037</v>
      </c>
      <c r="C2246" s="1" t="n">
        <v>45972</v>
      </c>
      <c r="D2246" t="inlineStr">
        <is>
          <t>JÄMTLANDS LÄN</t>
        </is>
      </c>
      <c r="E2246" t="inlineStr">
        <is>
          <t>STRÖMSUND</t>
        </is>
      </c>
      <c r="F2246" t="inlineStr">
        <is>
          <t>SCA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12641-2025</t>
        </is>
      </c>
      <c r="B2247" s="1" t="n">
        <v>45733.38623842593</v>
      </c>
      <c r="C2247" s="1" t="n">
        <v>45972</v>
      </c>
      <c r="D2247" t="inlineStr">
        <is>
          <t>JÄMTLANDS LÄN</t>
        </is>
      </c>
      <c r="E2247" t="inlineStr">
        <is>
          <t>STRÖMSUND</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53019-2022</t>
        </is>
      </c>
      <c r="B2248" s="1" t="n">
        <v>44875</v>
      </c>
      <c r="C2248" s="1" t="n">
        <v>45972</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44638-2024</t>
        </is>
      </c>
      <c r="B2249" s="1" t="n">
        <v>45574.51515046296</v>
      </c>
      <c r="C2249" s="1" t="n">
        <v>45972</v>
      </c>
      <c r="D2249" t="inlineStr">
        <is>
          <t>JÄMTLANDS LÄN</t>
        </is>
      </c>
      <c r="E2249" t="inlineStr">
        <is>
          <t>STRÖMSUND</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45663-2025</t>
        </is>
      </c>
      <c r="B2250" s="1" t="n">
        <v>45923.34650462963</v>
      </c>
      <c r="C2250" s="1" t="n">
        <v>45972</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54662-2025</t>
        </is>
      </c>
      <c r="B2251" s="1" t="n">
        <v>45966.4071412037</v>
      </c>
      <c r="C2251" s="1" t="n">
        <v>45972</v>
      </c>
      <c r="D2251" t="inlineStr">
        <is>
          <t>JÄMTLANDS LÄN</t>
        </is>
      </c>
      <c r="E2251" t="inlineStr">
        <is>
          <t>STRÖMSUND</t>
        </is>
      </c>
      <c r="F2251" t="inlineStr">
        <is>
          <t>SCA</t>
        </is>
      </c>
      <c r="G2251" t="n">
        <v>25.8</v>
      </c>
      <c r="H2251" t="n">
        <v>0</v>
      </c>
      <c r="I2251" t="n">
        <v>0</v>
      </c>
      <c r="J2251" t="n">
        <v>0</v>
      </c>
      <c r="K2251" t="n">
        <v>0</v>
      </c>
      <c r="L2251" t="n">
        <v>0</v>
      </c>
      <c r="M2251" t="n">
        <v>0</v>
      </c>
      <c r="N2251" t="n">
        <v>0</v>
      </c>
      <c r="O2251" t="n">
        <v>0</v>
      </c>
      <c r="P2251" t="n">
        <v>0</v>
      </c>
      <c r="Q2251" t="n">
        <v>0</v>
      </c>
      <c r="R2251" s="2" t="inlineStr"/>
    </row>
    <row r="2252" ht="15" customHeight="1">
      <c r="A2252" t="inlineStr">
        <is>
          <t>A 36891-2025</t>
        </is>
      </c>
      <c r="B2252" s="1" t="n">
        <v>45874.46962962963</v>
      </c>
      <c r="C2252" s="1" t="n">
        <v>45972</v>
      </c>
      <c r="D2252" t="inlineStr">
        <is>
          <t>JÄMTLANDS LÄN</t>
        </is>
      </c>
      <c r="E2252" t="inlineStr">
        <is>
          <t>STRÖMSUND</t>
        </is>
      </c>
      <c r="F2252" t="inlineStr">
        <is>
          <t>SCA</t>
        </is>
      </c>
      <c r="G2252" t="n">
        <v>1.6</v>
      </c>
      <c r="H2252" t="n">
        <v>0</v>
      </c>
      <c r="I2252" t="n">
        <v>0</v>
      </c>
      <c r="J2252" t="n">
        <v>0</v>
      </c>
      <c r="K2252" t="n">
        <v>0</v>
      </c>
      <c r="L2252" t="n">
        <v>0</v>
      </c>
      <c r="M2252" t="n">
        <v>0</v>
      </c>
      <c r="N2252" t="n">
        <v>0</v>
      </c>
      <c r="O2252" t="n">
        <v>0</v>
      </c>
      <c r="P2252" t="n">
        <v>0</v>
      </c>
      <c r="Q2252" t="n">
        <v>0</v>
      </c>
      <c r="R2252" s="2" t="inlineStr"/>
      <c r="U2252">
        <f>HYPERLINK("https://klasma.github.io/Logging_2313/knärot/A 36891-2025 karta knärot.png", "A 36891-2025")</f>
        <v/>
      </c>
      <c r="V2252">
        <f>HYPERLINK("https://klasma.github.io/Logging_2313/klagomål/A 36891-2025 FSC-klagomål.docx", "A 36891-2025")</f>
        <v/>
      </c>
      <c r="W2252">
        <f>HYPERLINK("https://klasma.github.io/Logging_2313/klagomålsmail/A 36891-2025 FSC-klagomål mail.docx", "A 36891-2025")</f>
        <v/>
      </c>
      <c r="X2252">
        <f>HYPERLINK("https://klasma.github.io/Logging_2313/tillsyn/A 36891-2025 tillsynsbegäran.docx", "A 36891-2025")</f>
        <v/>
      </c>
      <c r="Y2252">
        <f>HYPERLINK("https://klasma.github.io/Logging_2313/tillsynsmail/A 36891-2025 tillsynsbegäran mail.docx", "A 36891-2025")</f>
        <v/>
      </c>
    </row>
    <row r="2253" ht="15" customHeight="1">
      <c r="A2253" t="inlineStr">
        <is>
          <t>A 9851-2023</t>
        </is>
      </c>
      <c r="B2253" s="1" t="n">
        <v>44984</v>
      </c>
      <c r="C2253" s="1" t="n">
        <v>45972</v>
      </c>
      <c r="D2253" t="inlineStr">
        <is>
          <t>JÄMTLANDS LÄN</t>
        </is>
      </c>
      <c r="E2253" t="inlineStr">
        <is>
          <t>STRÖMSUND</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46394-2024</t>
        </is>
      </c>
      <c r="B2254" s="1" t="n">
        <v>45582.4071875</v>
      </c>
      <c r="C2254" s="1" t="n">
        <v>45972</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49370-2024</t>
        </is>
      </c>
      <c r="B2255" s="1" t="n">
        <v>45595.6412037037</v>
      </c>
      <c r="C2255" s="1" t="n">
        <v>45972</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49807-2025</t>
        </is>
      </c>
      <c r="B2256" s="1" t="n">
        <v>45940.41766203703</v>
      </c>
      <c r="C2256" s="1" t="n">
        <v>45972</v>
      </c>
      <c r="D2256" t="inlineStr">
        <is>
          <t>JÄMTLANDS LÄN</t>
        </is>
      </c>
      <c r="E2256" t="inlineStr">
        <is>
          <t>STRÖMSUND</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53580-2025</t>
        </is>
      </c>
      <c r="B2257" s="1" t="n">
        <v>45960</v>
      </c>
      <c r="C2257" s="1" t="n">
        <v>45972</v>
      </c>
      <c r="D2257" t="inlineStr">
        <is>
          <t>JÄMTLANDS LÄN</t>
        </is>
      </c>
      <c r="E2257" t="inlineStr">
        <is>
          <t>STRÖMSUND</t>
        </is>
      </c>
      <c r="F2257" t="inlineStr">
        <is>
          <t>SCA</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54551-2025</t>
        </is>
      </c>
      <c r="B2258" s="1" t="n">
        <v>45965</v>
      </c>
      <c r="C2258" s="1" t="n">
        <v>45972</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54554-2025</t>
        </is>
      </c>
      <c r="B2259" s="1" t="n">
        <v>45965</v>
      </c>
      <c r="C2259" s="1" t="n">
        <v>45972</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36965-2025</t>
        </is>
      </c>
      <c r="B2260" s="1" t="n">
        <v>45874.6358912037</v>
      </c>
      <c r="C2260" s="1" t="n">
        <v>45972</v>
      </c>
      <c r="D2260" t="inlineStr">
        <is>
          <t>JÄMTLANDS LÄN</t>
        </is>
      </c>
      <c r="E2260" t="inlineStr">
        <is>
          <t>STRÖMSUND</t>
        </is>
      </c>
      <c r="F2260" t="inlineStr">
        <is>
          <t>SCA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13899-2025</t>
        </is>
      </c>
      <c r="B2261" s="1" t="n">
        <v>45737</v>
      </c>
      <c r="C2261" s="1" t="n">
        <v>45972</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36892-2025</t>
        </is>
      </c>
      <c r="B2262" s="1" t="n">
        <v>45874.46975694445</v>
      </c>
      <c r="C2262" s="1" t="n">
        <v>45972</v>
      </c>
      <c r="D2262" t="inlineStr">
        <is>
          <t>JÄMTLANDS LÄN</t>
        </is>
      </c>
      <c r="E2262" t="inlineStr">
        <is>
          <t>STRÖMSUND</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4910-2025</t>
        </is>
      </c>
      <c r="B2263" s="1" t="n">
        <v>45688.68138888889</v>
      </c>
      <c r="C2263" s="1" t="n">
        <v>45972</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36343-2024</t>
        </is>
      </c>
      <c r="B2264" s="1" t="n">
        <v>45534.64329861111</v>
      </c>
      <c r="C2264" s="1" t="n">
        <v>45972</v>
      </c>
      <c r="D2264" t="inlineStr">
        <is>
          <t>JÄMTLANDS LÄN</t>
        </is>
      </c>
      <c r="E2264" t="inlineStr">
        <is>
          <t>STRÖMSUND</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40891-2024</t>
        </is>
      </c>
      <c r="B2265" s="1" t="n">
        <v>45558.61495370371</v>
      </c>
      <c r="C2265" s="1" t="n">
        <v>45972</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54665-2025</t>
        </is>
      </c>
      <c r="B2266" s="1" t="n">
        <v>45966.40744212963</v>
      </c>
      <c r="C2266" s="1" t="n">
        <v>45972</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46001-2025</t>
        </is>
      </c>
      <c r="B2267" s="1" t="n">
        <v>45924.40692129629</v>
      </c>
      <c r="C2267" s="1" t="n">
        <v>45972</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36653-2025</t>
        </is>
      </c>
      <c r="B2268" s="1" t="n">
        <v>45872.90528935185</v>
      </c>
      <c r="C2268" s="1" t="n">
        <v>45972</v>
      </c>
      <c r="D2268" t="inlineStr">
        <is>
          <t>JÄMTLANDS LÄN</t>
        </is>
      </c>
      <c r="E2268" t="inlineStr">
        <is>
          <t>STRÖMSUND</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4034-2025</t>
        </is>
      </c>
      <c r="B2269" s="1" t="n">
        <v>45684.59953703704</v>
      </c>
      <c r="C2269" s="1" t="n">
        <v>45972</v>
      </c>
      <c r="D2269" t="inlineStr">
        <is>
          <t>JÄMTLANDS LÄN</t>
        </is>
      </c>
      <c r="E2269" t="inlineStr">
        <is>
          <t>STRÖMSUND</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36870-2025</t>
        </is>
      </c>
      <c r="B2270" s="1" t="n">
        <v>45874.42859953704</v>
      </c>
      <c r="C2270" s="1" t="n">
        <v>45972</v>
      </c>
      <c r="D2270" t="inlineStr">
        <is>
          <t>JÄMTLANDS LÄN</t>
        </is>
      </c>
      <c r="E2270" t="inlineStr">
        <is>
          <t>STRÖMSUND</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46191-2025</t>
        </is>
      </c>
      <c r="B2271" s="1" t="n">
        <v>45924.67771990741</v>
      </c>
      <c r="C2271" s="1" t="n">
        <v>45972</v>
      </c>
      <c r="D2271" t="inlineStr">
        <is>
          <t>JÄMTLANDS LÄN</t>
        </is>
      </c>
      <c r="E2271" t="inlineStr">
        <is>
          <t>STRÖMSUND</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37330-2025</t>
        </is>
      </c>
      <c r="B2272" s="1" t="n">
        <v>45876.65702546296</v>
      </c>
      <c r="C2272" s="1" t="n">
        <v>45972</v>
      </c>
      <c r="D2272" t="inlineStr">
        <is>
          <t>JÄMTLANDS LÄN</t>
        </is>
      </c>
      <c r="E2272" t="inlineStr">
        <is>
          <t>STRÖMSUND</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37096-2025</t>
        </is>
      </c>
      <c r="B2273" s="1" t="n">
        <v>45875.46940972222</v>
      </c>
      <c r="C2273" s="1" t="n">
        <v>45972</v>
      </c>
      <c r="D2273" t="inlineStr">
        <is>
          <t>JÄMTLANDS LÄN</t>
        </is>
      </c>
      <c r="E2273" t="inlineStr">
        <is>
          <t>STRÖMSUND</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54258-2025</t>
        </is>
      </c>
      <c r="B2274" s="1" t="n">
        <v>45964.65748842592</v>
      </c>
      <c r="C2274" s="1" t="n">
        <v>45972</v>
      </c>
      <c r="D2274" t="inlineStr">
        <is>
          <t>JÄMTLANDS LÄN</t>
        </is>
      </c>
      <c r="E2274" t="inlineStr">
        <is>
          <t>STRÖMSUND</t>
        </is>
      </c>
      <c r="F2274" t="inlineStr">
        <is>
          <t>SCA</t>
        </is>
      </c>
      <c r="G2274" t="n">
        <v>11.4</v>
      </c>
      <c r="H2274" t="n">
        <v>0</v>
      </c>
      <c r="I2274" t="n">
        <v>0</v>
      </c>
      <c r="J2274" t="n">
        <v>0</v>
      </c>
      <c r="K2274" t="n">
        <v>0</v>
      </c>
      <c r="L2274" t="n">
        <v>0</v>
      </c>
      <c r="M2274" t="n">
        <v>0</v>
      </c>
      <c r="N2274" t="n">
        <v>0</v>
      </c>
      <c r="O2274" t="n">
        <v>0</v>
      </c>
      <c r="P2274" t="n">
        <v>0</v>
      </c>
      <c r="Q2274" t="n">
        <v>0</v>
      </c>
      <c r="R2274" s="2" t="inlineStr"/>
    </row>
    <row r="2275" ht="15" customHeight="1">
      <c r="A2275" t="inlineStr">
        <is>
          <t>A 37123-2025</t>
        </is>
      </c>
      <c r="B2275" s="1" t="n">
        <v>45875.5259375</v>
      </c>
      <c r="C2275" s="1" t="n">
        <v>45972</v>
      </c>
      <c r="D2275" t="inlineStr">
        <is>
          <t>JÄMTLANDS LÄN</t>
        </is>
      </c>
      <c r="E2275" t="inlineStr">
        <is>
          <t>STRÖMSUND</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37127-2025</t>
        </is>
      </c>
      <c r="B2276" s="1" t="n">
        <v>45875.53715277778</v>
      </c>
      <c r="C2276" s="1" t="n">
        <v>45972</v>
      </c>
      <c r="D2276" t="inlineStr">
        <is>
          <t>JÄMTLANDS LÄN</t>
        </is>
      </c>
      <c r="E2276" t="inlineStr">
        <is>
          <t>STRÖMSUND</t>
        </is>
      </c>
      <c r="F2276" t="inlineStr">
        <is>
          <t>Kyrkan</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37235-2025</t>
        </is>
      </c>
      <c r="B2277" s="1" t="n">
        <v>45876.35336805556</v>
      </c>
      <c r="C2277" s="1" t="n">
        <v>45972</v>
      </c>
      <c r="D2277" t="inlineStr">
        <is>
          <t>JÄMTLANDS LÄN</t>
        </is>
      </c>
      <c r="E2277" t="inlineStr">
        <is>
          <t>STRÖMSUND</t>
        </is>
      </c>
      <c r="G2277" t="n">
        <v>39.2</v>
      </c>
      <c r="H2277" t="n">
        <v>0</v>
      </c>
      <c r="I2277" t="n">
        <v>0</v>
      </c>
      <c r="J2277" t="n">
        <v>0</v>
      </c>
      <c r="K2277" t="n">
        <v>0</v>
      </c>
      <c r="L2277" t="n">
        <v>0</v>
      </c>
      <c r="M2277" t="n">
        <v>0</v>
      </c>
      <c r="N2277" t="n">
        <v>0</v>
      </c>
      <c r="O2277" t="n">
        <v>0</v>
      </c>
      <c r="P2277" t="n">
        <v>0</v>
      </c>
      <c r="Q2277" t="n">
        <v>0</v>
      </c>
      <c r="R2277" s="2" t="inlineStr"/>
    </row>
    <row r="2278" ht="15" customHeight="1">
      <c r="A2278" t="inlineStr">
        <is>
          <t>A 37262-2025</t>
        </is>
      </c>
      <c r="B2278" s="1" t="n">
        <v>45876.45689814815</v>
      </c>
      <c r="C2278" s="1" t="n">
        <v>45972</v>
      </c>
      <c r="D2278" t="inlineStr">
        <is>
          <t>JÄMTLANDS LÄN</t>
        </is>
      </c>
      <c r="E2278" t="inlineStr">
        <is>
          <t>STRÖMSUND</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37258-2025</t>
        </is>
      </c>
      <c r="B2279" s="1" t="n">
        <v>45876.44306712963</v>
      </c>
      <c r="C2279" s="1" t="n">
        <v>45972</v>
      </c>
      <c r="D2279" t="inlineStr">
        <is>
          <t>JÄMTLANDS LÄN</t>
        </is>
      </c>
      <c r="E2279" t="inlineStr">
        <is>
          <t>STRÖMSUND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37202-2025</t>
        </is>
      </c>
      <c r="B2280" s="1" t="n">
        <v>45875.67811342593</v>
      </c>
      <c r="C2280" s="1" t="n">
        <v>45972</v>
      </c>
      <c r="D2280" t="inlineStr">
        <is>
          <t>JÄMTLANDS LÄN</t>
        </is>
      </c>
      <c r="E2280" t="inlineStr">
        <is>
          <t>STRÖMSUND</t>
        </is>
      </c>
      <c r="F2280" t="inlineStr">
        <is>
          <t>SCA</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37274-2025</t>
        </is>
      </c>
      <c r="B2281" s="1" t="n">
        <v>45876.48733796296</v>
      </c>
      <c r="C2281" s="1" t="n">
        <v>45972</v>
      </c>
      <c r="D2281" t="inlineStr">
        <is>
          <t>JÄMTLANDS LÄN</t>
        </is>
      </c>
      <c r="E2281" t="inlineStr">
        <is>
          <t>STRÖMSUND</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37291-2025</t>
        </is>
      </c>
      <c r="B2282" s="1" t="n">
        <v>45876.53166666667</v>
      </c>
      <c r="C2282" s="1" t="n">
        <v>45972</v>
      </c>
      <c r="D2282" t="inlineStr">
        <is>
          <t>JÄMTLANDS LÄN</t>
        </is>
      </c>
      <c r="E2282" t="inlineStr">
        <is>
          <t>STRÖMSUND</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54556-2025</t>
        </is>
      </c>
      <c r="B2283" s="1" t="n">
        <v>45965</v>
      </c>
      <c r="C2283" s="1" t="n">
        <v>45972</v>
      </c>
      <c r="D2283" t="inlineStr">
        <is>
          <t>JÄMTLANDS LÄN</t>
        </is>
      </c>
      <c r="E2283" t="inlineStr">
        <is>
          <t>STRÖMSUND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37305-2025</t>
        </is>
      </c>
      <c r="B2284" s="1" t="n">
        <v>45876.59471064815</v>
      </c>
      <c r="C2284" s="1" t="n">
        <v>45972</v>
      </c>
      <c r="D2284" t="inlineStr">
        <is>
          <t>JÄMTLANDS LÄN</t>
        </is>
      </c>
      <c r="E2284" t="inlineStr">
        <is>
          <t>STRÖMSUND</t>
        </is>
      </c>
      <c r="F2284" t="inlineStr">
        <is>
          <t>SCA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37097-2025</t>
        </is>
      </c>
      <c r="B2285" s="1" t="n">
        <v>45875.46953703704</v>
      </c>
      <c r="C2285" s="1" t="n">
        <v>45972</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37272-2025</t>
        </is>
      </c>
      <c r="B2286" s="1" t="n">
        <v>45876.47997685185</v>
      </c>
      <c r="C2286" s="1" t="n">
        <v>45972</v>
      </c>
      <c r="D2286" t="inlineStr">
        <is>
          <t>JÄMTLANDS LÄN</t>
        </is>
      </c>
      <c r="E2286" t="inlineStr">
        <is>
          <t>STRÖMSUND</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33104-2021</t>
        </is>
      </c>
      <c r="B2287" s="1" t="n">
        <v>44376</v>
      </c>
      <c r="C2287" s="1" t="n">
        <v>45972</v>
      </c>
      <c r="D2287" t="inlineStr">
        <is>
          <t>JÄMTLANDS LÄN</t>
        </is>
      </c>
      <c r="E2287" t="inlineStr">
        <is>
          <t>STRÖMSUND</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37451-2025</t>
        </is>
      </c>
      <c r="B2288" s="1" t="n">
        <v>45877.55271990741</v>
      </c>
      <c r="C2288" s="1" t="n">
        <v>45972</v>
      </c>
      <c r="D2288" t="inlineStr">
        <is>
          <t>JÄMTLANDS LÄN</t>
        </is>
      </c>
      <c r="E2288" t="inlineStr">
        <is>
          <t>STRÖMSUND</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3027-2023</t>
        </is>
      </c>
      <c r="B2289" s="1" t="n">
        <v>44945</v>
      </c>
      <c r="C2289" s="1" t="n">
        <v>45972</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37370-2025</t>
        </is>
      </c>
      <c r="B2290" s="1" t="n">
        <v>45877.34458333333</v>
      </c>
      <c r="C2290" s="1" t="n">
        <v>45972</v>
      </c>
      <c r="D2290" t="inlineStr">
        <is>
          <t>JÄMTLANDS LÄN</t>
        </is>
      </c>
      <c r="E2290" t="inlineStr">
        <is>
          <t>STRÖMSUND</t>
        </is>
      </c>
      <c r="F2290" t="inlineStr">
        <is>
          <t>SCA</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37395-2025</t>
        </is>
      </c>
      <c r="B2291" s="1" t="n">
        <v>45877.42790509259</v>
      </c>
      <c r="C2291" s="1" t="n">
        <v>45972</v>
      </c>
      <c r="D2291" t="inlineStr">
        <is>
          <t>JÄMTLANDS LÄN</t>
        </is>
      </c>
      <c r="E2291" t="inlineStr">
        <is>
          <t>STRÖMSUND</t>
        </is>
      </c>
      <c r="F2291" t="inlineStr">
        <is>
          <t>SCA</t>
        </is>
      </c>
      <c r="G2291" t="n">
        <v>12.1</v>
      </c>
      <c r="H2291" t="n">
        <v>0</v>
      </c>
      <c r="I2291" t="n">
        <v>0</v>
      </c>
      <c r="J2291" t="n">
        <v>0</v>
      </c>
      <c r="K2291" t="n">
        <v>0</v>
      </c>
      <c r="L2291" t="n">
        <v>0</v>
      </c>
      <c r="M2291" t="n">
        <v>0</v>
      </c>
      <c r="N2291" t="n">
        <v>0</v>
      </c>
      <c r="O2291" t="n">
        <v>0</v>
      </c>
      <c r="P2291" t="n">
        <v>0</v>
      </c>
      <c r="Q2291" t="n">
        <v>0</v>
      </c>
      <c r="R2291" s="2" t="inlineStr"/>
    </row>
    <row r="2292" ht="15" customHeight="1">
      <c r="A2292" t="inlineStr">
        <is>
          <t>A 5333-2024</t>
        </is>
      </c>
      <c r="B2292" s="1" t="n">
        <v>45331.43344907407</v>
      </c>
      <c r="C2292" s="1" t="n">
        <v>45972</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5350-2024</t>
        </is>
      </c>
      <c r="B2293" s="1" t="n">
        <v>45331</v>
      </c>
      <c r="C2293" s="1" t="n">
        <v>45972</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37430-2025</t>
        </is>
      </c>
      <c r="B2294" s="1" t="n">
        <v>45877.50881944445</v>
      </c>
      <c r="C2294" s="1" t="n">
        <v>45972</v>
      </c>
      <c r="D2294" t="inlineStr">
        <is>
          <t>JÄMTLANDS LÄN</t>
        </is>
      </c>
      <c r="E2294" t="inlineStr">
        <is>
          <t>STRÖMSUND</t>
        </is>
      </c>
      <c r="F2294" t="inlineStr">
        <is>
          <t>Holmen skog AB</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7964-2025</t>
        </is>
      </c>
      <c r="B2295" s="1" t="n">
        <v>45707.44858796296</v>
      </c>
      <c r="C2295" s="1" t="n">
        <v>45972</v>
      </c>
      <c r="D2295" t="inlineStr">
        <is>
          <t>JÄMTLANDS LÄN</t>
        </is>
      </c>
      <c r="E2295" t="inlineStr">
        <is>
          <t>STRÖMSUND</t>
        </is>
      </c>
      <c r="F2295" t="inlineStr">
        <is>
          <t>SCA</t>
        </is>
      </c>
      <c r="G2295" t="n">
        <v>12.4</v>
      </c>
      <c r="H2295" t="n">
        <v>0</v>
      </c>
      <c r="I2295" t="n">
        <v>0</v>
      </c>
      <c r="J2295" t="n">
        <v>0</v>
      </c>
      <c r="K2295" t="n">
        <v>0</v>
      </c>
      <c r="L2295" t="n">
        <v>0</v>
      </c>
      <c r="M2295" t="n">
        <v>0</v>
      </c>
      <c r="N2295" t="n">
        <v>0</v>
      </c>
      <c r="O2295" t="n">
        <v>0</v>
      </c>
      <c r="P2295" t="n">
        <v>0</v>
      </c>
      <c r="Q2295" t="n">
        <v>0</v>
      </c>
      <c r="R2295" s="2" t="inlineStr"/>
    </row>
    <row r="2296" ht="15" customHeight="1">
      <c r="A2296" t="inlineStr">
        <is>
          <t>A 54621-2025</t>
        </is>
      </c>
      <c r="B2296" s="1" t="n">
        <v>45966.34498842592</v>
      </c>
      <c r="C2296" s="1" t="n">
        <v>45972</v>
      </c>
      <c r="D2296" t="inlineStr">
        <is>
          <t>JÄMTLANDS LÄN</t>
        </is>
      </c>
      <c r="E2296" t="inlineStr">
        <is>
          <t>STRÖMSUND</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37619-2025</t>
        </is>
      </c>
      <c r="B2297" s="1" t="n">
        <v>45880.44827546296</v>
      </c>
      <c r="C2297" s="1" t="n">
        <v>45972</v>
      </c>
      <c r="D2297" t="inlineStr">
        <is>
          <t>JÄMTLANDS LÄN</t>
        </is>
      </c>
      <c r="E2297" t="inlineStr">
        <is>
          <t>STRÖMSUND</t>
        </is>
      </c>
      <c r="F2297" t="inlineStr">
        <is>
          <t>SCA</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35010-2025</t>
        </is>
      </c>
      <c r="B2298" s="1" t="n">
        <v>45851</v>
      </c>
      <c r="C2298" s="1" t="n">
        <v>45972</v>
      </c>
      <c r="D2298" t="inlineStr">
        <is>
          <t>JÄMTLANDS LÄN</t>
        </is>
      </c>
      <c r="E2298" t="inlineStr">
        <is>
          <t>STRÖMSUND</t>
        </is>
      </c>
      <c r="F2298" t="inlineStr">
        <is>
          <t>SCA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37708-2025</t>
        </is>
      </c>
      <c r="B2299" s="1" t="n">
        <v>45880.59440972222</v>
      </c>
      <c r="C2299" s="1" t="n">
        <v>45972</v>
      </c>
      <c r="D2299" t="inlineStr">
        <is>
          <t>JÄMTLANDS LÄN</t>
        </is>
      </c>
      <c r="E2299" t="inlineStr">
        <is>
          <t>STRÖMSUND</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63755-2020</t>
        </is>
      </c>
      <c r="B2300" s="1" t="n">
        <v>44166</v>
      </c>
      <c r="C2300" s="1" t="n">
        <v>45972</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37462-2025</t>
        </is>
      </c>
      <c r="B2301" s="1" t="n">
        <v>45877.57369212963</v>
      </c>
      <c r="C2301" s="1" t="n">
        <v>45972</v>
      </c>
      <c r="D2301" t="inlineStr">
        <is>
          <t>JÄMTLANDS LÄN</t>
        </is>
      </c>
      <c r="E2301" t="inlineStr">
        <is>
          <t>STRÖMSUND</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54322-2025</t>
        </is>
      </c>
      <c r="B2302" s="1" t="n">
        <v>45965.34436342592</v>
      </c>
      <c r="C2302" s="1" t="n">
        <v>45972</v>
      </c>
      <c r="D2302" t="inlineStr">
        <is>
          <t>JÄMTLANDS LÄN</t>
        </is>
      </c>
      <c r="E2302" t="inlineStr">
        <is>
          <t>STRÖMSUND</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54618-2025</t>
        </is>
      </c>
      <c r="B2303" s="1" t="n">
        <v>45966.34445601852</v>
      </c>
      <c r="C2303" s="1" t="n">
        <v>45972</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63692-2020</t>
        </is>
      </c>
      <c r="B2304" s="1" t="n">
        <v>44161</v>
      </c>
      <c r="C2304" s="1" t="n">
        <v>45972</v>
      </c>
      <c r="D2304" t="inlineStr">
        <is>
          <t>JÄMTLANDS LÄN</t>
        </is>
      </c>
      <c r="E2304" t="inlineStr">
        <is>
          <t>STRÖMSUND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37452-2025</t>
        </is>
      </c>
      <c r="B2305" s="1" t="n">
        <v>45877.5578125</v>
      </c>
      <c r="C2305" s="1" t="n">
        <v>45972</v>
      </c>
      <c r="D2305" t="inlineStr">
        <is>
          <t>JÄMTLANDS LÄN</t>
        </is>
      </c>
      <c r="E2305" t="inlineStr">
        <is>
          <t>STRÖMSUND</t>
        </is>
      </c>
      <c r="F2305" t="inlineStr">
        <is>
          <t>Holmen skog AB</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21093-2021</t>
        </is>
      </c>
      <c r="B2306" s="1" t="n">
        <v>44319</v>
      </c>
      <c r="C2306" s="1" t="n">
        <v>45972</v>
      </c>
      <c r="D2306" t="inlineStr">
        <is>
          <t>JÄMTLANDS LÄN</t>
        </is>
      </c>
      <c r="E2306" t="inlineStr">
        <is>
          <t>STRÖMSUND</t>
        </is>
      </c>
      <c r="F2306" t="inlineStr">
        <is>
          <t>SCA</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54661-2025</t>
        </is>
      </c>
      <c r="B2307" s="1" t="n">
        <v>45966.40692129629</v>
      </c>
      <c r="C2307" s="1" t="n">
        <v>45972</v>
      </c>
      <c r="D2307" t="inlineStr">
        <is>
          <t>JÄMTLANDS LÄN</t>
        </is>
      </c>
      <c r="E2307" t="inlineStr">
        <is>
          <t>STRÖMSUND</t>
        </is>
      </c>
      <c r="F2307" t="inlineStr">
        <is>
          <t>SCA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54666-2025</t>
        </is>
      </c>
      <c r="B2308" s="1" t="n">
        <v>45966.40759259259</v>
      </c>
      <c r="C2308" s="1" t="n">
        <v>45972</v>
      </c>
      <c r="D2308" t="inlineStr">
        <is>
          <t>JÄMTLANDS LÄN</t>
        </is>
      </c>
      <c r="E2308" t="inlineStr">
        <is>
          <t>STRÖMSUND</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39517-2024</t>
        </is>
      </c>
      <c r="B2309" s="1" t="n">
        <v>45551.69829861111</v>
      </c>
      <c r="C2309" s="1" t="n">
        <v>45972</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53754-2025</t>
        </is>
      </c>
      <c r="B2310" s="1" t="n">
        <v>45960</v>
      </c>
      <c r="C2310" s="1" t="n">
        <v>45972</v>
      </c>
      <c r="D2310" t="inlineStr">
        <is>
          <t>JÄMTLANDS LÄN</t>
        </is>
      </c>
      <c r="E2310" t="inlineStr">
        <is>
          <t>STRÖMSUND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63567-2020</t>
        </is>
      </c>
      <c r="B2311" s="1" t="n">
        <v>44165</v>
      </c>
      <c r="C2311" s="1" t="n">
        <v>45972</v>
      </c>
      <c r="D2311" t="inlineStr">
        <is>
          <t>JÄMTLANDS LÄN</t>
        </is>
      </c>
      <c r="E2311" t="inlineStr">
        <is>
          <t>STRÖMSUND</t>
        </is>
      </c>
      <c r="G2311" t="n">
        <v>14.4</v>
      </c>
      <c r="H2311" t="n">
        <v>0</v>
      </c>
      <c r="I2311" t="n">
        <v>0</v>
      </c>
      <c r="J2311" t="n">
        <v>0</v>
      </c>
      <c r="K2311" t="n">
        <v>0</v>
      </c>
      <c r="L2311" t="n">
        <v>0</v>
      </c>
      <c r="M2311" t="n">
        <v>0</v>
      </c>
      <c r="N2311" t="n">
        <v>0</v>
      </c>
      <c r="O2311" t="n">
        <v>0</v>
      </c>
      <c r="P2311" t="n">
        <v>0</v>
      </c>
      <c r="Q2311" t="n">
        <v>0</v>
      </c>
      <c r="R2311" s="2" t="inlineStr"/>
    </row>
    <row r="2312" ht="15" customHeight="1">
      <c r="A2312" t="inlineStr">
        <is>
          <t>A 37946-2025</t>
        </is>
      </c>
      <c r="B2312" s="1" t="n">
        <v>45881.61520833334</v>
      </c>
      <c r="C2312" s="1" t="n">
        <v>45972</v>
      </c>
      <c r="D2312" t="inlineStr">
        <is>
          <t>JÄMTLANDS LÄN</t>
        </is>
      </c>
      <c r="E2312" t="inlineStr">
        <is>
          <t>STRÖMSUND</t>
        </is>
      </c>
      <c r="F2312" t="inlineStr">
        <is>
          <t>SCA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54382-2025</t>
        </is>
      </c>
      <c r="B2313" s="1" t="n">
        <v>45965.43498842593</v>
      </c>
      <c r="C2313" s="1" t="n">
        <v>45972</v>
      </c>
      <c r="D2313" t="inlineStr">
        <is>
          <t>JÄMTLANDS LÄN</t>
        </is>
      </c>
      <c r="E2313" t="inlineStr">
        <is>
          <t>STRÖMSUND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38021-2025</t>
        </is>
      </c>
      <c r="B2314" s="1" t="n">
        <v>45882.34454861111</v>
      </c>
      <c r="C2314" s="1" t="n">
        <v>45972</v>
      </c>
      <c r="D2314" t="inlineStr">
        <is>
          <t>JÄMTLANDS LÄN</t>
        </is>
      </c>
      <c r="E2314" t="inlineStr">
        <is>
          <t>STRÖMSUND</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42949-2024</t>
        </is>
      </c>
      <c r="B2315" s="1" t="n">
        <v>45567.36642361111</v>
      </c>
      <c r="C2315" s="1" t="n">
        <v>45972</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42960-2024</t>
        </is>
      </c>
      <c r="B2316" s="1" t="n">
        <v>45567.37157407407</v>
      </c>
      <c r="C2316" s="1" t="n">
        <v>45972</v>
      </c>
      <c r="D2316" t="inlineStr">
        <is>
          <t>JÄMTLANDS LÄN</t>
        </is>
      </c>
      <c r="E2316" t="inlineStr">
        <is>
          <t>STRÖMSUND</t>
        </is>
      </c>
      <c r="F2316" t="inlineStr">
        <is>
          <t>SCA</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38115-2025</t>
        </is>
      </c>
      <c r="B2317" s="1" t="n">
        <v>45882.53181712963</v>
      </c>
      <c r="C2317" s="1" t="n">
        <v>45972</v>
      </c>
      <c r="D2317" t="inlineStr">
        <is>
          <t>JÄMTLANDS LÄN</t>
        </is>
      </c>
      <c r="E2317" t="inlineStr">
        <is>
          <t>STRÖMSUND</t>
        </is>
      </c>
      <c r="F2317" t="inlineStr">
        <is>
          <t>SCA</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38020-2025</t>
        </is>
      </c>
      <c r="B2318" s="1" t="n">
        <v>45882.3443287037</v>
      </c>
      <c r="C2318" s="1" t="n">
        <v>45972</v>
      </c>
      <c r="D2318" t="inlineStr">
        <is>
          <t>JÄMTLANDS LÄN</t>
        </is>
      </c>
      <c r="E2318" t="inlineStr">
        <is>
          <t>STRÖMSUND</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38051-2025</t>
        </is>
      </c>
      <c r="B2319" s="1" t="n">
        <v>45882.40740740741</v>
      </c>
      <c r="C2319" s="1" t="n">
        <v>45972</v>
      </c>
      <c r="D2319" t="inlineStr">
        <is>
          <t>JÄMTLANDS LÄN</t>
        </is>
      </c>
      <c r="E2319" t="inlineStr">
        <is>
          <t>STRÖMSUND</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38048-2025</t>
        </is>
      </c>
      <c r="B2320" s="1" t="n">
        <v>45882.40670138889</v>
      </c>
      <c r="C2320" s="1" t="n">
        <v>45972</v>
      </c>
      <c r="D2320" t="inlineStr">
        <is>
          <t>JÄMTLANDS LÄN</t>
        </is>
      </c>
      <c r="E2320" t="inlineStr">
        <is>
          <t>STRÖMSUND</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38061-2025</t>
        </is>
      </c>
      <c r="B2321" s="1" t="n">
        <v>45882.42813657408</v>
      </c>
      <c r="C2321" s="1" t="n">
        <v>45972</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54361-2025</t>
        </is>
      </c>
      <c r="B2322" s="1" t="n">
        <v>45965.39175925926</v>
      </c>
      <c r="C2322" s="1" t="n">
        <v>45972</v>
      </c>
      <c r="D2322" t="inlineStr">
        <is>
          <t>JÄMTLANDS LÄN</t>
        </is>
      </c>
      <c r="E2322" t="inlineStr">
        <is>
          <t>STRÖMSUND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18994-2022</t>
        </is>
      </c>
      <c r="B2323" s="1" t="n">
        <v>44690.93938657407</v>
      </c>
      <c r="C2323" s="1" t="n">
        <v>45972</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38139-2025</t>
        </is>
      </c>
      <c r="B2324" s="1" t="n">
        <v>45882.57331018519</v>
      </c>
      <c r="C2324" s="1" t="n">
        <v>45972</v>
      </c>
      <c r="D2324" t="inlineStr">
        <is>
          <t>JÄMTLANDS LÄN</t>
        </is>
      </c>
      <c r="E2324" t="inlineStr">
        <is>
          <t>STRÖMSUND</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38050-2025</t>
        </is>
      </c>
      <c r="B2325" s="1" t="n">
        <v>45882.40732638889</v>
      </c>
      <c r="C2325" s="1" t="n">
        <v>45972</v>
      </c>
      <c r="D2325" t="inlineStr">
        <is>
          <t>JÄMTLANDS LÄN</t>
        </is>
      </c>
      <c r="E2325" t="inlineStr">
        <is>
          <t>STRÖMSUND</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37947-2025</t>
        </is>
      </c>
      <c r="B2326" s="1" t="n">
        <v>45881.6153587963</v>
      </c>
      <c r="C2326" s="1" t="n">
        <v>45972</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54916-2025</t>
        </is>
      </c>
      <c r="B2327" s="1" t="n">
        <v>45967.38577546296</v>
      </c>
      <c r="C2327" s="1" t="n">
        <v>45972</v>
      </c>
      <c r="D2327" t="inlineStr">
        <is>
          <t>JÄMTLANDS LÄN</t>
        </is>
      </c>
      <c r="E2327" t="inlineStr">
        <is>
          <t>STRÖMSUND</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42005-2024</t>
        </is>
      </c>
      <c r="B2328" s="1" t="n">
        <v>45561.67761574074</v>
      </c>
      <c r="C2328" s="1" t="n">
        <v>45972</v>
      </c>
      <c r="D2328" t="inlineStr">
        <is>
          <t>JÄMTLANDS LÄN</t>
        </is>
      </c>
      <c r="E2328" t="inlineStr">
        <is>
          <t>STRÖMSUND</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55066-2025</t>
        </is>
      </c>
      <c r="B2329" s="1" t="n">
        <v>45967.72011574074</v>
      </c>
      <c r="C2329" s="1" t="n">
        <v>45972</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46670-2025</t>
        </is>
      </c>
      <c r="B2330" s="1" t="n">
        <v>45926</v>
      </c>
      <c r="C2330" s="1" t="n">
        <v>45972</v>
      </c>
      <c r="D2330" t="inlineStr">
        <is>
          <t>JÄMTLANDS LÄN</t>
        </is>
      </c>
      <c r="E2330" t="inlineStr">
        <is>
          <t>STRÖMSUND</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54884-2025</t>
        </is>
      </c>
      <c r="B2331" s="1" t="n">
        <v>45967.34452546296</v>
      </c>
      <c r="C2331" s="1" t="n">
        <v>45972</v>
      </c>
      <c r="D2331" t="inlineStr">
        <is>
          <t>JÄMTLANDS LÄN</t>
        </is>
      </c>
      <c r="E2331" t="inlineStr">
        <is>
          <t>STRÖMSUND</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24800-2024</t>
        </is>
      </c>
      <c r="B2332" s="1" t="n">
        <v>45460.95293981482</v>
      </c>
      <c r="C2332" s="1" t="n">
        <v>45972</v>
      </c>
      <c r="D2332" t="inlineStr">
        <is>
          <t>JÄMTLANDS LÄN</t>
        </is>
      </c>
      <c r="E2332" t="inlineStr">
        <is>
          <t>STRÖMSUND</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46688-2025</t>
        </is>
      </c>
      <c r="B2333" s="1" t="n">
        <v>45926.55293981481</v>
      </c>
      <c r="C2333" s="1" t="n">
        <v>45972</v>
      </c>
      <c r="D2333" t="inlineStr">
        <is>
          <t>JÄMTLANDS LÄN</t>
        </is>
      </c>
      <c r="E2333" t="inlineStr">
        <is>
          <t>STRÖMSUND</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55181-2025</t>
        </is>
      </c>
      <c r="B2334" s="1" t="n">
        <v>45968.531875</v>
      </c>
      <c r="C2334" s="1" t="n">
        <v>45972</v>
      </c>
      <c r="D2334" t="inlineStr">
        <is>
          <t>JÄMTLANDS LÄN</t>
        </is>
      </c>
      <c r="E2334" t="inlineStr">
        <is>
          <t>STRÖMSUND</t>
        </is>
      </c>
      <c r="F2334" t="inlineStr">
        <is>
          <t>SCA</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55259-2025</t>
        </is>
      </c>
      <c r="B2335" s="1" t="n">
        <v>45968.64603009259</v>
      </c>
      <c r="C2335" s="1" t="n">
        <v>45972</v>
      </c>
      <c r="D2335" t="inlineStr">
        <is>
          <t>JÄMTLANDS LÄN</t>
        </is>
      </c>
      <c r="E2335" t="inlineStr">
        <is>
          <t>STRÖMSUND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46567-2025</t>
        </is>
      </c>
      <c r="B2336" s="1" t="n">
        <v>45926.36528935185</v>
      </c>
      <c r="C2336" s="1" t="n">
        <v>45972</v>
      </c>
      <c r="D2336" t="inlineStr">
        <is>
          <t>JÄMTLANDS LÄN</t>
        </is>
      </c>
      <c r="E2336" t="inlineStr">
        <is>
          <t>STRÖMSUND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46479-2025</t>
        </is>
      </c>
      <c r="B2337" s="1" t="n">
        <v>45925.6985300926</v>
      </c>
      <c r="C2337" s="1" t="n">
        <v>45972</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54897-2025</t>
        </is>
      </c>
      <c r="B2338" s="1" t="n">
        <v>45967.36555555555</v>
      </c>
      <c r="C2338" s="1" t="n">
        <v>45972</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55012-2025</t>
        </is>
      </c>
      <c r="B2339" s="1" t="n">
        <v>45967.61560185185</v>
      </c>
      <c r="C2339" s="1" t="n">
        <v>45972</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46355-2025</t>
        </is>
      </c>
      <c r="B2340" s="1" t="n">
        <v>45925.49006944444</v>
      </c>
      <c r="C2340" s="1" t="n">
        <v>45972</v>
      </c>
      <c r="D2340" t="inlineStr">
        <is>
          <t>JÄMTLANDS LÄN</t>
        </is>
      </c>
      <c r="E2340" t="inlineStr">
        <is>
          <t>STRÖMSUND</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55067-2025</t>
        </is>
      </c>
      <c r="B2341" s="1" t="n">
        <v>45967.72121527778</v>
      </c>
      <c r="C2341" s="1" t="n">
        <v>45972</v>
      </c>
      <c r="D2341" t="inlineStr">
        <is>
          <t>JÄMTLANDS LÄN</t>
        </is>
      </c>
      <c r="E2341" t="inlineStr">
        <is>
          <t>STRÖMSUND</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46687-2025</t>
        </is>
      </c>
      <c r="B2342" s="1" t="n">
        <v>45926.55288194444</v>
      </c>
      <c r="C2342" s="1" t="n">
        <v>45972</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46388-2025</t>
        </is>
      </c>
      <c r="B2343" s="1" t="n">
        <v>45925</v>
      </c>
      <c r="C2343" s="1" t="n">
        <v>45972</v>
      </c>
      <c r="D2343" t="inlineStr">
        <is>
          <t>JÄMTLANDS LÄN</t>
        </is>
      </c>
      <c r="E2343" t="inlineStr">
        <is>
          <t>STRÖMSUND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55242-2025</t>
        </is>
      </c>
      <c r="B2344" s="1" t="n">
        <v>45968.61890046296</v>
      </c>
      <c r="C2344" s="1" t="n">
        <v>45972</v>
      </c>
      <c r="D2344" t="inlineStr">
        <is>
          <t>JÄMTLANDS LÄN</t>
        </is>
      </c>
      <c r="E2344" t="inlineStr">
        <is>
          <t>STRÖMSUND</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55027-2025</t>
        </is>
      </c>
      <c r="B2345" s="1" t="n">
        <v>45967.6362962963</v>
      </c>
      <c r="C2345" s="1" t="n">
        <v>45972</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55041-2025</t>
        </is>
      </c>
      <c r="B2346" s="1" t="n">
        <v>45967.65684027778</v>
      </c>
      <c r="C2346" s="1" t="n">
        <v>45972</v>
      </c>
      <c r="D2346" t="inlineStr">
        <is>
          <t>JÄMTLANDS LÄN</t>
        </is>
      </c>
      <c r="E2346" t="inlineStr">
        <is>
          <t>STRÖMSUND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46265-2025</t>
        </is>
      </c>
      <c r="B2347" s="1" t="n">
        <v>45925.36509259259</v>
      </c>
      <c r="C2347" s="1" t="n">
        <v>45972</v>
      </c>
      <c r="D2347" t="inlineStr">
        <is>
          <t>JÄMTLANDS LÄN</t>
        </is>
      </c>
      <c r="E2347" t="inlineStr">
        <is>
          <t>STRÖMSUND</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54894-2025</t>
        </is>
      </c>
      <c r="B2348" s="1" t="n">
        <v>45967.36505787037</v>
      </c>
      <c r="C2348" s="1" t="n">
        <v>45972</v>
      </c>
      <c r="D2348" t="inlineStr">
        <is>
          <t>JÄMTLANDS LÄN</t>
        </is>
      </c>
      <c r="E2348" t="inlineStr">
        <is>
          <t>STRÖMSUND</t>
        </is>
      </c>
      <c r="F2348" t="inlineStr">
        <is>
          <t>SCA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54976-2025</t>
        </is>
      </c>
      <c r="B2349" s="1" t="n">
        <v>45967.5110300926</v>
      </c>
      <c r="C2349" s="1" t="n">
        <v>45972</v>
      </c>
      <c r="D2349" t="inlineStr">
        <is>
          <t>JÄMTLANDS LÄN</t>
        </is>
      </c>
      <c r="E2349" t="inlineStr">
        <is>
          <t>STRÖMSUND</t>
        </is>
      </c>
      <c r="F2349" t="inlineStr">
        <is>
          <t>SCA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46297-2025</t>
        </is>
      </c>
      <c r="B2350" s="1" t="n">
        <v>45925.40063657407</v>
      </c>
      <c r="C2350" s="1" t="n">
        <v>45972</v>
      </c>
      <c r="D2350" t="inlineStr">
        <is>
          <t>JÄMTLANDS LÄN</t>
        </is>
      </c>
      <c r="E2350" t="inlineStr">
        <is>
          <t>STRÖMSUND</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46546-2025</t>
        </is>
      </c>
      <c r="B2351" s="1" t="n">
        <v>45926.34518518519</v>
      </c>
      <c r="C2351" s="1" t="n">
        <v>45972</v>
      </c>
      <c r="D2351" t="inlineStr">
        <is>
          <t>JÄMTLANDS LÄN</t>
        </is>
      </c>
      <c r="E2351" t="inlineStr">
        <is>
          <t>STRÖMSUND</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46566-2025</t>
        </is>
      </c>
      <c r="B2352" s="1" t="n">
        <v>45926.365</v>
      </c>
      <c r="C2352" s="1" t="n">
        <v>45972</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54948-2025</t>
        </is>
      </c>
      <c r="B2353" s="1" t="n">
        <v>45967.4487037037</v>
      </c>
      <c r="C2353" s="1" t="n">
        <v>45972</v>
      </c>
      <c r="D2353" t="inlineStr">
        <is>
          <t>JÄMTLANDS LÄN</t>
        </is>
      </c>
      <c r="E2353" t="inlineStr">
        <is>
          <t>STRÖMSUND</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54952-2025</t>
        </is>
      </c>
      <c r="B2354" s="1" t="n">
        <v>45967.44914351852</v>
      </c>
      <c r="C2354" s="1" t="n">
        <v>45972</v>
      </c>
      <c r="D2354" t="inlineStr">
        <is>
          <t>JÄMTLANDS LÄN</t>
        </is>
      </c>
      <c r="E2354" t="inlineStr">
        <is>
          <t>STRÖMSUND</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46543-2025</t>
        </is>
      </c>
      <c r="B2355" s="1" t="n">
        <v>45926.34476851852</v>
      </c>
      <c r="C2355" s="1" t="n">
        <v>45972</v>
      </c>
      <c r="D2355" t="inlineStr">
        <is>
          <t>JÄMTLANDS LÄN</t>
        </is>
      </c>
      <c r="E2355" t="inlineStr">
        <is>
          <t>STRÖMSUND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55281-2025</t>
        </is>
      </c>
      <c r="B2356" s="1" t="n">
        <v>45968</v>
      </c>
      <c r="C2356" s="1" t="n">
        <v>45972</v>
      </c>
      <c r="D2356" t="inlineStr">
        <is>
          <t>JÄMTLANDS LÄN</t>
        </is>
      </c>
      <c r="E2356" t="inlineStr">
        <is>
          <t>STRÖMSUND</t>
        </is>
      </c>
      <c r="G2356" t="n">
        <v>3.2</v>
      </c>
      <c r="H2356" t="n">
        <v>0</v>
      </c>
      <c r="I2356" t="n">
        <v>0</v>
      </c>
      <c r="J2356" t="n">
        <v>0</v>
      </c>
      <c r="K2356" t="n">
        <v>0</v>
      </c>
      <c r="L2356" t="n">
        <v>0</v>
      </c>
      <c r="M2356" t="n">
        <v>0</v>
      </c>
      <c r="N2356" t="n">
        <v>0</v>
      </c>
      <c r="O2356" t="n">
        <v>0</v>
      </c>
      <c r="P2356" t="n">
        <v>0</v>
      </c>
      <c r="Q2356" t="n">
        <v>0</v>
      </c>
      <c r="R2356" s="2" t="inlineStr"/>
    </row>
    <row r="2357">
      <c r="A2357" t="inlineStr">
        <is>
          <t>A 55282-2025</t>
        </is>
      </c>
      <c r="B2357" s="1" t="n">
        <v>45968</v>
      </c>
      <c r="C2357" s="1" t="n">
        <v>45972</v>
      </c>
      <c r="D2357" t="inlineStr">
        <is>
          <t>JÄMTLANDS LÄN</t>
        </is>
      </c>
      <c r="E2357" t="inlineStr">
        <is>
          <t>STRÖMSUND</t>
        </is>
      </c>
      <c r="G2357" t="n">
        <v>2.2</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2025-11-11T10:07:18Z</dcterms:created>
  <dcterms:modified xmlns:dcterms="http://purl.org/dc/terms/" xmlns:xsi="http://www.w3.org/2001/XMLSchema-instance" xsi:type="dcterms:W3CDTF">2025-11-11T10:07:19Z</dcterms:modified>
</cp:coreProperties>
</file>