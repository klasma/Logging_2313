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45343</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45343</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45343</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45343</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45343</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45343</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45343</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45343</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45343</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45343</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45343</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45343</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45343</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45343</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45343</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45343</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45343</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45343</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45343</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45343</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45343</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45343</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45343</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45343</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45343</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45343</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45343</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45343</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45343</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45343</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45343</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45343</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45343</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45343</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45343</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45343</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45343</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45343</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45343</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45343</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45343</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45343</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45343</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45343</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45343</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45343</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45343</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45343</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45343</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45343</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45343</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45343</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45343</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45343</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45343</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45343</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45343</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45343</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45343</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45343</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45343</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45343</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45343</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45343</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45343</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45343</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45343</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45343</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45343</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45343</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45343</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45343</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45343</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45343</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45343</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45343</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45343</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45343</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45343</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45343</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45343</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45343</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45343</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45343</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45343</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45343</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45343</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45343</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45343</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45343</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45343</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45343</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45343</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45343</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45343</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45343</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45343</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45343</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45343</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45343</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45343</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45343</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45343</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45343</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45343</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45343</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45343</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45343</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45343</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45343</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45343</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45343</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45343</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45343</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45343</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45343</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45343</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45343</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45343</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45343</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45343</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45343</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45343</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45343</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45343</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45343</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45343</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45343</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45343</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45343</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45343</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45343</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45343</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45343</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45343</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45343</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45343</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45343</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45343</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45343</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45343</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45343</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45343</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45343</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45343</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45343</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45343</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45343</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45343</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45343</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45343</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45343</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45343</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45343</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45343</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45343</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45343</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45343</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45343</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45343</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45343</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45343</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45343</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45343</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45343</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45343</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45343</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45343</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45343</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45343</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45343</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45343</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45343</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45343</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45343</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45343</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45343</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45343</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45343</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45343</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45343</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45343</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45343</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45343</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45343</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45343</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45343</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45343</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45343</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45343</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45343</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45343</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45343</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45343</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45343</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45343</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45343</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45343</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45343</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45343</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45343</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45343</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45343</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45343</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45343</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45343</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45343</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45343</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45343</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45343</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45343</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45343</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45343</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45343</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45343</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45343</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45343</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45343</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45343</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45343</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45343</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45343</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45343</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45343</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45343</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45343</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45343</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45343</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45343</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45343</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45343</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45343</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45343</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45343</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45343</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45343</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45343</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45343</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45343</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45343</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45343</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45343</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45343</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45343</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45343</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45343</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45343</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45343</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45343</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45343</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45343</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45343</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45343</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45343</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45343</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45343</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45343</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45343</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45343</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45343</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45343</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45343</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45343</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45343</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45343</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45343</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45343</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45343</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45343</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45343</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45343</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45343</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45343</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45343</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45343</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45343</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45343</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45343</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45343</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45343</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45343</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45343</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45343</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45343</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45343</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45343</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45343</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45343</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45343</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45343</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45343</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45343</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45343</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45343</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45343</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45343</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19600-2022</t>
        </is>
      </c>
      <c r="B298" s="1" t="n">
        <v>44693</v>
      </c>
      <c r="C298" s="1" t="n">
        <v>45343</v>
      </c>
      <c r="D298" t="inlineStr">
        <is>
          <t>JÄMTLANDS LÄN</t>
        </is>
      </c>
      <c r="E298" t="inlineStr">
        <is>
          <t>STRÖMSUND</t>
        </is>
      </c>
      <c r="F298" t="inlineStr">
        <is>
          <t>SCA</t>
        </is>
      </c>
      <c r="G298" t="n">
        <v>6.9</v>
      </c>
      <c r="H298" t="n">
        <v>0</v>
      </c>
      <c r="I298" t="n">
        <v>0</v>
      </c>
      <c r="J298" t="n">
        <v>1</v>
      </c>
      <c r="K298" t="n">
        <v>0</v>
      </c>
      <c r="L298" t="n">
        <v>0</v>
      </c>
      <c r="M298" t="n">
        <v>0</v>
      </c>
      <c r="N298" t="n">
        <v>0</v>
      </c>
      <c r="O298" t="n">
        <v>1</v>
      </c>
      <c r="P298" t="n">
        <v>0</v>
      </c>
      <c r="Q298" t="n">
        <v>1</v>
      </c>
      <c r="R298" s="2" t="inlineStr">
        <is>
          <t>Garnlav</t>
        </is>
      </c>
      <c r="S298">
        <f>HYPERLINK("https://klasma.github.io/Logging_2313/artfynd/A 19600-2022 artfynd.xlsx", "A 19600-2022")</f>
        <v/>
      </c>
      <c r="T298">
        <f>HYPERLINK("https://klasma.github.io/Logging_2313/kartor/A 19600-2022 karta.png", "A 19600-2022")</f>
        <v/>
      </c>
      <c r="V298">
        <f>HYPERLINK("https://klasma.github.io/Logging_2313/klagomål/A 19600-2022 FSC-klagomål.docx", "A 19600-2022")</f>
        <v/>
      </c>
      <c r="W298">
        <f>HYPERLINK("https://klasma.github.io/Logging_2313/klagomålsmail/A 19600-2022 FSC-klagomål mail.docx", "A 19600-2022")</f>
        <v/>
      </c>
      <c r="X298">
        <f>HYPERLINK("https://klasma.github.io/Logging_2313/tillsyn/A 19600-2022 tillsynsbegäran.docx", "A 19600-2022")</f>
        <v/>
      </c>
      <c r="Y298">
        <f>HYPERLINK("https://klasma.github.io/Logging_2313/tillsynsmail/A 19600-2022 tillsynsbegäran mail.docx", "A 19600-2022")</f>
        <v/>
      </c>
    </row>
    <row r="299" ht="15" customHeight="1">
      <c r="A299" t="inlineStr">
        <is>
          <t>A 20316-2022</t>
        </is>
      </c>
      <c r="B299" s="1" t="n">
        <v>44698</v>
      </c>
      <c r="C299" s="1" t="n">
        <v>45343</v>
      </c>
      <c r="D299" t="inlineStr">
        <is>
          <t>JÄMTLANDS LÄN</t>
        </is>
      </c>
      <c r="E299" t="inlineStr">
        <is>
          <t>STRÖMSUND</t>
        </is>
      </c>
      <c r="F299" t="inlineStr">
        <is>
          <t>SCA</t>
        </is>
      </c>
      <c r="G299" t="n">
        <v>6.4</v>
      </c>
      <c r="H299" t="n">
        <v>1</v>
      </c>
      <c r="I299" t="n">
        <v>0</v>
      </c>
      <c r="J299" t="n">
        <v>0</v>
      </c>
      <c r="K299" t="n">
        <v>0</v>
      </c>
      <c r="L299" t="n">
        <v>0</v>
      </c>
      <c r="M299" t="n">
        <v>0</v>
      </c>
      <c r="N299" t="n">
        <v>0</v>
      </c>
      <c r="O299" t="n">
        <v>0</v>
      </c>
      <c r="P299" t="n">
        <v>0</v>
      </c>
      <c r="Q299" t="n">
        <v>1</v>
      </c>
      <c r="R299" s="2" t="inlineStr">
        <is>
          <t>Fläcknycklar</t>
        </is>
      </c>
      <c r="S299">
        <f>HYPERLINK("https://klasma.github.io/Logging_2313/artfynd/A 20316-2022 artfynd.xlsx", "A 20316-2022")</f>
        <v/>
      </c>
      <c r="T299">
        <f>HYPERLINK("https://klasma.github.io/Logging_2313/kartor/A 20316-2022 karta.png", "A 20316-2022")</f>
        <v/>
      </c>
      <c r="V299">
        <f>HYPERLINK("https://klasma.github.io/Logging_2313/klagomål/A 20316-2022 FSC-klagomål.docx", "A 20316-2022")</f>
        <v/>
      </c>
      <c r="W299">
        <f>HYPERLINK("https://klasma.github.io/Logging_2313/klagomålsmail/A 20316-2022 FSC-klagomål mail.docx", "A 20316-2022")</f>
        <v/>
      </c>
      <c r="X299">
        <f>HYPERLINK("https://klasma.github.io/Logging_2313/tillsyn/A 20316-2022 tillsynsbegäran.docx", "A 20316-2022")</f>
        <v/>
      </c>
      <c r="Y299">
        <f>HYPERLINK("https://klasma.github.io/Logging_2313/tillsynsmail/A 20316-2022 tillsynsbegäran mail.docx", "A 20316-2022")</f>
        <v/>
      </c>
    </row>
    <row r="300" ht="15" customHeight="1">
      <c r="A300" t="inlineStr">
        <is>
          <t>A 21208-2022</t>
        </is>
      </c>
      <c r="B300" s="1" t="n">
        <v>44704</v>
      </c>
      <c r="C300" s="1" t="n">
        <v>45343</v>
      </c>
      <c r="D300" t="inlineStr">
        <is>
          <t>JÄMTLANDS LÄN</t>
        </is>
      </c>
      <c r="E300" t="inlineStr">
        <is>
          <t>STRÖMSUND</t>
        </is>
      </c>
      <c r="F300" t="inlineStr">
        <is>
          <t>SCA</t>
        </is>
      </c>
      <c r="G300" t="n">
        <v>1.5</v>
      </c>
      <c r="H300" t="n">
        <v>0</v>
      </c>
      <c r="I300" t="n">
        <v>0</v>
      </c>
      <c r="J300" t="n">
        <v>1</v>
      </c>
      <c r="K300" t="n">
        <v>0</v>
      </c>
      <c r="L300" t="n">
        <v>0</v>
      </c>
      <c r="M300" t="n">
        <v>0</v>
      </c>
      <c r="N300" t="n">
        <v>0</v>
      </c>
      <c r="O300" t="n">
        <v>1</v>
      </c>
      <c r="P300" t="n">
        <v>0</v>
      </c>
      <c r="Q300" t="n">
        <v>1</v>
      </c>
      <c r="R300" s="2" t="inlineStr">
        <is>
          <t>Harticka</t>
        </is>
      </c>
      <c r="S300">
        <f>HYPERLINK("https://klasma.github.io/Logging_2313/artfynd/A 21208-2022 artfynd.xlsx", "A 21208-2022")</f>
        <v/>
      </c>
      <c r="T300">
        <f>HYPERLINK("https://klasma.github.io/Logging_2313/kartor/A 21208-2022 karta.png", "A 21208-2022")</f>
        <v/>
      </c>
      <c r="V300">
        <f>HYPERLINK("https://klasma.github.io/Logging_2313/klagomål/A 21208-2022 FSC-klagomål.docx", "A 21208-2022")</f>
        <v/>
      </c>
      <c r="W300">
        <f>HYPERLINK("https://klasma.github.io/Logging_2313/klagomålsmail/A 21208-2022 FSC-klagomål mail.docx", "A 21208-2022")</f>
        <v/>
      </c>
      <c r="X300">
        <f>HYPERLINK("https://klasma.github.io/Logging_2313/tillsyn/A 21208-2022 tillsynsbegäran.docx", "A 21208-2022")</f>
        <v/>
      </c>
      <c r="Y300">
        <f>HYPERLINK("https://klasma.github.io/Logging_2313/tillsynsmail/A 21208-2022 tillsynsbegäran mail.docx", "A 21208-2022")</f>
        <v/>
      </c>
    </row>
    <row r="301" ht="15" customHeight="1">
      <c r="A301" t="inlineStr">
        <is>
          <t>A 23186-2022</t>
        </is>
      </c>
      <c r="B301" s="1" t="n">
        <v>44719</v>
      </c>
      <c r="C301" s="1" t="n">
        <v>45343</v>
      </c>
      <c r="D301" t="inlineStr">
        <is>
          <t>JÄMTLANDS LÄN</t>
        </is>
      </c>
      <c r="E301" t="inlineStr">
        <is>
          <t>STRÖMSUND</t>
        </is>
      </c>
      <c r="G301" t="n">
        <v>14.3</v>
      </c>
      <c r="H301" t="n">
        <v>0</v>
      </c>
      <c r="I301" t="n">
        <v>0</v>
      </c>
      <c r="J301" t="n">
        <v>1</v>
      </c>
      <c r="K301" t="n">
        <v>0</v>
      </c>
      <c r="L301" t="n">
        <v>0</v>
      </c>
      <c r="M301" t="n">
        <v>0</v>
      </c>
      <c r="N301" t="n">
        <v>0</v>
      </c>
      <c r="O301" t="n">
        <v>1</v>
      </c>
      <c r="P301" t="n">
        <v>0</v>
      </c>
      <c r="Q301" t="n">
        <v>1</v>
      </c>
      <c r="R301" s="2" t="inlineStr">
        <is>
          <t>Lunglav</t>
        </is>
      </c>
      <c r="S301">
        <f>HYPERLINK("https://klasma.github.io/Logging_2313/artfynd/A 23186-2022 artfynd.xlsx", "A 23186-2022")</f>
        <v/>
      </c>
      <c r="T301">
        <f>HYPERLINK("https://klasma.github.io/Logging_2313/kartor/A 23186-2022 karta.png", "A 23186-2022")</f>
        <v/>
      </c>
      <c r="V301">
        <f>HYPERLINK("https://klasma.github.io/Logging_2313/klagomål/A 23186-2022 FSC-klagomål.docx", "A 23186-2022")</f>
        <v/>
      </c>
      <c r="W301">
        <f>HYPERLINK("https://klasma.github.io/Logging_2313/klagomålsmail/A 23186-2022 FSC-klagomål mail.docx", "A 23186-2022")</f>
        <v/>
      </c>
      <c r="X301">
        <f>HYPERLINK("https://klasma.github.io/Logging_2313/tillsyn/A 23186-2022 tillsynsbegäran.docx", "A 23186-2022")</f>
        <v/>
      </c>
      <c r="Y301">
        <f>HYPERLINK("https://klasma.github.io/Logging_2313/tillsynsmail/A 23186-2022 tillsynsbegäran mail.docx", "A 23186-2022")</f>
        <v/>
      </c>
    </row>
    <row r="302" ht="15" customHeight="1">
      <c r="A302" t="inlineStr">
        <is>
          <t>A 24729-2022</t>
        </is>
      </c>
      <c r="B302" s="1" t="n">
        <v>44727</v>
      </c>
      <c r="C302" s="1" t="n">
        <v>45343</v>
      </c>
      <c r="D302" t="inlineStr">
        <is>
          <t>JÄMTLANDS LÄN</t>
        </is>
      </c>
      <c r="E302" t="inlineStr">
        <is>
          <t>STRÖMSUND</t>
        </is>
      </c>
      <c r="F302" t="inlineStr">
        <is>
          <t>SCA</t>
        </is>
      </c>
      <c r="G302" t="n">
        <v>1.3</v>
      </c>
      <c r="H302" t="n">
        <v>0</v>
      </c>
      <c r="I302" t="n">
        <v>0</v>
      </c>
      <c r="J302" t="n">
        <v>1</v>
      </c>
      <c r="K302" t="n">
        <v>0</v>
      </c>
      <c r="L302" t="n">
        <v>0</v>
      </c>
      <c r="M302" t="n">
        <v>0</v>
      </c>
      <c r="N302" t="n">
        <v>0</v>
      </c>
      <c r="O302" t="n">
        <v>1</v>
      </c>
      <c r="P302" t="n">
        <v>0</v>
      </c>
      <c r="Q302" t="n">
        <v>1</v>
      </c>
      <c r="R302" s="2" t="inlineStr">
        <is>
          <t>Granticka</t>
        </is>
      </c>
      <c r="S302">
        <f>HYPERLINK("https://klasma.github.io/Logging_2313/artfynd/A 24729-2022 artfynd.xlsx", "A 24729-2022")</f>
        <v/>
      </c>
      <c r="T302">
        <f>HYPERLINK("https://klasma.github.io/Logging_2313/kartor/A 24729-2022 karta.png", "A 24729-2022")</f>
        <v/>
      </c>
      <c r="V302">
        <f>HYPERLINK("https://klasma.github.io/Logging_2313/klagomål/A 24729-2022 FSC-klagomål.docx", "A 24729-2022")</f>
        <v/>
      </c>
      <c r="W302">
        <f>HYPERLINK("https://klasma.github.io/Logging_2313/klagomålsmail/A 24729-2022 FSC-klagomål mail.docx", "A 24729-2022")</f>
        <v/>
      </c>
      <c r="X302">
        <f>HYPERLINK("https://klasma.github.io/Logging_2313/tillsyn/A 24729-2022 tillsynsbegäran.docx", "A 24729-2022")</f>
        <v/>
      </c>
      <c r="Y302">
        <f>HYPERLINK("https://klasma.github.io/Logging_2313/tillsynsmail/A 24729-2022 tillsynsbegäran mail.docx", "A 24729-2022")</f>
        <v/>
      </c>
    </row>
    <row r="303" ht="15" customHeight="1">
      <c r="A303" t="inlineStr">
        <is>
          <t>A 25015-2022</t>
        </is>
      </c>
      <c r="B303" s="1" t="n">
        <v>44728</v>
      </c>
      <c r="C303" s="1" t="n">
        <v>45343</v>
      </c>
      <c r="D303" t="inlineStr">
        <is>
          <t>JÄMTLANDS LÄN</t>
        </is>
      </c>
      <c r="E303" t="inlineStr">
        <is>
          <t>STRÖMSUND</t>
        </is>
      </c>
      <c r="F303" t="inlineStr">
        <is>
          <t>SCA</t>
        </is>
      </c>
      <c r="G303" t="n">
        <v>1.5</v>
      </c>
      <c r="H303" t="n">
        <v>0</v>
      </c>
      <c r="I303" t="n">
        <v>0</v>
      </c>
      <c r="J303" t="n">
        <v>1</v>
      </c>
      <c r="K303" t="n">
        <v>0</v>
      </c>
      <c r="L303" t="n">
        <v>0</v>
      </c>
      <c r="M303" t="n">
        <v>0</v>
      </c>
      <c r="N303" t="n">
        <v>0</v>
      </c>
      <c r="O303" t="n">
        <v>1</v>
      </c>
      <c r="P303" t="n">
        <v>0</v>
      </c>
      <c r="Q303" t="n">
        <v>1</v>
      </c>
      <c r="R303" s="2" t="inlineStr">
        <is>
          <t>Ullticka</t>
        </is>
      </c>
      <c r="S303">
        <f>HYPERLINK("https://klasma.github.io/Logging_2313/artfynd/A 25015-2022 artfynd.xlsx", "A 25015-2022")</f>
        <v/>
      </c>
      <c r="T303">
        <f>HYPERLINK("https://klasma.github.io/Logging_2313/kartor/A 25015-2022 karta.png", "A 25015-2022")</f>
        <v/>
      </c>
      <c r="V303">
        <f>HYPERLINK("https://klasma.github.io/Logging_2313/klagomål/A 25015-2022 FSC-klagomål.docx", "A 25015-2022")</f>
        <v/>
      </c>
      <c r="W303">
        <f>HYPERLINK("https://klasma.github.io/Logging_2313/klagomålsmail/A 25015-2022 FSC-klagomål mail.docx", "A 25015-2022")</f>
        <v/>
      </c>
      <c r="X303">
        <f>HYPERLINK("https://klasma.github.io/Logging_2313/tillsyn/A 25015-2022 tillsynsbegäran.docx", "A 25015-2022")</f>
        <v/>
      </c>
      <c r="Y303">
        <f>HYPERLINK("https://klasma.github.io/Logging_2313/tillsynsmail/A 25015-2022 tillsynsbegäran mail.docx", "A 25015-2022")</f>
        <v/>
      </c>
    </row>
    <row r="304" ht="15" customHeight="1">
      <c r="A304" t="inlineStr">
        <is>
          <t>A 25038-2022</t>
        </is>
      </c>
      <c r="B304" s="1" t="n">
        <v>44728</v>
      </c>
      <c r="C304" s="1" t="n">
        <v>45343</v>
      </c>
      <c r="D304" t="inlineStr">
        <is>
          <t>JÄMTLANDS LÄN</t>
        </is>
      </c>
      <c r="E304" t="inlineStr">
        <is>
          <t>STRÖMSUND</t>
        </is>
      </c>
      <c r="F304" t="inlineStr">
        <is>
          <t>SCA</t>
        </is>
      </c>
      <c r="G304" t="n">
        <v>7.7</v>
      </c>
      <c r="H304" t="n">
        <v>0</v>
      </c>
      <c r="I304" t="n">
        <v>0</v>
      </c>
      <c r="J304" t="n">
        <v>0</v>
      </c>
      <c r="K304" t="n">
        <v>1</v>
      </c>
      <c r="L304" t="n">
        <v>0</v>
      </c>
      <c r="M304" t="n">
        <v>0</v>
      </c>
      <c r="N304" t="n">
        <v>0</v>
      </c>
      <c r="O304" t="n">
        <v>1</v>
      </c>
      <c r="P304" t="n">
        <v>1</v>
      </c>
      <c r="Q304" t="n">
        <v>1</v>
      </c>
      <c r="R304" s="2" t="inlineStr">
        <is>
          <t>Gräddporing</t>
        </is>
      </c>
      <c r="S304">
        <f>HYPERLINK("https://klasma.github.io/Logging_2313/artfynd/A 25038-2022 artfynd.xlsx", "A 25038-2022")</f>
        <v/>
      </c>
      <c r="T304">
        <f>HYPERLINK("https://klasma.github.io/Logging_2313/kartor/A 25038-2022 karta.png",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27602-2022</t>
        </is>
      </c>
      <c r="B305" s="1" t="n">
        <v>44742</v>
      </c>
      <c r="C305" s="1" t="n">
        <v>45343</v>
      </c>
      <c r="D305" t="inlineStr">
        <is>
          <t>JÄMTLANDS LÄN</t>
        </is>
      </c>
      <c r="E305" t="inlineStr">
        <is>
          <t>STRÖMSUND</t>
        </is>
      </c>
      <c r="F305" t="inlineStr">
        <is>
          <t>SCA</t>
        </is>
      </c>
      <c r="G305" t="n">
        <v>2.1</v>
      </c>
      <c r="H305" t="n">
        <v>0</v>
      </c>
      <c r="I305" t="n">
        <v>0</v>
      </c>
      <c r="J305" t="n">
        <v>1</v>
      </c>
      <c r="K305" t="n">
        <v>0</v>
      </c>
      <c r="L305" t="n">
        <v>0</v>
      </c>
      <c r="M305" t="n">
        <v>0</v>
      </c>
      <c r="N305" t="n">
        <v>0</v>
      </c>
      <c r="O305" t="n">
        <v>1</v>
      </c>
      <c r="P305" t="n">
        <v>0</v>
      </c>
      <c r="Q305" t="n">
        <v>1</v>
      </c>
      <c r="R305" s="2" t="inlineStr">
        <is>
          <t>Brunklöver</t>
        </is>
      </c>
      <c r="S305">
        <f>HYPERLINK("https://klasma.github.io/Logging_2313/artfynd/A 27602-2022 artfynd.xlsx", "A 27602-2022")</f>
        <v/>
      </c>
      <c r="T305">
        <f>HYPERLINK("https://klasma.github.io/Logging_2313/kartor/A 27602-2022 karta.png", "A 27602-2022")</f>
        <v/>
      </c>
      <c r="V305">
        <f>HYPERLINK("https://klasma.github.io/Logging_2313/klagomål/A 27602-2022 FSC-klagomål.docx", "A 27602-2022")</f>
        <v/>
      </c>
      <c r="W305">
        <f>HYPERLINK("https://klasma.github.io/Logging_2313/klagomålsmail/A 27602-2022 FSC-klagomål mail.docx", "A 27602-2022")</f>
        <v/>
      </c>
      <c r="X305">
        <f>HYPERLINK("https://klasma.github.io/Logging_2313/tillsyn/A 27602-2022 tillsynsbegäran.docx", "A 27602-2022")</f>
        <v/>
      </c>
      <c r="Y305">
        <f>HYPERLINK("https://klasma.github.io/Logging_2313/tillsynsmail/A 27602-2022 tillsynsbegäran mail.docx", "A 27602-2022")</f>
        <v/>
      </c>
    </row>
    <row r="306" ht="15" customHeight="1">
      <c r="A306" t="inlineStr">
        <is>
          <t>A 30233-2022</t>
        </is>
      </c>
      <c r="B306" s="1" t="n">
        <v>44757</v>
      </c>
      <c r="C306" s="1" t="n">
        <v>45343</v>
      </c>
      <c r="D306" t="inlineStr">
        <is>
          <t>JÄMTLANDS LÄN</t>
        </is>
      </c>
      <c r="E306" t="inlineStr">
        <is>
          <t>STRÖMSUND</t>
        </is>
      </c>
      <c r="F306" t="inlineStr">
        <is>
          <t>SCA</t>
        </is>
      </c>
      <c r="G306" t="n">
        <v>10.1</v>
      </c>
      <c r="H306" t="n">
        <v>1</v>
      </c>
      <c r="I306" t="n">
        <v>1</v>
      </c>
      <c r="J306" t="n">
        <v>0</v>
      </c>
      <c r="K306" t="n">
        <v>0</v>
      </c>
      <c r="L306" t="n">
        <v>0</v>
      </c>
      <c r="M306" t="n">
        <v>0</v>
      </c>
      <c r="N306" t="n">
        <v>0</v>
      </c>
      <c r="O306" t="n">
        <v>0</v>
      </c>
      <c r="P306" t="n">
        <v>0</v>
      </c>
      <c r="Q306" t="n">
        <v>1</v>
      </c>
      <c r="R306" s="2" t="inlineStr">
        <is>
          <t>Guckusko</t>
        </is>
      </c>
      <c r="S306">
        <f>HYPERLINK("https://klasma.github.io/Logging_2313/artfynd/A 30233-2022 artfynd.xlsx", "A 30233-2022")</f>
        <v/>
      </c>
      <c r="T306">
        <f>HYPERLINK("https://klasma.github.io/Logging_2313/kartor/A 30233-2022 karta.png", "A 30233-2022")</f>
        <v/>
      </c>
      <c r="V306">
        <f>HYPERLINK("https://klasma.github.io/Logging_2313/klagomål/A 30233-2022 FSC-klagomål.docx", "A 30233-2022")</f>
        <v/>
      </c>
      <c r="W306">
        <f>HYPERLINK("https://klasma.github.io/Logging_2313/klagomålsmail/A 30233-2022 FSC-klagomål mail.docx", "A 30233-2022")</f>
        <v/>
      </c>
      <c r="X306">
        <f>HYPERLINK("https://klasma.github.io/Logging_2313/tillsyn/A 30233-2022 tillsynsbegäran.docx", "A 30233-2022")</f>
        <v/>
      </c>
      <c r="Y306">
        <f>HYPERLINK("https://klasma.github.io/Logging_2313/tillsynsmail/A 30233-2022 tillsynsbegäran mail.docx", "A 30233-2022")</f>
        <v/>
      </c>
    </row>
    <row r="307" ht="15" customHeight="1">
      <c r="A307" t="inlineStr">
        <is>
          <t>A 32351-2022</t>
        </is>
      </c>
      <c r="B307" s="1" t="n">
        <v>44781</v>
      </c>
      <c r="C307" s="1" t="n">
        <v>45343</v>
      </c>
      <c r="D307" t="inlineStr">
        <is>
          <t>JÄMTLANDS LÄN</t>
        </is>
      </c>
      <c r="E307" t="inlineStr">
        <is>
          <t>STRÖMSUND</t>
        </is>
      </c>
      <c r="F307" t="inlineStr">
        <is>
          <t>SCA</t>
        </is>
      </c>
      <c r="G307" t="n">
        <v>13.2</v>
      </c>
      <c r="H307" t="n">
        <v>0</v>
      </c>
      <c r="I307" t="n">
        <v>0</v>
      </c>
      <c r="J307" t="n">
        <v>1</v>
      </c>
      <c r="K307" t="n">
        <v>0</v>
      </c>
      <c r="L307" t="n">
        <v>0</v>
      </c>
      <c r="M307" t="n">
        <v>0</v>
      </c>
      <c r="N307" t="n">
        <v>0</v>
      </c>
      <c r="O307" t="n">
        <v>1</v>
      </c>
      <c r="P307" t="n">
        <v>0</v>
      </c>
      <c r="Q307" t="n">
        <v>1</v>
      </c>
      <c r="R307" s="2" t="inlineStr">
        <is>
          <t>Harticka</t>
        </is>
      </c>
      <c r="S307">
        <f>HYPERLINK("https://klasma.github.io/Logging_2313/artfynd/A 32351-2022 artfynd.xlsx", "A 32351-2022")</f>
        <v/>
      </c>
      <c r="T307">
        <f>HYPERLINK("https://klasma.github.io/Logging_2313/kartor/A 32351-2022 karta.png", "A 32351-2022")</f>
        <v/>
      </c>
      <c r="V307">
        <f>HYPERLINK("https://klasma.github.io/Logging_2313/klagomål/A 32351-2022 FSC-klagomål.docx", "A 32351-2022")</f>
        <v/>
      </c>
      <c r="W307">
        <f>HYPERLINK("https://klasma.github.io/Logging_2313/klagomålsmail/A 32351-2022 FSC-klagomål mail.docx", "A 32351-2022")</f>
        <v/>
      </c>
      <c r="X307">
        <f>HYPERLINK("https://klasma.github.io/Logging_2313/tillsyn/A 32351-2022 tillsynsbegäran.docx", "A 32351-2022")</f>
        <v/>
      </c>
      <c r="Y307">
        <f>HYPERLINK("https://klasma.github.io/Logging_2313/tillsynsmail/A 32351-2022 tillsynsbegäran mail.docx", "A 32351-2022")</f>
        <v/>
      </c>
    </row>
    <row r="308" ht="15" customHeight="1">
      <c r="A308" t="inlineStr">
        <is>
          <t>A 32965-2022</t>
        </is>
      </c>
      <c r="B308" s="1" t="n">
        <v>44784</v>
      </c>
      <c r="C308" s="1" t="n">
        <v>45343</v>
      </c>
      <c r="D308" t="inlineStr">
        <is>
          <t>JÄMTLANDS LÄN</t>
        </is>
      </c>
      <c r="E308" t="inlineStr">
        <is>
          <t>STRÖMSUND</t>
        </is>
      </c>
      <c r="G308" t="n">
        <v>5.8</v>
      </c>
      <c r="H308" t="n">
        <v>0</v>
      </c>
      <c r="I308" t="n">
        <v>0</v>
      </c>
      <c r="J308" t="n">
        <v>1</v>
      </c>
      <c r="K308" t="n">
        <v>0</v>
      </c>
      <c r="L308" t="n">
        <v>0</v>
      </c>
      <c r="M308" t="n">
        <v>0</v>
      </c>
      <c r="N308" t="n">
        <v>0</v>
      </c>
      <c r="O308" t="n">
        <v>1</v>
      </c>
      <c r="P308" t="n">
        <v>0</v>
      </c>
      <c r="Q308" t="n">
        <v>1</v>
      </c>
      <c r="R308" s="2" t="inlineStr">
        <is>
          <t>Vitgrynig nållav</t>
        </is>
      </c>
      <c r="S308">
        <f>HYPERLINK("https://klasma.github.io/Logging_2313/artfynd/A 32965-2022 artfynd.xlsx", "A 32965-2022")</f>
        <v/>
      </c>
      <c r="T308">
        <f>HYPERLINK("https://klasma.github.io/Logging_2313/kartor/A 32965-2022 karta.png", "A 32965-2022")</f>
        <v/>
      </c>
      <c r="V308">
        <f>HYPERLINK("https://klasma.github.io/Logging_2313/klagomål/A 32965-2022 FSC-klagomål.docx", "A 32965-2022")</f>
        <v/>
      </c>
      <c r="W308">
        <f>HYPERLINK("https://klasma.github.io/Logging_2313/klagomålsmail/A 32965-2022 FSC-klagomål mail.docx", "A 32965-2022")</f>
        <v/>
      </c>
      <c r="X308">
        <f>HYPERLINK("https://klasma.github.io/Logging_2313/tillsyn/A 32965-2022 tillsynsbegäran.docx", "A 32965-2022")</f>
        <v/>
      </c>
      <c r="Y308">
        <f>HYPERLINK("https://klasma.github.io/Logging_2313/tillsynsmail/A 32965-2022 tillsynsbegäran mail.docx", "A 32965-2022")</f>
        <v/>
      </c>
    </row>
    <row r="309" ht="15" customHeight="1">
      <c r="A309" t="inlineStr">
        <is>
          <t>A 34009-2022</t>
        </is>
      </c>
      <c r="B309" s="1" t="n">
        <v>44790</v>
      </c>
      <c r="C309" s="1" t="n">
        <v>45343</v>
      </c>
      <c r="D309" t="inlineStr">
        <is>
          <t>JÄMTLANDS LÄN</t>
        </is>
      </c>
      <c r="E309" t="inlineStr">
        <is>
          <t>STRÖMSUND</t>
        </is>
      </c>
      <c r="F309" t="inlineStr">
        <is>
          <t>SCA</t>
        </is>
      </c>
      <c r="G309" t="n">
        <v>8.5</v>
      </c>
      <c r="H309" t="n">
        <v>0</v>
      </c>
      <c r="I309" t="n">
        <v>0</v>
      </c>
      <c r="J309" t="n">
        <v>0</v>
      </c>
      <c r="K309" t="n">
        <v>1</v>
      </c>
      <c r="L309" t="n">
        <v>0</v>
      </c>
      <c r="M309" t="n">
        <v>0</v>
      </c>
      <c r="N309" t="n">
        <v>0</v>
      </c>
      <c r="O309" t="n">
        <v>1</v>
      </c>
      <c r="P309" t="n">
        <v>1</v>
      </c>
      <c r="Q309" t="n">
        <v>1</v>
      </c>
      <c r="R309" s="2" t="inlineStr">
        <is>
          <t>Rynkskinn</t>
        </is>
      </c>
      <c r="S309">
        <f>HYPERLINK("https://klasma.github.io/Logging_2313/artfynd/A 34009-2022 artfynd.xlsx", "A 34009-2022")</f>
        <v/>
      </c>
      <c r="T309">
        <f>HYPERLINK("https://klasma.github.io/Logging_2313/kartor/A 34009-2022 karta.png", "A 34009-2022")</f>
        <v/>
      </c>
      <c r="V309">
        <f>HYPERLINK("https://klasma.github.io/Logging_2313/klagomål/A 34009-2022 FSC-klagomål.docx", "A 34009-2022")</f>
        <v/>
      </c>
      <c r="W309">
        <f>HYPERLINK("https://klasma.github.io/Logging_2313/klagomålsmail/A 34009-2022 FSC-klagomål mail.docx", "A 34009-2022")</f>
        <v/>
      </c>
      <c r="X309">
        <f>HYPERLINK("https://klasma.github.io/Logging_2313/tillsyn/A 34009-2022 tillsynsbegäran.docx", "A 34009-2022")</f>
        <v/>
      </c>
      <c r="Y309">
        <f>HYPERLINK("https://klasma.github.io/Logging_2313/tillsynsmail/A 34009-2022 tillsynsbegäran mail.docx", "A 34009-2022")</f>
        <v/>
      </c>
    </row>
    <row r="310" ht="15" customHeight="1">
      <c r="A310" t="inlineStr">
        <is>
          <t>A 39696-2022</t>
        </is>
      </c>
      <c r="B310" s="1" t="n">
        <v>44818</v>
      </c>
      <c r="C310" s="1" t="n">
        <v>45343</v>
      </c>
      <c r="D310" t="inlineStr">
        <is>
          <t>JÄMTLANDS LÄN</t>
        </is>
      </c>
      <c r="E310" t="inlineStr">
        <is>
          <t>STRÖMSUND</t>
        </is>
      </c>
      <c r="F310" t="inlineStr">
        <is>
          <t>SCA</t>
        </is>
      </c>
      <c r="G310" t="n">
        <v>4.6</v>
      </c>
      <c r="H310" t="n">
        <v>0</v>
      </c>
      <c r="I310" t="n">
        <v>0</v>
      </c>
      <c r="J310" t="n">
        <v>0</v>
      </c>
      <c r="K310" t="n">
        <v>1</v>
      </c>
      <c r="L310" t="n">
        <v>0</v>
      </c>
      <c r="M310" t="n">
        <v>0</v>
      </c>
      <c r="N310" t="n">
        <v>0</v>
      </c>
      <c r="O310" t="n">
        <v>1</v>
      </c>
      <c r="P310" t="n">
        <v>1</v>
      </c>
      <c r="Q310" t="n">
        <v>1</v>
      </c>
      <c r="R310" s="2" t="inlineStr">
        <is>
          <t>Gräddporing</t>
        </is>
      </c>
      <c r="S310">
        <f>HYPERLINK("https://klasma.github.io/Logging_2313/artfynd/A 39696-2022 artfynd.xlsx", "A 39696-2022")</f>
        <v/>
      </c>
      <c r="T310">
        <f>HYPERLINK("https://klasma.github.io/Logging_2313/kartor/A 39696-2022 karta.png", "A 39696-2022")</f>
        <v/>
      </c>
      <c r="V310">
        <f>HYPERLINK("https://klasma.github.io/Logging_2313/klagomål/A 39696-2022 FSC-klagomål.docx", "A 39696-2022")</f>
        <v/>
      </c>
      <c r="W310">
        <f>HYPERLINK("https://klasma.github.io/Logging_2313/klagomålsmail/A 39696-2022 FSC-klagomål mail.docx", "A 39696-2022")</f>
        <v/>
      </c>
      <c r="X310">
        <f>HYPERLINK("https://klasma.github.io/Logging_2313/tillsyn/A 39696-2022 tillsynsbegäran.docx", "A 39696-2022")</f>
        <v/>
      </c>
      <c r="Y310">
        <f>HYPERLINK("https://klasma.github.io/Logging_2313/tillsynsmail/A 39696-2022 tillsynsbegäran mail.docx", "A 39696-2022")</f>
        <v/>
      </c>
    </row>
    <row r="311" ht="15" customHeight="1">
      <c r="A311" t="inlineStr">
        <is>
          <t>A 41193-2022</t>
        </is>
      </c>
      <c r="B311" s="1" t="n">
        <v>44826</v>
      </c>
      <c r="C311" s="1" t="n">
        <v>45343</v>
      </c>
      <c r="D311" t="inlineStr">
        <is>
          <t>JÄMTLANDS LÄN</t>
        </is>
      </c>
      <c r="E311" t="inlineStr">
        <is>
          <t>STRÖMSUND</t>
        </is>
      </c>
      <c r="F311" t="inlineStr">
        <is>
          <t>SCA</t>
        </is>
      </c>
      <c r="G311" t="n">
        <v>2.7</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41193-2022 artfynd.xlsx", "A 41193-2022")</f>
        <v/>
      </c>
      <c r="T311">
        <f>HYPERLINK("https://klasma.github.io/Logging_2313/kartor/A 41193-2022 karta.png", "A 41193-2022")</f>
        <v/>
      </c>
      <c r="V311">
        <f>HYPERLINK("https://klasma.github.io/Logging_2313/klagomål/A 41193-2022 FSC-klagomål.docx", "A 41193-2022")</f>
        <v/>
      </c>
      <c r="W311">
        <f>HYPERLINK("https://klasma.github.io/Logging_2313/klagomålsmail/A 41193-2022 FSC-klagomål mail.docx", "A 41193-2022")</f>
        <v/>
      </c>
      <c r="X311">
        <f>HYPERLINK("https://klasma.github.io/Logging_2313/tillsyn/A 41193-2022 tillsynsbegäran.docx", "A 41193-2022")</f>
        <v/>
      </c>
      <c r="Y311">
        <f>HYPERLINK("https://klasma.github.io/Logging_2313/tillsynsmail/A 41193-2022 tillsynsbegäran mail.docx", "A 41193-2022")</f>
        <v/>
      </c>
      <c r="Z311">
        <f>HYPERLINK("https://klasma.github.io/Logging_2313/fåglar/A 41193-2022 prioriterade fågelarter.docx", "A 41193-2022")</f>
        <v/>
      </c>
    </row>
    <row r="312" ht="15" customHeight="1">
      <c r="A312" t="inlineStr">
        <is>
          <t>A 41811-2022</t>
        </is>
      </c>
      <c r="B312" s="1" t="n">
        <v>44827</v>
      </c>
      <c r="C312" s="1" t="n">
        <v>45343</v>
      </c>
      <c r="D312" t="inlineStr">
        <is>
          <t>JÄMTLANDS LÄN</t>
        </is>
      </c>
      <c r="E312" t="inlineStr">
        <is>
          <t>STRÖMSUND</t>
        </is>
      </c>
      <c r="F312" t="inlineStr">
        <is>
          <t>SCA</t>
        </is>
      </c>
      <c r="G312" t="n">
        <v>7.6</v>
      </c>
      <c r="H312" t="n">
        <v>1</v>
      </c>
      <c r="I312" t="n">
        <v>0</v>
      </c>
      <c r="J312" t="n">
        <v>0</v>
      </c>
      <c r="K312" t="n">
        <v>1</v>
      </c>
      <c r="L312" t="n">
        <v>0</v>
      </c>
      <c r="M312" t="n">
        <v>0</v>
      </c>
      <c r="N312" t="n">
        <v>0</v>
      </c>
      <c r="O312" t="n">
        <v>1</v>
      </c>
      <c r="P312" t="n">
        <v>1</v>
      </c>
      <c r="Q312" t="n">
        <v>1</v>
      </c>
      <c r="R312" s="2" t="inlineStr">
        <is>
          <t>Knärot</t>
        </is>
      </c>
      <c r="S312">
        <f>HYPERLINK("https://klasma.github.io/Logging_2313/artfynd/A 41811-2022 artfynd.xlsx", "A 41811-2022")</f>
        <v/>
      </c>
      <c r="T312">
        <f>HYPERLINK("https://klasma.github.io/Logging_2313/kartor/A 41811-2022 karta.png", "A 41811-2022")</f>
        <v/>
      </c>
      <c r="U312">
        <f>HYPERLINK("https://klasma.github.io/Logging_2313/knärot/A 41811-2022 karta knärot.png", "A 41811-2022")</f>
        <v/>
      </c>
      <c r="V312">
        <f>HYPERLINK("https://klasma.github.io/Logging_2313/klagomål/A 41811-2022 FSC-klagomål.docx", "A 41811-2022")</f>
        <v/>
      </c>
      <c r="W312">
        <f>HYPERLINK("https://klasma.github.io/Logging_2313/klagomålsmail/A 41811-2022 FSC-klagomål mail.docx", "A 41811-2022")</f>
        <v/>
      </c>
      <c r="X312">
        <f>HYPERLINK("https://klasma.github.io/Logging_2313/tillsyn/A 41811-2022 tillsynsbegäran.docx", "A 41811-2022")</f>
        <v/>
      </c>
      <c r="Y312">
        <f>HYPERLINK("https://klasma.github.io/Logging_2313/tillsynsmail/A 41811-2022 tillsynsbegäran mail.docx", "A 41811-2022")</f>
        <v/>
      </c>
    </row>
    <row r="313" ht="15" customHeight="1">
      <c r="A313" t="inlineStr">
        <is>
          <t>A 46343-2022</t>
        </is>
      </c>
      <c r="B313" s="1" t="n">
        <v>44847</v>
      </c>
      <c r="C313" s="1" t="n">
        <v>45343</v>
      </c>
      <c r="D313" t="inlineStr">
        <is>
          <t>JÄMTLANDS LÄN</t>
        </is>
      </c>
      <c r="E313" t="inlineStr">
        <is>
          <t>STRÖMSUND</t>
        </is>
      </c>
      <c r="F313" t="inlineStr">
        <is>
          <t>SCA</t>
        </is>
      </c>
      <c r="G313" t="n">
        <v>0.8</v>
      </c>
      <c r="H313" t="n">
        <v>0</v>
      </c>
      <c r="I313" t="n">
        <v>0</v>
      </c>
      <c r="J313" t="n">
        <v>1</v>
      </c>
      <c r="K313" t="n">
        <v>0</v>
      </c>
      <c r="L313" t="n">
        <v>0</v>
      </c>
      <c r="M313" t="n">
        <v>0</v>
      </c>
      <c r="N313" t="n">
        <v>0</v>
      </c>
      <c r="O313" t="n">
        <v>1</v>
      </c>
      <c r="P313" t="n">
        <v>0</v>
      </c>
      <c r="Q313" t="n">
        <v>1</v>
      </c>
      <c r="R313" s="2" t="inlineStr">
        <is>
          <t>Lunglav</t>
        </is>
      </c>
      <c r="S313">
        <f>HYPERLINK("https://klasma.github.io/Logging_2313/artfynd/A 46343-2022 artfynd.xlsx", "A 46343-2022")</f>
        <v/>
      </c>
      <c r="T313">
        <f>HYPERLINK("https://klasma.github.io/Logging_2313/kartor/A 46343-2022 karta.png", "A 46343-2022")</f>
        <v/>
      </c>
      <c r="V313">
        <f>HYPERLINK("https://klasma.github.io/Logging_2313/klagomål/A 46343-2022 FSC-klagomål.docx", "A 46343-2022")</f>
        <v/>
      </c>
      <c r="W313">
        <f>HYPERLINK("https://klasma.github.io/Logging_2313/klagomålsmail/A 46343-2022 FSC-klagomål mail.docx", "A 46343-2022")</f>
        <v/>
      </c>
      <c r="X313">
        <f>HYPERLINK("https://klasma.github.io/Logging_2313/tillsyn/A 46343-2022 tillsynsbegäran.docx", "A 46343-2022")</f>
        <v/>
      </c>
      <c r="Y313">
        <f>HYPERLINK("https://klasma.github.io/Logging_2313/tillsynsmail/A 46343-2022 tillsynsbegäran mail.docx", "A 46343-2022")</f>
        <v/>
      </c>
    </row>
    <row r="314" ht="15" customHeight="1">
      <c r="A314" t="inlineStr">
        <is>
          <t>A 48544-2022</t>
        </is>
      </c>
      <c r="B314" s="1" t="n">
        <v>44858</v>
      </c>
      <c r="C314" s="1" t="n">
        <v>45343</v>
      </c>
      <c r="D314" t="inlineStr">
        <is>
          <t>JÄMTLANDS LÄN</t>
        </is>
      </c>
      <c r="E314" t="inlineStr">
        <is>
          <t>STRÖMSUND</t>
        </is>
      </c>
      <c r="F314" t="inlineStr">
        <is>
          <t>SCA</t>
        </is>
      </c>
      <c r="G314" t="n">
        <v>2.6</v>
      </c>
      <c r="H314" t="n">
        <v>1</v>
      </c>
      <c r="I314" t="n">
        <v>0</v>
      </c>
      <c r="J314" t="n">
        <v>0</v>
      </c>
      <c r="K314" t="n">
        <v>1</v>
      </c>
      <c r="L314" t="n">
        <v>0</v>
      </c>
      <c r="M314" t="n">
        <v>0</v>
      </c>
      <c r="N314" t="n">
        <v>0</v>
      </c>
      <c r="O314" t="n">
        <v>1</v>
      </c>
      <c r="P314" t="n">
        <v>1</v>
      </c>
      <c r="Q314" t="n">
        <v>1</v>
      </c>
      <c r="R314" s="2" t="inlineStr">
        <is>
          <t>Doftticka</t>
        </is>
      </c>
      <c r="S314">
        <f>HYPERLINK("https://klasma.github.io/Logging_2313/artfynd/A 48544-2022 artfynd.xlsx", "A 48544-2022")</f>
        <v/>
      </c>
      <c r="T314">
        <f>HYPERLINK("https://klasma.github.io/Logging_2313/kartor/A 48544-2022 karta.png", "A 48544-2022")</f>
        <v/>
      </c>
      <c r="V314">
        <f>HYPERLINK("https://klasma.github.io/Logging_2313/klagomål/A 48544-2022 FSC-klagomål.docx", "A 48544-2022")</f>
        <v/>
      </c>
      <c r="W314">
        <f>HYPERLINK("https://klasma.github.io/Logging_2313/klagomålsmail/A 48544-2022 FSC-klagomål mail.docx", "A 48544-2022")</f>
        <v/>
      </c>
      <c r="X314">
        <f>HYPERLINK("https://klasma.github.io/Logging_2313/tillsyn/A 48544-2022 tillsynsbegäran.docx", "A 48544-2022")</f>
        <v/>
      </c>
      <c r="Y314">
        <f>HYPERLINK("https://klasma.github.io/Logging_2313/tillsynsmail/A 48544-2022 tillsynsbegäran mail.docx", "A 48544-2022")</f>
        <v/>
      </c>
    </row>
    <row r="315" ht="15" customHeight="1">
      <c r="A315" t="inlineStr">
        <is>
          <t>A 48896-2022</t>
        </is>
      </c>
      <c r="B315" s="1" t="n">
        <v>44859</v>
      </c>
      <c r="C315" s="1" t="n">
        <v>45343</v>
      </c>
      <c r="D315" t="inlineStr">
        <is>
          <t>JÄMTLANDS LÄN</t>
        </is>
      </c>
      <c r="E315" t="inlineStr">
        <is>
          <t>STRÖMSUND</t>
        </is>
      </c>
      <c r="F315" t="inlineStr">
        <is>
          <t>SCA</t>
        </is>
      </c>
      <c r="G315" t="n">
        <v>3.3</v>
      </c>
      <c r="H315" t="n">
        <v>1</v>
      </c>
      <c r="I315" t="n">
        <v>1</v>
      </c>
      <c r="J315" t="n">
        <v>0</v>
      </c>
      <c r="K315" t="n">
        <v>0</v>
      </c>
      <c r="L315" t="n">
        <v>0</v>
      </c>
      <c r="M315" t="n">
        <v>0</v>
      </c>
      <c r="N315" t="n">
        <v>0</v>
      </c>
      <c r="O315" t="n">
        <v>0</v>
      </c>
      <c r="P315" t="n">
        <v>0</v>
      </c>
      <c r="Q315" t="n">
        <v>1</v>
      </c>
      <c r="R315" s="2" t="inlineStr">
        <is>
          <t>Guckusko</t>
        </is>
      </c>
      <c r="S315">
        <f>HYPERLINK("https://klasma.github.io/Logging_2313/artfynd/A 48896-2022 artfynd.xlsx", "A 48896-2022")</f>
        <v/>
      </c>
      <c r="T315">
        <f>HYPERLINK("https://klasma.github.io/Logging_2313/kartor/A 48896-2022 karta.png", "A 48896-2022")</f>
        <v/>
      </c>
      <c r="V315">
        <f>HYPERLINK("https://klasma.github.io/Logging_2313/klagomål/A 48896-2022 FSC-klagomål.docx", "A 48896-2022")</f>
        <v/>
      </c>
      <c r="W315">
        <f>HYPERLINK("https://klasma.github.io/Logging_2313/klagomålsmail/A 48896-2022 FSC-klagomål mail.docx", "A 48896-2022")</f>
        <v/>
      </c>
      <c r="X315">
        <f>HYPERLINK("https://klasma.github.io/Logging_2313/tillsyn/A 48896-2022 tillsynsbegäran.docx", "A 48896-2022")</f>
        <v/>
      </c>
      <c r="Y315">
        <f>HYPERLINK("https://klasma.github.io/Logging_2313/tillsynsmail/A 48896-2022 tillsynsbegäran mail.docx", "A 48896-2022")</f>
        <v/>
      </c>
    </row>
    <row r="316" ht="15" customHeight="1">
      <c r="A316" t="inlineStr">
        <is>
          <t>A 50688-2022</t>
        </is>
      </c>
      <c r="B316" s="1" t="n">
        <v>44866</v>
      </c>
      <c r="C316" s="1" t="n">
        <v>45343</v>
      </c>
      <c r="D316" t="inlineStr">
        <is>
          <t>JÄMTLANDS LÄN</t>
        </is>
      </c>
      <c r="E316" t="inlineStr">
        <is>
          <t>STRÖMSUND</t>
        </is>
      </c>
      <c r="F316" t="inlineStr">
        <is>
          <t>SCA</t>
        </is>
      </c>
      <c r="G316" t="n">
        <v>8.699999999999999</v>
      </c>
      <c r="H316" t="n">
        <v>1</v>
      </c>
      <c r="I316" t="n">
        <v>0</v>
      </c>
      <c r="J316" t="n">
        <v>1</v>
      </c>
      <c r="K316" t="n">
        <v>0</v>
      </c>
      <c r="L316" t="n">
        <v>0</v>
      </c>
      <c r="M316" t="n">
        <v>0</v>
      </c>
      <c r="N316" t="n">
        <v>0</v>
      </c>
      <c r="O316" t="n">
        <v>1</v>
      </c>
      <c r="P316" t="n">
        <v>0</v>
      </c>
      <c r="Q316" t="n">
        <v>1</v>
      </c>
      <c r="R316" s="2" t="inlineStr">
        <is>
          <t>Skogsfru</t>
        </is>
      </c>
      <c r="S316">
        <f>HYPERLINK("https://klasma.github.io/Logging_2313/artfynd/A 50688-2022 artfynd.xlsx", "A 50688-2022")</f>
        <v/>
      </c>
      <c r="T316">
        <f>HYPERLINK("https://klasma.github.io/Logging_2313/kartor/A 50688-2022 karta.png", "A 50688-2022")</f>
        <v/>
      </c>
      <c r="V316">
        <f>HYPERLINK("https://klasma.github.io/Logging_2313/klagomål/A 50688-2022 FSC-klagomål.docx", "A 50688-2022")</f>
        <v/>
      </c>
      <c r="W316">
        <f>HYPERLINK("https://klasma.github.io/Logging_2313/klagomålsmail/A 50688-2022 FSC-klagomål mail.docx", "A 50688-2022")</f>
        <v/>
      </c>
      <c r="X316">
        <f>HYPERLINK("https://klasma.github.io/Logging_2313/tillsyn/A 50688-2022 tillsynsbegäran.docx", "A 50688-2022")</f>
        <v/>
      </c>
      <c r="Y316">
        <f>HYPERLINK("https://klasma.github.io/Logging_2313/tillsynsmail/A 50688-2022 tillsynsbegäran mail.docx", "A 50688-2022")</f>
        <v/>
      </c>
    </row>
    <row r="317" ht="15" customHeight="1">
      <c r="A317" t="inlineStr">
        <is>
          <t>A 50683-2022</t>
        </is>
      </c>
      <c r="B317" s="1" t="n">
        <v>44866</v>
      </c>
      <c r="C317" s="1" t="n">
        <v>45343</v>
      </c>
      <c r="D317" t="inlineStr">
        <is>
          <t>JÄMTLANDS LÄN</t>
        </is>
      </c>
      <c r="E317" t="inlineStr">
        <is>
          <t>STRÖMSUND</t>
        </is>
      </c>
      <c r="F317" t="inlineStr">
        <is>
          <t>SCA</t>
        </is>
      </c>
      <c r="G317" t="n">
        <v>4.8</v>
      </c>
      <c r="H317" t="n">
        <v>0</v>
      </c>
      <c r="I317" t="n">
        <v>0</v>
      </c>
      <c r="J317" t="n">
        <v>1</v>
      </c>
      <c r="K317" t="n">
        <v>0</v>
      </c>
      <c r="L317" t="n">
        <v>0</v>
      </c>
      <c r="M317" t="n">
        <v>0</v>
      </c>
      <c r="N317" t="n">
        <v>0</v>
      </c>
      <c r="O317" t="n">
        <v>1</v>
      </c>
      <c r="P317" t="n">
        <v>0</v>
      </c>
      <c r="Q317" t="n">
        <v>1</v>
      </c>
      <c r="R317" s="2" t="inlineStr">
        <is>
          <t>Gammelgransskål</t>
        </is>
      </c>
      <c r="S317">
        <f>HYPERLINK("https://klasma.github.io/Logging_2313/artfynd/A 50683-2022 artfynd.xlsx", "A 50683-2022")</f>
        <v/>
      </c>
      <c r="T317">
        <f>HYPERLINK("https://klasma.github.io/Logging_2313/kartor/A 50683-2022 karta.png", "A 50683-2022")</f>
        <v/>
      </c>
      <c r="V317">
        <f>HYPERLINK("https://klasma.github.io/Logging_2313/klagomål/A 50683-2022 FSC-klagomål.docx", "A 50683-2022")</f>
        <v/>
      </c>
      <c r="W317">
        <f>HYPERLINK("https://klasma.github.io/Logging_2313/klagomålsmail/A 50683-2022 FSC-klagomål mail.docx", "A 50683-2022")</f>
        <v/>
      </c>
      <c r="X317">
        <f>HYPERLINK("https://klasma.github.io/Logging_2313/tillsyn/A 50683-2022 tillsynsbegäran.docx", "A 50683-2022")</f>
        <v/>
      </c>
      <c r="Y317">
        <f>HYPERLINK("https://klasma.github.io/Logging_2313/tillsynsmail/A 50683-2022 tillsynsbegäran mail.docx", "A 50683-2022")</f>
        <v/>
      </c>
    </row>
    <row r="318" ht="15" customHeight="1">
      <c r="A318" t="inlineStr">
        <is>
          <t>A 51309-2022</t>
        </is>
      </c>
      <c r="B318" s="1" t="n">
        <v>44868</v>
      </c>
      <c r="C318" s="1" t="n">
        <v>45343</v>
      </c>
      <c r="D318" t="inlineStr">
        <is>
          <t>JÄMTLANDS LÄN</t>
        </is>
      </c>
      <c r="E318" t="inlineStr">
        <is>
          <t>STRÖMSUND</t>
        </is>
      </c>
      <c r="F318" t="inlineStr">
        <is>
          <t>SCA</t>
        </is>
      </c>
      <c r="G318" t="n">
        <v>5.1</v>
      </c>
      <c r="H318" t="n">
        <v>0</v>
      </c>
      <c r="I318" t="n">
        <v>0</v>
      </c>
      <c r="J318" t="n">
        <v>1</v>
      </c>
      <c r="K318" t="n">
        <v>0</v>
      </c>
      <c r="L318" t="n">
        <v>0</v>
      </c>
      <c r="M318" t="n">
        <v>0</v>
      </c>
      <c r="N318" t="n">
        <v>0</v>
      </c>
      <c r="O318" t="n">
        <v>1</v>
      </c>
      <c r="P318" t="n">
        <v>0</v>
      </c>
      <c r="Q318" t="n">
        <v>1</v>
      </c>
      <c r="R318" s="2" t="inlineStr">
        <is>
          <t>Skrovellav</t>
        </is>
      </c>
      <c r="S318">
        <f>HYPERLINK("https://klasma.github.io/Logging_2313/artfynd/A 51309-2022 artfynd.xlsx", "A 51309-2022")</f>
        <v/>
      </c>
      <c r="T318">
        <f>HYPERLINK("https://klasma.github.io/Logging_2313/kartor/A 51309-2022 karta.png", "A 51309-2022")</f>
        <v/>
      </c>
      <c r="V318">
        <f>HYPERLINK("https://klasma.github.io/Logging_2313/klagomål/A 51309-2022 FSC-klagomål.docx", "A 51309-2022")</f>
        <v/>
      </c>
      <c r="W318">
        <f>HYPERLINK("https://klasma.github.io/Logging_2313/klagomålsmail/A 51309-2022 FSC-klagomål mail.docx", "A 51309-2022")</f>
        <v/>
      </c>
      <c r="X318">
        <f>HYPERLINK("https://klasma.github.io/Logging_2313/tillsyn/A 51309-2022 tillsynsbegäran.docx", "A 51309-2022")</f>
        <v/>
      </c>
      <c r="Y318">
        <f>HYPERLINK("https://klasma.github.io/Logging_2313/tillsynsmail/A 51309-2022 tillsynsbegäran mail.docx", "A 51309-2022")</f>
        <v/>
      </c>
    </row>
    <row r="319" ht="15" customHeight="1">
      <c r="A319" t="inlineStr">
        <is>
          <t>A 55530-2022</t>
        </is>
      </c>
      <c r="B319" s="1" t="n">
        <v>44887</v>
      </c>
      <c r="C319" s="1" t="n">
        <v>45343</v>
      </c>
      <c r="D319" t="inlineStr">
        <is>
          <t>JÄMTLANDS LÄN</t>
        </is>
      </c>
      <c r="E319" t="inlineStr">
        <is>
          <t>STRÖMSUND</t>
        </is>
      </c>
      <c r="F319" t="inlineStr">
        <is>
          <t>SCA</t>
        </is>
      </c>
      <c r="G319" t="n">
        <v>5.5</v>
      </c>
      <c r="H319" t="n">
        <v>0</v>
      </c>
      <c r="I319" t="n">
        <v>0</v>
      </c>
      <c r="J319" t="n">
        <v>1</v>
      </c>
      <c r="K319" t="n">
        <v>0</v>
      </c>
      <c r="L319" t="n">
        <v>0</v>
      </c>
      <c r="M319" t="n">
        <v>0</v>
      </c>
      <c r="N319" t="n">
        <v>0</v>
      </c>
      <c r="O319" t="n">
        <v>1</v>
      </c>
      <c r="P319" t="n">
        <v>0</v>
      </c>
      <c r="Q319" t="n">
        <v>1</v>
      </c>
      <c r="R319" s="2" t="inlineStr">
        <is>
          <t>Lunglav</t>
        </is>
      </c>
      <c r="S319">
        <f>HYPERLINK("https://klasma.github.io/Logging_2313/artfynd/A 55530-2022 artfynd.xlsx", "A 55530-2022")</f>
        <v/>
      </c>
      <c r="T319">
        <f>HYPERLINK("https://klasma.github.io/Logging_2313/kartor/A 55530-2022 karta.png", "A 55530-2022")</f>
        <v/>
      </c>
      <c r="V319">
        <f>HYPERLINK("https://klasma.github.io/Logging_2313/klagomål/A 55530-2022 FSC-klagomål.docx", "A 55530-2022")</f>
        <v/>
      </c>
      <c r="W319">
        <f>HYPERLINK("https://klasma.github.io/Logging_2313/klagomålsmail/A 55530-2022 FSC-klagomål mail.docx", "A 55530-2022")</f>
        <v/>
      </c>
      <c r="X319">
        <f>HYPERLINK("https://klasma.github.io/Logging_2313/tillsyn/A 55530-2022 tillsynsbegäran.docx", "A 55530-2022")</f>
        <v/>
      </c>
      <c r="Y319">
        <f>HYPERLINK("https://klasma.github.io/Logging_2313/tillsynsmail/A 55530-2022 tillsynsbegäran mail.docx", "A 55530-2022")</f>
        <v/>
      </c>
    </row>
    <row r="320" ht="15" customHeight="1">
      <c r="A320" t="inlineStr">
        <is>
          <t>A 56735-2022</t>
        </is>
      </c>
      <c r="B320" s="1" t="n">
        <v>44893</v>
      </c>
      <c r="C320" s="1" t="n">
        <v>45343</v>
      </c>
      <c r="D320" t="inlineStr">
        <is>
          <t>JÄMTLANDS LÄN</t>
        </is>
      </c>
      <c r="E320" t="inlineStr">
        <is>
          <t>STRÖMSUND</t>
        </is>
      </c>
      <c r="F320" t="inlineStr">
        <is>
          <t>SCA</t>
        </is>
      </c>
      <c r="G320" t="n">
        <v>1.4</v>
      </c>
      <c r="H320" t="n">
        <v>0</v>
      </c>
      <c r="I320" t="n">
        <v>0</v>
      </c>
      <c r="J320" t="n">
        <v>1</v>
      </c>
      <c r="K320" t="n">
        <v>0</v>
      </c>
      <c r="L320" t="n">
        <v>0</v>
      </c>
      <c r="M320" t="n">
        <v>0</v>
      </c>
      <c r="N320" t="n">
        <v>0</v>
      </c>
      <c r="O320" t="n">
        <v>1</v>
      </c>
      <c r="P320" t="n">
        <v>0</v>
      </c>
      <c r="Q320" t="n">
        <v>1</v>
      </c>
      <c r="R320" s="2" t="inlineStr">
        <is>
          <t>Granticka</t>
        </is>
      </c>
      <c r="S320">
        <f>HYPERLINK("https://klasma.github.io/Logging_2313/artfynd/A 56735-2022 artfynd.xlsx", "A 56735-2022")</f>
        <v/>
      </c>
      <c r="T320">
        <f>HYPERLINK("https://klasma.github.io/Logging_2313/kartor/A 56735-2022 karta.png", "A 56735-2022")</f>
        <v/>
      </c>
      <c r="V320">
        <f>HYPERLINK("https://klasma.github.io/Logging_2313/klagomål/A 56735-2022 FSC-klagomål.docx", "A 56735-2022")</f>
        <v/>
      </c>
      <c r="W320">
        <f>HYPERLINK("https://klasma.github.io/Logging_2313/klagomålsmail/A 56735-2022 FSC-klagomål mail.docx", "A 56735-2022")</f>
        <v/>
      </c>
      <c r="X320">
        <f>HYPERLINK("https://klasma.github.io/Logging_2313/tillsyn/A 56735-2022 tillsynsbegäran.docx", "A 56735-2022")</f>
        <v/>
      </c>
      <c r="Y320">
        <f>HYPERLINK("https://klasma.github.io/Logging_2313/tillsynsmail/A 56735-2022 tillsynsbegäran mail.docx", "A 56735-2022")</f>
        <v/>
      </c>
    </row>
    <row r="321" ht="15" customHeight="1">
      <c r="A321" t="inlineStr">
        <is>
          <t>A 56883-2022</t>
        </is>
      </c>
      <c r="B321" s="1" t="n">
        <v>44894</v>
      </c>
      <c r="C321" s="1" t="n">
        <v>45343</v>
      </c>
      <c r="D321" t="inlineStr">
        <is>
          <t>JÄMTLANDS LÄN</t>
        </is>
      </c>
      <c r="E321" t="inlineStr">
        <is>
          <t>STRÖMSUND</t>
        </is>
      </c>
      <c r="F321" t="inlineStr">
        <is>
          <t>Holmen skog AB</t>
        </is>
      </c>
      <c r="G321" t="n">
        <v>3.1</v>
      </c>
      <c r="H321" t="n">
        <v>1</v>
      </c>
      <c r="I321" t="n">
        <v>0</v>
      </c>
      <c r="J321" t="n">
        <v>0</v>
      </c>
      <c r="K321" t="n">
        <v>1</v>
      </c>
      <c r="L321" t="n">
        <v>0</v>
      </c>
      <c r="M321" t="n">
        <v>0</v>
      </c>
      <c r="N321" t="n">
        <v>0</v>
      </c>
      <c r="O321" t="n">
        <v>1</v>
      </c>
      <c r="P321" t="n">
        <v>1</v>
      </c>
      <c r="Q321" t="n">
        <v>1</v>
      </c>
      <c r="R321" s="2" t="inlineStr">
        <is>
          <t>Knärot</t>
        </is>
      </c>
      <c r="S321">
        <f>HYPERLINK("https://klasma.github.io/Logging_2313/artfynd/A 56883-2022 artfynd.xlsx", "A 56883-2022")</f>
        <v/>
      </c>
      <c r="T321">
        <f>HYPERLINK("https://klasma.github.io/Logging_2313/kartor/A 56883-2022 karta.png", "A 56883-2022")</f>
        <v/>
      </c>
      <c r="U321">
        <f>HYPERLINK("https://klasma.github.io/Logging_2313/knärot/A 56883-2022 karta knärot.png", "A 56883-2022")</f>
        <v/>
      </c>
      <c r="V321">
        <f>HYPERLINK("https://klasma.github.io/Logging_2313/klagomål/A 56883-2022 FSC-klagomål.docx", "A 56883-2022")</f>
        <v/>
      </c>
      <c r="W321">
        <f>HYPERLINK("https://klasma.github.io/Logging_2313/klagomålsmail/A 56883-2022 FSC-klagomål mail.docx", "A 56883-2022")</f>
        <v/>
      </c>
      <c r="X321">
        <f>HYPERLINK("https://klasma.github.io/Logging_2313/tillsyn/A 56883-2022 tillsynsbegäran.docx", "A 56883-2022")</f>
        <v/>
      </c>
      <c r="Y321">
        <f>HYPERLINK("https://klasma.github.io/Logging_2313/tillsynsmail/A 56883-2022 tillsynsbegäran mail.docx", "A 56883-2022")</f>
        <v/>
      </c>
    </row>
    <row r="322" ht="15" customHeight="1">
      <c r="A322" t="inlineStr">
        <is>
          <t>A 61381-2022</t>
        </is>
      </c>
      <c r="B322" s="1" t="n">
        <v>44915</v>
      </c>
      <c r="C322" s="1" t="n">
        <v>45343</v>
      </c>
      <c r="D322" t="inlineStr">
        <is>
          <t>JÄMTLANDS LÄN</t>
        </is>
      </c>
      <c r="E322" t="inlineStr">
        <is>
          <t>STRÖMSUND</t>
        </is>
      </c>
      <c r="G322" t="n">
        <v>8.1</v>
      </c>
      <c r="H322" t="n">
        <v>0</v>
      </c>
      <c r="I322" t="n">
        <v>0</v>
      </c>
      <c r="J322" t="n">
        <v>1</v>
      </c>
      <c r="K322" t="n">
        <v>0</v>
      </c>
      <c r="L322" t="n">
        <v>0</v>
      </c>
      <c r="M322" t="n">
        <v>0</v>
      </c>
      <c r="N322" t="n">
        <v>0</v>
      </c>
      <c r="O322" t="n">
        <v>1</v>
      </c>
      <c r="P322" t="n">
        <v>0</v>
      </c>
      <c r="Q322" t="n">
        <v>1</v>
      </c>
      <c r="R322" s="2" t="inlineStr">
        <is>
          <t>Granticka</t>
        </is>
      </c>
      <c r="S322">
        <f>HYPERLINK("https://klasma.github.io/Logging_2313/artfynd/A 61381-2022 artfynd.xlsx", "A 61381-2022")</f>
        <v/>
      </c>
      <c r="T322">
        <f>HYPERLINK("https://klasma.github.io/Logging_2313/kartor/A 61381-2022 karta.png", "A 61381-2022")</f>
        <v/>
      </c>
      <c r="V322">
        <f>HYPERLINK("https://klasma.github.io/Logging_2313/klagomål/A 61381-2022 FSC-klagomål.docx", "A 61381-2022")</f>
        <v/>
      </c>
      <c r="W322">
        <f>HYPERLINK("https://klasma.github.io/Logging_2313/klagomålsmail/A 61381-2022 FSC-klagomål mail.docx", "A 61381-2022")</f>
        <v/>
      </c>
      <c r="X322">
        <f>HYPERLINK("https://klasma.github.io/Logging_2313/tillsyn/A 61381-2022 tillsynsbegäran.docx", "A 61381-2022")</f>
        <v/>
      </c>
      <c r="Y322">
        <f>HYPERLINK("https://klasma.github.io/Logging_2313/tillsynsmail/A 61381-2022 tillsynsbegäran mail.docx", "A 61381-2022")</f>
        <v/>
      </c>
    </row>
    <row r="323" ht="15" customHeight="1">
      <c r="A323" t="inlineStr">
        <is>
          <t>A 27-2023</t>
        </is>
      </c>
      <c r="B323" s="1" t="n">
        <v>44928</v>
      </c>
      <c r="C323" s="1" t="n">
        <v>45343</v>
      </c>
      <c r="D323" t="inlineStr">
        <is>
          <t>JÄMTLANDS LÄN</t>
        </is>
      </c>
      <c r="E323" t="inlineStr">
        <is>
          <t>STRÖMSUND</t>
        </is>
      </c>
      <c r="F323" t="inlineStr">
        <is>
          <t>Sveaskog</t>
        </is>
      </c>
      <c r="G323" t="n">
        <v>4.3</v>
      </c>
      <c r="H323" t="n">
        <v>0</v>
      </c>
      <c r="I323" t="n">
        <v>0</v>
      </c>
      <c r="J323" t="n">
        <v>1</v>
      </c>
      <c r="K323" t="n">
        <v>0</v>
      </c>
      <c r="L323" t="n">
        <v>0</v>
      </c>
      <c r="M323" t="n">
        <v>0</v>
      </c>
      <c r="N323" t="n">
        <v>0</v>
      </c>
      <c r="O323" t="n">
        <v>1</v>
      </c>
      <c r="P323" t="n">
        <v>0</v>
      </c>
      <c r="Q323" t="n">
        <v>1</v>
      </c>
      <c r="R323" s="2" t="inlineStr">
        <is>
          <t>Gränsticka</t>
        </is>
      </c>
      <c r="S323">
        <f>HYPERLINK("https://klasma.github.io/Logging_2313/artfynd/A 27-2023 artfynd.xlsx", "A 27-2023")</f>
        <v/>
      </c>
      <c r="T323">
        <f>HYPERLINK("https://klasma.github.io/Logging_2313/kartor/A 27-2023 karta.png", "A 27-2023")</f>
        <v/>
      </c>
      <c r="V323">
        <f>HYPERLINK("https://klasma.github.io/Logging_2313/klagomål/A 27-2023 FSC-klagomål.docx", "A 27-2023")</f>
        <v/>
      </c>
      <c r="W323">
        <f>HYPERLINK("https://klasma.github.io/Logging_2313/klagomålsmail/A 27-2023 FSC-klagomål mail.docx", "A 27-2023")</f>
        <v/>
      </c>
      <c r="X323">
        <f>HYPERLINK("https://klasma.github.io/Logging_2313/tillsyn/A 27-2023 tillsynsbegäran.docx", "A 27-2023")</f>
        <v/>
      </c>
      <c r="Y323">
        <f>HYPERLINK("https://klasma.github.io/Logging_2313/tillsynsmail/A 27-2023 tillsynsbegäran mail.docx", "A 27-2023")</f>
        <v/>
      </c>
    </row>
    <row r="324" ht="15" customHeight="1">
      <c r="A324" t="inlineStr">
        <is>
          <t>A 10075-2023</t>
        </is>
      </c>
      <c r="B324" s="1" t="n">
        <v>44985</v>
      </c>
      <c r="C324" s="1" t="n">
        <v>45343</v>
      </c>
      <c r="D324" t="inlineStr">
        <is>
          <t>JÄMTLANDS LÄN</t>
        </is>
      </c>
      <c r="E324" t="inlineStr">
        <is>
          <t>STRÖMSUND</t>
        </is>
      </c>
      <c r="F324" t="inlineStr">
        <is>
          <t>SCA</t>
        </is>
      </c>
      <c r="G324" t="n">
        <v>13.4</v>
      </c>
      <c r="H324" t="n">
        <v>0</v>
      </c>
      <c r="I324" t="n">
        <v>0</v>
      </c>
      <c r="J324" t="n">
        <v>1</v>
      </c>
      <c r="K324" t="n">
        <v>0</v>
      </c>
      <c r="L324" t="n">
        <v>0</v>
      </c>
      <c r="M324" t="n">
        <v>0</v>
      </c>
      <c r="N324" t="n">
        <v>0</v>
      </c>
      <c r="O324" t="n">
        <v>1</v>
      </c>
      <c r="P324" t="n">
        <v>0</v>
      </c>
      <c r="Q324" t="n">
        <v>1</v>
      </c>
      <c r="R324" s="2" t="inlineStr">
        <is>
          <t>Brunklöver</t>
        </is>
      </c>
      <c r="S324">
        <f>HYPERLINK("https://klasma.github.io/Logging_2313/artfynd/A 10075-2023 artfynd.xlsx", "A 10075-2023")</f>
        <v/>
      </c>
      <c r="T324">
        <f>HYPERLINK("https://klasma.github.io/Logging_2313/kartor/A 10075-2023 karta.png", "A 10075-2023")</f>
        <v/>
      </c>
      <c r="V324">
        <f>HYPERLINK("https://klasma.github.io/Logging_2313/klagomål/A 10075-2023 FSC-klagomål.docx", "A 10075-2023")</f>
        <v/>
      </c>
      <c r="W324">
        <f>HYPERLINK("https://klasma.github.io/Logging_2313/klagomålsmail/A 10075-2023 FSC-klagomål mail.docx", "A 10075-2023")</f>
        <v/>
      </c>
      <c r="X324">
        <f>HYPERLINK("https://klasma.github.io/Logging_2313/tillsyn/A 10075-2023 tillsynsbegäran.docx", "A 10075-2023")</f>
        <v/>
      </c>
      <c r="Y324">
        <f>HYPERLINK("https://klasma.github.io/Logging_2313/tillsynsmail/A 10075-2023 tillsynsbegäran mail.docx", "A 10075-2023")</f>
        <v/>
      </c>
    </row>
    <row r="325" ht="15" customHeight="1">
      <c r="A325" t="inlineStr">
        <is>
          <t>A 13897-2023</t>
        </is>
      </c>
      <c r="B325" s="1" t="n">
        <v>45008</v>
      </c>
      <c r="C325" s="1" t="n">
        <v>45343</v>
      </c>
      <c r="D325" t="inlineStr">
        <is>
          <t>JÄMTLANDS LÄN</t>
        </is>
      </c>
      <c r="E325" t="inlineStr">
        <is>
          <t>STRÖMSUND</t>
        </is>
      </c>
      <c r="F325" t="inlineStr">
        <is>
          <t>Holmen skog AB</t>
        </is>
      </c>
      <c r="G325" t="n">
        <v>2.6</v>
      </c>
      <c r="H325" t="n">
        <v>0</v>
      </c>
      <c r="I325" t="n">
        <v>0</v>
      </c>
      <c r="J325" t="n">
        <v>1</v>
      </c>
      <c r="K325" t="n">
        <v>0</v>
      </c>
      <c r="L325" t="n">
        <v>0</v>
      </c>
      <c r="M325" t="n">
        <v>0</v>
      </c>
      <c r="N325" t="n">
        <v>0</v>
      </c>
      <c r="O325" t="n">
        <v>1</v>
      </c>
      <c r="P325" t="n">
        <v>0</v>
      </c>
      <c r="Q325" t="n">
        <v>1</v>
      </c>
      <c r="R325" s="2" t="inlineStr">
        <is>
          <t>Kolflarnlav</t>
        </is>
      </c>
      <c r="S325">
        <f>HYPERLINK("https://klasma.github.io/Logging_2313/artfynd/A 13897-2023 artfynd.xlsx", "A 13897-2023")</f>
        <v/>
      </c>
      <c r="T325">
        <f>HYPERLINK("https://klasma.github.io/Logging_2313/kartor/A 13897-2023 karta.png", "A 13897-2023")</f>
        <v/>
      </c>
      <c r="V325">
        <f>HYPERLINK("https://klasma.github.io/Logging_2313/klagomål/A 13897-2023 FSC-klagomål.docx", "A 13897-2023")</f>
        <v/>
      </c>
      <c r="W325">
        <f>HYPERLINK("https://klasma.github.io/Logging_2313/klagomålsmail/A 13897-2023 FSC-klagomål mail.docx", "A 13897-2023")</f>
        <v/>
      </c>
      <c r="X325">
        <f>HYPERLINK("https://klasma.github.io/Logging_2313/tillsyn/A 13897-2023 tillsynsbegäran.docx", "A 13897-2023")</f>
        <v/>
      </c>
      <c r="Y325">
        <f>HYPERLINK("https://klasma.github.io/Logging_2313/tillsynsmail/A 13897-2023 tillsynsbegäran mail.docx", "A 13897-2023")</f>
        <v/>
      </c>
    </row>
    <row r="326" ht="15" customHeight="1">
      <c r="A326" t="inlineStr">
        <is>
          <t>A 18767-2023</t>
        </is>
      </c>
      <c r="B326" s="1" t="n">
        <v>45043</v>
      </c>
      <c r="C326" s="1" t="n">
        <v>45343</v>
      </c>
      <c r="D326" t="inlineStr">
        <is>
          <t>JÄMTLANDS LÄN</t>
        </is>
      </c>
      <c r="E326" t="inlineStr">
        <is>
          <t>STRÖMSUND</t>
        </is>
      </c>
      <c r="F326" t="inlineStr">
        <is>
          <t>SCA</t>
        </is>
      </c>
      <c r="G326" t="n">
        <v>7.5</v>
      </c>
      <c r="H326" t="n">
        <v>0</v>
      </c>
      <c r="I326" t="n">
        <v>0</v>
      </c>
      <c r="J326" t="n">
        <v>1</v>
      </c>
      <c r="K326" t="n">
        <v>0</v>
      </c>
      <c r="L326" t="n">
        <v>0</v>
      </c>
      <c r="M326" t="n">
        <v>0</v>
      </c>
      <c r="N326" t="n">
        <v>0</v>
      </c>
      <c r="O326" t="n">
        <v>1</v>
      </c>
      <c r="P326" t="n">
        <v>0</v>
      </c>
      <c r="Q326" t="n">
        <v>1</v>
      </c>
      <c r="R326" s="2" t="inlineStr">
        <is>
          <t>Vedtrappmossa</t>
        </is>
      </c>
      <c r="S326">
        <f>HYPERLINK("https://klasma.github.io/Logging_2313/artfynd/A 18767-2023 artfynd.xlsx", "A 18767-2023")</f>
        <v/>
      </c>
      <c r="T326">
        <f>HYPERLINK("https://klasma.github.io/Logging_2313/kartor/A 18767-2023 karta.png", "A 18767-2023")</f>
        <v/>
      </c>
      <c r="V326">
        <f>HYPERLINK("https://klasma.github.io/Logging_2313/klagomål/A 18767-2023 FSC-klagomål.docx", "A 18767-2023")</f>
        <v/>
      </c>
      <c r="W326">
        <f>HYPERLINK("https://klasma.github.io/Logging_2313/klagomålsmail/A 18767-2023 FSC-klagomål mail.docx", "A 18767-2023")</f>
        <v/>
      </c>
      <c r="X326">
        <f>HYPERLINK("https://klasma.github.io/Logging_2313/tillsyn/A 18767-2023 tillsynsbegäran.docx", "A 18767-2023")</f>
        <v/>
      </c>
      <c r="Y326">
        <f>HYPERLINK("https://klasma.github.io/Logging_2313/tillsynsmail/A 18767-2023 tillsynsbegäran mail.docx", "A 18767-2023")</f>
        <v/>
      </c>
    </row>
    <row r="327" ht="15" customHeight="1">
      <c r="A327" t="inlineStr">
        <is>
          <t>A 18853-2023</t>
        </is>
      </c>
      <c r="B327" s="1" t="n">
        <v>45043</v>
      </c>
      <c r="C327" s="1" t="n">
        <v>45343</v>
      </c>
      <c r="D327" t="inlineStr">
        <is>
          <t>JÄMTLANDS LÄN</t>
        </is>
      </c>
      <c r="E327" t="inlineStr">
        <is>
          <t>STRÖMSUND</t>
        </is>
      </c>
      <c r="G327" t="n">
        <v>11.9</v>
      </c>
      <c r="H327" t="n">
        <v>0</v>
      </c>
      <c r="I327" t="n">
        <v>0</v>
      </c>
      <c r="J327" t="n">
        <v>1</v>
      </c>
      <c r="K327" t="n">
        <v>0</v>
      </c>
      <c r="L327" t="n">
        <v>0</v>
      </c>
      <c r="M327" t="n">
        <v>0</v>
      </c>
      <c r="N327" t="n">
        <v>0</v>
      </c>
      <c r="O327" t="n">
        <v>1</v>
      </c>
      <c r="P327" t="n">
        <v>0</v>
      </c>
      <c r="Q327" t="n">
        <v>1</v>
      </c>
      <c r="R327" s="2" t="inlineStr">
        <is>
          <t>Granticka</t>
        </is>
      </c>
      <c r="S327">
        <f>HYPERLINK("https://klasma.github.io/Logging_2313/artfynd/A 18853-2023 artfynd.xlsx", "A 18853-2023")</f>
        <v/>
      </c>
      <c r="T327">
        <f>HYPERLINK("https://klasma.github.io/Logging_2313/kartor/A 18853-2023 karta.png", "A 18853-2023")</f>
        <v/>
      </c>
      <c r="V327">
        <f>HYPERLINK("https://klasma.github.io/Logging_2313/klagomål/A 18853-2023 FSC-klagomål.docx", "A 18853-2023")</f>
        <v/>
      </c>
      <c r="W327">
        <f>HYPERLINK("https://klasma.github.io/Logging_2313/klagomålsmail/A 18853-2023 FSC-klagomål mail.docx", "A 18853-2023")</f>
        <v/>
      </c>
      <c r="X327">
        <f>HYPERLINK("https://klasma.github.io/Logging_2313/tillsyn/A 18853-2023 tillsynsbegäran.docx", "A 18853-2023")</f>
        <v/>
      </c>
      <c r="Y327">
        <f>HYPERLINK("https://klasma.github.io/Logging_2313/tillsynsmail/A 18853-2023 tillsynsbegäran mail.docx", "A 18853-2023")</f>
        <v/>
      </c>
    </row>
    <row r="328" ht="15" customHeight="1">
      <c r="A328" t="inlineStr">
        <is>
          <t>A 20632-2023</t>
        </is>
      </c>
      <c r="B328" s="1" t="n">
        <v>45057</v>
      </c>
      <c r="C328" s="1" t="n">
        <v>45343</v>
      </c>
      <c r="D328" t="inlineStr">
        <is>
          <t>JÄMTLANDS LÄN</t>
        </is>
      </c>
      <c r="E328" t="inlineStr">
        <is>
          <t>STRÖMSUND</t>
        </is>
      </c>
      <c r="F328" t="inlineStr">
        <is>
          <t>SCA</t>
        </is>
      </c>
      <c r="G328" t="n">
        <v>6.3</v>
      </c>
      <c r="H328" t="n">
        <v>0</v>
      </c>
      <c r="I328" t="n">
        <v>0</v>
      </c>
      <c r="J328" t="n">
        <v>1</v>
      </c>
      <c r="K328" t="n">
        <v>0</v>
      </c>
      <c r="L328" t="n">
        <v>0</v>
      </c>
      <c r="M328" t="n">
        <v>0</v>
      </c>
      <c r="N328" t="n">
        <v>0</v>
      </c>
      <c r="O328" t="n">
        <v>1</v>
      </c>
      <c r="P328" t="n">
        <v>0</v>
      </c>
      <c r="Q328" t="n">
        <v>1</v>
      </c>
      <c r="R328" s="2" t="inlineStr">
        <is>
          <t>Granticka</t>
        </is>
      </c>
      <c r="S328">
        <f>HYPERLINK("https://klasma.github.io/Logging_2313/artfynd/A 20632-2023 artfynd.xlsx", "A 20632-2023")</f>
        <v/>
      </c>
      <c r="T328">
        <f>HYPERLINK("https://klasma.github.io/Logging_2313/kartor/A 20632-2023 karta.png", "A 20632-2023")</f>
        <v/>
      </c>
      <c r="V328">
        <f>HYPERLINK("https://klasma.github.io/Logging_2313/klagomål/A 20632-2023 FSC-klagomål.docx", "A 20632-2023")</f>
        <v/>
      </c>
      <c r="W328">
        <f>HYPERLINK("https://klasma.github.io/Logging_2313/klagomålsmail/A 20632-2023 FSC-klagomål mail.docx", "A 20632-2023")</f>
        <v/>
      </c>
      <c r="X328">
        <f>HYPERLINK("https://klasma.github.io/Logging_2313/tillsyn/A 20632-2023 tillsynsbegäran.docx", "A 20632-2023")</f>
        <v/>
      </c>
      <c r="Y328">
        <f>HYPERLINK("https://klasma.github.io/Logging_2313/tillsynsmail/A 20632-2023 tillsynsbegäran mail.docx", "A 20632-2023")</f>
        <v/>
      </c>
    </row>
    <row r="329" ht="15" customHeight="1">
      <c r="A329" t="inlineStr">
        <is>
          <t>A 24832-2023</t>
        </is>
      </c>
      <c r="B329" s="1" t="n">
        <v>45084</v>
      </c>
      <c r="C329" s="1" t="n">
        <v>45343</v>
      </c>
      <c r="D329" t="inlineStr">
        <is>
          <t>JÄMTLANDS LÄN</t>
        </is>
      </c>
      <c r="E329" t="inlineStr">
        <is>
          <t>STRÖMSUND</t>
        </is>
      </c>
      <c r="G329" t="n">
        <v>9.6</v>
      </c>
      <c r="H329" t="n">
        <v>0</v>
      </c>
      <c r="I329" t="n">
        <v>0</v>
      </c>
      <c r="J329" t="n">
        <v>1</v>
      </c>
      <c r="K329" t="n">
        <v>0</v>
      </c>
      <c r="L329" t="n">
        <v>0</v>
      </c>
      <c r="M329" t="n">
        <v>0</v>
      </c>
      <c r="N329" t="n">
        <v>0</v>
      </c>
      <c r="O329" t="n">
        <v>1</v>
      </c>
      <c r="P329" t="n">
        <v>0</v>
      </c>
      <c r="Q329" t="n">
        <v>1</v>
      </c>
      <c r="R329" s="2" t="inlineStr">
        <is>
          <t>Granticka</t>
        </is>
      </c>
      <c r="S329">
        <f>HYPERLINK("https://klasma.github.io/Logging_2313/artfynd/A 24832-2023 artfynd.xlsx", "A 24832-2023")</f>
        <v/>
      </c>
      <c r="T329">
        <f>HYPERLINK("https://klasma.github.io/Logging_2313/kartor/A 24832-2023 karta.png", "A 24832-2023")</f>
        <v/>
      </c>
      <c r="V329">
        <f>HYPERLINK("https://klasma.github.io/Logging_2313/klagomål/A 24832-2023 FSC-klagomål.docx", "A 24832-2023")</f>
        <v/>
      </c>
      <c r="W329">
        <f>HYPERLINK("https://klasma.github.io/Logging_2313/klagomålsmail/A 24832-2023 FSC-klagomål mail.docx", "A 24832-2023")</f>
        <v/>
      </c>
      <c r="X329">
        <f>HYPERLINK("https://klasma.github.io/Logging_2313/tillsyn/A 24832-2023 tillsynsbegäran.docx", "A 24832-2023")</f>
        <v/>
      </c>
      <c r="Y329">
        <f>HYPERLINK("https://klasma.github.io/Logging_2313/tillsynsmail/A 24832-2023 tillsynsbegäran mail.docx", "A 24832-2023")</f>
        <v/>
      </c>
    </row>
    <row r="330" ht="15" customHeight="1">
      <c r="A330" t="inlineStr">
        <is>
          <t>A 25672-2023</t>
        </is>
      </c>
      <c r="B330" s="1" t="n">
        <v>45089</v>
      </c>
      <c r="C330" s="1" t="n">
        <v>45343</v>
      </c>
      <c r="D330" t="inlineStr">
        <is>
          <t>JÄMTLANDS LÄN</t>
        </is>
      </c>
      <c r="E330" t="inlineStr">
        <is>
          <t>STRÖMSUND</t>
        </is>
      </c>
      <c r="F330" t="inlineStr">
        <is>
          <t>SCA</t>
        </is>
      </c>
      <c r="G330" t="n">
        <v>5.5</v>
      </c>
      <c r="H330" t="n">
        <v>0</v>
      </c>
      <c r="I330" t="n">
        <v>0</v>
      </c>
      <c r="J330" t="n">
        <v>1</v>
      </c>
      <c r="K330" t="n">
        <v>0</v>
      </c>
      <c r="L330" t="n">
        <v>0</v>
      </c>
      <c r="M330" t="n">
        <v>0</v>
      </c>
      <c r="N330" t="n">
        <v>0</v>
      </c>
      <c r="O330" t="n">
        <v>1</v>
      </c>
      <c r="P330" t="n">
        <v>0</v>
      </c>
      <c r="Q330" t="n">
        <v>1</v>
      </c>
      <c r="R330" s="2" t="inlineStr">
        <is>
          <t>Kolflarnlav</t>
        </is>
      </c>
      <c r="S330">
        <f>HYPERLINK("https://klasma.github.io/Logging_2313/artfynd/A 25672-2023 artfynd.xlsx", "A 25672-2023")</f>
        <v/>
      </c>
      <c r="T330">
        <f>HYPERLINK("https://klasma.github.io/Logging_2313/kartor/A 25672-2023 karta.png", "A 25672-2023")</f>
        <v/>
      </c>
      <c r="V330">
        <f>HYPERLINK("https://klasma.github.io/Logging_2313/klagomål/A 25672-2023 FSC-klagomål.docx", "A 25672-2023")</f>
        <v/>
      </c>
      <c r="W330">
        <f>HYPERLINK("https://klasma.github.io/Logging_2313/klagomålsmail/A 25672-2023 FSC-klagomål mail.docx", "A 25672-2023")</f>
        <v/>
      </c>
      <c r="X330">
        <f>HYPERLINK("https://klasma.github.io/Logging_2313/tillsyn/A 25672-2023 tillsynsbegäran.docx", "A 25672-2023")</f>
        <v/>
      </c>
      <c r="Y330">
        <f>HYPERLINK("https://klasma.github.io/Logging_2313/tillsynsmail/A 25672-2023 tillsynsbegäran mail.docx", "A 25672-2023")</f>
        <v/>
      </c>
    </row>
    <row r="331" ht="15" customHeight="1">
      <c r="A331" t="inlineStr">
        <is>
          <t>A 26372-2023</t>
        </is>
      </c>
      <c r="B331" s="1" t="n">
        <v>45091</v>
      </c>
      <c r="C331" s="1" t="n">
        <v>45343</v>
      </c>
      <c r="D331" t="inlineStr">
        <is>
          <t>JÄMTLANDS LÄN</t>
        </is>
      </c>
      <c r="E331" t="inlineStr">
        <is>
          <t>STRÖMSUND</t>
        </is>
      </c>
      <c r="F331" t="inlineStr">
        <is>
          <t>SCA</t>
        </is>
      </c>
      <c r="G331" t="n">
        <v>3.1</v>
      </c>
      <c r="H331" t="n">
        <v>0</v>
      </c>
      <c r="I331" t="n">
        <v>0</v>
      </c>
      <c r="J331" t="n">
        <v>1</v>
      </c>
      <c r="K331" t="n">
        <v>0</v>
      </c>
      <c r="L331" t="n">
        <v>0</v>
      </c>
      <c r="M331" t="n">
        <v>0</v>
      </c>
      <c r="N331" t="n">
        <v>0</v>
      </c>
      <c r="O331" t="n">
        <v>1</v>
      </c>
      <c r="P331" t="n">
        <v>0</v>
      </c>
      <c r="Q331" t="n">
        <v>1</v>
      </c>
      <c r="R331" s="2" t="inlineStr">
        <is>
          <t>Harticka</t>
        </is>
      </c>
      <c r="S331">
        <f>HYPERLINK("https://klasma.github.io/Logging_2313/artfynd/A 26372-2023 artfynd.xlsx", "A 26372-2023")</f>
        <v/>
      </c>
      <c r="T331">
        <f>HYPERLINK("https://klasma.github.io/Logging_2313/kartor/A 26372-2023 karta.png", "A 26372-2023")</f>
        <v/>
      </c>
      <c r="V331">
        <f>HYPERLINK("https://klasma.github.io/Logging_2313/klagomål/A 26372-2023 FSC-klagomål.docx", "A 26372-2023")</f>
        <v/>
      </c>
      <c r="W331">
        <f>HYPERLINK("https://klasma.github.io/Logging_2313/klagomålsmail/A 26372-2023 FSC-klagomål mail.docx", "A 26372-2023")</f>
        <v/>
      </c>
      <c r="X331">
        <f>HYPERLINK("https://klasma.github.io/Logging_2313/tillsyn/A 26372-2023 tillsynsbegäran.docx", "A 26372-2023")</f>
        <v/>
      </c>
      <c r="Y331">
        <f>HYPERLINK("https://klasma.github.io/Logging_2313/tillsynsmail/A 26372-2023 tillsynsbegäran mail.docx", "A 26372-2023")</f>
        <v/>
      </c>
    </row>
    <row r="332" ht="15" customHeight="1">
      <c r="A332" t="inlineStr">
        <is>
          <t>A 29604-2023</t>
        </is>
      </c>
      <c r="B332" s="1" t="n">
        <v>45106</v>
      </c>
      <c r="C332" s="1" t="n">
        <v>45343</v>
      </c>
      <c r="D332" t="inlineStr">
        <is>
          <t>JÄMTLANDS LÄN</t>
        </is>
      </c>
      <c r="E332" t="inlineStr">
        <is>
          <t>STRÖMSUND</t>
        </is>
      </c>
      <c r="F332" t="inlineStr">
        <is>
          <t>SCA</t>
        </is>
      </c>
      <c r="G332" t="n">
        <v>1.9</v>
      </c>
      <c r="H332" t="n">
        <v>0</v>
      </c>
      <c r="I332" t="n">
        <v>0</v>
      </c>
      <c r="J332" t="n">
        <v>1</v>
      </c>
      <c r="K332" t="n">
        <v>0</v>
      </c>
      <c r="L332" t="n">
        <v>0</v>
      </c>
      <c r="M332" t="n">
        <v>0</v>
      </c>
      <c r="N332" t="n">
        <v>0</v>
      </c>
      <c r="O332" t="n">
        <v>1</v>
      </c>
      <c r="P332" t="n">
        <v>0</v>
      </c>
      <c r="Q332" t="n">
        <v>1</v>
      </c>
      <c r="R332" s="2" t="inlineStr">
        <is>
          <t>Rosenticka</t>
        </is>
      </c>
      <c r="S332">
        <f>HYPERLINK("https://klasma.github.io/Logging_2313/artfynd/A 29604-2023 artfynd.xlsx", "A 29604-2023")</f>
        <v/>
      </c>
      <c r="T332">
        <f>HYPERLINK("https://klasma.github.io/Logging_2313/kartor/A 29604-2023 karta.png", "A 29604-2023")</f>
        <v/>
      </c>
      <c r="V332">
        <f>HYPERLINK("https://klasma.github.io/Logging_2313/klagomål/A 29604-2023 FSC-klagomål.docx", "A 29604-2023")</f>
        <v/>
      </c>
      <c r="W332">
        <f>HYPERLINK("https://klasma.github.io/Logging_2313/klagomålsmail/A 29604-2023 FSC-klagomål mail.docx", "A 29604-2023")</f>
        <v/>
      </c>
      <c r="X332">
        <f>HYPERLINK("https://klasma.github.io/Logging_2313/tillsyn/A 29604-2023 tillsynsbegäran.docx", "A 29604-2023")</f>
        <v/>
      </c>
      <c r="Y332">
        <f>HYPERLINK("https://klasma.github.io/Logging_2313/tillsynsmail/A 29604-2023 tillsynsbegäran mail.docx", "A 29604-2023")</f>
        <v/>
      </c>
    </row>
    <row r="333" ht="15" customHeight="1">
      <c r="A333" t="inlineStr">
        <is>
          <t>A 32551-2023</t>
        </is>
      </c>
      <c r="B333" s="1" t="n">
        <v>45111</v>
      </c>
      <c r="C333" s="1" t="n">
        <v>45343</v>
      </c>
      <c r="D333" t="inlineStr">
        <is>
          <t>JÄMTLANDS LÄN</t>
        </is>
      </c>
      <c r="E333" t="inlineStr">
        <is>
          <t>STRÖMSUND</t>
        </is>
      </c>
      <c r="F333" t="inlineStr">
        <is>
          <t>Kommuner</t>
        </is>
      </c>
      <c r="G333" t="n">
        <v>5.3</v>
      </c>
      <c r="H333" t="n">
        <v>0</v>
      </c>
      <c r="I333" t="n">
        <v>1</v>
      </c>
      <c r="J333" t="n">
        <v>0</v>
      </c>
      <c r="K333" t="n">
        <v>0</v>
      </c>
      <c r="L333" t="n">
        <v>0</v>
      </c>
      <c r="M333" t="n">
        <v>0</v>
      </c>
      <c r="N333" t="n">
        <v>0</v>
      </c>
      <c r="O333" t="n">
        <v>0</v>
      </c>
      <c r="P333" t="n">
        <v>0</v>
      </c>
      <c r="Q333" t="n">
        <v>1</v>
      </c>
      <c r="R333" s="2" t="inlineStr">
        <is>
          <t>Skinnlav</t>
        </is>
      </c>
      <c r="S333">
        <f>HYPERLINK("https://klasma.github.io/Logging_2313/artfynd/A 32551-2023 artfynd.xlsx", "A 32551-2023")</f>
        <v/>
      </c>
      <c r="T333">
        <f>HYPERLINK("https://klasma.github.io/Logging_2313/kartor/A 32551-2023 karta.png", "A 32551-2023")</f>
        <v/>
      </c>
      <c r="V333">
        <f>HYPERLINK("https://klasma.github.io/Logging_2313/klagomål/A 32551-2023 FSC-klagomål.docx", "A 32551-2023")</f>
        <v/>
      </c>
      <c r="W333">
        <f>HYPERLINK("https://klasma.github.io/Logging_2313/klagomålsmail/A 32551-2023 FSC-klagomål mail.docx", "A 32551-2023")</f>
        <v/>
      </c>
      <c r="X333">
        <f>HYPERLINK("https://klasma.github.io/Logging_2313/tillsyn/A 32551-2023 tillsynsbegäran.docx", "A 32551-2023")</f>
        <v/>
      </c>
      <c r="Y333">
        <f>HYPERLINK("https://klasma.github.io/Logging_2313/tillsynsmail/A 32551-2023 tillsynsbegäran mail.docx", "A 32551-2023")</f>
        <v/>
      </c>
    </row>
    <row r="334" ht="15" customHeight="1">
      <c r="A334" t="inlineStr">
        <is>
          <t>A 30821-2023</t>
        </is>
      </c>
      <c r="B334" s="1" t="n">
        <v>45112</v>
      </c>
      <c r="C334" s="1" t="n">
        <v>45343</v>
      </c>
      <c r="D334" t="inlineStr">
        <is>
          <t>JÄMTLANDS LÄN</t>
        </is>
      </c>
      <c r="E334" t="inlineStr">
        <is>
          <t>STRÖMSUND</t>
        </is>
      </c>
      <c r="F334" t="inlineStr">
        <is>
          <t>SCA</t>
        </is>
      </c>
      <c r="G334" t="n">
        <v>5</v>
      </c>
      <c r="H334" t="n">
        <v>0</v>
      </c>
      <c r="I334" t="n">
        <v>0</v>
      </c>
      <c r="J334" t="n">
        <v>1</v>
      </c>
      <c r="K334" t="n">
        <v>0</v>
      </c>
      <c r="L334" t="n">
        <v>0</v>
      </c>
      <c r="M334" t="n">
        <v>0</v>
      </c>
      <c r="N334" t="n">
        <v>0</v>
      </c>
      <c r="O334" t="n">
        <v>1</v>
      </c>
      <c r="P334" t="n">
        <v>0</v>
      </c>
      <c r="Q334" t="n">
        <v>1</v>
      </c>
      <c r="R334" s="2" t="inlineStr">
        <is>
          <t>Garnlav</t>
        </is>
      </c>
      <c r="S334">
        <f>HYPERLINK("https://klasma.github.io/Logging_2313/artfynd/A 30821-2023 artfynd.xlsx", "A 30821-2023")</f>
        <v/>
      </c>
      <c r="T334">
        <f>HYPERLINK("https://klasma.github.io/Logging_2313/kartor/A 30821-2023 karta.png", "A 30821-2023")</f>
        <v/>
      </c>
      <c r="V334">
        <f>HYPERLINK("https://klasma.github.io/Logging_2313/klagomål/A 30821-2023 FSC-klagomål.docx", "A 30821-2023")</f>
        <v/>
      </c>
      <c r="W334">
        <f>HYPERLINK("https://klasma.github.io/Logging_2313/klagomålsmail/A 30821-2023 FSC-klagomål mail.docx", "A 30821-2023")</f>
        <v/>
      </c>
      <c r="X334">
        <f>HYPERLINK("https://klasma.github.io/Logging_2313/tillsyn/A 30821-2023 tillsynsbegäran.docx", "A 30821-2023")</f>
        <v/>
      </c>
      <c r="Y334">
        <f>HYPERLINK("https://klasma.github.io/Logging_2313/tillsynsmail/A 30821-2023 tillsynsbegäran mail.docx", "A 30821-2023")</f>
        <v/>
      </c>
    </row>
    <row r="335" ht="15" customHeight="1">
      <c r="A335" t="inlineStr">
        <is>
          <t>A 30848-2023</t>
        </is>
      </c>
      <c r="B335" s="1" t="n">
        <v>45112</v>
      </c>
      <c r="C335" s="1" t="n">
        <v>45343</v>
      </c>
      <c r="D335" t="inlineStr">
        <is>
          <t>JÄMTLANDS LÄN</t>
        </is>
      </c>
      <c r="E335" t="inlineStr">
        <is>
          <t>STRÖMSUND</t>
        </is>
      </c>
      <c r="F335" t="inlineStr">
        <is>
          <t>SCA</t>
        </is>
      </c>
      <c r="G335" t="n">
        <v>12.3</v>
      </c>
      <c r="H335" t="n">
        <v>0</v>
      </c>
      <c r="I335" t="n">
        <v>0</v>
      </c>
      <c r="J335" t="n">
        <v>1</v>
      </c>
      <c r="K335" t="n">
        <v>0</v>
      </c>
      <c r="L335" t="n">
        <v>0</v>
      </c>
      <c r="M335" t="n">
        <v>0</v>
      </c>
      <c r="N335" t="n">
        <v>0</v>
      </c>
      <c r="O335" t="n">
        <v>1</v>
      </c>
      <c r="P335" t="n">
        <v>0</v>
      </c>
      <c r="Q335" t="n">
        <v>1</v>
      </c>
      <c r="R335" s="2" t="inlineStr">
        <is>
          <t>Skrovellav</t>
        </is>
      </c>
      <c r="S335">
        <f>HYPERLINK("https://klasma.github.io/Logging_2313/artfynd/A 30848-2023 artfynd.xlsx", "A 30848-2023")</f>
        <v/>
      </c>
      <c r="T335">
        <f>HYPERLINK("https://klasma.github.io/Logging_2313/kartor/A 30848-2023 karta.png", "A 30848-2023")</f>
        <v/>
      </c>
      <c r="V335">
        <f>HYPERLINK("https://klasma.github.io/Logging_2313/klagomål/A 30848-2023 FSC-klagomål.docx", "A 30848-2023")</f>
        <v/>
      </c>
      <c r="W335">
        <f>HYPERLINK("https://klasma.github.io/Logging_2313/klagomålsmail/A 30848-2023 FSC-klagomål mail.docx", "A 30848-2023")</f>
        <v/>
      </c>
      <c r="X335">
        <f>HYPERLINK("https://klasma.github.io/Logging_2313/tillsyn/A 30848-2023 tillsynsbegäran.docx", "A 30848-2023")</f>
        <v/>
      </c>
      <c r="Y335">
        <f>HYPERLINK("https://klasma.github.io/Logging_2313/tillsynsmail/A 30848-2023 tillsynsbegäran mail.docx", "A 30848-2023")</f>
        <v/>
      </c>
    </row>
    <row r="336" ht="15" customHeight="1">
      <c r="A336" t="inlineStr">
        <is>
          <t>A 34006-2023</t>
        </is>
      </c>
      <c r="B336" s="1" t="n">
        <v>45134</v>
      </c>
      <c r="C336" s="1" t="n">
        <v>45343</v>
      </c>
      <c r="D336" t="inlineStr">
        <is>
          <t>JÄMTLANDS LÄN</t>
        </is>
      </c>
      <c r="E336" t="inlineStr">
        <is>
          <t>STRÖMSUND</t>
        </is>
      </c>
      <c r="F336" t="inlineStr">
        <is>
          <t>SCA</t>
        </is>
      </c>
      <c r="G336" t="n">
        <v>4</v>
      </c>
      <c r="H336" t="n">
        <v>1</v>
      </c>
      <c r="I336" t="n">
        <v>0</v>
      </c>
      <c r="J336" t="n">
        <v>1</v>
      </c>
      <c r="K336" t="n">
        <v>0</v>
      </c>
      <c r="L336" t="n">
        <v>0</v>
      </c>
      <c r="M336" t="n">
        <v>0</v>
      </c>
      <c r="N336" t="n">
        <v>0</v>
      </c>
      <c r="O336" t="n">
        <v>1</v>
      </c>
      <c r="P336" t="n">
        <v>0</v>
      </c>
      <c r="Q336" t="n">
        <v>1</v>
      </c>
      <c r="R336" s="2" t="inlineStr">
        <is>
          <t>Talltita</t>
        </is>
      </c>
      <c r="S336">
        <f>HYPERLINK("https://klasma.github.io/Logging_2313/artfynd/A 34006-2023 artfynd.xlsx", "A 34006-2023")</f>
        <v/>
      </c>
      <c r="T336">
        <f>HYPERLINK("https://klasma.github.io/Logging_2313/kartor/A 34006-2023 karta.png", "A 34006-2023")</f>
        <v/>
      </c>
      <c r="V336">
        <f>HYPERLINK("https://klasma.github.io/Logging_2313/klagomål/A 34006-2023 FSC-klagomål.docx", "A 34006-2023")</f>
        <v/>
      </c>
      <c r="W336">
        <f>HYPERLINK("https://klasma.github.io/Logging_2313/klagomålsmail/A 34006-2023 FSC-klagomål mail.docx", "A 34006-2023")</f>
        <v/>
      </c>
      <c r="X336">
        <f>HYPERLINK("https://klasma.github.io/Logging_2313/tillsyn/A 34006-2023 tillsynsbegäran.docx", "A 34006-2023")</f>
        <v/>
      </c>
      <c r="Y336">
        <f>HYPERLINK("https://klasma.github.io/Logging_2313/tillsynsmail/A 34006-2023 tillsynsbegäran mail.docx", "A 34006-2023")</f>
        <v/>
      </c>
      <c r="Z336">
        <f>HYPERLINK("https://klasma.github.io/Logging_2313/fåglar/A 34006-2023 prioriterade fågelarter.docx", "A 34006-2023")</f>
        <v/>
      </c>
    </row>
    <row r="337" ht="15" customHeight="1">
      <c r="A337" t="inlineStr">
        <is>
          <t>A 34775-2023</t>
        </is>
      </c>
      <c r="B337" s="1" t="n">
        <v>45140</v>
      </c>
      <c r="C337" s="1" t="n">
        <v>45343</v>
      </c>
      <c r="D337" t="inlineStr">
        <is>
          <t>JÄMTLANDS LÄN</t>
        </is>
      </c>
      <c r="E337" t="inlineStr">
        <is>
          <t>STRÖMSUND</t>
        </is>
      </c>
      <c r="G337" t="n">
        <v>9.199999999999999</v>
      </c>
      <c r="H337" t="n">
        <v>1</v>
      </c>
      <c r="I337" t="n">
        <v>0</v>
      </c>
      <c r="J337" t="n">
        <v>1</v>
      </c>
      <c r="K337" t="n">
        <v>0</v>
      </c>
      <c r="L337" t="n">
        <v>0</v>
      </c>
      <c r="M337" t="n">
        <v>0</v>
      </c>
      <c r="N337" t="n">
        <v>0</v>
      </c>
      <c r="O337" t="n">
        <v>1</v>
      </c>
      <c r="P337" t="n">
        <v>0</v>
      </c>
      <c r="Q337" t="n">
        <v>1</v>
      </c>
      <c r="R337" s="2" t="inlineStr">
        <is>
          <t>Skogsfru</t>
        </is>
      </c>
      <c r="S337">
        <f>HYPERLINK("https://klasma.github.io/Logging_2313/artfynd/A 34775-2023 artfynd.xlsx", "A 34775-2023")</f>
        <v/>
      </c>
      <c r="T337">
        <f>HYPERLINK("https://klasma.github.io/Logging_2313/kartor/A 34775-2023 karta.png", "A 34775-2023")</f>
        <v/>
      </c>
      <c r="V337">
        <f>HYPERLINK("https://klasma.github.io/Logging_2313/klagomål/A 34775-2023 FSC-klagomål.docx", "A 34775-2023")</f>
        <v/>
      </c>
      <c r="W337">
        <f>HYPERLINK("https://klasma.github.io/Logging_2313/klagomålsmail/A 34775-2023 FSC-klagomål mail.docx", "A 34775-2023")</f>
        <v/>
      </c>
      <c r="X337">
        <f>HYPERLINK("https://klasma.github.io/Logging_2313/tillsyn/A 34775-2023 tillsynsbegäran.docx", "A 34775-2023")</f>
        <v/>
      </c>
      <c r="Y337">
        <f>HYPERLINK("https://klasma.github.io/Logging_2313/tillsynsmail/A 34775-2023 tillsynsbegäran mail.docx", "A 34775-2023")</f>
        <v/>
      </c>
    </row>
    <row r="338" ht="15" customHeight="1">
      <c r="A338" t="inlineStr">
        <is>
          <t>A 36754-2023</t>
        </is>
      </c>
      <c r="B338" s="1" t="n">
        <v>45153</v>
      </c>
      <c r="C338" s="1" t="n">
        <v>45343</v>
      </c>
      <c r="D338" t="inlineStr">
        <is>
          <t>JÄMTLANDS LÄN</t>
        </is>
      </c>
      <c r="E338" t="inlineStr">
        <is>
          <t>STRÖMSUND</t>
        </is>
      </c>
      <c r="F338" t="inlineStr">
        <is>
          <t>SCA</t>
        </is>
      </c>
      <c r="G338" t="n">
        <v>2.7</v>
      </c>
      <c r="H338" t="n">
        <v>1</v>
      </c>
      <c r="I338" t="n">
        <v>1</v>
      </c>
      <c r="J338" t="n">
        <v>0</v>
      </c>
      <c r="K338" t="n">
        <v>0</v>
      </c>
      <c r="L338" t="n">
        <v>0</v>
      </c>
      <c r="M338" t="n">
        <v>0</v>
      </c>
      <c r="N338" t="n">
        <v>0</v>
      </c>
      <c r="O338" t="n">
        <v>0</v>
      </c>
      <c r="P338" t="n">
        <v>0</v>
      </c>
      <c r="Q338" t="n">
        <v>1</v>
      </c>
      <c r="R338" s="2" t="inlineStr">
        <is>
          <t>Lappranunkel</t>
        </is>
      </c>
      <c r="S338">
        <f>HYPERLINK("https://klasma.github.io/Logging_2313/artfynd/A 36754-2023 artfynd.xlsx", "A 36754-2023")</f>
        <v/>
      </c>
      <c r="T338">
        <f>HYPERLINK("https://klasma.github.io/Logging_2313/kartor/A 36754-2023 karta.png", "A 36754-2023")</f>
        <v/>
      </c>
      <c r="V338">
        <f>HYPERLINK("https://klasma.github.io/Logging_2313/klagomål/A 36754-2023 FSC-klagomål.docx", "A 36754-2023")</f>
        <v/>
      </c>
      <c r="W338">
        <f>HYPERLINK("https://klasma.github.io/Logging_2313/klagomålsmail/A 36754-2023 FSC-klagomål mail.docx", "A 36754-2023")</f>
        <v/>
      </c>
      <c r="X338">
        <f>HYPERLINK("https://klasma.github.io/Logging_2313/tillsyn/A 36754-2023 tillsynsbegäran.docx", "A 36754-2023")</f>
        <v/>
      </c>
      <c r="Y338">
        <f>HYPERLINK("https://klasma.github.io/Logging_2313/tillsynsmail/A 36754-2023 tillsynsbegäran mail.docx", "A 36754-2023")</f>
        <v/>
      </c>
    </row>
    <row r="339" ht="15" customHeight="1">
      <c r="A339" t="inlineStr">
        <is>
          <t>A 39075-2023</t>
        </is>
      </c>
      <c r="B339" s="1" t="n">
        <v>45163</v>
      </c>
      <c r="C339" s="1" t="n">
        <v>45343</v>
      </c>
      <c r="D339" t="inlineStr">
        <is>
          <t>JÄMTLANDS LÄN</t>
        </is>
      </c>
      <c r="E339" t="inlineStr">
        <is>
          <t>STRÖMSUND</t>
        </is>
      </c>
      <c r="F339" t="inlineStr">
        <is>
          <t>SCA</t>
        </is>
      </c>
      <c r="G339" t="n">
        <v>2.1</v>
      </c>
      <c r="H339" t="n">
        <v>0</v>
      </c>
      <c r="I339" t="n">
        <v>0</v>
      </c>
      <c r="J339" t="n">
        <v>1</v>
      </c>
      <c r="K339" t="n">
        <v>0</v>
      </c>
      <c r="L339" t="n">
        <v>0</v>
      </c>
      <c r="M339" t="n">
        <v>0</v>
      </c>
      <c r="N339" t="n">
        <v>0</v>
      </c>
      <c r="O339" t="n">
        <v>1</v>
      </c>
      <c r="P339" t="n">
        <v>0</v>
      </c>
      <c r="Q339" t="n">
        <v>1</v>
      </c>
      <c r="R339" s="2" t="inlineStr">
        <is>
          <t>Brunpudrad nållav</t>
        </is>
      </c>
      <c r="S339">
        <f>HYPERLINK("https://klasma.github.io/Logging_2313/artfynd/A 39075-2023 artfynd.xlsx", "A 39075-2023")</f>
        <v/>
      </c>
      <c r="T339">
        <f>HYPERLINK("https://klasma.github.io/Logging_2313/kartor/A 39075-2023 karta.png", "A 39075-2023")</f>
        <v/>
      </c>
      <c r="V339">
        <f>HYPERLINK("https://klasma.github.io/Logging_2313/klagomål/A 39075-2023 FSC-klagomål.docx", "A 39075-2023")</f>
        <v/>
      </c>
      <c r="W339">
        <f>HYPERLINK("https://klasma.github.io/Logging_2313/klagomålsmail/A 39075-2023 FSC-klagomål mail.docx", "A 39075-2023")</f>
        <v/>
      </c>
      <c r="X339">
        <f>HYPERLINK("https://klasma.github.io/Logging_2313/tillsyn/A 39075-2023 tillsynsbegäran.docx", "A 39075-2023")</f>
        <v/>
      </c>
      <c r="Y339">
        <f>HYPERLINK("https://klasma.github.io/Logging_2313/tillsynsmail/A 39075-2023 tillsynsbegäran mail.docx", "A 39075-2023")</f>
        <v/>
      </c>
    </row>
    <row r="340" ht="15" customHeight="1">
      <c r="A340" t="inlineStr">
        <is>
          <t>A 39511-2023</t>
        </is>
      </c>
      <c r="B340" s="1" t="n">
        <v>45166</v>
      </c>
      <c r="C340" s="1" t="n">
        <v>45343</v>
      </c>
      <c r="D340" t="inlineStr">
        <is>
          <t>JÄMTLANDS LÄN</t>
        </is>
      </c>
      <c r="E340" t="inlineStr">
        <is>
          <t>STRÖMSUND</t>
        </is>
      </c>
      <c r="F340" t="inlineStr">
        <is>
          <t>SCA</t>
        </is>
      </c>
      <c r="G340" t="n">
        <v>3.7</v>
      </c>
      <c r="H340" t="n">
        <v>0</v>
      </c>
      <c r="I340" t="n">
        <v>0</v>
      </c>
      <c r="J340" t="n">
        <v>1</v>
      </c>
      <c r="K340" t="n">
        <v>0</v>
      </c>
      <c r="L340" t="n">
        <v>0</v>
      </c>
      <c r="M340" t="n">
        <v>0</v>
      </c>
      <c r="N340" t="n">
        <v>0</v>
      </c>
      <c r="O340" t="n">
        <v>1</v>
      </c>
      <c r="P340" t="n">
        <v>0</v>
      </c>
      <c r="Q340" t="n">
        <v>1</v>
      </c>
      <c r="R340" s="2" t="inlineStr">
        <is>
          <t>Rosenticka</t>
        </is>
      </c>
      <c r="S340">
        <f>HYPERLINK("https://klasma.github.io/Logging_2313/artfynd/A 39511-2023 artfynd.xlsx", "A 39511-2023")</f>
        <v/>
      </c>
      <c r="T340">
        <f>HYPERLINK("https://klasma.github.io/Logging_2313/kartor/A 39511-2023 karta.png", "A 39511-2023")</f>
        <v/>
      </c>
      <c r="V340">
        <f>HYPERLINK("https://klasma.github.io/Logging_2313/klagomål/A 39511-2023 FSC-klagomål.docx", "A 39511-2023")</f>
        <v/>
      </c>
      <c r="W340">
        <f>HYPERLINK("https://klasma.github.io/Logging_2313/klagomålsmail/A 39511-2023 FSC-klagomål mail.docx", "A 39511-2023")</f>
        <v/>
      </c>
      <c r="X340">
        <f>HYPERLINK("https://klasma.github.io/Logging_2313/tillsyn/A 39511-2023 tillsynsbegäran.docx", "A 39511-2023")</f>
        <v/>
      </c>
      <c r="Y340">
        <f>HYPERLINK("https://klasma.github.io/Logging_2313/tillsynsmail/A 39511-2023 tillsynsbegäran mail.docx", "A 39511-2023")</f>
        <v/>
      </c>
    </row>
    <row r="341" ht="15" customHeight="1">
      <c r="A341" t="inlineStr">
        <is>
          <t>A 43105-2023</t>
        </is>
      </c>
      <c r="B341" s="1" t="n">
        <v>45182</v>
      </c>
      <c r="C341" s="1" t="n">
        <v>45343</v>
      </c>
      <c r="D341" t="inlineStr">
        <is>
          <t>JÄMTLANDS LÄN</t>
        </is>
      </c>
      <c r="E341" t="inlineStr">
        <is>
          <t>STRÖMSUND</t>
        </is>
      </c>
      <c r="F341" t="inlineStr">
        <is>
          <t>SCA</t>
        </is>
      </c>
      <c r="G341" t="n">
        <v>6.3</v>
      </c>
      <c r="H341" t="n">
        <v>0</v>
      </c>
      <c r="I341" t="n">
        <v>0</v>
      </c>
      <c r="J341" t="n">
        <v>1</v>
      </c>
      <c r="K341" t="n">
        <v>0</v>
      </c>
      <c r="L341" t="n">
        <v>0</v>
      </c>
      <c r="M341" t="n">
        <v>0</v>
      </c>
      <c r="N341" t="n">
        <v>0</v>
      </c>
      <c r="O341" t="n">
        <v>1</v>
      </c>
      <c r="P341" t="n">
        <v>0</v>
      </c>
      <c r="Q341" t="n">
        <v>1</v>
      </c>
      <c r="R341" s="2" t="inlineStr">
        <is>
          <t>Gammelgransskål</t>
        </is>
      </c>
      <c r="S341">
        <f>HYPERLINK("https://klasma.github.io/Logging_2313/artfynd/A 43105-2023 artfynd.xlsx", "A 43105-2023")</f>
        <v/>
      </c>
      <c r="T341">
        <f>HYPERLINK("https://klasma.github.io/Logging_2313/kartor/A 43105-2023 karta.png", "A 43105-2023")</f>
        <v/>
      </c>
      <c r="V341">
        <f>HYPERLINK("https://klasma.github.io/Logging_2313/klagomål/A 43105-2023 FSC-klagomål.docx", "A 43105-2023")</f>
        <v/>
      </c>
      <c r="W341">
        <f>HYPERLINK("https://klasma.github.io/Logging_2313/klagomålsmail/A 43105-2023 FSC-klagomål mail.docx", "A 43105-2023")</f>
        <v/>
      </c>
      <c r="X341">
        <f>HYPERLINK("https://klasma.github.io/Logging_2313/tillsyn/A 43105-2023 tillsynsbegäran.docx", "A 43105-2023")</f>
        <v/>
      </c>
      <c r="Y341">
        <f>HYPERLINK("https://klasma.github.io/Logging_2313/tillsynsmail/A 43105-2023 tillsynsbegäran mail.docx", "A 43105-2023")</f>
        <v/>
      </c>
    </row>
    <row r="342" ht="15" customHeight="1">
      <c r="A342" t="inlineStr">
        <is>
          <t>A 43406-2023</t>
        </is>
      </c>
      <c r="B342" s="1" t="n">
        <v>45183</v>
      </c>
      <c r="C342" s="1" t="n">
        <v>45343</v>
      </c>
      <c r="D342" t="inlineStr">
        <is>
          <t>JÄMTLANDS LÄN</t>
        </is>
      </c>
      <c r="E342" t="inlineStr">
        <is>
          <t>STRÖMSUND</t>
        </is>
      </c>
      <c r="F342" t="inlineStr">
        <is>
          <t>SCA</t>
        </is>
      </c>
      <c r="G342" t="n">
        <v>3.6</v>
      </c>
      <c r="H342" t="n">
        <v>0</v>
      </c>
      <c r="I342" t="n">
        <v>0</v>
      </c>
      <c r="J342" t="n">
        <v>1</v>
      </c>
      <c r="K342" t="n">
        <v>0</v>
      </c>
      <c r="L342" t="n">
        <v>0</v>
      </c>
      <c r="M342" t="n">
        <v>0</v>
      </c>
      <c r="N342" t="n">
        <v>0</v>
      </c>
      <c r="O342" t="n">
        <v>1</v>
      </c>
      <c r="P342" t="n">
        <v>0</v>
      </c>
      <c r="Q342" t="n">
        <v>1</v>
      </c>
      <c r="R342" s="2" t="inlineStr">
        <is>
          <t>Lunglav</t>
        </is>
      </c>
      <c r="S342">
        <f>HYPERLINK("https://klasma.github.io/Logging_2313/artfynd/A 43406-2023 artfynd.xlsx", "A 43406-2023")</f>
        <v/>
      </c>
      <c r="T342">
        <f>HYPERLINK("https://klasma.github.io/Logging_2313/kartor/A 43406-2023 karta.png", "A 43406-2023")</f>
        <v/>
      </c>
      <c r="V342">
        <f>HYPERLINK("https://klasma.github.io/Logging_2313/klagomål/A 43406-2023 FSC-klagomål.docx", "A 43406-2023")</f>
        <v/>
      </c>
      <c r="W342">
        <f>HYPERLINK("https://klasma.github.io/Logging_2313/klagomålsmail/A 43406-2023 FSC-klagomål mail.docx", "A 43406-2023")</f>
        <v/>
      </c>
      <c r="X342">
        <f>HYPERLINK("https://klasma.github.io/Logging_2313/tillsyn/A 43406-2023 tillsynsbegäran.docx", "A 43406-2023")</f>
        <v/>
      </c>
      <c r="Y342">
        <f>HYPERLINK("https://klasma.github.io/Logging_2313/tillsynsmail/A 43406-2023 tillsynsbegäran mail.docx", "A 43406-2023")</f>
        <v/>
      </c>
    </row>
    <row r="343" ht="15" customHeight="1">
      <c r="A343" t="inlineStr">
        <is>
          <t>A 44386-2023</t>
        </is>
      </c>
      <c r="B343" s="1" t="n">
        <v>45188</v>
      </c>
      <c r="C343" s="1" t="n">
        <v>45343</v>
      </c>
      <c r="D343" t="inlineStr">
        <is>
          <t>JÄMTLANDS LÄN</t>
        </is>
      </c>
      <c r="E343" t="inlineStr">
        <is>
          <t>STRÖMSUND</t>
        </is>
      </c>
      <c r="F343" t="inlineStr">
        <is>
          <t>SCA</t>
        </is>
      </c>
      <c r="G343" t="n">
        <v>2.5</v>
      </c>
      <c r="H343" t="n">
        <v>0</v>
      </c>
      <c r="I343" t="n">
        <v>0</v>
      </c>
      <c r="J343" t="n">
        <v>1</v>
      </c>
      <c r="K343" t="n">
        <v>0</v>
      </c>
      <c r="L343" t="n">
        <v>0</v>
      </c>
      <c r="M343" t="n">
        <v>0</v>
      </c>
      <c r="N343" t="n">
        <v>0</v>
      </c>
      <c r="O343" t="n">
        <v>1</v>
      </c>
      <c r="P343" t="n">
        <v>0</v>
      </c>
      <c r="Q343" t="n">
        <v>1</v>
      </c>
      <c r="R343" s="2" t="inlineStr">
        <is>
          <t>Stjärntagging</t>
        </is>
      </c>
      <c r="S343">
        <f>HYPERLINK("https://klasma.github.io/Logging_2313/artfynd/A 44386-2023 artfynd.xlsx", "A 44386-2023")</f>
        <v/>
      </c>
      <c r="T343">
        <f>HYPERLINK("https://klasma.github.io/Logging_2313/kartor/A 44386-2023 karta.png", "A 44386-2023")</f>
        <v/>
      </c>
      <c r="V343">
        <f>HYPERLINK("https://klasma.github.io/Logging_2313/klagomål/A 44386-2023 FSC-klagomål.docx", "A 44386-2023")</f>
        <v/>
      </c>
      <c r="W343">
        <f>HYPERLINK("https://klasma.github.io/Logging_2313/klagomålsmail/A 44386-2023 FSC-klagomål mail.docx", "A 44386-2023")</f>
        <v/>
      </c>
      <c r="X343">
        <f>HYPERLINK("https://klasma.github.io/Logging_2313/tillsyn/A 44386-2023 tillsynsbegäran.docx", "A 44386-2023")</f>
        <v/>
      </c>
      <c r="Y343">
        <f>HYPERLINK("https://klasma.github.io/Logging_2313/tillsynsmail/A 44386-2023 tillsynsbegäran mail.docx", "A 44386-2023")</f>
        <v/>
      </c>
    </row>
    <row r="344" ht="15" customHeight="1">
      <c r="A344" t="inlineStr">
        <is>
          <t>A 46766-2023</t>
        </is>
      </c>
      <c r="B344" s="1" t="n">
        <v>45198</v>
      </c>
      <c r="C344" s="1" t="n">
        <v>45343</v>
      </c>
      <c r="D344" t="inlineStr">
        <is>
          <t>JÄMTLANDS LÄN</t>
        </is>
      </c>
      <c r="E344" t="inlineStr">
        <is>
          <t>STRÖMSUND</t>
        </is>
      </c>
      <c r="F344" t="inlineStr">
        <is>
          <t>Sveaskog</t>
        </is>
      </c>
      <c r="G344" t="n">
        <v>7.3</v>
      </c>
      <c r="H344" t="n">
        <v>0</v>
      </c>
      <c r="I344" t="n">
        <v>1</v>
      </c>
      <c r="J344" t="n">
        <v>0</v>
      </c>
      <c r="K344" t="n">
        <v>0</v>
      </c>
      <c r="L344" t="n">
        <v>0</v>
      </c>
      <c r="M344" t="n">
        <v>0</v>
      </c>
      <c r="N344" t="n">
        <v>0</v>
      </c>
      <c r="O344" t="n">
        <v>0</v>
      </c>
      <c r="P344" t="n">
        <v>0</v>
      </c>
      <c r="Q344" t="n">
        <v>1</v>
      </c>
      <c r="R344" s="2" t="inlineStr">
        <is>
          <t>Svavelriska</t>
        </is>
      </c>
      <c r="S344">
        <f>HYPERLINK("https://klasma.github.io/Logging_2313/artfynd/A 46766-2023 artfynd.xlsx", "A 46766-2023")</f>
        <v/>
      </c>
      <c r="T344">
        <f>HYPERLINK("https://klasma.github.io/Logging_2313/kartor/A 46766-2023 karta.png", "A 46766-2023")</f>
        <v/>
      </c>
      <c r="V344">
        <f>HYPERLINK("https://klasma.github.io/Logging_2313/klagomål/A 46766-2023 FSC-klagomål.docx", "A 46766-2023")</f>
        <v/>
      </c>
      <c r="W344">
        <f>HYPERLINK("https://klasma.github.io/Logging_2313/klagomålsmail/A 46766-2023 FSC-klagomål mail.docx", "A 46766-2023")</f>
        <v/>
      </c>
      <c r="X344">
        <f>HYPERLINK("https://klasma.github.io/Logging_2313/tillsyn/A 46766-2023 tillsynsbegäran.docx", "A 46766-2023")</f>
        <v/>
      </c>
      <c r="Y344">
        <f>HYPERLINK("https://klasma.github.io/Logging_2313/tillsynsmail/A 46766-2023 tillsynsbegäran mail.docx", "A 46766-2023")</f>
        <v/>
      </c>
    </row>
    <row r="345" ht="15" customHeight="1">
      <c r="A345" t="inlineStr">
        <is>
          <t>A 46814-2023</t>
        </is>
      </c>
      <c r="B345" s="1" t="n">
        <v>45198</v>
      </c>
      <c r="C345" s="1" t="n">
        <v>45343</v>
      </c>
      <c r="D345" t="inlineStr">
        <is>
          <t>JÄMTLANDS LÄN</t>
        </is>
      </c>
      <c r="E345" t="inlineStr">
        <is>
          <t>STRÖMSUND</t>
        </is>
      </c>
      <c r="F345" t="inlineStr">
        <is>
          <t>SCA</t>
        </is>
      </c>
      <c r="G345" t="n">
        <v>9.5</v>
      </c>
      <c r="H345" t="n">
        <v>0</v>
      </c>
      <c r="I345" t="n">
        <v>0</v>
      </c>
      <c r="J345" t="n">
        <v>0</v>
      </c>
      <c r="K345" t="n">
        <v>0</v>
      </c>
      <c r="L345" t="n">
        <v>0</v>
      </c>
      <c r="M345" t="n">
        <v>0</v>
      </c>
      <c r="N345" t="n">
        <v>0</v>
      </c>
      <c r="O345" t="n">
        <v>1</v>
      </c>
      <c r="P345" t="n">
        <v>0</v>
      </c>
      <c r="Q345" t="n">
        <v>1</v>
      </c>
      <c r="R345" s="2" t="inlineStr">
        <is>
          <t>Liten klubbdyna</t>
        </is>
      </c>
      <c r="S345">
        <f>HYPERLINK("https://klasma.github.io/Logging_2313/artfynd/A 46814-2023 artfynd.xlsx", "A 46814-2023")</f>
        <v/>
      </c>
      <c r="T345">
        <f>HYPERLINK("https://klasma.github.io/Logging_2313/kartor/A 46814-2023 karta.png", "A 46814-2023")</f>
        <v/>
      </c>
      <c r="V345">
        <f>HYPERLINK("https://klasma.github.io/Logging_2313/klagomål/A 46814-2023 FSC-klagomål.docx", "A 46814-2023")</f>
        <v/>
      </c>
      <c r="W345">
        <f>HYPERLINK("https://klasma.github.io/Logging_2313/klagomålsmail/A 46814-2023 FSC-klagomål mail.docx", "A 46814-2023")</f>
        <v/>
      </c>
      <c r="X345">
        <f>HYPERLINK("https://klasma.github.io/Logging_2313/tillsyn/A 46814-2023 tillsynsbegäran.docx", "A 46814-2023")</f>
        <v/>
      </c>
      <c r="Y345">
        <f>HYPERLINK("https://klasma.github.io/Logging_2313/tillsynsmail/A 46814-2023 tillsynsbegäran mail.docx", "A 46814-2023")</f>
        <v/>
      </c>
    </row>
    <row r="346" ht="15" customHeight="1">
      <c r="A346" t="inlineStr">
        <is>
          <t>A 51024-2023</t>
        </is>
      </c>
      <c r="B346" s="1" t="n">
        <v>45218</v>
      </c>
      <c r="C346" s="1" t="n">
        <v>45343</v>
      </c>
      <c r="D346" t="inlineStr">
        <is>
          <t>JÄMTLANDS LÄN</t>
        </is>
      </c>
      <c r="E346" t="inlineStr">
        <is>
          <t>STRÖMSUND</t>
        </is>
      </c>
      <c r="G346" t="n">
        <v>5.6</v>
      </c>
      <c r="H346" t="n">
        <v>1</v>
      </c>
      <c r="I346" t="n">
        <v>0</v>
      </c>
      <c r="J346" t="n">
        <v>1</v>
      </c>
      <c r="K346" t="n">
        <v>0</v>
      </c>
      <c r="L346" t="n">
        <v>0</v>
      </c>
      <c r="M346" t="n">
        <v>0</v>
      </c>
      <c r="N346" t="n">
        <v>0</v>
      </c>
      <c r="O346" t="n">
        <v>1</v>
      </c>
      <c r="P346" t="n">
        <v>0</v>
      </c>
      <c r="Q346" t="n">
        <v>1</v>
      </c>
      <c r="R346" s="2" t="inlineStr">
        <is>
          <t>Tretåig hackspett</t>
        </is>
      </c>
      <c r="S346">
        <f>HYPERLINK("https://klasma.github.io/Logging_2313/artfynd/A 51024-2023 artfynd.xlsx", "A 51024-2023")</f>
        <v/>
      </c>
      <c r="T346">
        <f>HYPERLINK("https://klasma.github.io/Logging_2313/kartor/A 51024-2023 karta.png", "A 51024-2023")</f>
        <v/>
      </c>
      <c r="V346">
        <f>HYPERLINK("https://klasma.github.io/Logging_2313/klagomål/A 51024-2023 FSC-klagomål.docx", "A 51024-2023")</f>
        <v/>
      </c>
      <c r="W346">
        <f>HYPERLINK("https://klasma.github.io/Logging_2313/klagomålsmail/A 51024-2023 FSC-klagomål mail.docx", "A 51024-2023")</f>
        <v/>
      </c>
      <c r="X346">
        <f>HYPERLINK("https://klasma.github.io/Logging_2313/tillsyn/A 51024-2023 tillsynsbegäran.docx", "A 51024-2023")</f>
        <v/>
      </c>
      <c r="Y346">
        <f>HYPERLINK("https://klasma.github.io/Logging_2313/tillsynsmail/A 51024-2023 tillsynsbegäran mail.docx", "A 51024-2023")</f>
        <v/>
      </c>
      <c r="Z346">
        <f>HYPERLINK("https://klasma.github.io/Logging_2313/fåglar/A 51024-2023 prioriterade fågelarter.docx", "A 51024-2023")</f>
        <v/>
      </c>
    </row>
    <row r="347" ht="15" customHeight="1">
      <c r="A347" t="inlineStr">
        <is>
          <t>A 53447-2023</t>
        </is>
      </c>
      <c r="B347" s="1" t="n">
        <v>45229</v>
      </c>
      <c r="C347" s="1" t="n">
        <v>45343</v>
      </c>
      <c r="D347" t="inlineStr">
        <is>
          <t>JÄMTLANDS LÄN</t>
        </is>
      </c>
      <c r="E347" t="inlineStr">
        <is>
          <t>STRÖMSUND</t>
        </is>
      </c>
      <c r="F347" t="inlineStr">
        <is>
          <t>SCA</t>
        </is>
      </c>
      <c r="G347" t="n">
        <v>3.4</v>
      </c>
      <c r="H347" t="n">
        <v>0</v>
      </c>
      <c r="I347" t="n">
        <v>0</v>
      </c>
      <c r="J347" t="n">
        <v>1</v>
      </c>
      <c r="K347" t="n">
        <v>0</v>
      </c>
      <c r="L347" t="n">
        <v>0</v>
      </c>
      <c r="M347" t="n">
        <v>0</v>
      </c>
      <c r="N347" t="n">
        <v>0</v>
      </c>
      <c r="O347" t="n">
        <v>1</v>
      </c>
      <c r="P347" t="n">
        <v>0</v>
      </c>
      <c r="Q347" t="n">
        <v>1</v>
      </c>
      <c r="R347" s="2" t="inlineStr">
        <is>
          <t>Harticka</t>
        </is>
      </c>
      <c r="S347">
        <f>HYPERLINK("https://klasma.github.io/Logging_2313/artfynd/A 53447-2023 artfynd.xlsx", "A 53447-2023")</f>
        <v/>
      </c>
      <c r="T347">
        <f>HYPERLINK("https://klasma.github.io/Logging_2313/kartor/A 53447-2023 karta.png", "A 53447-2023")</f>
        <v/>
      </c>
      <c r="V347">
        <f>HYPERLINK("https://klasma.github.io/Logging_2313/klagomål/A 53447-2023 FSC-klagomål.docx", "A 53447-2023")</f>
        <v/>
      </c>
      <c r="W347">
        <f>HYPERLINK("https://klasma.github.io/Logging_2313/klagomålsmail/A 53447-2023 FSC-klagomål mail.docx", "A 53447-2023")</f>
        <v/>
      </c>
      <c r="X347">
        <f>HYPERLINK("https://klasma.github.io/Logging_2313/tillsyn/A 53447-2023 tillsynsbegäran.docx", "A 53447-2023")</f>
        <v/>
      </c>
      <c r="Y347">
        <f>HYPERLINK("https://klasma.github.io/Logging_2313/tillsynsmail/A 53447-2023 tillsynsbegäran mail.docx", "A 53447-2023")</f>
        <v/>
      </c>
    </row>
    <row r="348" ht="15" customHeight="1">
      <c r="A348" t="inlineStr">
        <is>
          <t>A 54064-2023</t>
        </is>
      </c>
      <c r="B348" s="1" t="n">
        <v>45231</v>
      </c>
      <c r="C348" s="1" t="n">
        <v>45343</v>
      </c>
      <c r="D348" t="inlineStr">
        <is>
          <t>JÄMTLANDS LÄN</t>
        </is>
      </c>
      <c r="E348" t="inlineStr">
        <is>
          <t>STRÖMSUND</t>
        </is>
      </c>
      <c r="F348" t="inlineStr">
        <is>
          <t>SCA</t>
        </is>
      </c>
      <c r="G348" t="n">
        <v>14.1</v>
      </c>
      <c r="H348" t="n">
        <v>0</v>
      </c>
      <c r="I348" t="n">
        <v>0</v>
      </c>
      <c r="J348" t="n">
        <v>1</v>
      </c>
      <c r="K348" t="n">
        <v>0</v>
      </c>
      <c r="L348" t="n">
        <v>0</v>
      </c>
      <c r="M348" t="n">
        <v>0</v>
      </c>
      <c r="N348" t="n">
        <v>0</v>
      </c>
      <c r="O348" t="n">
        <v>1</v>
      </c>
      <c r="P348" t="n">
        <v>0</v>
      </c>
      <c r="Q348" t="n">
        <v>1</v>
      </c>
      <c r="R348" s="2" t="inlineStr">
        <is>
          <t>Skrovellav</t>
        </is>
      </c>
      <c r="S348">
        <f>HYPERLINK("https://klasma.github.io/Logging_2313/artfynd/A 54064-2023 artfynd.xlsx", "A 54064-2023")</f>
        <v/>
      </c>
      <c r="T348">
        <f>HYPERLINK("https://klasma.github.io/Logging_2313/kartor/A 54064-2023 karta.png", "A 54064-2023")</f>
        <v/>
      </c>
      <c r="V348">
        <f>HYPERLINK("https://klasma.github.io/Logging_2313/klagomål/A 54064-2023 FSC-klagomål.docx", "A 54064-2023")</f>
        <v/>
      </c>
      <c r="W348">
        <f>HYPERLINK("https://klasma.github.io/Logging_2313/klagomålsmail/A 54064-2023 FSC-klagomål mail.docx", "A 54064-2023")</f>
        <v/>
      </c>
      <c r="X348">
        <f>HYPERLINK("https://klasma.github.io/Logging_2313/tillsyn/A 54064-2023 tillsynsbegäran.docx", "A 54064-2023")</f>
        <v/>
      </c>
      <c r="Y348">
        <f>HYPERLINK("https://klasma.github.io/Logging_2313/tillsynsmail/A 54064-2023 tillsynsbegäran mail.docx", "A 54064-2023")</f>
        <v/>
      </c>
    </row>
    <row r="349" ht="15" customHeight="1">
      <c r="A349" t="inlineStr">
        <is>
          <t>A 56689-2023</t>
        </is>
      </c>
      <c r="B349" s="1" t="n">
        <v>45243</v>
      </c>
      <c r="C349" s="1" t="n">
        <v>45343</v>
      </c>
      <c r="D349" t="inlineStr">
        <is>
          <t>JÄMTLANDS LÄN</t>
        </is>
      </c>
      <c r="E349" t="inlineStr">
        <is>
          <t>STRÖMSUND</t>
        </is>
      </c>
      <c r="F349" t="inlineStr">
        <is>
          <t>SCA</t>
        </is>
      </c>
      <c r="G349" t="n">
        <v>1.3</v>
      </c>
      <c r="H349" t="n">
        <v>0</v>
      </c>
      <c r="I349" t="n">
        <v>0</v>
      </c>
      <c r="J349" t="n">
        <v>1</v>
      </c>
      <c r="K349" t="n">
        <v>0</v>
      </c>
      <c r="L349" t="n">
        <v>0</v>
      </c>
      <c r="M349" t="n">
        <v>0</v>
      </c>
      <c r="N349" t="n">
        <v>0</v>
      </c>
      <c r="O349" t="n">
        <v>1</v>
      </c>
      <c r="P349" t="n">
        <v>0</v>
      </c>
      <c r="Q349" t="n">
        <v>1</v>
      </c>
      <c r="R349" s="2" t="inlineStr">
        <is>
          <t>Garnlav</t>
        </is>
      </c>
      <c r="S349">
        <f>HYPERLINK("https://klasma.github.io/Logging_2313/artfynd/A 56689-2023 artfynd.xlsx", "A 56689-2023")</f>
        <v/>
      </c>
      <c r="T349">
        <f>HYPERLINK("https://klasma.github.io/Logging_2313/kartor/A 56689-2023 karta.png", "A 56689-2023")</f>
        <v/>
      </c>
      <c r="V349">
        <f>HYPERLINK("https://klasma.github.io/Logging_2313/klagomål/A 56689-2023 FSC-klagomål.docx", "A 56689-2023")</f>
        <v/>
      </c>
      <c r="W349">
        <f>HYPERLINK("https://klasma.github.io/Logging_2313/klagomålsmail/A 56689-2023 FSC-klagomål mail.docx", "A 56689-2023")</f>
        <v/>
      </c>
      <c r="X349">
        <f>HYPERLINK("https://klasma.github.io/Logging_2313/tillsyn/A 56689-2023 tillsynsbegäran.docx", "A 56689-2023")</f>
        <v/>
      </c>
      <c r="Y349">
        <f>HYPERLINK("https://klasma.github.io/Logging_2313/tillsynsmail/A 56689-2023 tillsynsbegäran mail.docx", "A 56689-2023")</f>
        <v/>
      </c>
    </row>
    <row r="350" ht="15" customHeight="1">
      <c r="A350" t="inlineStr">
        <is>
          <t>A 57619-2023</t>
        </is>
      </c>
      <c r="B350" s="1" t="n">
        <v>45243</v>
      </c>
      <c r="C350" s="1" t="n">
        <v>45343</v>
      </c>
      <c r="D350" t="inlineStr">
        <is>
          <t>JÄMTLANDS LÄN</t>
        </is>
      </c>
      <c r="E350" t="inlineStr">
        <is>
          <t>STRÖMSUND</t>
        </is>
      </c>
      <c r="F350" t="inlineStr">
        <is>
          <t>SCA</t>
        </is>
      </c>
      <c r="G350" t="n">
        <v>17</v>
      </c>
      <c r="H350" t="n">
        <v>0</v>
      </c>
      <c r="I350" t="n">
        <v>0</v>
      </c>
      <c r="J350" t="n">
        <v>1</v>
      </c>
      <c r="K350" t="n">
        <v>0</v>
      </c>
      <c r="L350" t="n">
        <v>0</v>
      </c>
      <c r="M350" t="n">
        <v>0</v>
      </c>
      <c r="N350" t="n">
        <v>0</v>
      </c>
      <c r="O350" t="n">
        <v>1</v>
      </c>
      <c r="P350" t="n">
        <v>0</v>
      </c>
      <c r="Q350" t="n">
        <v>1</v>
      </c>
      <c r="R350" s="2" t="inlineStr">
        <is>
          <t>Harticka</t>
        </is>
      </c>
      <c r="S350">
        <f>HYPERLINK("https://klasma.github.io/Logging_2313/artfynd/A 57619-2023 artfynd.xlsx", "A 57619-2023")</f>
        <v/>
      </c>
      <c r="T350">
        <f>HYPERLINK("https://klasma.github.io/Logging_2313/kartor/A 57619-2023 karta.png", "A 57619-2023")</f>
        <v/>
      </c>
      <c r="V350">
        <f>HYPERLINK("https://klasma.github.io/Logging_2313/klagomål/A 57619-2023 FSC-klagomål.docx", "A 57619-2023")</f>
        <v/>
      </c>
      <c r="W350">
        <f>HYPERLINK("https://klasma.github.io/Logging_2313/klagomålsmail/A 57619-2023 FSC-klagomål mail.docx", "A 57619-2023")</f>
        <v/>
      </c>
      <c r="X350">
        <f>HYPERLINK("https://klasma.github.io/Logging_2313/tillsyn/A 57619-2023 tillsynsbegäran.docx", "A 57619-2023")</f>
        <v/>
      </c>
      <c r="Y350">
        <f>HYPERLINK("https://klasma.github.io/Logging_2313/tillsynsmail/A 57619-2023 tillsynsbegäran mail.docx", "A 57619-2023")</f>
        <v/>
      </c>
    </row>
    <row r="351" ht="15" customHeight="1">
      <c r="A351" t="inlineStr">
        <is>
          <t>A 57664-2023</t>
        </is>
      </c>
      <c r="B351" s="1" t="n">
        <v>45243</v>
      </c>
      <c r="C351" s="1" t="n">
        <v>45343</v>
      </c>
      <c r="D351" t="inlineStr">
        <is>
          <t>JÄMTLANDS LÄN</t>
        </is>
      </c>
      <c r="E351" t="inlineStr">
        <is>
          <t>STRÖMSUND</t>
        </is>
      </c>
      <c r="F351" t="inlineStr">
        <is>
          <t>SCA</t>
        </is>
      </c>
      <c r="G351" t="n">
        <v>6.2</v>
      </c>
      <c r="H351" t="n">
        <v>0</v>
      </c>
      <c r="I351" t="n">
        <v>0</v>
      </c>
      <c r="J351" t="n">
        <v>0</v>
      </c>
      <c r="K351" t="n">
        <v>1</v>
      </c>
      <c r="L351" t="n">
        <v>0</v>
      </c>
      <c r="M351" t="n">
        <v>0</v>
      </c>
      <c r="N351" t="n">
        <v>0</v>
      </c>
      <c r="O351" t="n">
        <v>1</v>
      </c>
      <c r="P351" t="n">
        <v>1</v>
      </c>
      <c r="Q351" t="n">
        <v>1</v>
      </c>
      <c r="R351" s="2" t="inlineStr">
        <is>
          <t>Norsk näverlav</t>
        </is>
      </c>
      <c r="S351">
        <f>HYPERLINK("https://klasma.github.io/Logging_2313/artfynd/A 57664-2023 artfynd.xlsx", "A 57664-2023")</f>
        <v/>
      </c>
      <c r="T351">
        <f>HYPERLINK("https://klasma.github.io/Logging_2313/kartor/A 57664-2023 karta.png", "A 57664-2023")</f>
        <v/>
      </c>
      <c r="V351">
        <f>HYPERLINK("https://klasma.github.io/Logging_2313/klagomål/A 57664-2023 FSC-klagomål.docx", "A 57664-2023")</f>
        <v/>
      </c>
      <c r="W351">
        <f>HYPERLINK("https://klasma.github.io/Logging_2313/klagomålsmail/A 57664-2023 FSC-klagomål mail.docx", "A 57664-2023")</f>
        <v/>
      </c>
      <c r="X351">
        <f>HYPERLINK("https://klasma.github.io/Logging_2313/tillsyn/A 57664-2023 tillsynsbegäran.docx", "A 57664-2023")</f>
        <v/>
      </c>
      <c r="Y351">
        <f>HYPERLINK("https://klasma.github.io/Logging_2313/tillsynsmail/A 57664-2023 tillsynsbegäran mail.docx", "A 57664-2023")</f>
        <v/>
      </c>
    </row>
    <row r="352" ht="15" customHeight="1">
      <c r="A352" t="inlineStr">
        <is>
          <t>A 57390-2023</t>
        </is>
      </c>
      <c r="B352" s="1" t="n">
        <v>45245</v>
      </c>
      <c r="C352" s="1" t="n">
        <v>45343</v>
      </c>
      <c r="D352" t="inlineStr">
        <is>
          <t>JÄMTLANDS LÄN</t>
        </is>
      </c>
      <c r="E352" t="inlineStr">
        <is>
          <t>STRÖMSUND</t>
        </is>
      </c>
      <c r="G352" t="n">
        <v>4.8</v>
      </c>
      <c r="H352" t="n">
        <v>0</v>
      </c>
      <c r="I352" t="n">
        <v>1</v>
      </c>
      <c r="J352" t="n">
        <v>0</v>
      </c>
      <c r="K352" t="n">
        <v>0</v>
      </c>
      <c r="L352" t="n">
        <v>0</v>
      </c>
      <c r="M352" t="n">
        <v>0</v>
      </c>
      <c r="N352" t="n">
        <v>0</v>
      </c>
      <c r="O352" t="n">
        <v>0</v>
      </c>
      <c r="P352" t="n">
        <v>0</v>
      </c>
      <c r="Q352" t="n">
        <v>1</v>
      </c>
      <c r="R352" s="2" t="inlineStr">
        <is>
          <t>Svart trolldruva</t>
        </is>
      </c>
      <c r="S352">
        <f>HYPERLINK("https://klasma.github.io/Logging_2313/artfynd/A 57390-2023 artfynd.xlsx", "A 57390-2023")</f>
        <v/>
      </c>
      <c r="T352">
        <f>HYPERLINK("https://klasma.github.io/Logging_2313/kartor/A 57390-2023 karta.png", "A 57390-2023")</f>
        <v/>
      </c>
      <c r="V352">
        <f>HYPERLINK("https://klasma.github.io/Logging_2313/klagomål/A 57390-2023 FSC-klagomål.docx", "A 57390-2023")</f>
        <v/>
      </c>
      <c r="W352">
        <f>HYPERLINK("https://klasma.github.io/Logging_2313/klagomålsmail/A 57390-2023 FSC-klagomål mail.docx", "A 57390-2023")</f>
        <v/>
      </c>
      <c r="X352">
        <f>HYPERLINK("https://klasma.github.io/Logging_2313/tillsyn/A 57390-2023 tillsynsbegäran.docx", "A 57390-2023")</f>
        <v/>
      </c>
      <c r="Y352">
        <f>HYPERLINK("https://klasma.github.io/Logging_2313/tillsynsmail/A 57390-2023 tillsynsbegäran mail.docx", "A 57390-2023")</f>
        <v/>
      </c>
    </row>
    <row r="353" ht="15" customHeight="1">
      <c r="A353" t="inlineStr">
        <is>
          <t>A 57508-2023</t>
        </is>
      </c>
      <c r="B353" s="1" t="n">
        <v>45246</v>
      </c>
      <c r="C353" s="1" t="n">
        <v>45343</v>
      </c>
      <c r="D353" t="inlineStr">
        <is>
          <t>JÄMTLANDS LÄN</t>
        </is>
      </c>
      <c r="E353" t="inlineStr">
        <is>
          <t>STRÖMSUND</t>
        </is>
      </c>
      <c r="F353" t="inlineStr">
        <is>
          <t>Holmen skog AB</t>
        </is>
      </c>
      <c r="G353" t="n">
        <v>6.4</v>
      </c>
      <c r="H353" t="n">
        <v>0</v>
      </c>
      <c r="I353" t="n">
        <v>0</v>
      </c>
      <c r="J353" t="n">
        <v>1</v>
      </c>
      <c r="K353" t="n">
        <v>0</v>
      </c>
      <c r="L353" t="n">
        <v>0</v>
      </c>
      <c r="M353" t="n">
        <v>0</v>
      </c>
      <c r="N353" t="n">
        <v>0</v>
      </c>
      <c r="O353" t="n">
        <v>1</v>
      </c>
      <c r="P353" t="n">
        <v>0</v>
      </c>
      <c r="Q353" t="n">
        <v>1</v>
      </c>
      <c r="R353" s="2" t="inlineStr">
        <is>
          <t>Lunglav</t>
        </is>
      </c>
      <c r="S353">
        <f>HYPERLINK("https://klasma.github.io/Logging_2313/artfynd/A 57508-2023 artfynd.xlsx", "A 57508-2023")</f>
        <v/>
      </c>
      <c r="T353">
        <f>HYPERLINK("https://klasma.github.io/Logging_2313/kartor/A 57508-2023 karta.png", "A 57508-2023")</f>
        <v/>
      </c>
      <c r="V353">
        <f>HYPERLINK("https://klasma.github.io/Logging_2313/klagomål/A 57508-2023 FSC-klagomål.docx", "A 57508-2023")</f>
        <v/>
      </c>
      <c r="W353">
        <f>HYPERLINK("https://klasma.github.io/Logging_2313/klagomålsmail/A 57508-2023 FSC-klagomål mail.docx", "A 57508-2023")</f>
        <v/>
      </c>
      <c r="X353">
        <f>HYPERLINK("https://klasma.github.io/Logging_2313/tillsyn/A 57508-2023 tillsynsbegäran.docx", "A 57508-2023")</f>
        <v/>
      </c>
      <c r="Y353">
        <f>HYPERLINK("https://klasma.github.io/Logging_2313/tillsynsmail/A 57508-2023 tillsynsbegäran mail.docx", "A 57508-2023")</f>
        <v/>
      </c>
    </row>
    <row r="354" ht="15" customHeight="1">
      <c r="A354" t="inlineStr">
        <is>
          <t>A 59726-2023</t>
        </is>
      </c>
      <c r="B354" s="1" t="n">
        <v>45257</v>
      </c>
      <c r="C354" s="1" t="n">
        <v>45343</v>
      </c>
      <c r="D354" t="inlineStr">
        <is>
          <t>JÄMTLANDS LÄN</t>
        </is>
      </c>
      <c r="E354" t="inlineStr">
        <is>
          <t>STRÖMSUND</t>
        </is>
      </c>
      <c r="F354" t="inlineStr">
        <is>
          <t>Sveaskog</t>
        </is>
      </c>
      <c r="G354" t="n">
        <v>7.3</v>
      </c>
      <c r="H354" t="n">
        <v>0</v>
      </c>
      <c r="I354" t="n">
        <v>1</v>
      </c>
      <c r="J354" t="n">
        <v>0</v>
      </c>
      <c r="K354" t="n">
        <v>0</v>
      </c>
      <c r="L354" t="n">
        <v>0</v>
      </c>
      <c r="M354" t="n">
        <v>0</v>
      </c>
      <c r="N354" t="n">
        <v>0</v>
      </c>
      <c r="O354" t="n">
        <v>0</v>
      </c>
      <c r="P354" t="n">
        <v>0</v>
      </c>
      <c r="Q354" t="n">
        <v>1</v>
      </c>
      <c r="R354" s="2" t="inlineStr">
        <is>
          <t>Svavelriska</t>
        </is>
      </c>
      <c r="S354">
        <f>HYPERLINK("https://klasma.github.io/Logging_2313/artfynd/A 59726-2023 artfynd.xlsx", "A 59726-2023")</f>
        <v/>
      </c>
      <c r="T354">
        <f>HYPERLINK("https://klasma.github.io/Logging_2313/kartor/A 59726-2023 karta.png", "A 59726-2023")</f>
        <v/>
      </c>
      <c r="V354">
        <f>HYPERLINK("https://klasma.github.io/Logging_2313/klagomål/A 59726-2023 FSC-klagomål.docx", "A 59726-2023")</f>
        <v/>
      </c>
      <c r="W354">
        <f>HYPERLINK("https://klasma.github.io/Logging_2313/klagomålsmail/A 59726-2023 FSC-klagomål mail.docx", "A 59726-2023")</f>
        <v/>
      </c>
      <c r="X354">
        <f>HYPERLINK("https://klasma.github.io/Logging_2313/tillsyn/A 59726-2023 tillsynsbegäran.docx", "A 59726-2023")</f>
        <v/>
      </c>
      <c r="Y354">
        <f>HYPERLINK("https://klasma.github.io/Logging_2313/tillsynsmail/A 59726-2023 tillsynsbegäran mail.docx", "A 59726-2023")</f>
        <v/>
      </c>
    </row>
    <row r="355" ht="15" customHeight="1">
      <c r="A355" t="inlineStr">
        <is>
          <t>A 60828-2023</t>
        </is>
      </c>
      <c r="B355" s="1" t="n">
        <v>45258</v>
      </c>
      <c r="C355" s="1" t="n">
        <v>45343</v>
      </c>
      <c r="D355" t="inlineStr">
        <is>
          <t>JÄMTLANDS LÄN</t>
        </is>
      </c>
      <c r="E355" t="inlineStr">
        <is>
          <t>STRÖMSUND</t>
        </is>
      </c>
      <c r="G355" t="n">
        <v>6.7</v>
      </c>
      <c r="H355" t="n">
        <v>1</v>
      </c>
      <c r="I355" t="n">
        <v>0</v>
      </c>
      <c r="J355" t="n">
        <v>1</v>
      </c>
      <c r="K355" t="n">
        <v>0</v>
      </c>
      <c r="L355" t="n">
        <v>0</v>
      </c>
      <c r="M355" t="n">
        <v>0</v>
      </c>
      <c r="N355" t="n">
        <v>0</v>
      </c>
      <c r="O355" t="n">
        <v>1</v>
      </c>
      <c r="P355" t="n">
        <v>0</v>
      </c>
      <c r="Q355" t="n">
        <v>1</v>
      </c>
      <c r="R355" s="2" t="inlineStr">
        <is>
          <t>Tretåig hackspett</t>
        </is>
      </c>
      <c r="S355">
        <f>HYPERLINK("https://klasma.github.io/Logging_2313/artfynd/A 60828-2023 artfynd.xlsx", "A 60828-2023")</f>
        <v/>
      </c>
      <c r="T355">
        <f>HYPERLINK("https://klasma.github.io/Logging_2313/kartor/A 60828-2023 karta.png", "A 60828-2023")</f>
        <v/>
      </c>
      <c r="V355">
        <f>HYPERLINK("https://klasma.github.io/Logging_2313/klagomål/A 60828-2023 FSC-klagomål.docx", "A 60828-2023")</f>
        <v/>
      </c>
      <c r="W355">
        <f>HYPERLINK("https://klasma.github.io/Logging_2313/klagomålsmail/A 60828-2023 FSC-klagomål mail.docx", "A 60828-2023")</f>
        <v/>
      </c>
      <c r="X355">
        <f>HYPERLINK("https://klasma.github.io/Logging_2313/tillsyn/A 60828-2023 tillsynsbegäran.docx", "A 60828-2023")</f>
        <v/>
      </c>
      <c r="Y355">
        <f>HYPERLINK("https://klasma.github.io/Logging_2313/tillsynsmail/A 60828-2023 tillsynsbegäran mail.docx", "A 60828-2023")</f>
        <v/>
      </c>
      <c r="Z355">
        <f>HYPERLINK("https://klasma.github.io/Logging_2313/fåglar/A 60828-2023 prioriterade fågelarter.docx", "A 60828-2023")</f>
        <v/>
      </c>
    </row>
    <row r="356" ht="15" customHeight="1">
      <c r="A356" t="inlineStr">
        <is>
          <t>A 63860-2023</t>
        </is>
      </c>
      <c r="B356" s="1" t="n">
        <v>45278</v>
      </c>
      <c r="C356" s="1" t="n">
        <v>45343</v>
      </c>
      <c r="D356" t="inlineStr">
        <is>
          <t>JÄMTLANDS LÄN</t>
        </is>
      </c>
      <c r="E356" t="inlineStr">
        <is>
          <t>STRÖMSUND</t>
        </is>
      </c>
      <c r="G356" t="n">
        <v>2.9</v>
      </c>
      <c r="H356" t="n">
        <v>0</v>
      </c>
      <c r="I356" t="n">
        <v>1</v>
      </c>
      <c r="J356" t="n">
        <v>0</v>
      </c>
      <c r="K356" t="n">
        <v>0</v>
      </c>
      <c r="L356" t="n">
        <v>0</v>
      </c>
      <c r="M356" t="n">
        <v>0</v>
      </c>
      <c r="N356" t="n">
        <v>0</v>
      </c>
      <c r="O356" t="n">
        <v>0</v>
      </c>
      <c r="P356" t="n">
        <v>0</v>
      </c>
      <c r="Q356" t="n">
        <v>1</v>
      </c>
      <c r="R356" s="2" t="inlineStr">
        <is>
          <t>Kransrams</t>
        </is>
      </c>
      <c r="S356">
        <f>HYPERLINK("https://klasma.github.io/Logging_2313/artfynd/A 63860-2023 artfynd.xlsx", "A 63860-2023")</f>
        <v/>
      </c>
      <c r="T356">
        <f>HYPERLINK("https://klasma.github.io/Logging_2313/kartor/A 63860-2023 karta.png", "A 63860-2023")</f>
        <v/>
      </c>
      <c r="V356">
        <f>HYPERLINK("https://klasma.github.io/Logging_2313/klagomål/A 63860-2023 FSC-klagomål.docx", "A 63860-2023")</f>
        <v/>
      </c>
      <c r="W356">
        <f>HYPERLINK("https://klasma.github.io/Logging_2313/klagomålsmail/A 63860-2023 FSC-klagomål mail.docx", "A 63860-2023")</f>
        <v/>
      </c>
      <c r="X356">
        <f>HYPERLINK("https://klasma.github.io/Logging_2313/tillsyn/A 63860-2023 tillsynsbegäran.docx", "A 63860-2023")</f>
        <v/>
      </c>
      <c r="Y356">
        <f>HYPERLINK("https://klasma.github.io/Logging_2313/tillsynsmail/A 63860-2023 tillsynsbegäran mail.docx", "A 63860-2023")</f>
        <v/>
      </c>
    </row>
    <row r="357" ht="15" customHeight="1">
      <c r="A357" t="inlineStr">
        <is>
          <t>A 3988-2024</t>
        </is>
      </c>
      <c r="B357" s="1" t="n">
        <v>45322</v>
      </c>
      <c r="C357" s="1" t="n">
        <v>45343</v>
      </c>
      <c r="D357" t="inlineStr">
        <is>
          <t>JÄMTLANDS LÄN</t>
        </is>
      </c>
      <c r="E357" t="inlineStr">
        <is>
          <t>STRÖMSUND</t>
        </is>
      </c>
      <c r="F357" t="inlineStr">
        <is>
          <t>SCA</t>
        </is>
      </c>
      <c r="G357" t="n">
        <v>16</v>
      </c>
      <c r="H357" t="n">
        <v>1</v>
      </c>
      <c r="I357" t="n">
        <v>0</v>
      </c>
      <c r="J357" t="n">
        <v>1</v>
      </c>
      <c r="K357" t="n">
        <v>0</v>
      </c>
      <c r="L357" t="n">
        <v>0</v>
      </c>
      <c r="M357" t="n">
        <v>0</v>
      </c>
      <c r="N357" t="n">
        <v>0</v>
      </c>
      <c r="O357" t="n">
        <v>1</v>
      </c>
      <c r="P357" t="n">
        <v>0</v>
      </c>
      <c r="Q357" t="n">
        <v>1</v>
      </c>
      <c r="R357" s="2" t="inlineStr">
        <is>
          <t>Järpe</t>
        </is>
      </c>
      <c r="S357">
        <f>HYPERLINK("https://klasma.github.io/Logging_2313/artfynd/A 3988-2024 artfynd.xlsx", "A 3988-2024")</f>
        <v/>
      </c>
      <c r="T357">
        <f>HYPERLINK("https://klasma.github.io/Logging_2313/kartor/A 3988-2024 karta.png", "A 3988-2024")</f>
        <v/>
      </c>
      <c r="V357">
        <f>HYPERLINK("https://klasma.github.io/Logging_2313/klagomål/A 3988-2024 FSC-klagomål.docx", "A 3988-2024")</f>
        <v/>
      </c>
      <c r="W357">
        <f>HYPERLINK("https://klasma.github.io/Logging_2313/klagomålsmail/A 3988-2024 FSC-klagomål mail.docx", "A 3988-2024")</f>
        <v/>
      </c>
      <c r="X357">
        <f>HYPERLINK("https://klasma.github.io/Logging_2313/tillsyn/A 3988-2024 tillsynsbegäran.docx", "A 3988-2024")</f>
        <v/>
      </c>
      <c r="Y357">
        <f>HYPERLINK("https://klasma.github.io/Logging_2313/tillsynsmail/A 3988-2024 tillsynsbegäran mail.docx", "A 3988-2024")</f>
        <v/>
      </c>
      <c r="Z357">
        <f>HYPERLINK("https://klasma.github.io/Logging_2313/fåglar/A 3988-2024 prioriterade fågelarter.docx", "A 3988-2024")</f>
        <v/>
      </c>
    </row>
    <row r="358" ht="15" customHeight="1">
      <c r="A358" t="inlineStr">
        <is>
          <t>A 4824-2024</t>
        </is>
      </c>
      <c r="B358" s="1" t="n">
        <v>45328</v>
      </c>
      <c r="C358" s="1" t="n">
        <v>45343</v>
      </c>
      <c r="D358" t="inlineStr">
        <is>
          <t>JÄMTLANDS LÄN</t>
        </is>
      </c>
      <c r="E358" t="inlineStr">
        <is>
          <t>STRÖMSUND</t>
        </is>
      </c>
      <c r="F358" t="inlineStr">
        <is>
          <t>SCA</t>
        </is>
      </c>
      <c r="G358" t="n">
        <v>10.2</v>
      </c>
      <c r="H358" t="n">
        <v>0</v>
      </c>
      <c r="I358" t="n">
        <v>0</v>
      </c>
      <c r="J358" t="n">
        <v>1</v>
      </c>
      <c r="K358" t="n">
        <v>0</v>
      </c>
      <c r="L358" t="n">
        <v>0</v>
      </c>
      <c r="M358" t="n">
        <v>0</v>
      </c>
      <c r="N358" t="n">
        <v>0</v>
      </c>
      <c r="O358" t="n">
        <v>1</v>
      </c>
      <c r="P358" t="n">
        <v>0</v>
      </c>
      <c r="Q358" t="n">
        <v>1</v>
      </c>
      <c r="R358" s="2" t="inlineStr">
        <is>
          <t>Lunglav</t>
        </is>
      </c>
      <c r="S358">
        <f>HYPERLINK("https://klasma.github.io/Logging_2313/artfynd/A 4824-2024 artfynd.xlsx", "A 4824-2024")</f>
        <v/>
      </c>
      <c r="T358">
        <f>HYPERLINK("https://klasma.github.io/Logging_2313/kartor/A 4824-2024 karta.png", "A 4824-2024")</f>
        <v/>
      </c>
      <c r="V358">
        <f>HYPERLINK("https://klasma.github.io/Logging_2313/klagomål/A 4824-2024 FSC-klagomål.docx", "A 4824-2024")</f>
        <v/>
      </c>
      <c r="W358">
        <f>HYPERLINK("https://klasma.github.io/Logging_2313/klagomålsmail/A 4824-2024 FSC-klagomål mail.docx", "A 4824-2024")</f>
        <v/>
      </c>
      <c r="X358">
        <f>HYPERLINK("https://klasma.github.io/Logging_2313/tillsyn/A 4824-2024 tillsynsbegäran.docx", "A 4824-2024")</f>
        <v/>
      </c>
      <c r="Y358">
        <f>HYPERLINK("https://klasma.github.io/Logging_2313/tillsynsmail/A 4824-2024 tillsynsbegäran mail.docx", "A 4824-2024")</f>
        <v/>
      </c>
    </row>
    <row r="359" ht="15" customHeight="1">
      <c r="A359" t="inlineStr">
        <is>
          <t>A 36734-2018</t>
        </is>
      </c>
      <c r="B359" s="1" t="n">
        <v>43332</v>
      </c>
      <c r="C359" s="1" t="n">
        <v>45343</v>
      </c>
      <c r="D359" t="inlineStr">
        <is>
          <t>JÄMTLANDS LÄN</t>
        </is>
      </c>
      <c r="E359" t="inlineStr">
        <is>
          <t>STRÖMSUND</t>
        </is>
      </c>
      <c r="F359" t="inlineStr">
        <is>
          <t>Övriga Aktiebolag</t>
        </is>
      </c>
      <c r="G359" t="n">
        <v>18.2</v>
      </c>
      <c r="H359" t="n">
        <v>0</v>
      </c>
      <c r="I359" t="n">
        <v>0</v>
      </c>
      <c r="J359" t="n">
        <v>0</v>
      </c>
      <c r="K359" t="n">
        <v>0</v>
      </c>
      <c r="L359" t="n">
        <v>0</v>
      </c>
      <c r="M359" t="n">
        <v>0</v>
      </c>
      <c r="N359" t="n">
        <v>0</v>
      </c>
      <c r="O359" t="n">
        <v>0</v>
      </c>
      <c r="P359" t="n">
        <v>0</v>
      </c>
      <c r="Q359" t="n">
        <v>0</v>
      </c>
      <c r="R359" s="2" t="inlineStr"/>
    </row>
    <row r="360" ht="15" customHeight="1">
      <c r="A360" t="inlineStr">
        <is>
          <t>A 38898-2018</t>
        </is>
      </c>
      <c r="B360" s="1" t="n">
        <v>43336</v>
      </c>
      <c r="C360" s="1" t="n">
        <v>45343</v>
      </c>
      <c r="D360" t="inlineStr">
        <is>
          <t>JÄMTLANDS LÄN</t>
        </is>
      </c>
      <c r="E360" t="inlineStr">
        <is>
          <t>STRÖMSUND</t>
        </is>
      </c>
      <c r="G360" t="n">
        <v>14</v>
      </c>
      <c r="H360" t="n">
        <v>0</v>
      </c>
      <c r="I360" t="n">
        <v>0</v>
      </c>
      <c r="J360" t="n">
        <v>0</v>
      </c>
      <c r="K360" t="n">
        <v>0</v>
      </c>
      <c r="L360" t="n">
        <v>0</v>
      </c>
      <c r="M360" t="n">
        <v>0</v>
      </c>
      <c r="N360" t="n">
        <v>0</v>
      </c>
      <c r="O360" t="n">
        <v>0</v>
      </c>
      <c r="P360" t="n">
        <v>0</v>
      </c>
      <c r="Q360" t="n">
        <v>0</v>
      </c>
      <c r="R360" s="2" t="inlineStr"/>
    </row>
    <row r="361" ht="15" customHeight="1">
      <c r="A361" t="inlineStr">
        <is>
          <t>A 39554-2018</t>
        </is>
      </c>
      <c r="B361" s="1" t="n">
        <v>43340</v>
      </c>
      <c r="C361" s="1" t="n">
        <v>45343</v>
      </c>
      <c r="D361" t="inlineStr">
        <is>
          <t>JÄMTLANDS LÄN</t>
        </is>
      </c>
      <c r="E361" t="inlineStr">
        <is>
          <t>STRÖMSUND</t>
        </is>
      </c>
      <c r="G361" t="n">
        <v>3</v>
      </c>
      <c r="H361" t="n">
        <v>0</v>
      </c>
      <c r="I361" t="n">
        <v>0</v>
      </c>
      <c r="J361" t="n">
        <v>0</v>
      </c>
      <c r="K361" t="n">
        <v>0</v>
      </c>
      <c r="L361" t="n">
        <v>0</v>
      </c>
      <c r="M361" t="n">
        <v>0</v>
      </c>
      <c r="N361" t="n">
        <v>0</v>
      </c>
      <c r="O361" t="n">
        <v>0</v>
      </c>
      <c r="P361" t="n">
        <v>0</v>
      </c>
      <c r="Q361" t="n">
        <v>0</v>
      </c>
      <c r="R361" s="2" t="inlineStr"/>
    </row>
    <row r="362" ht="15" customHeight="1">
      <c r="A362" t="inlineStr">
        <is>
          <t>A 42513-2018</t>
        </is>
      </c>
      <c r="B362" s="1" t="n">
        <v>43354</v>
      </c>
      <c r="C362" s="1" t="n">
        <v>45343</v>
      </c>
      <c r="D362" t="inlineStr">
        <is>
          <t>JÄMTLANDS LÄN</t>
        </is>
      </c>
      <c r="E362" t="inlineStr">
        <is>
          <t>STRÖMSUND</t>
        </is>
      </c>
      <c r="F362" t="inlineStr">
        <is>
          <t>Holmen skog AB</t>
        </is>
      </c>
      <c r="G362" t="n">
        <v>14.6</v>
      </c>
      <c r="H362" t="n">
        <v>0</v>
      </c>
      <c r="I362" t="n">
        <v>0</v>
      </c>
      <c r="J362" t="n">
        <v>0</v>
      </c>
      <c r="K362" t="n">
        <v>0</v>
      </c>
      <c r="L362" t="n">
        <v>0</v>
      </c>
      <c r="M362" t="n">
        <v>0</v>
      </c>
      <c r="N362" t="n">
        <v>0</v>
      </c>
      <c r="O362" t="n">
        <v>0</v>
      </c>
      <c r="P362" t="n">
        <v>0</v>
      </c>
      <c r="Q362" t="n">
        <v>0</v>
      </c>
      <c r="R362" s="2" t="inlineStr"/>
    </row>
    <row r="363" ht="15" customHeight="1">
      <c r="A363" t="inlineStr">
        <is>
          <t>A 44692-2018</t>
        </is>
      </c>
      <c r="B363" s="1" t="n">
        <v>43357</v>
      </c>
      <c r="C363" s="1" t="n">
        <v>45343</v>
      </c>
      <c r="D363" t="inlineStr">
        <is>
          <t>JÄMTLANDS LÄN</t>
        </is>
      </c>
      <c r="E363" t="inlineStr">
        <is>
          <t>STRÖMSUND</t>
        </is>
      </c>
      <c r="G363" t="n">
        <v>1.5</v>
      </c>
      <c r="H363" t="n">
        <v>0</v>
      </c>
      <c r="I363" t="n">
        <v>0</v>
      </c>
      <c r="J363" t="n">
        <v>0</v>
      </c>
      <c r="K363" t="n">
        <v>0</v>
      </c>
      <c r="L363" t="n">
        <v>0</v>
      </c>
      <c r="M363" t="n">
        <v>0</v>
      </c>
      <c r="N363" t="n">
        <v>0</v>
      </c>
      <c r="O363" t="n">
        <v>0</v>
      </c>
      <c r="P363" t="n">
        <v>0</v>
      </c>
      <c r="Q363" t="n">
        <v>0</v>
      </c>
      <c r="R363" s="2" t="inlineStr"/>
    </row>
    <row r="364" ht="15" customHeight="1">
      <c r="A364" t="inlineStr">
        <is>
          <t>A 45492-2018</t>
        </is>
      </c>
      <c r="B364" s="1" t="n">
        <v>43363</v>
      </c>
      <c r="C364" s="1" t="n">
        <v>45343</v>
      </c>
      <c r="D364" t="inlineStr">
        <is>
          <t>JÄMTLANDS LÄN</t>
        </is>
      </c>
      <c r="E364" t="inlineStr">
        <is>
          <t>STRÖMSUND</t>
        </is>
      </c>
      <c r="G364" t="n">
        <v>1.8</v>
      </c>
      <c r="H364" t="n">
        <v>0</v>
      </c>
      <c r="I364" t="n">
        <v>0</v>
      </c>
      <c r="J364" t="n">
        <v>0</v>
      </c>
      <c r="K364" t="n">
        <v>0</v>
      </c>
      <c r="L364" t="n">
        <v>0</v>
      </c>
      <c r="M364" t="n">
        <v>0</v>
      </c>
      <c r="N364" t="n">
        <v>0</v>
      </c>
      <c r="O364" t="n">
        <v>0</v>
      </c>
      <c r="P364" t="n">
        <v>0</v>
      </c>
      <c r="Q364" t="n">
        <v>0</v>
      </c>
      <c r="R364" s="2" t="inlineStr"/>
    </row>
    <row r="365" ht="15" customHeight="1">
      <c r="A365" t="inlineStr">
        <is>
          <t>A 47715-2018</t>
        </is>
      </c>
      <c r="B365" s="1" t="n">
        <v>43369</v>
      </c>
      <c r="C365" s="1" t="n">
        <v>45343</v>
      </c>
      <c r="D365" t="inlineStr">
        <is>
          <t>JÄMTLANDS LÄN</t>
        </is>
      </c>
      <c r="E365" t="inlineStr">
        <is>
          <t>STRÖMSUND</t>
        </is>
      </c>
      <c r="G365" t="n">
        <v>3.3</v>
      </c>
      <c r="H365" t="n">
        <v>0</v>
      </c>
      <c r="I365" t="n">
        <v>0</v>
      </c>
      <c r="J365" t="n">
        <v>0</v>
      </c>
      <c r="K365" t="n">
        <v>0</v>
      </c>
      <c r="L365" t="n">
        <v>0</v>
      </c>
      <c r="M365" t="n">
        <v>0</v>
      </c>
      <c r="N365" t="n">
        <v>0</v>
      </c>
      <c r="O365" t="n">
        <v>0</v>
      </c>
      <c r="P365" t="n">
        <v>0</v>
      </c>
      <c r="Q365" t="n">
        <v>0</v>
      </c>
      <c r="R365" s="2" t="inlineStr"/>
    </row>
    <row r="366" ht="15" customHeight="1">
      <c r="A366" t="inlineStr">
        <is>
          <t>A 54807-2018</t>
        </is>
      </c>
      <c r="B366" s="1" t="n">
        <v>43395</v>
      </c>
      <c r="C366" s="1" t="n">
        <v>45343</v>
      </c>
      <c r="D366" t="inlineStr">
        <is>
          <t>JÄMTLANDS LÄN</t>
        </is>
      </c>
      <c r="E366" t="inlineStr">
        <is>
          <t>STRÖMSUND</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58730-2018</t>
        </is>
      </c>
      <c r="B367" s="1" t="n">
        <v>43399</v>
      </c>
      <c r="C367" s="1" t="n">
        <v>45343</v>
      </c>
      <c r="D367" t="inlineStr">
        <is>
          <t>JÄMTLANDS LÄN</t>
        </is>
      </c>
      <c r="E367" t="inlineStr">
        <is>
          <t>STRÖMSUND</t>
        </is>
      </c>
      <c r="G367" t="n">
        <v>2.3</v>
      </c>
      <c r="H367" t="n">
        <v>0</v>
      </c>
      <c r="I367" t="n">
        <v>0</v>
      </c>
      <c r="J367" t="n">
        <v>0</v>
      </c>
      <c r="K367" t="n">
        <v>0</v>
      </c>
      <c r="L367" t="n">
        <v>0</v>
      </c>
      <c r="M367" t="n">
        <v>0</v>
      </c>
      <c r="N367" t="n">
        <v>0</v>
      </c>
      <c r="O367" t="n">
        <v>0</v>
      </c>
      <c r="P367" t="n">
        <v>0</v>
      </c>
      <c r="Q367" t="n">
        <v>0</v>
      </c>
      <c r="R367" s="2" t="inlineStr"/>
    </row>
    <row r="368" ht="15" customHeight="1">
      <c r="A368" t="inlineStr">
        <is>
          <t>A 57347-2018</t>
        </is>
      </c>
      <c r="B368" s="1" t="n">
        <v>43402</v>
      </c>
      <c r="C368" s="1" t="n">
        <v>45343</v>
      </c>
      <c r="D368" t="inlineStr">
        <is>
          <t>JÄMTLANDS LÄN</t>
        </is>
      </c>
      <c r="E368" t="inlineStr">
        <is>
          <t>STRÖMSUND</t>
        </is>
      </c>
      <c r="G368" t="n">
        <v>22.9</v>
      </c>
      <c r="H368" t="n">
        <v>0</v>
      </c>
      <c r="I368" t="n">
        <v>0</v>
      </c>
      <c r="J368" t="n">
        <v>0</v>
      </c>
      <c r="K368" t="n">
        <v>0</v>
      </c>
      <c r="L368" t="n">
        <v>0</v>
      </c>
      <c r="M368" t="n">
        <v>0</v>
      </c>
      <c r="N368" t="n">
        <v>0</v>
      </c>
      <c r="O368" t="n">
        <v>0</v>
      </c>
      <c r="P368" t="n">
        <v>0</v>
      </c>
      <c r="Q368" t="n">
        <v>0</v>
      </c>
      <c r="R368" s="2" t="inlineStr"/>
    </row>
    <row r="369" ht="15" customHeight="1">
      <c r="A369" t="inlineStr">
        <is>
          <t>A 59045-2018</t>
        </is>
      </c>
      <c r="B369" s="1" t="n">
        <v>43402</v>
      </c>
      <c r="C369" s="1" t="n">
        <v>45343</v>
      </c>
      <c r="D369" t="inlineStr">
        <is>
          <t>JÄMTLANDS LÄN</t>
        </is>
      </c>
      <c r="E369" t="inlineStr">
        <is>
          <t>STRÖMSUND</t>
        </is>
      </c>
      <c r="G369" t="n">
        <v>1.1</v>
      </c>
      <c r="H369" t="n">
        <v>0</v>
      </c>
      <c r="I369" t="n">
        <v>0</v>
      </c>
      <c r="J369" t="n">
        <v>0</v>
      </c>
      <c r="K369" t="n">
        <v>0</v>
      </c>
      <c r="L369" t="n">
        <v>0</v>
      </c>
      <c r="M369" t="n">
        <v>0</v>
      </c>
      <c r="N369" t="n">
        <v>0</v>
      </c>
      <c r="O369" t="n">
        <v>0</v>
      </c>
      <c r="P369" t="n">
        <v>0</v>
      </c>
      <c r="Q369" t="n">
        <v>0</v>
      </c>
      <c r="R369" s="2" t="inlineStr"/>
    </row>
    <row r="370" ht="15" customHeight="1">
      <c r="A370" t="inlineStr">
        <is>
          <t>A 57422-2018</t>
        </is>
      </c>
      <c r="B370" s="1" t="n">
        <v>43404</v>
      </c>
      <c r="C370" s="1" t="n">
        <v>45343</v>
      </c>
      <c r="D370" t="inlineStr">
        <is>
          <t>JÄMTLANDS LÄN</t>
        </is>
      </c>
      <c r="E370" t="inlineStr">
        <is>
          <t>STRÖMSUND</t>
        </is>
      </c>
      <c r="F370" t="inlineStr">
        <is>
          <t>Holmen skog AB</t>
        </is>
      </c>
      <c r="G370" t="n">
        <v>17.4</v>
      </c>
      <c r="H370" t="n">
        <v>0</v>
      </c>
      <c r="I370" t="n">
        <v>0</v>
      </c>
      <c r="J370" t="n">
        <v>0</v>
      </c>
      <c r="K370" t="n">
        <v>0</v>
      </c>
      <c r="L370" t="n">
        <v>0</v>
      </c>
      <c r="M370" t="n">
        <v>0</v>
      </c>
      <c r="N370" t="n">
        <v>0</v>
      </c>
      <c r="O370" t="n">
        <v>0</v>
      </c>
      <c r="P370" t="n">
        <v>0</v>
      </c>
      <c r="Q370" t="n">
        <v>0</v>
      </c>
      <c r="R370" s="2" t="inlineStr"/>
    </row>
    <row r="371" ht="15" customHeight="1">
      <c r="A371" t="inlineStr">
        <is>
          <t>A 57655-2018</t>
        </is>
      </c>
      <c r="B371" s="1" t="n">
        <v>43404</v>
      </c>
      <c r="C371" s="1" t="n">
        <v>45343</v>
      </c>
      <c r="D371" t="inlineStr">
        <is>
          <t>JÄMTLANDS LÄN</t>
        </is>
      </c>
      <c r="E371" t="inlineStr">
        <is>
          <t>STRÖMSUND</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57622-2018</t>
        </is>
      </c>
      <c r="B372" s="1" t="n">
        <v>43404</v>
      </c>
      <c r="C372" s="1" t="n">
        <v>45343</v>
      </c>
      <c r="D372" t="inlineStr">
        <is>
          <t>JÄMTLANDS LÄN</t>
        </is>
      </c>
      <c r="E372" t="inlineStr">
        <is>
          <t>STRÖMSUND</t>
        </is>
      </c>
      <c r="G372" t="n">
        <v>20.4</v>
      </c>
      <c r="H372" t="n">
        <v>0</v>
      </c>
      <c r="I372" t="n">
        <v>0</v>
      </c>
      <c r="J372" t="n">
        <v>0</v>
      </c>
      <c r="K372" t="n">
        <v>0</v>
      </c>
      <c r="L372" t="n">
        <v>0</v>
      </c>
      <c r="M372" t="n">
        <v>0</v>
      </c>
      <c r="N372" t="n">
        <v>0</v>
      </c>
      <c r="O372" t="n">
        <v>0</v>
      </c>
      <c r="P372" t="n">
        <v>0</v>
      </c>
      <c r="Q372" t="n">
        <v>0</v>
      </c>
      <c r="R372" s="2" t="inlineStr"/>
    </row>
    <row r="373" ht="15" customHeight="1">
      <c r="A373" t="inlineStr">
        <is>
          <t>A 57644-2018</t>
        </is>
      </c>
      <c r="B373" s="1" t="n">
        <v>43404</v>
      </c>
      <c r="C373" s="1" t="n">
        <v>45343</v>
      </c>
      <c r="D373" t="inlineStr">
        <is>
          <t>JÄMTLANDS LÄN</t>
        </is>
      </c>
      <c r="E373" t="inlineStr">
        <is>
          <t>STRÖMSUND</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57488-2018</t>
        </is>
      </c>
      <c r="B374" s="1" t="n">
        <v>43404</v>
      </c>
      <c r="C374" s="1" t="n">
        <v>45343</v>
      </c>
      <c r="D374" t="inlineStr">
        <is>
          <t>JÄMTLANDS LÄN</t>
        </is>
      </c>
      <c r="E374" t="inlineStr">
        <is>
          <t>STRÖMSUND</t>
        </is>
      </c>
      <c r="F374" t="inlineStr">
        <is>
          <t>Holmen skog AB</t>
        </is>
      </c>
      <c r="G374" t="n">
        <v>2.7</v>
      </c>
      <c r="H374" t="n">
        <v>0</v>
      </c>
      <c r="I374" t="n">
        <v>0</v>
      </c>
      <c r="J374" t="n">
        <v>0</v>
      </c>
      <c r="K374" t="n">
        <v>0</v>
      </c>
      <c r="L374" t="n">
        <v>0</v>
      </c>
      <c r="M374" t="n">
        <v>0</v>
      </c>
      <c r="N374" t="n">
        <v>0</v>
      </c>
      <c r="O374" t="n">
        <v>0</v>
      </c>
      <c r="P374" t="n">
        <v>0</v>
      </c>
      <c r="Q374" t="n">
        <v>0</v>
      </c>
      <c r="R374" s="2" t="inlineStr"/>
    </row>
    <row r="375" ht="15" customHeight="1">
      <c r="A375" t="inlineStr">
        <is>
          <t>A 57704-2018</t>
        </is>
      </c>
      <c r="B375" s="1" t="n">
        <v>43405</v>
      </c>
      <c r="C375" s="1" t="n">
        <v>45343</v>
      </c>
      <c r="D375" t="inlineStr">
        <is>
          <t>JÄMTLANDS LÄN</t>
        </is>
      </c>
      <c r="E375" t="inlineStr">
        <is>
          <t>STRÖMSUND</t>
        </is>
      </c>
      <c r="F375" t="inlineStr">
        <is>
          <t>Holmen skog AB</t>
        </is>
      </c>
      <c r="G375" t="n">
        <v>2.2</v>
      </c>
      <c r="H375" t="n">
        <v>0</v>
      </c>
      <c r="I375" t="n">
        <v>0</v>
      </c>
      <c r="J375" t="n">
        <v>0</v>
      </c>
      <c r="K375" t="n">
        <v>0</v>
      </c>
      <c r="L375" t="n">
        <v>0</v>
      </c>
      <c r="M375" t="n">
        <v>0</v>
      </c>
      <c r="N375" t="n">
        <v>0</v>
      </c>
      <c r="O375" t="n">
        <v>0</v>
      </c>
      <c r="P375" t="n">
        <v>0</v>
      </c>
      <c r="Q375" t="n">
        <v>0</v>
      </c>
      <c r="R375" s="2" t="inlineStr"/>
    </row>
    <row r="376" ht="15" customHeight="1">
      <c r="A376" t="inlineStr">
        <is>
          <t>A 57699-2018</t>
        </is>
      </c>
      <c r="B376" s="1" t="n">
        <v>43405</v>
      </c>
      <c r="C376" s="1" t="n">
        <v>45343</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58135-2018</t>
        </is>
      </c>
      <c r="B377" s="1" t="n">
        <v>43406</v>
      </c>
      <c r="C377" s="1" t="n">
        <v>45343</v>
      </c>
      <c r="D377" t="inlineStr">
        <is>
          <t>JÄMTLANDS LÄN</t>
        </is>
      </c>
      <c r="E377" t="inlineStr">
        <is>
          <t>STRÖMSUND</t>
        </is>
      </c>
      <c r="F377" t="inlineStr">
        <is>
          <t>Holmen skog AB</t>
        </is>
      </c>
      <c r="G377" t="n">
        <v>4.6</v>
      </c>
      <c r="H377" t="n">
        <v>0</v>
      </c>
      <c r="I377" t="n">
        <v>0</v>
      </c>
      <c r="J377" t="n">
        <v>0</v>
      </c>
      <c r="K377" t="n">
        <v>0</v>
      </c>
      <c r="L377" t="n">
        <v>0</v>
      </c>
      <c r="M377" t="n">
        <v>0</v>
      </c>
      <c r="N377" t="n">
        <v>0</v>
      </c>
      <c r="O377" t="n">
        <v>0</v>
      </c>
      <c r="P377" t="n">
        <v>0</v>
      </c>
      <c r="Q377" t="n">
        <v>0</v>
      </c>
      <c r="R377" s="2" t="inlineStr"/>
    </row>
    <row r="378" ht="15" customHeight="1">
      <c r="A378" t="inlineStr">
        <is>
          <t>A 58132-2018</t>
        </is>
      </c>
      <c r="B378" s="1" t="n">
        <v>43406</v>
      </c>
      <c r="C378" s="1" t="n">
        <v>45343</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58149-2018</t>
        </is>
      </c>
      <c r="B379" s="1" t="n">
        <v>43406</v>
      </c>
      <c r="C379" s="1" t="n">
        <v>45343</v>
      </c>
      <c r="D379" t="inlineStr">
        <is>
          <t>JÄMTLANDS LÄN</t>
        </is>
      </c>
      <c r="E379" t="inlineStr">
        <is>
          <t>STRÖMSUND</t>
        </is>
      </c>
      <c r="G379" t="n">
        <v>6.5</v>
      </c>
      <c r="H379" t="n">
        <v>0</v>
      </c>
      <c r="I379" t="n">
        <v>0</v>
      </c>
      <c r="J379" t="n">
        <v>0</v>
      </c>
      <c r="K379" t="n">
        <v>0</v>
      </c>
      <c r="L379" t="n">
        <v>0</v>
      </c>
      <c r="M379" t="n">
        <v>0</v>
      </c>
      <c r="N379" t="n">
        <v>0</v>
      </c>
      <c r="O379" t="n">
        <v>0</v>
      </c>
      <c r="P379" t="n">
        <v>0</v>
      </c>
      <c r="Q379" t="n">
        <v>0</v>
      </c>
      <c r="R379" s="2" t="inlineStr"/>
    </row>
    <row r="380" ht="15" customHeight="1">
      <c r="A380" t="inlineStr">
        <is>
          <t>A 58272-2018</t>
        </is>
      </c>
      <c r="B380" s="1" t="n">
        <v>43409</v>
      </c>
      <c r="C380" s="1" t="n">
        <v>45343</v>
      </c>
      <c r="D380" t="inlineStr">
        <is>
          <t>JÄMTLANDS LÄN</t>
        </is>
      </c>
      <c r="E380" t="inlineStr">
        <is>
          <t>STRÖMSUND</t>
        </is>
      </c>
      <c r="F380" t="inlineStr">
        <is>
          <t>Holmen skog AB</t>
        </is>
      </c>
      <c r="G380" t="n">
        <v>11.8</v>
      </c>
      <c r="H380" t="n">
        <v>0</v>
      </c>
      <c r="I380" t="n">
        <v>0</v>
      </c>
      <c r="J380" t="n">
        <v>0</v>
      </c>
      <c r="K380" t="n">
        <v>0</v>
      </c>
      <c r="L380" t="n">
        <v>0</v>
      </c>
      <c r="M380" t="n">
        <v>0</v>
      </c>
      <c r="N380" t="n">
        <v>0</v>
      </c>
      <c r="O380" t="n">
        <v>0</v>
      </c>
      <c r="P380" t="n">
        <v>0</v>
      </c>
      <c r="Q380" t="n">
        <v>0</v>
      </c>
      <c r="R380" s="2" t="inlineStr"/>
    </row>
    <row r="381" ht="15" customHeight="1">
      <c r="A381" t="inlineStr">
        <is>
          <t>A 58274-2018</t>
        </is>
      </c>
      <c r="B381" s="1" t="n">
        <v>43409</v>
      </c>
      <c r="C381" s="1" t="n">
        <v>45343</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58400-2018</t>
        </is>
      </c>
      <c r="B382" s="1" t="n">
        <v>43409</v>
      </c>
      <c r="C382" s="1" t="n">
        <v>45343</v>
      </c>
      <c r="D382" t="inlineStr">
        <is>
          <t>JÄMTLANDS LÄN</t>
        </is>
      </c>
      <c r="E382" t="inlineStr">
        <is>
          <t>STRÖMSUND</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58944-2018</t>
        </is>
      </c>
      <c r="B383" s="1" t="n">
        <v>43410</v>
      </c>
      <c r="C383" s="1" t="n">
        <v>45343</v>
      </c>
      <c r="D383" t="inlineStr">
        <is>
          <t>JÄMTLANDS LÄN</t>
        </is>
      </c>
      <c r="E383" t="inlineStr">
        <is>
          <t>STRÖMSUND</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58934-2018</t>
        </is>
      </c>
      <c r="B384" s="1" t="n">
        <v>43410</v>
      </c>
      <c r="C384" s="1" t="n">
        <v>45343</v>
      </c>
      <c r="D384" t="inlineStr">
        <is>
          <t>JÄMTLANDS LÄN</t>
        </is>
      </c>
      <c r="E384" t="inlineStr">
        <is>
          <t>STRÖMSUND</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58869-2018</t>
        </is>
      </c>
      <c r="B385" s="1" t="n">
        <v>43410</v>
      </c>
      <c r="C385" s="1" t="n">
        <v>45343</v>
      </c>
      <c r="D385" t="inlineStr">
        <is>
          <t>JÄMTLANDS LÄN</t>
        </is>
      </c>
      <c r="E385" t="inlineStr">
        <is>
          <t>STRÖMSUND</t>
        </is>
      </c>
      <c r="F385" t="inlineStr">
        <is>
          <t>Holmen skog AB</t>
        </is>
      </c>
      <c r="G385" t="n">
        <v>8.4</v>
      </c>
      <c r="H385" t="n">
        <v>0</v>
      </c>
      <c r="I385" t="n">
        <v>0</v>
      </c>
      <c r="J385" t="n">
        <v>0</v>
      </c>
      <c r="K385" t="n">
        <v>0</v>
      </c>
      <c r="L385" t="n">
        <v>0</v>
      </c>
      <c r="M385" t="n">
        <v>0</v>
      </c>
      <c r="N385" t="n">
        <v>0</v>
      </c>
      <c r="O385" t="n">
        <v>0</v>
      </c>
      <c r="P385" t="n">
        <v>0</v>
      </c>
      <c r="Q385" t="n">
        <v>0</v>
      </c>
      <c r="R385" s="2" t="inlineStr"/>
    </row>
    <row r="386" ht="15" customHeight="1">
      <c r="A386" t="inlineStr">
        <is>
          <t>A 58938-2018</t>
        </is>
      </c>
      <c r="B386" s="1" t="n">
        <v>43410</v>
      </c>
      <c r="C386" s="1" t="n">
        <v>45343</v>
      </c>
      <c r="D386" t="inlineStr">
        <is>
          <t>JÄMTLANDS LÄN</t>
        </is>
      </c>
      <c r="E386" t="inlineStr">
        <is>
          <t>STRÖMSUND</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59297-2018</t>
        </is>
      </c>
      <c r="B387" s="1" t="n">
        <v>43411</v>
      </c>
      <c r="C387" s="1" t="n">
        <v>45343</v>
      </c>
      <c r="D387" t="inlineStr">
        <is>
          <t>JÄMTLANDS LÄN</t>
        </is>
      </c>
      <c r="E387" t="inlineStr">
        <is>
          <t>STRÖMSUND</t>
        </is>
      </c>
      <c r="F387" t="inlineStr">
        <is>
          <t>Holmen skog AB</t>
        </is>
      </c>
      <c r="G387" t="n">
        <v>6.2</v>
      </c>
      <c r="H387" t="n">
        <v>0</v>
      </c>
      <c r="I387" t="n">
        <v>0</v>
      </c>
      <c r="J387" t="n">
        <v>0</v>
      </c>
      <c r="K387" t="n">
        <v>0</v>
      </c>
      <c r="L387" t="n">
        <v>0</v>
      </c>
      <c r="M387" t="n">
        <v>0</v>
      </c>
      <c r="N387" t="n">
        <v>0</v>
      </c>
      <c r="O387" t="n">
        <v>0</v>
      </c>
      <c r="P387" t="n">
        <v>0</v>
      </c>
      <c r="Q387" t="n">
        <v>0</v>
      </c>
      <c r="R387" s="2" t="inlineStr"/>
    </row>
    <row r="388" ht="15" customHeight="1">
      <c r="A388" t="inlineStr">
        <is>
          <t>A 59983-2018</t>
        </is>
      </c>
      <c r="B388" s="1" t="n">
        <v>43411</v>
      </c>
      <c r="C388" s="1" t="n">
        <v>45343</v>
      </c>
      <c r="D388" t="inlineStr">
        <is>
          <t>JÄMTLANDS LÄN</t>
        </is>
      </c>
      <c r="E388" t="inlineStr">
        <is>
          <t>STRÖMSUND</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59999-2018</t>
        </is>
      </c>
      <c r="B389" s="1" t="n">
        <v>43411</v>
      </c>
      <c r="C389" s="1" t="n">
        <v>45343</v>
      </c>
      <c r="D389" t="inlineStr">
        <is>
          <t>JÄMTLANDS LÄN</t>
        </is>
      </c>
      <c r="E389" t="inlineStr">
        <is>
          <t>STRÖMSUND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59296-2018</t>
        </is>
      </c>
      <c r="B390" s="1" t="n">
        <v>43411</v>
      </c>
      <c r="C390" s="1" t="n">
        <v>45343</v>
      </c>
      <c r="D390" t="inlineStr">
        <is>
          <t>JÄMTLANDS LÄN</t>
        </is>
      </c>
      <c r="E390" t="inlineStr">
        <is>
          <t>STRÖMSUND</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59982-2018</t>
        </is>
      </c>
      <c r="B391" s="1" t="n">
        <v>43411</v>
      </c>
      <c r="C391" s="1" t="n">
        <v>45343</v>
      </c>
      <c r="D391" t="inlineStr">
        <is>
          <t>JÄMTLANDS LÄN</t>
        </is>
      </c>
      <c r="E391" t="inlineStr">
        <is>
          <t>STRÖMSUND</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59993-2018</t>
        </is>
      </c>
      <c r="B392" s="1" t="n">
        <v>43411</v>
      </c>
      <c r="C392" s="1" t="n">
        <v>45343</v>
      </c>
      <c r="D392" t="inlineStr">
        <is>
          <t>JÄMTLANDS LÄN</t>
        </is>
      </c>
      <c r="E392" t="inlineStr">
        <is>
          <t>STRÖMSUND</t>
        </is>
      </c>
      <c r="F392" t="inlineStr">
        <is>
          <t>SCA</t>
        </is>
      </c>
      <c r="G392" t="n">
        <v>7.6</v>
      </c>
      <c r="H392" t="n">
        <v>0</v>
      </c>
      <c r="I392" t="n">
        <v>0</v>
      </c>
      <c r="J392" t="n">
        <v>0</v>
      </c>
      <c r="K392" t="n">
        <v>0</v>
      </c>
      <c r="L392" t="n">
        <v>0</v>
      </c>
      <c r="M392" t="n">
        <v>0</v>
      </c>
      <c r="N392" t="n">
        <v>0</v>
      </c>
      <c r="O392" t="n">
        <v>0</v>
      </c>
      <c r="P392" t="n">
        <v>0</v>
      </c>
      <c r="Q392" t="n">
        <v>0</v>
      </c>
      <c r="R392" s="2" t="inlineStr"/>
    </row>
    <row r="393" ht="15" customHeight="1">
      <c r="A393" t="inlineStr">
        <is>
          <t>A 60003-2018</t>
        </is>
      </c>
      <c r="B393" s="1" t="n">
        <v>43411</v>
      </c>
      <c r="C393" s="1" t="n">
        <v>45343</v>
      </c>
      <c r="D393" t="inlineStr">
        <is>
          <t>JÄMTLANDS LÄN</t>
        </is>
      </c>
      <c r="E393" t="inlineStr">
        <is>
          <t>STRÖMSUND</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59986-2018</t>
        </is>
      </c>
      <c r="B394" s="1" t="n">
        <v>43411</v>
      </c>
      <c r="C394" s="1" t="n">
        <v>45343</v>
      </c>
      <c r="D394" t="inlineStr">
        <is>
          <t>JÄMTLANDS LÄN</t>
        </is>
      </c>
      <c r="E394" t="inlineStr">
        <is>
          <t>STRÖMSUND</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59997-2018</t>
        </is>
      </c>
      <c r="B395" s="1" t="n">
        <v>43411</v>
      </c>
      <c r="C395" s="1" t="n">
        <v>45343</v>
      </c>
      <c r="D395" t="inlineStr">
        <is>
          <t>JÄMTLANDS LÄN</t>
        </is>
      </c>
      <c r="E395" t="inlineStr">
        <is>
          <t>STRÖMSUND</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60001-2018</t>
        </is>
      </c>
      <c r="B396" s="1" t="n">
        <v>43411</v>
      </c>
      <c r="C396" s="1" t="n">
        <v>45343</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59996-2018</t>
        </is>
      </c>
      <c r="B397" s="1" t="n">
        <v>43411</v>
      </c>
      <c r="C397" s="1" t="n">
        <v>45343</v>
      </c>
      <c r="D397" t="inlineStr">
        <is>
          <t>JÄMTLANDS LÄN</t>
        </is>
      </c>
      <c r="E397" t="inlineStr">
        <is>
          <t>STRÖMSUND</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60000-2018</t>
        </is>
      </c>
      <c r="B398" s="1" t="n">
        <v>43411</v>
      </c>
      <c r="C398" s="1" t="n">
        <v>45343</v>
      </c>
      <c r="D398" t="inlineStr">
        <is>
          <t>JÄMTLANDS LÄN</t>
        </is>
      </c>
      <c r="E398" t="inlineStr">
        <is>
          <t>STRÖMSUND</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60210-2018</t>
        </is>
      </c>
      <c r="B399" s="1" t="n">
        <v>43412</v>
      </c>
      <c r="C399" s="1" t="n">
        <v>45343</v>
      </c>
      <c r="D399" t="inlineStr">
        <is>
          <t>JÄMTLANDS LÄN</t>
        </is>
      </c>
      <c r="E399" t="inlineStr">
        <is>
          <t>STRÖMSUND</t>
        </is>
      </c>
      <c r="G399" t="n">
        <v>1</v>
      </c>
      <c r="H399" t="n">
        <v>0</v>
      </c>
      <c r="I399" t="n">
        <v>0</v>
      </c>
      <c r="J399" t="n">
        <v>0</v>
      </c>
      <c r="K399" t="n">
        <v>0</v>
      </c>
      <c r="L399" t="n">
        <v>0</v>
      </c>
      <c r="M399" t="n">
        <v>0</v>
      </c>
      <c r="N399" t="n">
        <v>0</v>
      </c>
      <c r="O399" t="n">
        <v>0</v>
      </c>
      <c r="P399" t="n">
        <v>0</v>
      </c>
      <c r="Q399" t="n">
        <v>0</v>
      </c>
      <c r="R399" s="2" t="inlineStr"/>
    </row>
    <row r="400" ht="15" customHeight="1">
      <c r="A400" t="inlineStr">
        <is>
          <t>A 60131-2018</t>
        </is>
      </c>
      <c r="B400" s="1" t="n">
        <v>43412</v>
      </c>
      <c r="C400" s="1" t="n">
        <v>45343</v>
      </c>
      <c r="D400" t="inlineStr">
        <is>
          <t>JÄMTLANDS LÄN</t>
        </is>
      </c>
      <c r="E400" t="inlineStr">
        <is>
          <t>STRÖMSUND</t>
        </is>
      </c>
      <c r="G400" t="n">
        <v>3.6</v>
      </c>
      <c r="H400" t="n">
        <v>0</v>
      </c>
      <c r="I400" t="n">
        <v>0</v>
      </c>
      <c r="J400" t="n">
        <v>0</v>
      </c>
      <c r="K400" t="n">
        <v>0</v>
      </c>
      <c r="L400" t="n">
        <v>0</v>
      </c>
      <c r="M400" t="n">
        <v>0</v>
      </c>
      <c r="N400" t="n">
        <v>0</v>
      </c>
      <c r="O400" t="n">
        <v>0</v>
      </c>
      <c r="P400" t="n">
        <v>0</v>
      </c>
      <c r="Q400" t="n">
        <v>0</v>
      </c>
      <c r="R400" s="2" t="inlineStr"/>
    </row>
    <row r="401" ht="15" customHeight="1">
      <c r="A401" t="inlineStr">
        <is>
          <t>A 60205-2018</t>
        </is>
      </c>
      <c r="B401" s="1" t="n">
        <v>43412</v>
      </c>
      <c r="C401" s="1" t="n">
        <v>45343</v>
      </c>
      <c r="D401" t="inlineStr">
        <is>
          <t>JÄMTLANDS LÄN</t>
        </is>
      </c>
      <c r="E401" t="inlineStr">
        <is>
          <t>STRÖMSUND</t>
        </is>
      </c>
      <c r="G401" t="n">
        <v>1.5</v>
      </c>
      <c r="H401" t="n">
        <v>0</v>
      </c>
      <c r="I401" t="n">
        <v>0</v>
      </c>
      <c r="J401" t="n">
        <v>0</v>
      </c>
      <c r="K401" t="n">
        <v>0</v>
      </c>
      <c r="L401" t="n">
        <v>0</v>
      </c>
      <c r="M401" t="n">
        <v>0</v>
      </c>
      <c r="N401" t="n">
        <v>0</v>
      </c>
      <c r="O401" t="n">
        <v>0</v>
      </c>
      <c r="P401" t="n">
        <v>0</v>
      </c>
      <c r="Q401" t="n">
        <v>0</v>
      </c>
      <c r="R401" s="2" t="inlineStr"/>
    </row>
    <row r="402" ht="15" customHeight="1">
      <c r="A402" t="inlineStr">
        <is>
          <t>A 62513-2018</t>
        </is>
      </c>
      <c r="B402" s="1" t="n">
        <v>43413</v>
      </c>
      <c r="C402" s="1" t="n">
        <v>45343</v>
      </c>
      <c r="D402" t="inlineStr">
        <is>
          <t>JÄMTLANDS LÄN</t>
        </is>
      </c>
      <c r="E402" t="inlineStr">
        <is>
          <t>STRÖMSUND</t>
        </is>
      </c>
      <c r="F402" t="inlineStr">
        <is>
          <t>SCA</t>
        </is>
      </c>
      <c r="G402" t="n">
        <v>7.3</v>
      </c>
      <c r="H402" t="n">
        <v>0</v>
      </c>
      <c r="I402" t="n">
        <v>0</v>
      </c>
      <c r="J402" t="n">
        <v>0</v>
      </c>
      <c r="K402" t="n">
        <v>0</v>
      </c>
      <c r="L402" t="n">
        <v>0</v>
      </c>
      <c r="M402" t="n">
        <v>0</v>
      </c>
      <c r="N402" t="n">
        <v>0</v>
      </c>
      <c r="O402" t="n">
        <v>0</v>
      </c>
      <c r="P402" t="n">
        <v>0</v>
      </c>
      <c r="Q402" t="n">
        <v>0</v>
      </c>
      <c r="R402" s="2" t="inlineStr"/>
    </row>
    <row r="403" ht="15" customHeight="1">
      <c r="A403" t="inlineStr">
        <is>
          <t>A 62521-2018</t>
        </is>
      </c>
      <c r="B403" s="1" t="n">
        <v>43413</v>
      </c>
      <c r="C403" s="1" t="n">
        <v>45343</v>
      </c>
      <c r="D403" t="inlineStr">
        <is>
          <t>JÄMTLANDS LÄN</t>
        </is>
      </c>
      <c r="E403" t="inlineStr">
        <is>
          <t>STRÖMSUND</t>
        </is>
      </c>
      <c r="F403" t="inlineStr">
        <is>
          <t>SCA</t>
        </is>
      </c>
      <c r="G403" t="n">
        <v>7</v>
      </c>
      <c r="H403" t="n">
        <v>0</v>
      </c>
      <c r="I403" t="n">
        <v>0</v>
      </c>
      <c r="J403" t="n">
        <v>0</v>
      </c>
      <c r="K403" t="n">
        <v>0</v>
      </c>
      <c r="L403" t="n">
        <v>0</v>
      </c>
      <c r="M403" t="n">
        <v>0</v>
      </c>
      <c r="N403" t="n">
        <v>0</v>
      </c>
      <c r="O403" t="n">
        <v>0</v>
      </c>
      <c r="P403" t="n">
        <v>0</v>
      </c>
      <c r="Q403" t="n">
        <v>0</v>
      </c>
      <c r="R403" s="2" t="inlineStr"/>
    </row>
    <row r="404" ht="15" customHeight="1">
      <c r="A404" t="inlineStr">
        <is>
          <t>A 62638-2018</t>
        </is>
      </c>
      <c r="B404" s="1" t="n">
        <v>43413</v>
      </c>
      <c r="C404" s="1" t="n">
        <v>45343</v>
      </c>
      <c r="D404" t="inlineStr">
        <is>
          <t>JÄMTLANDS LÄN</t>
        </is>
      </c>
      <c r="E404" t="inlineStr">
        <is>
          <t>STRÖMSUND</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62515-2018</t>
        </is>
      </c>
      <c r="B405" s="1" t="n">
        <v>43413</v>
      </c>
      <c r="C405" s="1" t="n">
        <v>45343</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62640-2018</t>
        </is>
      </c>
      <c r="B406" s="1" t="n">
        <v>43413</v>
      </c>
      <c r="C406" s="1" t="n">
        <v>45343</v>
      </c>
      <c r="D406" t="inlineStr">
        <is>
          <t>JÄMTLANDS LÄN</t>
        </is>
      </c>
      <c r="E406" t="inlineStr">
        <is>
          <t>STRÖMSUND</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62512-2018</t>
        </is>
      </c>
      <c r="B407" s="1" t="n">
        <v>43413</v>
      </c>
      <c r="C407" s="1" t="n">
        <v>45343</v>
      </c>
      <c r="D407" t="inlineStr">
        <is>
          <t>JÄMTLANDS LÄN</t>
        </is>
      </c>
      <c r="E407" t="inlineStr">
        <is>
          <t>STRÖMSUND</t>
        </is>
      </c>
      <c r="F407" t="inlineStr">
        <is>
          <t>SCA</t>
        </is>
      </c>
      <c r="G407" t="n">
        <v>10.4</v>
      </c>
      <c r="H407" t="n">
        <v>0</v>
      </c>
      <c r="I407" t="n">
        <v>0</v>
      </c>
      <c r="J407" t="n">
        <v>0</v>
      </c>
      <c r="K407" t="n">
        <v>0</v>
      </c>
      <c r="L407" t="n">
        <v>0</v>
      </c>
      <c r="M407" t="n">
        <v>0</v>
      </c>
      <c r="N407" t="n">
        <v>0</v>
      </c>
      <c r="O407" t="n">
        <v>0</v>
      </c>
      <c r="P407" t="n">
        <v>0</v>
      </c>
      <c r="Q407" t="n">
        <v>0</v>
      </c>
      <c r="R407" s="2" t="inlineStr"/>
    </row>
    <row r="408" ht="15" customHeight="1">
      <c r="A408" t="inlineStr">
        <is>
          <t>A 62647-2018</t>
        </is>
      </c>
      <c r="B408" s="1" t="n">
        <v>43413</v>
      </c>
      <c r="C408" s="1" t="n">
        <v>45343</v>
      </c>
      <c r="D408" t="inlineStr">
        <is>
          <t>JÄMTLANDS LÄN</t>
        </is>
      </c>
      <c r="E408" t="inlineStr">
        <is>
          <t>STRÖMSUND</t>
        </is>
      </c>
      <c r="F408" t="inlineStr">
        <is>
          <t>SCA</t>
        </is>
      </c>
      <c r="G408" t="n">
        <v>9.4</v>
      </c>
      <c r="H408" t="n">
        <v>0</v>
      </c>
      <c r="I408" t="n">
        <v>0</v>
      </c>
      <c r="J408" t="n">
        <v>0</v>
      </c>
      <c r="K408" t="n">
        <v>0</v>
      </c>
      <c r="L408" t="n">
        <v>0</v>
      </c>
      <c r="M408" t="n">
        <v>0</v>
      </c>
      <c r="N408" t="n">
        <v>0</v>
      </c>
      <c r="O408" t="n">
        <v>0</v>
      </c>
      <c r="P408" t="n">
        <v>0</v>
      </c>
      <c r="Q408" t="n">
        <v>0</v>
      </c>
      <c r="R408" s="2" t="inlineStr"/>
    </row>
    <row r="409" ht="15" customHeight="1">
      <c r="A409" t="inlineStr">
        <is>
          <t>A 62514-2018</t>
        </is>
      </c>
      <c r="B409" s="1" t="n">
        <v>43413</v>
      </c>
      <c r="C409" s="1" t="n">
        <v>45343</v>
      </c>
      <c r="D409" t="inlineStr">
        <is>
          <t>JÄMTLANDS LÄN</t>
        </is>
      </c>
      <c r="E409" t="inlineStr">
        <is>
          <t>STRÖMSUND</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62639-2018</t>
        </is>
      </c>
      <c r="B410" s="1" t="n">
        <v>43413</v>
      </c>
      <c r="C410" s="1" t="n">
        <v>45343</v>
      </c>
      <c r="D410" t="inlineStr">
        <is>
          <t>JÄMTLANDS LÄN</t>
        </is>
      </c>
      <c r="E410" t="inlineStr">
        <is>
          <t>STRÖMSUND</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62498-2018</t>
        </is>
      </c>
      <c r="B411" s="1" t="n">
        <v>43414</v>
      </c>
      <c r="C411" s="1" t="n">
        <v>45343</v>
      </c>
      <c r="D411" t="inlineStr">
        <is>
          <t>JÄMTLANDS LÄN</t>
        </is>
      </c>
      <c r="E411" t="inlineStr">
        <is>
          <t>STRÖMSUND</t>
        </is>
      </c>
      <c r="G411" t="n">
        <v>6.9</v>
      </c>
      <c r="H411" t="n">
        <v>0</v>
      </c>
      <c r="I411" t="n">
        <v>0</v>
      </c>
      <c r="J411" t="n">
        <v>0</v>
      </c>
      <c r="K411" t="n">
        <v>0</v>
      </c>
      <c r="L411" t="n">
        <v>0</v>
      </c>
      <c r="M411" t="n">
        <v>0</v>
      </c>
      <c r="N411" t="n">
        <v>0</v>
      </c>
      <c r="O411" t="n">
        <v>0</v>
      </c>
      <c r="P411" t="n">
        <v>0</v>
      </c>
      <c r="Q411" t="n">
        <v>0</v>
      </c>
      <c r="R411" s="2" t="inlineStr"/>
    </row>
    <row r="412" ht="15" customHeight="1">
      <c r="A412" t="inlineStr">
        <is>
          <t>A 59927-2018</t>
        </is>
      </c>
      <c r="B412" s="1" t="n">
        <v>43419</v>
      </c>
      <c r="C412" s="1" t="n">
        <v>45343</v>
      </c>
      <c r="D412" t="inlineStr">
        <is>
          <t>JÄMTLANDS LÄN</t>
        </is>
      </c>
      <c r="E412" t="inlineStr">
        <is>
          <t>STRÖMSUND</t>
        </is>
      </c>
      <c r="F412" t="inlineStr">
        <is>
          <t>SCA</t>
        </is>
      </c>
      <c r="G412" t="n">
        <v>5.5</v>
      </c>
      <c r="H412" t="n">
        <v>0</v>
      </c>
      <c r="I412" t="n">
        <v>0</v>
      </c>
      <c r="J412" t="n">
        <v>0</v>
      </c>
      <c r="K412" t="n">
        <v>0</v>
      </c>
      <c r="L412" t="n">
        <v>0</v>
      </c>
      <c r="M412" t="n">
        <v>0</v>
      </c>
      <c r="N412" t="n">
        <v>0</v>
      </c>
      <c r="O412" t="n">
        <v>0</v>
      </c>
      <c r="P412" t="n">
        <v>0</v>
      </c>
      <c r="Q412" t="n">
        <v>0</v>
      </c>
      <c r="R412" s="2" t="inlineStr"/>
    </row>
    <row r="413" ht="15" customHeight="1">
      <c r="A413" t="inlineStr">
        <is>
          <t>A 59919-2018</t>
        </is>
      </c>
      <c r="B413" s="1" t="n">
        <v>43419</v>
      </c>
      <c r="C413" s="1" t="n">
        <v>45343</v>
      </c>
      <c r="D413" t="inlineStr">
        <is>
          <t>JÄMTLANDS LÄN</t>
        </is>
      </c>
      <c r="E413" t="inlineStr">
        <is>
          <t>STRÖMSUND</t>
        </is>
      </c>
      <c r="F413" t="inlineStr">
        <is>
          <t>SCA</t>
        </is>
      </c>
      <c r="G413" t="n">
        <v>3.4</v>
      </c>
      <c r="H413" t="n">
        <v>0</v>
      </c>
      <c r="I413" t="n">
        <v>0</v>
      </c>
      <c r="J413" t="n">
        <v>0</v>
      </c>
      <c r="K413" t="n">
        <v>0</v>
      </c>
      <c r="L413" t="n">
        <v>0</v>
      </c>
      <c r="M413" t="n">
        <v>0</v>
      </c>
      <c r="N413" t="n">
        <v>0</v>
      </c>
      <c r="O413" t="n">
        <v>0</v>
      </c>
      <c r="P413" t="n">
        <v>0</v>
      </c>
      <c r="Q413" t="n">
        <v>0</v>
      </c>
      <c r="R413" s="2" t="inlineStr"/>
    </row>
    <row r="414" ht="15" customHeight="1">
      <c r="A414" t="inlineStr">
        <is>
          <t>A 59928-2018</t>
        </is>
      </c>
      <c r="B414" s="1" t="n">
        <v>43419</v>
      </c>
      <c r="C414" s="1" t="n">
        <v>45343</v>
      </c>
      <c r="D414" t="inlineStr">
        <is>
          <t>JÄMTLANDS LÄN</t>
        </is>
      </c>
      <c r="E414" t="inlineStr">
        <is>
          <t>STRÖMSUND</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59918-2018</t>
        </is>
      </c>
      <c r="B415" s="1" t="n">
        <v>43419</v>
      </c>
      <c r="C415" s="1" t="n">
        <v>45343</v>
      </c>
      <c r="D415" t="inlineStr">
        <is>
          <t>JÄMTLANDS LÄN</t>
        </is>
      </c>
      <c r="E415" t="inlineStr">
        <is>
          <t>STRÖMSUND</t>
        </is>
      </c>
      <c r="F415" t="inlineStr">
        <is>
          <t>SCA</t>
        </is>
      </c>
      <c r="G415" t="n">
        <v>6.9</v>
      </c>
      <c r="H415" t="n">
        <v>0</v>
      </c>
      <c r="I415" t="n">
        <v>0</v>
      </c>
      <c r="J415" t="n">
        <v>0</v>
      </c>
      <c r="K415" t="n">
        <v>0</v>
      </c>
      <c r="L415" t="n">
        <v>0</v>
      </c>
      <c r="M415" t="n">
        <v>0</v>
      </c>
      <c r="N415" t="n">
        <v>0</v>
      </c>
      <c r="O415" t="n">
        <v>0</v>
      </c>
      <c r="P415" t="n">
        <v>0</v>
      </c>
      <c r="Q415" t="n">
        <v>0</v>
      </c>
      <c r="R415" s="2" t="inlineStr"/>
    </row>
    <row r="416" ht="15" customHeight="1">
      <c r="A416" t="inlineStr">
        <is>
          <t>A 59914-2018</t>
        </is>
      </c>
      <c r="B416" s="1" t="n">
        <v>43419</v>
      </c>
      <c r="C416" s="1" t="n">
        <v>45343</v>
      </c>
      <c r="D416" t="inlineStr">
        <is>
          <t>JÄMTLANDS LÄN</t>
        </is>
      </c>
      <c r="E416" t="inlineStr">
        <is>
          <t>STRÖMSUND</t>
        </is>
      </c>
      <c r="F416" t="inlineStr">
        <is>
          <t>SCA</t>
        </is>
      </c>
      <c r="G416" t="n">
        <v>14.2</v>
      </c>
      <c r="H416" t="n">
        <v>0</v>
      </c>
      <c r="I416" t="n">
        <v>0</v>
      </c>
      <c r="J416" t="n">
        <v>0</v>
      </c>
      <c r="K416" t="n">
        <v>0</v>
      </c>
      <c r="L416" t="n">
        <v>0</v>
      </c>
      <c r="M416" t="n">
        <v>0</v>
      </c>
      <c r="N416" t="n">
        <v>0</v>
      </c>
      <c r="O416" t="n">
        <v>0</v>
      </c>
      <c r="P416" t="n">
        <v>0</v>
      </c>
      <c r="Q416" t="n">
        <v>0</v>
      </c>
      <c r="R416" s="2" t="inlineStr"/>
    </row>
    <row r="417" ht="15" customHeight="1">
      <c r="A417" t="inlineStr">
        <is>
          <t>A 59921-2018</t>
        </is>
      </c>
      <c r="B417" s="1" t="n">
        <v>43419</v>
      </c>
      <c r="C417" s="1" t="n">
        <v>45343</v>
      </c>
      <c r="D417" t="inlineStr">
        <is>
          <t>JÄMTLANDS LÄN</t>
        </is>
      </c>
      <c r="E417" t="inlineStr">
        <is>
          <t>STRÖMSUND</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59929-2018</t>
        </is>
      </c>
      <c r="B418" s="1" t="n">
        <v>43419</v>
      </c>
      <c r="C418" s="1" t="n">
        <v>45343</v>
      </c>
      <c r="D418" t="inlineStr">
        <is>
          <t>JÄMTLANDS LÄN</t>
        </is>
      </c>
      <c r="E418" t="inlineStr">
        <is>
          <t>STRÖMSUND</t>
        </is>
      </c>
      <c r="F418" t="inlineStr">
        <is>
          <t>SCA</t>
        </is>
      </c>
      <c r="G418" t="n">
        <v>5.3</v>
      </c>
      <c r="H418" t="n">
        <v>0</v>
      </c>
      <c r="I418" t="n">
        <v>0</v>
      </c>
      <c r="J418" t="n">
        <v>0</v>
      </c>
      <c r="K418" t="n">
        <v>0</v>
      </c>
      <c r="L418" t="n">
        <v>0</v>
      </c>
      <c r="M418" t="n">
        <v>0</v>
      </c>
      <c r="N418" t="n">
        <v>0</v>
      </c>
      <c r="O418" t="n">
        <v>0</v>
      </c>
      <c r="P418" t="n">
        <v>0</v>
      </c>
      <c r="Q418" t="n">
        <v>0</v>
      </c>
      <c r="R418" s="2" t="inlineStr"/>
    </row>
    <row r="419" ht="15" customHeight="1">
      <c r="A419" t="inlineStr">
        <is>
          <t>A 59931-2018</t>
        </is>
      </c>
      <c r="B419" s="1" t="n">
        <v>43419</v>
      </c>
      <c r="C419" s="1" t="n">
        <v>45343</v>
      </c>
      <c r="D419" t="inlineStr">
        <is>
          <t>JÄMTLANDS LÄN</t>
        </is>
      </c>
      <c r="E419" t="inlineStr">
        <is>
          <t>STRÖMSUND</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59923-2018</t>
        </is>
      </c>
      <c r="B420" s="1" t="n">
        <v>43419</v>
      </c>
      <c r="C420" s="1" t="n">
        <v>45343</v>
      </c>
      <c r="D420" t="inlineStr">
        <is>
          <t>JÄMTLANDS LÄN</t>
        </is>
      </c>
      <c r="E420" t="inlineStr">
        <is>
          <t>STRÖMSUND</t>
        </is>
      </c>
      <c r="F420" t="inlineStr">
        <is>
          <t>SCA</t>
        </is>
      </c>
      <c r="G420" t="n">
        <v>12.4</v>
      </c>
      <c r="H420" t="n">
        <v>0</v>
      </c>
      <c r="I420" t="n">
        <v>0</v>
      </c>
      <c r="J420" t="n">
        <v>0</v>
      </c>
      <c r="K420" t="n">
        <v>0</v>
      </c>
      <c r="L420" t="n">
        <v>0</v>
      </c>
      <c r="M420" t="n">
        <v>0</v>
      </c>
      <c r="N420" t="n">
        <v>0</v>
      </c>
      <c r="O420" t="n">
        <v>0</v>
      </c>
      <c r="P420" t="n">
        <v>0</v>
      </c>
      <c r="Q420" t="n">
        <v>0</v>
      </c>
      <c r="R420" s="2" t="inlineStr"/>
    </row>
    <row r="421" ht="15" customHeight="1">
      <c r="A421" t="inlineStr">
        <is>
          <t>A 59916-2018</t>
        </is>
      </c>
      <c r="B421" s="1" t="n">
        <v>43419</v>
      </c>
      <c r="C421" s="1" t="n">
        <v>45343</v>
      </c>
      <c r="D421" t="inlineStr">
        <is>
          <t>JÄMTLANDS LÄN</t>
        </is>
      </c>
      <c r="E421" t="inlineStr">
        <is>
          <t>STRÖMSUND</t>
        </is>
      </c>
      <c r="F421" t="inlineStr">
        <is>
          <t>SCA</t>
        </is>
      </c>
      <c r="G421" t="n">
        <v>3.8</v>
      </c>
      <c r="H421" t="n">
        <v>0</v>
      </c>
      <c r="I421" t="n">
        <v>0</v>
      </c>
      <c r="J421" t="n">
        <v>0</v>
      </c>
      <c r="K421" t="n">
        <v>0</v>
      </c>
      <c r="L421" t="n">
        <v>0</v>
      </c>
      <c r="M421" t="n">
        <v>0</v>
      </c>
      <c r="N421" t="n">
        <v>0</v>
      </c>
      <c r="O421" t="n">
        <v>0</v>
      </c>
      <c r="P421" t="n">
        <v>0</v>
      </c>
      <c r="Q421" t="n">
        <v>0</v>
      </c>
      <c r="R421" s="2" t="inlineStr"/>
    </row>
    <row r="422" ht="15" customHeight="1">
      <c r="A422" t="inlineStr">
        <is>
          <t>A 61282-2018</t>
        </is>
      </c>
      <c r="B422" s="1" t="n">
        <v>43423</v>
      </c>
      <c r="C422" s="1" t="n">
        <v>45343</v>
      </c>
      <c r="D422" t="inlineStr">
        <is>
          <t>JÄMTLANDS LÄN</t>
        </is>
      </c>
      <c r="E422" t="inlineStr">
        <is>
          <t>STRÖMSUND</t>
        </is>
      </c>
      <c r="G422" t="n">
        <v>1.5</v>
      </c>
      <c r="H422" t="n">
        <v>0</v>
      </c>
      <c r="I422" t="n">
        <v>0</v>
      </c>
      <c r="J422" t="n">
        <v>0</v>
      </c>
      <c r="K422" t="n">
        <v>0</v>
      </c>
      <c r="L422" t="n">
        <v>0</v>
      </c>
      <c r="M422" t="n">
        <v>0</v>
      </c>
      <c r="N422" t="n">
        <v>0</v>
      </c>
      <c r="O422" t="n">
        <v>0</v>
      </c>
      <c r="P422" t="n">
        <v>0</v>
      </c>
      <c r="Q422" t="n">
        <v>0</v>
      </c>
      <c r="R422" s="2" t="inlineStr"/>
    </row>
    <row r="423" ht="15" customHeight="1">
      <c r="A423" t="inlineStr">
        <is>
          <t>A 61651-2018</t>
        </is>
      </c>
      <c r="B423" s="1" t="n">
        <v>43424</v>
      </c>
      <c r="C423" s="1" t="n">
        <v>45343</v>
      </c>
      <c r="D423" t="inlineStr">
        <is>
          <t>JÄMTLANDS LÄN</t>
        </is>
      </c>
      <c r="E423" t="inlineStr">
        <is>
          <t>STRÖMSUND</t>
        </is>
      </c>
      <c r="F423" t="inlineStr">
        <is>
          <t>SCA</t>
        </is>
      </c>
      <c r="G423" t="n">
        <v>10.5</v>
      </c>
      <c r="H423" t="n">
        <v>0</v>
      </c>
      <c r="I423" t="n">
        <v>0</v>
      </c>
      <c r="J423" t="n">
        <v>0</v>
      </c>
      <c r="K423" t="n">
        <v>0</v>
      </c>
      <c r="L423" t="n">
        <v>0</v>
      </c>
      <c r="M423" t="n">
        <v>0</v>
      </c>
      <c r="N423" t="n">
        <v>0</v>
      </c>
      <c r="O423" t="n">
        <v>0</v>
      </c>
      <c r="P423" t="n">
        <v>0</v>
      </c>
      <c r="Q423" t="n">
        <v>0</v>
      </c>
      <c r="R423" s="2" t="inlineStr"/>
    </row>
    <row r="424" ht="15" customHeight="1">
      <c r="A424" t="inlineStr">
        <is>
          <t>A 61652-2018</t>
        </is>
      </c>
      <c r="B424" s="1" t="n">
        <v>43424</v>
      </c>
      <c r="C424" s="1" t="n">
        <v>45343</v>
      </c>
      <c r="D424" t="inlineStr">
        <is>
          <t>JÄMTLANDS LÄN</t>
        </is>
      </c>
      <c r="E424" t="inlineStr">
        <is>
          <t>STRÖMSUND</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63274-2018</t>
        </is>
      </c>
      <c r="B425" s="1" t="n">
        <v>43426</v>
      </c>
      <c r="C425" s="1" t="n">
        <v>45343</v>
      </c>
      <c r="D425" t="inlineStr">
        <is>
          <t>JÄMTLANDS LÄN</t>
        </is>
      </c>
      <c r="E425" t="inlineStr">
        <is>
          <t>STRÖMSUND</t>
        </is>
      </c>
      <c r="F425" t="inlineStr">
        <is>
          <t>SCA</t>
        </is>
      </c>
      <c r="G425" t="n">
        <v>13.6</v>
      </c>
      <c r="H425" t="n">
        <v>0</v>
      </c>
      <c r="I425" t="n">
        <v>0</v>
      </c>
      <c r="J425" t="n">
        <v>0</v>
      </c>
      <c r="K425" t="n">
        <v>0</v>
      </c>
      <c r="L425" t="n">
        <v>0</v>
      </c>
      <c r="M425" t="n">
        <v>0</v>
      </c>
      <c r="N425" t="n">
        <v>0</v>
      </c>
      <c r="O425" t="n">
        <v>0</v>
      </c>
      <c r="P425" t="n">
        <v>0</v>
      </c>
      <c r="Q425" t="n">
        <v>0</v>
      </c>
      <c r="R425" s="2" t="inlineStr"/>
    </row>
    <row r="426" ht="15" customHeight="1">
      <c r="A426" t="inlineStr">
        <is>
          <t>A 63277-2018</t>
        </is>
      </c>
      <c r="B426" s="1" t="n">
        <v>43426</v>
      </c>
      <c r="C426" s="1" t="n">
        <v>45343</v>
      </c>
      <c r="D426" t="inlineStr">
        <is>
          <t>JÄMTLANDS LÄN</t>
        </is>
      </c>
      <c r="E426" t="inlineStr">
        <is>
          <t>STRÖMSUND</t>
        </is>
      </c>
      <c r="F426" t="inlineStr">
        <is>
          <t>SCA</t>
        </is>
      </c>
      <c r="G426" t="n">
        <v>10.3</v>
      </c>
      <c r="H426" t="n">
        <v>0</v>
      </c>
      <c r="I426" t="n">
        <v>0</v>
      </c>
      <c r="J426" t="n">
        <v>0</v>
      </c>
      <c r="K426" t="n">
        <v>0</v>
      </c>
      <c r="L426" t="n">
        <v>0</v>
      </c>
      <c r="M426" t="n">
        <v>0</v>
      </c>
      <c r="N426" t="n">
        <v>0</v>
      </c>
      <c r="O426" t="n">
        <v>0</v>
      </c>
      <c r="P426" t="n">
        <v>0</v>
      </c>
      <c r="Q426" t="n">
        <v>0</v>
      </c>
      <c r="R426" s="2" t="inlineStr"/>
    </row>
    <row r="427" ht="15" customHeight="1">
      <c r="A427" t="inlineStr">
        <is>
          <t>A 63276-2018</t>
        </is>
      </c>
      <c r="B427" s="1" t="n">
        <v>43426</v>
      </c>
      <c r="C427" s="1" t="n">
        <v>45343</v>
      </c>
      <c r="D427" t="inlineStr">
        <is>
          <t>JÄMTLANDS LÄN</t>
        </is>
      </c>
      <c r="E427" t="inlineStr">
        <is>
          <t>STRÖMSUND</t>
        </is>
      </c>
      <c r="F427" t="inlineStr">
        <is>
          <t>SCA</t>
        </is>
      </c>
      <c r="G427" t="n">
        <v>10.1</v>
      </c>
      <c r="H427" t="n">
        <v>0</v>
      </c>
      <c r="I427" t="n">
        <v>0</v>
      </c>
      <c r="J427" t="n">
        <v>0</v>
      </c>
      <c r="K427" t="n">
        <v>0</v>
      </c>
      <c r="L427" t="n">
        <v>0</v>
      </c>
      <c r="M427" t="n">
        <v>0</v>
      </c>
      <c r="N427" t="n">
        <v>0</v>
      </c>
      <c r="O427" t="n">
        <v>0</v>
      </c>
      <c r="P427" t="n">
        <v>0</v>
      </c>
      <c r="Q427" t="n">
        <v>0</v>
      </c>
      <c r="R427" s="2" t="inlineStr"/>
    </row>
    <row r="428" ht="15" customHeight="1">
      <c r="A428" t="inlineStr">
        <is>
          <t>A 62946-2018</t>
        </is>
      </c>
      <c r="B428" s="1" t="n">
        <v>43426</v>
      </c>
      <c r="C428" s="1" t="n">
        <v>45343</v>
      </c>
      <c r="D428" t="inlineStr">
        <is>
          <t>JÄMTLANDS LÄN</t>
        </is>
      </c>
      <c r="E428" t="inlineStr">
        <is>
          <t>STRÖMSUND</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63275-2018</t>
        </is>
      </c>
      <c r="B429" s="1" t="n">
        <v>43426</v>
      </c>
      <c r="C429" s="1" t="n">
        <v>45343</v>
      </c>
      <c r="D429" t="inlineStr">
        <is>
          <t>JÄMTLANDS LÄN</t>
        </is>
      </c>
      <c r="E429" t="inlineStr">
        <is>
          <t>STRÖMSUND</t>
        </is>
      </c>
      <c r="F429" t="inlineStr">
        <is>
          <t>SCA</t>
        </is>
      </c>
      <c r="G429" t="n">
        <v>22.7</v>
      </c>
      <c r="H429" t="n">
        <v>0</v>
      </c>
      <c r="I429" t="n">
        <v>0</v>
      </c>
      <c r="J429" t="n">
        <v>0</v>
      </c>
      <c r="K429" t="n">
        <v>0</v>
      </c>
      <c r="L429" t="n">
        <v>0</v>
      </c>
      <c r="M429" t="n">
        <v>0</v>
      </c>
      <c r="N429" t="n">
        <v>0</v>
      </c>
      <c r="O429" t="n">
        <v>0</v>
      </c>
      <c r="P429" t="n">
        <v>0</v>
      </c>
      <c r="Q429" t="n">
        <v>0</v>
      </c>
      <c r="R429" s="2" t="inlineStr"/>
    </row>
    <row r="430" ht="15" customHeight="1">
      <c r="A430" t="inlineStr">
        <is>
          <t>A 63635-2018</t>
        </is>
      </c>
      <c r="B430" s="1" t="n">
        <v>43427</v>
      </c>
      <c r="C430" s="1" t="n">
        <v>45343</v>
      </c>
      <c r="D430" t="inlineStr">
        <is>
          <t>JÄMTLANDS LÄN</t>
        </is>
      </c>
      <c r="E430" t="inlineStr">
        <is>
          <t>STRÖMSUND</t>
        </is>
      </c>
      <c r="G430" t="n">
        <v>9.4</v>
      </c>
      <c r="H430" t="n">
        <v>0</v>
      </c>
      <c r="I430" t="n">
        <v>0</v>
      </c>
      <c r="J430" t="n">
        <v>0</v>
      </c>
      <c r="K430" t="n">
        <v>0</v>
      </c>
      <c r="L430" t="n">
        <v>0</v>
      </c>
      <c r="M430" t="n">
        <v>0</v>
      </c>
      <c r="N430" t="n">
        <v>0</v>
      </c>
      <c r="O430" t="n">
        <v>0</v>
      </c>
      <c r="P430" t="n">
        <v>0</v>
      </c>
      <c r="Q430" t="n">
        <v>0</v>
      </c>
      <c r="R430" s="2" t="inlineStr"/>
    </row>
    <row r="431" ht="15" customHeight="1">
      <c r="A431" t="inlineStr">
        <is>
          <t>A 63675-2018</t>
        </is>
      </c>
      <c r="B431" s="1" t="n">
        <v>43428</v>
      </c>
      <c r="C431" s="1" t="n">
        <v>45343</v>
      </c>
      <c r="D431" t="inlineStr">
        <is>
          <t>JÄMTLANDS LÄN</t>
        </is>
      </c>
      <c r="E431" t="inlineStr">
        <is>
          <t>STRÖMSUND</t>
        </is>
      </c>
      <c r="G431" t="n">
        <v>2.5</v>
      </c>
      <c r="H431" t="n">
        <v>0</v>
      </c>
      <c r="I431" t="n">
        <v>0</v>
      </c>
      <c r="J431" t="n">
        <v>0</v>
      </c>
      <c r="K431" t="n">
        <v>0</v>
      </c>
      <c r="L431" t="n">
        <v>0</v>
      </c>
      <c r="M431" t="n">
        <v>0</v>
      </c>
      <c r="N431" t="n">
        <v>0</v>
      </c>
      <c r="O431" t="n">
        <v>0</v>
      </c>
      <c r="P431" t="n">
        <v>0</v>
      </c>
      <c r="Q431" t="n">
        <v>0</v>
      </c>
      <c r="R431" s="2" t="inlineStr"/>
    </row>
    <row r="432" ht="15" customHeight="1">
      <c r="A432" t="inlineStr">
        <is>
          <t>A 64917-2018</t>
        </is>
      </c>
      <c r="B432" s="1" t="n">
        <v>43431</v>
      </c>
      <c r="C432" s="1" t="n">
        <v>45343</v>
      </c>
      <c r="D432" t="inlineStr">
        <is>
          <t>JÄMTLANDS LÄN</t>
        </is>
      </c>
      <c r="E432" t="inlineStr">
        <is>
          <t>STRÖMSUND</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64929-2018</t>
        </is>
      </c>
      <c r="B433" s="1" t="n">
        <v>43431</v>
      </c>
      <c r="C433" s="1" t="n">
        <v>45343</v>
      </c>
      <c r="D433" t="inlineStr">
        <is>
          <t>JÄMTLANDS LÄN</t>
        </is>
      </c>
      <c r="E433" t="inlineStr">
        <is>
          <t>STRÖMSUND</t>
        </is>
      </c>
      <c r="G433" t="n">
        <v>2.8</v>
      </c>
      <c r="H433" t="n">
        <v>0</v>
      </c>
      <c r="I433" t="n">
        <v>0</v>
      </c>
      <c r="J433" t="n">
        <v>0</v>
      </c>
      <c r="K433" t="n">
        <v>0</v>
      </c>
      <c r="L433" t="n">
        <v>0</v>
      </c>
      <c r="M433" t="n">
        <v>0</v>
      </c>
      <c r="N433" t="n">
        <v>0</v>
      </c>
      <c r="O433" t="n">
        <v>0</v>
      </c>
      <c r="P433" t="n">
        <v>0</v>
      </c>
      <c r="Q433" t="n">
        <v>0</v>
      </c>
      <c r="R433" s="2" t="inlineStr"/>
    </row>
    <row r="434" ht="15" customHeight="1">
      <c r="A434" t="inlineStr">
        <is>
          <t>A 66982-2018</t>
        </is>
      </c>
      <c r="B434" s="1" t="n">
        <v>43431</v>
      </c>
      <c r="C434" s="1" t="n">
        <v>45343</v>
      </c>
      <c r="D434" t="inlineStr">
        <is>
          <t>JÄMTLANDS LÄN</t>
        </is>
      </c>
      <c r="E434" t="inlineStr">
        <is>
          <t>STRÖMSUND</t>
        </is>
      </c>
      <c r="G434" t="n">
        <v>8.6</v>
      </c>
      <c r="H434" t="n">
        <v>0</v>
      </c>
      <c r="I434" t="n">
        <v>0</v>
      </c>
      <c r="J434" t="n">
        <v>0</v>
      </c>
      <c r="K434" t="n">
        <v>0</v>
      </c>
      <c r="L434" t="n">
        <v>0</v>
      </c>
      <c r="M434" t="n">
        <v>0</v>
      </c>
      <c r="N434" t="n">
        <v>0</v>
      </c>
      <c r="O434" t="n">
        <v>0</v>
      </c>
      <c r="P434" t="n">
        <v>0</v>
      </c>
      <c r="Q434" t="n">
        <v>0</v>
      </c>
      <c r="R434" s="2" t="inlineStr"/>
    </row>
    <row r="435" ht="15" customHeight="1">
      <c r="A435" t="inlineStr">
        <is>
          <t>A 66929-2018</t>
        </is>
      </c>
      <c r="B435" s="1" t="n">
        <v>43431</v>
      </c>
      <c r="C435" s="1" t="n">
        <v>45343</v>
      </c>
      <c r="D435" t="inlineStr">
        <is>
          <t>JÄMTLANDS LÄN</t>
        </is>
      </c>
      <c r="E435" t="inlineStr">
        <is>
          <t>STRÖMSUND</t>
        </is>
      </c>
      <c r="G435" t="n">
        <v>5.1</v>
      </c>
      <c r="H435" t="n">
        <v>0</v>
      </c>
      <c r="I435" t="n">
        <v>0</v>
      </c>
      <c r="J435" t="n">
        <v>0</v>
      </c>
      <c r="K435" t="n">
        <v>0</v>
      </c>
      <c r="L435" t="n">
        <v>0</v>
      </c>
      <c r="M435" t="n">
        <v>0</v>
      </c>
      <c r="N435" t="n">
        <v>0</v>
      </c>
      <c r="O435" t="n">
        <v>0</v>
      </c>
      <c r="P435" t="n">
        <v>0</v>
      </c>
      <c r="Q435" t="n">
        <v>0</v>
      </c>
      <c r="R435" s="2" t="inlineStr"/>
    </row>
    <row r="436" ht="15" customHeight="1">
      <c r="A436" t="inlineStr">
        <is>
          <t>A 64918-2018</t>
        </is>
      </c>
      <c r="B436" s="1" t="n">
        <v>43431</v>
      </c>
      <c r="C436" s="1" t="n">
        <v>45343</v>
      </c>
      <c r="D436" t="inlineStr">
        <is>
          <t>JÄMTLANDS LÄN</t>
        </is>
      </c>
      <c r="E436" t="inlineStr">
        <is>
          <t>STRÖMSUND</t>
        </is>
      </c>
      <c r="F436" t="inlineStr">
        <is>
          <t>SCA</t>
        </is>
      </c>
      <c r="G436" t="n">
        <v>5.8</v>
      </c>
      <c r="H436" t="n">
        <v>0</v>
      </c>
      <c r="I436" t="n">
        <v>0</v>
      </c>
      <c r="J436" t="n">
        <v>0</v>
      </c>
      <c r="K436" t="n">
        <v>0</v>
      </c>
      <c r="L436" t="n">
        <v>0</v>
      </c>
      <c r="M436" t="n">
        <v>0</v>
      </c>
      <c r="N436" t="n">
        <v>0</v>
      </c>
      <c r="O436" t="n">
        <v>0</v>
      </c>
      <c r="P436" t="n">
        <v>0</v>
      </c>
      <c r="Q436" t="n">
        <v>0</v>
      </c>
      <c r="R436" s="2" t="inlineStr"/>
    </row>
    <row r="437" ht="15" customHeight="1">
      <c r="A437" t="inlineStr">
        <is>
          <t>A 66990-2018</t>
        </is>
      </c>
      <c r="B437" s="1" t="n">
        <v>43431</v>
      </c>
      <c r="C437" s="1" t="n">
        <v>45343</v>
      </c>
      <c r="D437" t="inlineStr">
        <is>
          <t>JÄMTLANDS LÄN</t>
        </is>
      </c>
      <c r="E437" t="inlineStr">
        <is>
          <t>STRÖMSUND</t>
        </is>
      </c>
      <c r="G437" t="n">
        <v>2.8</v>
      </c>
      <c r="H437" t="n">
        <v>0</v>
      </c>
      <c r="I437" t="n">
        <v>0</v>
      </c>
      <c r="J437" t="n">
        <v>0</v>
      </c>
      <c r="K437" t="n">
        <v>0</v>
      </c>
      <c r="L437" t="n">
        <v>0</v>
      </c>
      <c r="M437" t="n">
        <v>0</v>
      </c>
      <c r="N437" t="n">
        <v>0</v>
      </c>
      <c r="O437" t="n">
        <v>0</v>
      </c>
      <c r="P437" t="n">
        <v>0</v>
      </c>
      <c r="Q437" t="n">
        <v>0</v>
      </c>
      <c r="R437" s="2" t="inlineStr"/>
    </row>
    <row r="438" ht="15" customHeight="1">
      <c r="A438" t="inlineStr">
        <is>
          <t>A 65331-2018</t>
        </is>
      </c>
      <c r="B438" s="1" t="n">
        <v>43432</v>
      </c>
      <c r="C438" s="1" t="n">
        <v>45343</v>
      </c>
      <c r="D438" t="inlineStr">
        <is>
          <t>JÄMTLANDS LÄN</t>
        </is>
      </c>
      <c r="E438" t="inlineStr">
        <is>
          <t>STRÖMSUND</t>
        </is>
      </c>
      <c r="G438" t="n">
        <v>26.3</v>
      </c>
      <c r="H438" t="n">
        <v>0</v>
      </c>
      <c r="I438" t="n">
        <v>0</v>
      </c>
      <c r="J438" t="n">
        <v>0</v>
      </c>
      <c r="K438" t="n">
        <v>0</v>
      </c>
      <c r="L438" t="n">
        <v>0</v>
      </c>
      <c r="M438" t="n">
        <v>0</v>
      </c>
      <c r="N438" t="n">
        <v>0</v>
      </c>
      <c r="O438" t="n">
        <v>0</v>
      </c>
      <c r="P438" t="n">
        <v>0</v>
      </c>
      <c r="Q438" t="n">
        <v>0</v>
      </c>
      <c r="R438" s="2" t="inlineStr"/>
    </row>
    <row r="439" ht="15" customHeight="1">
      <c r="A439" t="inlineStr">
        <is>
          <t>A 65319-2018</t>
        </is>
      </c>
      <c r="B439" s="1" t="n">
        <v>43432</v>
      </c>
      <c r="C439" s="1" t="n">
        <v>45343</v>
      </c>
      <c r="D439" t="inlineStr">
        <is>
          <t>JÄMTLANDS LÄN</t>
        </is>
      </c>
      <c r="E439" t="inlineStr">
        <is>
          <t>STRÖMSUND</t>
        </is>
      </c>
      <c r="G439" t="n">
        <v>2.2</v>
      </c>
      <c r="H439" t="n">
        <v>0</v>
      </c>
      <c r="I439" t="n">
        <v>0</v>
      </c>
      <c r="J439" t="n">
        <v>0</v>
      </c>
      <c r="K439" t="n">
        <v>0</v>
      </c>
      <c r="L439" t="n">
        <v>0</v>
      </c>
      <c r="M439" t="n">
        <v>0</v>
      </c>
      <c r="N439" t="n">
        <v>0</v>
      </c>
      <c r="O439" t="n">
        <v>0</v>
      </c>
      <c r="P439" t="n">
        <v>0</v>
      </c>
      <c r="Q439" t="n">
        <v>0</v>
      </c>
      <c r="R439" s="2" t="inlineStr"/>
    </row>
    <row r="440" ht="15" customHeight="1">
      <c r="A440" t="inlineStr">
        <is>
          <t>A 66202-2018</t>
        </is>
      </c>
      <c r="B440" s="1" t="n">
        <v>43434</v>
      </c>
      <c r="C440" s="1" t="n">
        <v>45343</v>
      </c>
      <c r="D440" t="inlineStr">
        <is>
          <t>JÄMTLANDS LÄN</t>
        </is>
      </c>
      <c r="E440" t="inlineStr">
        <is>
          <t>STRÖMSUND</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66199-2018</t>
        </is>
      </c>
      <c r="B441" s="1" t="n">
        <v>43434</v>
      </c>
      <c r="C441" s="1" t="n">
        <v>45343</v>
      </c>
      <c r="D441" t="inlineStr">
        <is>
          <t>JÄMTLANDS LÄN</t>
        </is>
      </c>
      <c r="E441" t="inlineStr">
        <is>
          <t>STRÖMSUND</t>
        </is>
      </c>
      <c r="G441" t="n">
        <v>0.9</v>
      </c>
      <c r="H441" t="n">
        <v>0</v>
      </c>
      <c r="I441" t="n">
        <v>0</v>
      </c>
      <c r="J441" t="n">
        <v>0</v>
      </c>
      <c r="K441" t="n">
        <v>0</v>
      </c>
      <c r="L441" t="n">
        <v>0</v>
      </c>
      <c r="M441" t="n">
        <v>0</v>
      </c>
      <c r="N441" t="n">
        <v>0</v>
      </c>
      <c r="O441" t="n">
        <v>0</v>
      </c>
      <c r="P441" t="n">
        <v>0</v>
      </c>
      <c r="Q441" t="n">
        <v>0</v>
      </c>
      <c r="R441" s="2" t="inlineStr"/>
    </row>
    <row r="442" ht="15" customHeight="1">
      <c r="A442" t="inlineStr">
        <is>
          <t>A 67197-2018</t>
        </is>
      </c>
      <c r="B442" s="1" t="n">
        <v>43438</v>
      </c>
      <c r="C442" s="1" t="n">
        <v>45343</v>
      </c>
      <c r="D442" t="inlineStr">
        <is>
          <t>JÄMTLANDS LÄN</t>
        </is>
      </c>
      <c r="E442" t="inlineStr">
        <is>
          <t>STRÖMSUND</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67163-2018</t>
        </is>
      </c>
      <c r="B443" s="1" t="n">
        <v>43438</v>
      </c>
      <c r="C443" s="1" t="n">
        <v>45343</v>
      </c>
      <c r="D443" t="inlineStr">
        <is>
          <t>JÄMTLANDS LÄN</t>
        </is>
      </c>
      <c r="E443" t="inlineStr">
        <is>
          <t>STRÖMSUND</t>
        </is>
      </c>
      <c r="G443" t="n">
        <v>11.6</v>
      </c>
      <c r="H443" t="n">
        <v>0</v>
      </c>
      <c r="I443" t="n">
        <v>0</v>
      </c>
      <c r="J443" t="n">
        <v>0</v>
      </c>
      <c r="K443" t="n">
        <v>0</v>
      </c>
      <c r="L443" t="n">
        <v>0</v>
      </c>
      <c r="M443" t="n">
        <v>0</v>
      </c>
      <c r="N443" t="n">
        <v>0</v>
      </c>
      <c r="O443" t="n">
        <v>0</v>
      </c>
      <c r="P443" t="n">
        <v>0</v>
      </c>
      <c r="Q443" t="n">
        <v>0</v>
      </c>
      <c r="R443" s="2" t="inlineStr"/>
    </row>
    <row r="444" ht="15" customHeight="1">
      <c r="A444" t="inlineStr">
        <is>
          <t>A 67994-2018</t>
        </is>
      </c>
      <c r="B444" s="1" t="n">
        <v>43440</v>
      </c>
      <c r="C444" s="1" t="n">
        <v>45343</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69600-2018</t>
        </is>
      </c>
      <c r="B445" s="1" t="n">
        <v>43446</v>
      </c>
      <c r="C445" s="1" t="n">
        <v>45343</v>
      </c>
      <c r="D445" t="inlineStr">
        <is>
          <t>JÄMTLANDS LÄN</t>
        </is>
      </c>
      <c r="E445" t="inlineStr">
        <is>
          <t>STRÖMSUND</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70313-2018</t>
        </is>
      </c>
      <c r="B446" s="1" t="n">
        <v>43446</v>
      </c>
      <c r="C446" s="1" t="n">
        <v>45343</v>
      </c>
      <c r="D446" t="inlineStr">
        <is>
          <t>JÄMTLANDS LÄN</t>
        </is>
      </c>
      <c r="E446" t="inlineStr">
        <is>
          <t>STRÖMSUND</t>
        </is>
      </c>
      <c r="G446" t="n">
        <v>1.8</v>
      </c>
      <c r="H446" t="n">
        <v>0</v>
      </c>
      <c r="I446" t="n">
        <v>0</v>
      </c>
      <c r="J446" t="n">
        <v>0</v>
      </c>
      <c r="K446" t="n">
        <v>0</v>
      </c>
      <c r="L446" t="n">
        <v>0</v>
      </c>
      <c r="M446" t="n">
        <v>0</v>
      </c>
      <c r="N446" t="n">
        <v>0</v>
      </c>
      <c r="O446" t="n">
        <v>0</v>
      </c>
      <c r="P446" t="n">
        <v>0</v>
      </c>
      <c r="Q446" t="n">
        <v>0</v>
      </c>
      <c r="R446" s="2" t="inlineStr"/>
    </row>
    <row r="447" ht="15" customHeight="1">
      <c r="A447" t="inlineStr">
        <is>
          <t>A 69597-2018</t>
        </is>
      </c>
      <c r="B447" s="1" t="n">
        <v>43446</v>
      </c>
      <c r="C447" s="1" t="n">
        <v>45343</v>
      </c>
      <c r="D447" t="inlineStr">
        <is>
          <t>JÄMTLANDS LÄN</t>
        </is>
      </c>
      <c r="E447" t="inlineStr">
        <is>
          <t>STRÖMSUND</t>
        </is>
      </c>
      <c r="G447" t="n">
        <v>29.9</v>
      </c>
      <c r="H447" t="n">
        <v>0</v>
      </c>
      <c r="I447" t="n">
        <v>0</v>
      </c>
      <c r="J447" t="n">
        <v>0</v>
      </c>
      <c r="K447" t="n">
        <v>0</v>
      </c>
      <c r="L447" t="n">
        <v>0</v>
      </c>
      <c r="M447" t="n">
        <v>0</v>
      </c>
      <c r="N447" t="n">
        <v>0</v>
      </c>
      <c r="O447" t="n">
        <v>0</v>
      </c>
      <c r="P447" t="n">
        <v>0</v>
      </c>
      <c r="Q447" t="n">
        <v>0</v>
      </c>
      <c r="R447" s="2" t="inlineStr"/>
    </row>
    <row r="448" ht="15" customHeight="1">
      <c r="A448" t="inlineStr">
        <is>
          <t>A 69598-2018</t>
        </is>
      </c>
      <c r="B448" s="1" t="n">
        <v>43446</v>
      </c>
      <c r="C448" s="1" t="n">
        <v>45343</v>
      </c>
      <c r="D448" t="inlineStr">
        <is>
          <t>JÄMTLANDS LÄN</t>
        </is>
      </c>
      <c r="E448" t="inlineStr">
        <is>
          <t>STRÖMSUND</t>
        </is>
      </c>
      <c r="G448" t="n">
        <v>16.1</v>
      </c>
      <c r="H448" t="n">
        <v>0</v>
      </c>
      <c r="I448" t="n">
        <v>0</v>
      </c>
      <c r="J448" t="n">
        <v>0</v>
      </c>
      <c r="K448" t="n">
        <v>0</v>
      </c>
      <c r="L448" t="n">
        <v>0</v>
      </c>
      <c r="M448" t="n">
        <v>0</v>
      </c>
      <c r="N448" t="n">
        <v>0</v>
      </c>
      <c r="O448" t="n">
        <v>0</v>
      </c>
      <c r="P448" t="n">
        <v>0</v>
      </c>
      <c r="Q448" t="n">
        <v>0</v>
      </c>
      <c r="R448" s="2" t="inlineStr"/>
    </row>
    <row r="449" ht="15" customHeight="1">
      <c r="A449" t="inlineStr">
        <is>
          <t>A 69788-2018</t>
        </is>
      </c>
      <c r="B449" s="1" t="n">
        <v>43447</v>
      </c>
      <c r="C449" s="1" t="n">
        <v>45343</v>
      </c>
      <c r="D449" t="inlineStr">
        <is>
          <t>JÄMTLANDS LÄN</t>
        </is>
      </c>
      <c r="E449" t="inlineStr">
        <is>
          <t>STRÖMSUND</t>
        </is>
      </c>
      <c r="G449" t="n">
        <v>6.1</v>
      </c>
      <c r="H449" t="n">
        <v>0</v>
      </c>
      <c r="I449" t="n">
        <v>0</v>
      </c>
      <c r="J449" t="n">
        <v>0</v>
      </c>
      <c r="K449" t="n">
        <v>0</v>
      </c>
      <c r="L449" t="n">
        <v>0</v>
      </c>
      <c r="M449" t="n">
        <v>0</v>
      </c>
      <c r="N449" t="n">
        <v>0</v>
      </c>
      <c r="O449" t="n">
        <v>0</v>
      </c>
      <c r="P449" t="n">
        <v>0</v>
      </c>
      <c r="Q449" t="n">
        <v>0</v>
      </c>
      <c r="R449" s="2" t="inlineStr"/>
    </row>
    <row r="450" ht="15" customHeight="1">
      <c r="A450" t="inlineStr">
        <is>
          <t>A 69965-2018</t>
        </is>
      </c>
      <c r="B450" s="1" t="n">
        <v>43447</v>
      </c>
      <c r="C450" s="1" t="n">
        <v>45343</v>
      </c>
      <c r="D450" t="inlineStr">
        <is>
          <t>JÄMTLANDS LÄN</t>
        </is>
      </c>
      <c r="E450" t="inlineStr">
        <is>
          <t>STRÖMSUND</t>
        </is>
      </c>
      <c r="G450" t="n">
        <v>1.1</v>
      </c>
      <c r="H450" t="n">
        <v>0</v>
      </c>
      <c r="I450" t="n">
        <v>0</v>
      </c>
      <c r="J450" t="n">
        <v>0</v>
      </c>
      <c r="K450" t="n">
        <v>0</v>
      </c>
      <c r="L450" t="n">
        <v>0</v>
      </c>
      <c r="M450" t="n">
        <v>0</v>
      </c>
      <c r="N450" t="n">
        <v>0</v>
      </c>
      <c r="O450" t="n">
        <v>0</v>
      </c>
      <c r="P450" t="n">
        <v>0</v>
      </c>
      <c r="Q450" t="n">
        <v>0</v>
      </c>
      <c r="R450" s="2" t="inlineStr"/>
    </row>
    <row r="451" ht="15" customHeight="1">
      <c r="A451" t="inlineStr">
        <is>
          <t>A 70245-2018</t>
        </is>
      </c>
      <c r="B451" s="1" t="n">
        <v>43448</v>
      </c>
      <c r="C451" s="1" t="n">
        <v>45343</v>
      </c>
      <c r="D451" t="inlineStr">
        <is>
          <t>JÄMTLANDS LÄN</t>
        </is>
      </c>
      <c r="E451" t="inlineStr">
        <is>
          <t>STRÖMSUND</t>
        </is>
      </c>
      <c r="G451" t="n">
        <v>0.6</v>
      </c>
      <c r="H451" t="n">
        <v>0</v>
      </c>
      <c r="I451" t="n">
        <v>0</v>
      </c>
      <c r="J451" t="n">
        <v>0</v>
      </c>
      <c r="K451" t="n">
        <v>0</v>
      </c>
      <c r="L451" t="n">
        <v>0</v>
      </c>
      <c r="M451" t="n">
        <v>0</v>
      </c>
      <c r="N451" t="n">
        <v>0</v>
      </c>
      <c r="O451" t="n">
        <v>0</v>
      </c>
      <c r="P451" t="n">
        <v>0</v>
      </c>
      <c r="Q451" t="n">
        <v>0</v>
      </c>
      <c r="R451" s="2" t="inlineStr"/>
    </row>
    <row r="452" ht="15" customHeight="1">
      <c r="A452" t="inlineStr">
        <is>
          <t>A 71149-2018</t>
        </is>
      </c>
      <c r="B452" s="1" t="n">
        <v>43452</v>
      </c>
      <c r="C452" s="1" t="n">
        <v>45343</v>
      </c>
      <c r="D452" t="inlineStr">
        <is>
          <t>JÄMTLANDS LÄN</t>
        </is>
      </c>
      <c r="E452" t="inlineStr">
        <is>
          <t>STRÖMSUND</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71163-2018</t>
        </is>
      </c>
      <c r="B453" s="1" t="n">
        <v>43452</v>
      </c>
      <c r="C453" s="1" t="n">
        <v>45343</v>
      </c>
      <c r="D453" t="inlineStr">
        <is>
          <t>JÄMTLANDS LÄN</t>
        </is>
      </c>
      <c r="E453" t="inlineStr">
        <is>
          <t>STRÖMSUND</t>
        </is>
      </c>
      <c r="G453" t="n">
        <v>5.4</v>
      </c>
      <c r="H453" t="n">
        <v>0</v>
      </c>
      <c r="I453" t="n">
        <v>0</v>
      </c>
      <c r="J453" t="n">
        <v>0</v>
      </c>
      <c r="K453" t="n">
        <v>0</v>
      </c>
      <c r="L453" t="n">
        <v>0</v>
      </c>
      <c r="M453" t="n">
        <v>0</v>
      </c>
      <c r="N453" t="n">
        <v>0</v>
      </c>
      <c r="O453" t="n">
        <v>0</v>
      </c>
      <c r="P453" t="n">
        <v>0</v>
      </c>
      <c r="Q453" t="n">
        <v>0</v>
      </c>
      <c r="R453" s="2" t="inlineStr"/>
    </row>
    <row r="454" ht="15" customHeight="1">
      <c r="A454" t="inlineStr">
        <is>
          <t>A 71162-2018</t>
        </is>
      </c>
      <c r="B454" s="1" t="n">
        <v>43452</v>
      </c>
      <c r="C454" s="1" t="n">
        <v>45343</v>
      </c>
      <c r="D454" t="inlineStr">
        <is>
          <t>JÄMTLANDS LÄN</t>
        </is>
      </c>
      <c r="E454" t="inlineStr">
        <is>
          <t>STRÖMSUND</t>
        </is>
      </c>
      <c r="G454" t="n">
        <v>1.3</v>
      </c>
      <c r="H454" t="n">
        <v>0</v>
      </c>
      <c r="I454" t="n">
        <v>0</v>
      </c>
      <c r="J454" t="n">
        <v>0</v>
      </c>
      <c r="K454" t="n">
        <v>0</v>
      </c>
      <c r="L454" t="n">
        <v>0</v>
      </c>
      <c r="M454" t="n">
        <v>0</v>
      </c>
      <c r="N454" t="n">
        <v>0</v>
      </c>
      <c r="O454" t="n">
        <v>0</v>
      </c>
      <c r="P454" t="n">
        <v>0</v>
      </c>
      <c r="Q454" t="n">
        <v>0</v>
      </c>
      <c r="R454" s="2" t="inlineStr"/>
    </row>
    <row r="455" ht="15" customHeight="1">
      <c r="A455" t="inlineStr">
        <is>
          <t>A 934-2019</t>
        </is>
      </c>
      <c r="B455" s="1" t="n">
        <v>43455</v>
      </c>
      <c r="C455" s="1" t="n">
        <v>45343</v>
      </c>
      <c r="D455" t="inlineStr">
        <is>
          <t>JÄMTLANDS LÄN</t>
        </is>
      </c>
      <c r="E455" t="inlineStr">
        <is>
          <t>STRÖMSUND</t>
        </is>
      </c>
      <c r="G455" t="n">
        <v>3.2</v>
      </c>
      <c r="H455" t="n">
        <v>0</v>
      </c>
      <c r="I455" t="n">
        <v>0</v>
      </c>
      <c r="J455" t="n">
        <v>0</v>
      </c>
      <c r="K455" t="n">
        <v>0</v>
      </c>
      <c r="L455" t="n">
        <v>0</v>
      </c>
      <c r="M455" t="n">
        <v>0</v>
      </c>
      <c r="N455" t="n">
        <v>0</v>
      </c>
      <c r="O455" t="n">
        <v>0</v>
      </c>
      <c r="P455" t="n">
        <v>0</v>
      </c>
      <c r="Q455" t="n">
        <v>0</v>
      </c>
      <c r="R455" s="2" t="inlineStr"/>
    </row>
    <row r="456" ht="15" customHeight="1">
      <c r="A456" t="inlineStr">
        <is>
          <t>A 608-2019</t>
        </is>
      </c>
      <c r="B456" s="1" t="n">
        <v>43455</v>
      </c>
      <c r="C456" s="1" t="n">
        <v>45343</v>
      </c>
      <c r="D456" t="inlineStr">
        <is>
          <t>JÄMTLANDS LÄN</t>
        </is>
      </c>
      <c r="E456" t="inlineStr">
        <is>
          <t>STRÖMSUND</t>
        </is>
      </c>
      <c r="G456" t="n">
        <v>3</v>
      </c>
      <c r="H456" t="n">
        <v>0</v>
      </c>
      <c r="I456" t="n">
        <v>0</v>
      </c>
      <c r="J456" t="n">
        <v>0</v>
      </c>
      <c r="K456" t="n">
        <v>0</v>
      </c>
      <c r="L456" t="n">
        <v>0</v>
      </c>
      <c r="M456" t="n">
        <v>0</v>
      </c>
      <c r="N456" t="n">
        <v>0</v>
      </c>
      <c r="O456" t="n">
        <v>0</v>
      </c>
      <c r="P456" t="n">
        <v>0</v>
      </c>
      <c r="Q456" t="n">
        <v>0</v>
      </c>
      <c r="R456" s="2" t="inlineStr"/>
    </row>
    <row r="457" ht="15" customHeight="1">
      <c r="A457" t="inlineStr">
        <is>
          <t>A 72414-2018</t>
        </is>
      </c>
      <c r="B457" s="1" t="n">
        <v>43461</v>
      </c>
      <c r="C457" s="1" t="n">
        <v>45343</v>
      </c>
      <c r="D457" t="inlineStr">
        <is>
          <t>JÄMTLANDS LÄN</t>
        </is>
      </c>
      <c r="E457" t="inlineStr">
        <is>
          <t>STRÖMSUND</t>
        </is>
      </c>
      <c r="G457" t="n">
        <v>2.6</v>
      </c>
      <c r="H457" t="n">
        <v>0</v>
      </c>
      <c r="I457" t="n">
        <v>0</v>
      </c>
      <c r="J457" t="n">
        <v>0</v>
      </c>
      <c r="K457" t="n">
        <v>0</v>
      </c>
      <c r="L457" t="n">
        <v>0</v>
      </c>
      <c r="M457" t="n">
        <v>0</v>
      </c>
      <c r="N457" t="n">
        <v>0</v>
      </c>
      <c r="O457" t="n">
        <v>0</v>
      </c>
      <c r="P457" t="n">
        <v>0</v>
      </c>
      <c r="Q457" t="n">
        <v>0</v>
      </c>
      <c r="R457" s="2" t="inlineStr"/>
    </row>
    <row r="458" ht="15" customHeight="1">
      <c r="A458" t="inlineStr">
        <is>
          <t>A 72485-2018</t>
        </is>
      </c>
      <c r="B458" s="1" t="n">
        <v>43461</v>
      </c>
      <c r="C458" s="1" t="n">
        <v>45343</v>
      </c>
      <c r="D458" t="inlineStr">
        <is>
          <t>JÄMTLANDS LÄN</t>
        </is>
      </c>
      <c r="E458" t="inlineStr">
        <is>
          <t>STRÖMSUND</t>
        </is>
      </c>
      <c r="G458" t="n">
        <v>4.6</v>
      </c>
      <c r="H458" t="n">
        <v>0</v>
      </c>
      <c r="I458" t="n">
        <v>0</v>
      </c>
      <c r="J458" t="n">
        <v>0</v>
      </c>
      <c r="K458" t="n">
        <v>0</v>
      </c>
      <c r="L458" t="n">
        <v>0</v>
      </c>
      <c r="M458" t="n">
        <v>0</v>
      </c>
      <c r="N458" t="n">
        <v>0</v>
      </c>
      <c r="O458" t="n">
        <v>0</v>
      </c>
      <c r="P458" t="n">
        <v>0</v>
      </c>
      <c r="Q458" t="n">
        <v>0</v>
      </c>
      <c r="R458" s="2" t="inlineStr"/>
    </row>
    <row r="459" ht="15" customHeight="1">
      <c r="A459" t="inlineStr">
        <is>
          <t>A 2385-2019</t>
        </is>
      </c>
      <c r="B459" s="1" t="n">
        <v>43468</v>
      </c>
      <c r="C459" s="1" t="n">
        <v>45343</v>
      </c>
      <c r="D459" t="inlineStr">
        <is>
          <t>JÄMTLANDS LÄN</t>
        </is>
      </c>
      <c r="E459" t="inlineStr">
        <is>
          <t>STRÖMSUND</t>
        </is>
      </c>
      <c r="G459" t="n">
        <v>4.3</v>
      </c>
      <c r="H459" t="n">
        <v>0</v>
      </c>
      <c r="I459" t="n">
        <v>0</v>
      </c>
      <c r="J459" t="n">
        <v>0</v>
      </c>
      <c r="K459" t="n">
        <v>0</v>
      </c>
      <c r="L459" t="n">
        <v>0</v>
      </c>
      <c r="M459" t="n">
        <v>0</v>
      </c>
      <c r="N459" t="n">
        <v>0</v>
      </c>
      <c r="O459" t="n">
        <v>0</v>
      </c>
      <c r="P459" t="n">
        <v>0</v>
      </c>
      <c r="Q459" t="n">
        <v>0</v>
      </c>
      <c r="R459" s="2" t="inlineStr"/>
    </row>
    <row r="460" ht="15" customHeight="1">
      <c r="A460" t="inlineStr">
        <is>
          <t>A 699-2019</t>
        </is>
      </c>
      <c r="B460" s="1" t="n">
        <v>43469</v>
      </c>
      <c r="C460" s="1" t="n">
        <v>45343</v>
      </c>
      <c r="D460" t="inlineStr">
        <is>
          <t>JÄMTLANDS LÄN</t>
        </is>
      </c>
      <c r="E460" t="inlineStr">
        <is>
          <t>STRÖMSUND</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555-2019</t>
        </is>
      </c>
      <c r="B461" s="1" t="n">
        <v>43469</v>
      </c>
      <c r="C461" s="1" t="n">
        <v>45343</v>
      </c>
      <c r="D461" t="inlineStr">
        <is>
          <t>JÄMTLANDS LÄN</t>
        </is>
      </c>
      <c r="E461" t="inlineStr">
        <is>
          <t>STRÖMSUND</t>
        </is>
      </c>
      <c r="F461" t="inlineStr">
        <is>
          <t>Holmen skog AB</t>
        </is>
      </c>
      <c r="G461" t="n">
        <v>14.6</v>
      </c>
      <c r="H461" t="n">
        <v>0</v>
      </c>
      <c r="I461" t="n">
        <v>0</v>
      </c>
      <c r="J461" t="n">
        <v>0</v>
      </c>
      <c r="K461" t="n">
        <v>0</v>
      </c>
      <c r="L461" t="n">
        <v>0</v>
      </c>
      <c r="M461" t="n">
        <v>0</v>
      </c>
      <c r="N461" t="n">
        <v>0</v>
      </c>
      <c r="O461" t="n">
        <v>0</v>
      </c>
      <c r="P461" t="n">
        <v>0</v>
      </c>
      <c r="Q461" t="n">
        <v>0</v>
      </c>
      <c r="R461" s="2" t="inlineStr"/>
    </row>
    <row r="462" ht="15" customHeight="1">
      <c r="A462" t="inlineStr">
        <is>
          <t>A 1130-2019</t>
        </is>
      </c>
      <c r="B462" s="1" t="n">
        <v>43472</v>
      </c>
      <c r="C462" s="1" t="n">
        <v>45343</v>
      </c>
      <c r="D462" t="inlineStr">
        <is>
          <t>JÄMTLANDS LÄN</t>
        </is>
      </c>
      <c r="E462" t="inlineStr">
        <is>
          <t>STRÖMSUND</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3227-2019</t>
        </is>
      </c>
      <c r="B463" s="1" t="n">
        <v>43473</v>
      </c>
      <c r="C463" s="1" t="n">
        <v>45343</v>
      </c>
      <c r="D463" t="inlineStr">
        <is>
          <t>JÄMTLANDS LÄN</t>
        </is>
      </c>
      <c r="E463" t="inlineStr">
        <is>
          <t>STRÖMSUND</t>
        </is>
      </c>
      <c r="G463" t="n">
        <v>21</v>
      </c>
      <c r="H463" t="n">
        <v>0</v>
      </c>
      <c r="I463" t="n">
        <v>0</v>
      </c>
      <c r="J463" t="n">
        <v>0</v>
      </c>
      <c r="K463" t="n">
        <v>0</v>
      </c>
      <c r="L463" t="n">
        <v>0</v>
      </c>
      <c r="M463" t="n">
        <v>0</v>
      </c>
      <c r="N463" t="n">
        <v>0</v>
      </c>
      <c r="O463" t="n">
        <v>0</v>
      </c>
      <c r="P463" t="n">
        <v>0</v>
      </c>
      <c r="Q463" t="n">
        <v>0</v>
      </c>
      <c r="R463" s="2" t="inlineStr"/>
    </row>
    <row r="464" ht="15" customHeight="1">
      <c r="A464" t="inlineStr">
        <is>
          <t>A 3108-2019</t>
        </is>
      </c>
      <c r="B464" s="1" t="n">
        <v>43479</v>
      </c>
      <c r="C464" s="1" t="n">
        <v>45343</v>
      </c>
      <c r="D464" t="inlineStr">
        <is>
          <t>JÄMTLANDS LÄN</t>
        </is>
      </c>
      <c r="E464" t="inlineStr">
        <is>
          <t>STRÖMSUND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3524-2019</t>
        </is>
      </c>
      <c r="B465" s="1" t="n">
        <v>43481</v>
      </c>
      <c r="C465" s="1" t="n">
        <v>45343</v>
      </c>
      <c r="D465" t="inlineStr">
        <is>
          <t>JÄMTLANDS LÄN</t>
        </is>
      </c>
      <c r="E465" t="inlineStr">
        <is>
          <t>STRÖMSUND</t>
        </is>
      </c>
      <c r="G465" t="n">
        <v>5.1</v>
      </c>
      <c r="H465" t="n">
        <v>0</v>
      </c>
      <c r="I465" t="n">
        <v>0</v>
      </c>
      <c r="J465" t="n">
        <v>0</v>
      </c>
      <c r="K465" t="n">
        <v>0</v>
      </c>
      <c r="L465" t="n">
        <v>0</v>
      </c>
      <c r="M465" t="n">
        <v>0</v>
      </c>
      <c r="N465" t="n">
        <v>0</v>
      </c>
      <c r="O465" t="n">
        <v>0</v>
      </c>
      <c r="P465" t="n">
        <v>0</v>
      </c>
      <c r="Q465" t="n">
        <v>0</v>
      </c>
      <c r="R465" s="2" t="inlineStr"/>
    </row>
    <row r="466" ht="15" customHeight="1">
      <c r="A466" t="inlineStr">
        <is>
          <t>A 3527-2019</t>
        </is>
      </c>
      <c r="B466" s="1" t="n">
        <v>43481</v>
      </c>
      <c r="C466" s="1" t="n">
        <v>45343</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row>
    <row r="467" ht="15" customHeight="1">
      <c r="A467" t="inlineStr">
        <is>
          <t>A 4402-2019</t>
        </is>
      </c>
      <c r="B467" s="1" t="n">
        <v>43484</v>
      </c>
      <c r="C467" s="1" t="n">
        <v>45343</v>
      </c>
      <c r="D467" t="inlineStr">
        <is>
          <t>JÄMTLANDS LÄN</t>
        </is>
      </c>
      <c r="E467" t="inlineStr">
        <is>
          <t>STRÖMSUND</t>
        </is>
      </c>
      <c r="G467" t="n">
        <v>5.4</v>
      </c>
      <c r="H467" t="n">
        <v>0</v>
      </c>
      <c r="I467" t="n">
        <v>0</v>
      </c>
      <c r="J467" t="n">
        <v>0</v>
      </c>
      <c r="K467" t="n">
        <v>0</v>
      </c>
      <c r="L467" t="n">
        <v>0</v>
      </c>
      <c r="M467" t="n">
        <v>0</v>
      </c>
      <c r="N467" t="n">
        <v>0</v>
      </c>
      <c r="O467" t="n">
        <v>0</v>
      </c>
      <c r="P467" t="n">
        <v>0</v>
      </c>
      <c r="Q467" t="n">
        <v>0</v>
      </c>
      <c r="R467" s="2" t="inlineStr"/>
    </row>
    <row r="468" ht="15" customHeight="1">
      <c r="A468" t="inlineStr">
        <is>
          <t>A 9625-2019</t>
        </is>
      </c>
      <c r="B468" s="1" t="n">
        <v>43508</v>
      </c>
      <c r="C468" s="1" t="n">
        <v>45343</v>
      </c>
      <c r="D468" t="inlineStr">
        <is>
          <t>JÄMTLANDS LÄN</t>
        </is>
      </c>
      <c r="E468" t="inlineStr">
        <is>
          <t>STRÖMSUND</t>
        </is>
      </c>
      <c r="G468" t="n">
        <v>4.2</v>
      </c>
      <c r="H468" t="n">
        <v>0</v>
      </c>
      <c r="I468" t="n">
        <v>0</v>
      </c>
      <c r="J468" t="n">
        <v>0</v>
      </c>
      <c r="K468" t="n">
        <v>0</v>
      </c>
      <c r="L468" t="n">
        <v>0</v>
      </c>
      <c r="M468" t="n">
        <v>0</v>
      </c>
      <c r="N468" t="n">
        <v>0</v>
      </c>
      <c r="O468" t="n">
        <v>0</v>
      </c>
      <c r="P468" t="n">
        <v>0</v>
      </c>
      <c r="Q468" t="n">
        <v>0</v>
      </c>
      <c r="R468" s="2" t="inlineStr"/>
    </row>
    <row r="469" ht="15" customHeight="1">
      <c r="A469" t="inlineStr">
        <is>
          <t>A 9632-2019</t>
        </is>
      </c>
      <c r="B469" s="1" t="n">
        <v>43508</v>
      </c>
      <c r="C469" s="1" t="n">
        <v>45343</v>
      </c>
      <c r="D469" t="inlineStr">
        <is>
          <t>JÄMTLANDS LÄN</t>
        </is>
      </c>
      <c r="E469" t="inlineStr">
        <is>
          <t>STRÖMSUND</t>
        </is>
      </c>
      <c r="G469" t="n">
        <v>1.5</v>
      </c>
      <c r="H469" t="n">
        <v>0</v>
      </c>
      <c r="I469" t="n">
        <v>0</v>
      </c>
      <c r="J469" t="n">
        <v>0</v>
      </c>
      <c r="K469" t="n">
        <v>0</v>
      </c>
      <c r="L469" t="n">
        <v>0</v>
      </c>
      <c r="M469" t="n">
        <v>0</v>
      </c>
      <c r="N469" t="n">
        <v>0</v>
      </c>
      <c r="O469" t="n">
        <v>0</v>
      </c>
      <c r="P469" t="n">
        <v>0</v>
      </c>
      <c r="Q469" t="n">
        <v>0</v>
      </c>
      <c r="R469" s="2" t="inlineStr"/>
    </row>
    <row r="470" ht="15" customHeight="1">
      <c r="A470" t="inlineStr">
        <is>
          <t>A 9728-2019</t>
        </is>
      </c>
      <c r="B470" s="1" t="n">
        <v>43508</v>
      </c>
      <c r="C470" s="1" t="n">
        <v>45343</v>
      </c>
      <c r="D470" t="inlineStr">
        <is>
          <t>JÄMTLANDS LÄN</t>
        </is>
      </c>
      <c r="E470" t="inlineStr">
        <is>
          <t>STRÖMSUND</t>
        </is>
      </c>
      <c r="G470" t="n">
        <v>1.8</v>
      </c>
      <c r="H470" t="n">
        <v>0</v>
      </c>
      <c r="I470" t="n">
        <v>0</v>
      </c>
      <c r="J470" t="n">
        <v>0</v>
      </c>
      <c r="K470" t="n">
        <v>0</v>
      </c>
      <c r="L470" t="n">
        <v>0</v>
      </c>
      <c r="M470" t="n">
        <v>0</v>
      </c>
      <c r="N470" t="n">
        <v>0</v>
      </c>
      <c r="O470" t="n">
        <v>0</v>
      </c>
      <c r="P470" t="n">
        <v>0</v>
      </c>
      <c r="Q470" t="n">
        <v>0</v>
      </c>
      <c r="R470" s="2" t="inlineStr"/>
    </row>
    <row r="471" ht="15" customHeight="1">
      <c r="A471" t="inlineStr">
        <is>
          <t>A 13004-2019</t>
        </is>
      </c>
      <c r="B471" s="1" t="n">
        <v>43525</v>
      </c>
      <c r="C471" s="1" t="n">
        <v>45343</v>
      </c>
      <c r="D471" t="inlineStr">
        <is>
          <t>JÄMTLANDS LÄN</t>
        </is>
      </c>
      <c r="E471" t="inlineStr">
        <is>
          <t>STRÖMSUND</t>
        </is>
      </c>
      <c r="G471" t="n">
        <v>3.1</v>
      </c>
      <c r="H471" t="n">
        <v>0</v>
      </c>
      <c r="I471" t="n">
        <v>0</v>
      </c>
      <c r="J471" t="n">
        <v>0</v>
      </c>
      <c r="K471" t="n">
        <v>0</v>
      </c>
      <c r="L471" t="n">
        <v>0</v>
      </c>
      <c r="M471" t="n">
        <v>0</v>
      </c>
      <c r="N471" t="n">
        <v>0</v>
      </c>
      <c r="O471" t="n">
        <v>0</v>
      </c>
      <c r="P471" t="n">
        <v>0</v>
      </c>
      <c r="Q471" t="n">
        <v>0</v>
      </c>
      <c r="R471" s="2" t="inlineStr"/>
    </row>
    <row r="472" ht="15" customHeight="1">
      <c r="A472" t="inlineStr">
        <is>
          <t>A 13230-2019</t>
        </is>
      </c>
      <c r="B472" s="1" t="n">
        <v>43528</v>
      </c>
      <c r="C472" s="1" t="n">
        <v>45343</v>
      </c>
      <c r="D472" t="inlineStr">
        <is>
          <t>JÄMTLANDS LÄN</t>
        </is>
      </c>
      <c r="E472" t="inlineStr">
        <is>
          <t>STRÖMSUND</t>
        </is>
      </c>
      <c r="G472" t="n">
        <v>0.8</v>
      </c>
      <c r="H472" t="n">
        <v>0</v>
      </c>
      <c r="I472" t="n">
        <v>0</v>
      </c>
      <c r="J472" t="n">
        <v>0</v>
      </c>
      <c r="K472" t="n">
        <v>0</v>
      </c>
      <c r="L472" t="n">
        <v>0</v>
      </c>
      <c r="M472" t="n">
        <v>0</v>
      </c>
      <c r="N472" t="n">
        <v>0</v>
      </c>
      <c r="O472" t="n">
        <v>0</v>
      </c>
      <c r="P472" t="n">
        <v>0</v>
      </c>
      <c r="Q472" t="n">
        <v>0</v>
      </c>
      <c r="R472" s="2" t="inlineStr"/>
    </row>
    <row r="473" ht="15" customHeight="1">
      <c r="A473" t="inlineStr">
        <is>
          <t>A 13291-2019</t>
        </is>
      </c>
      <c r="B473" s="1" t="n">
        <v>43528</v>
      </c>
      <c r="C473" s="1" t="n">
        <v>45343</v>
      </c>
      <c r="D473" t="inlineStr">
        <is>
          <t>JÄMTLANDS LÄN</t>
        </is>
      </c>
      <c r="E473" t="inlineStr">
        <is>
          <t>STRÖMSUND</t>
        </is>
      </c>
      <c r="G473" t="n">
        <v>2.1</v>
      </c>
      <c r="H473" t="n">
        <v>0</v>
      </c>
      <c r="I473" t="n">
        <v>0</v>
      </c>
      <c r="J473" t="n">
        <v>0</v>
      </c>
      <c r="K473" t="n">
        <v>0</v>
      </c>
      <c r="L473" t="n">
        <v>0</v>
      </c>
      <c r="M473" t="n">
        <v>0</v>
      </c>
      <c r="N473" t="n">
        <v>0</v>
      </c>
      <c r="O473" t="n">
        <v>0</v>
      </c>
      <c r="P473" t="n">
        <v>0</v>
      </c>
      <c r="Q473" t="n">
        <v>0</v>
      </c>
      <c r="R473" s="2" t="inlineStr"/>
    </row>
    <row r="474" ht="15" customHeight="1">
      <c r="A474" t="inlineStr">
        <is>
          <t>A 13913-2019</t>
        </is>
      </c>
      <c r="B474" s="1" t="n">
        <v>43531</v>
      </c>
      <c r="C474" s="1" t="n">
        <v>45343</v>
      </c>
      <c r="D474" t="inlineStr">
        <is>
          <t>JÄMTLANDS LÄN</t>
        </is>
      </c>
      <c r="E474" t="inlineStr">
        <is>
          <t>STRÖMSUND</t>
        </is>
      </c>
      <c r="G474" t="n">
        <v>5.7</v>
      </c>
      <c r="H474" t="n">
        <v>0</v>
      </c>
      <c r="I474" t="n">
        <v>0</v>
      </c>
      <c r="J474" t="n">
        <v>0</v>
      </c>
      <c r="K474" t="n">
        <v>0</v>
      </c>
      <c r="L474" t="n">
        <v>0</v>
      </c>
      <c r="M474" t="n">
        <v>0</v>
      </c>
      <c r="N474" t="n">
        <v>0</v>
      </c>
      <c r="O474" t="n">
        <v>0</v>
      </c>
      <c r="P474" t="n">
        <v>0</v>
      </c>
      <c r="Q474" t="n">
        <v>0</v>
      </c>
      <c r="R474" s="2" t="inlineStr"/>
    </row>
    <row r="475" ht="15" customHeight="1">
      <c r="A475" t="inlineStr">
        <is>
          <t>A 14765-2019</t>
        </is>
      </c>
      <c r="B475" s="1" t="n">
        <v>43536</v>
      </c>
      <c r="C475" s="1" t="n">
        <v>45343</v>
      </c>
      <c r="D475" t="inlineStr">
        <is>
          <t>JÄMTLANDS LÄN</t>
        </is>
      </c>
      <c r="E475" t="inlineStr">
        <is>
          <t>STRÖMSUND</t>
        </is>
      </c>
      <c r="F475" t="inlineStr">
        <is>
          <t>Holmen skog AB</t>
        </is>
      </c>
      <c r="G475" t="n">
        <v>5.2</v>
      </c>
      <c r="H475" t="n">
        <v>0</v>
      </c>
      <c r="I475" t="n">
        <v>0</v>
      </c>
      <c r="J475" t="n">
        <v>0</v>
      </c>
      <c r="K475" t="n">
        <v>0</v>
      </c>
      <c r="L475" t="n">
        <v>0</v>
      </c>
      <c r="M475" t="n">
        <v>0</v>
      </c>
      <c r="N475" t="n">
        <v>0</v>
      </c>
      <c r="O475" t="n">
        <v>0</v>
      </c>
      <c r="P475" t="n">
        <v>0</v>
      </c>
      <c r="Q475" t="n">
        <v>0</v>
      </c>
      <c r="R475" s="2" t="inlineStr"/>
    </row>
    <row r="476" ht="15" customHeight="1">
      <c r="A476" t="inlineStr">
        <is>
          <t>A 15015-2019</t>
        </is>
      </c>
      <c r="B476" s="1" t="n">
        <v>43537</v>
      </c>
      <c r="C476" s="1" t="n">
        <v>45343</v>
      </c>
      <c r="D476" t="inlineStr">
        <is>
          <t>JÄMTLANDS LÄN</t>
        </is>
      </c>
      <c r="E476" t="inlineStr">
        <is>
          <t>STRÖMSUND</t>
        </is>
      </c>
      <c r="F476" t="inlineStr">
        <is>
          <t>SCA</t>
        </is>
      </c>
      <c r="G476" t="n">
        <v>22.4</v>
      </c>
      <c r="H476" t="n">
        <v>0</v>
      </c>
      <c r="I476" t="n">
        <v>0</v>
      </c>
      <c r="J476" t="n">
        <v>0</v>
      </c>
      <c r="K476" t="n">
        <v>0</v>
      </c>
      <c r="L476" t="n">
        <v>0</v>
      </c>
      <c r="M476" t="n">
        <v>0</v>
      </c>
      <c r="N476" t="n">
        <v>0</v>
      </c>
      <c r="O476" t="n">
        <v>0</v>
      </c>
      <c r="P476" t="n">
        <v>0</v>
      </c>
      <c r="Q476" t="n">
        <v>0</v>
      </c>
      <c r="R476" s="2" t="inlineStr"/>
    </row>
    <row r="477" ht="15" customHeight="1">
      <c r="A477" t="inlineStr">
        <is>
          <t>A 15182-2019</t>
        </is>
      </c>
      <c r="B477" s="1" t="n">
        <v>43539</v>
      </c>
      <c r="C477" s="1" t="n">
        <v>45343</v>
      </c>
      <c r="D477" t="inlineStr">
        <is>
          <t>JÄMTLANDS LÄN</t>
        </is>
      </c>
      <c r="E477" t="inlineStr">
        <is>
          <t>STRÖMSUND</t>
        </is>
      </c>
      <c r="G477" t="n">
        <v>2.1</v>
      </c>
      <c r="H477" t="n">
        <v>0</v>
      </c>
      <c r="I477" t="n">
        <v>0</v>
      </c>
      <c r="J477" t="n">
        <v>0</v>
      </c>
      <c r="K477" t="n">
        <v>0</v>
      </c>
      <c r="L477" t="n">
        <v>0</v>
      </c>
      <c r="M477" t="n">
        <v>0</v>
      </c>
      <c r="N477" t="n">
        <v>0</v>
      </c>
      <c r="O477" t="n">
        <v>0</v>
      </c>
      <c r="P477" t="n">
        <v>0</v>
      </c>
      <c r="Q477" t="n">
        <v>0</v>
      </c>
      <c r="R477" s="2" t="inlineStr"/>
    </row>
    <row r="478" ht="15" customHeight="1">
      <c r="A478" t="inlineStr">
        <is>
          <t>A 14945-2019</t>
        </is>
      </c>
      <c r="B478" s="1" t="n">
        <v>43539</v>
      </c>
      <c r="C478" s="1" t="n">
        <v>45343</v>
      </c>
      <c r="D478" t="inlineStr">
        <is>
          <t>JÄMTLANDS LÄN</t>
        </is>
      </c>
      <c r="E478" t="inlineStr">
        <is>
          <t>STRÖMSUND</t>
        </is>
      </c>
      <c r="F478" t="inlineStr">
        <is>
          <t>Holmen skog AB</t>
        </is>
      </c>
      <c r="G478" t="n">
        <v>3.2</v>
      </c>
      <c r="H478" t="n">
        <v>0</v>
      </c>
      <c r="I478" t="n">
        <v>0</v>
      </c>
      <c r="J478" t="n">
        <v>0</v>
      </c>
      <c r="K478" t="n">
        <v>0</v>
      </c>
      <c r="L478" t="n">
        <v>0</v>
      </c>
      <c r="M478" t="n">
        <v>0</v>
      </c>
      <c r="N478" t="n">
        <v>0</v>
      </c>
      <c r="O478" t="n">
        <v>0</v>
      </c>
      <c r="P478" t="n">
        <v>0</v>
      </c>
      <c r="Q478" t="n">
        <v>0</v>
      </c>
      <c r="R478" s="2" t="inlineStr"/>
    </row>
    <row r="479" ht="15" customHeight="1">
      <c r="A479" t="inlineStr">
        <is>
          <t>A 15086-2019</t>
        </is>
      </c>
      <c r="B479" s="1" t="n">
        <v>43539</v>
      </c>
      <c r="C479" s="1" t="n">
        <v>45343</v>
      </c>
      <c r="D479" t="inlineStr">
        <is>
          <t>JÄMTLANDS LÄN</t>
        </is>
      </c>
      <c r="E479" t="inlineStr">
        <is>
          <t>STRÖMSUND</t>
        </is>
      </c>
      <c r="F479" t="inlineStr">
        <is>
          <t>Holmen skog AB</t>
        </is>
      </c>
      <c r="G479" t="n">
        <v>3.5</v>
      </c>
      <c r="H479" t="n">
        <v>0</v>
      </c>
      <c r="I479" t="n">
        <v>0</v>
      </c>
      <c r="J479" t="n">
        <v>0</v>
      </c>
      <c r="K479" t="n">
        <v>0</v>
      </c>
      <c r="L479" t="n">
        <v>0</v>
      </c>
      <c r="M479" t="n">
        <v>0</v>
      </c>
      <c r="N479" t="n">
        <v>0</v>
      </c>
      <c r="O479" t="n">
        <v>0</v>
      </c>
      <c r="P479" t="n">
        <v>0</v>
      </c>
      <c r="Q479" t="n">
        <v>0</v>
      </c>
      <c r="R479" s="2" t="inlineStr"/>
    </row>
    <row r="480" ht="15" customHeight="1">
      <c r="A480" t="inlineStr">
        <is>
          <t>A 15266-2019</t>
        </is>
      </c>
      <c r="B480" s="1" t="n">
        <v>43539</v>
      </c>
      <c r="C480" s="1" t="n">
        <v>45343</v>
      </c>
      <c r="D480" t="inlineStr">
        <is>
          <t>JÄMTLANDS LÄN</t>
        </is>
      </c>
      <c r="E480" t="inlineStr">
        <is>
          <t>STRÖMSUND</t>
        </is>
      </c>
      <c r="G480" t="n">
        <v>1.9</v>
      </c>
      <c r="H480" t="n">
        <v>0</v>
      </c>
      <c r="I480" t="n">
        <v>0</v>
      </c>
      <c r="J480" t="n">
        <v>0</v>
      </c>
      <c r="K480" t="n">
        <v>0</v>
      </c>
      <c r="L480" t="n">
        <v>0</v>
      </c>
      <c r="M480" t="n">
        <v>0</v>
      </c>
      <c r="N480" t="n">
        <v>0</v>
      </c>
      <c r="O480" t="n">
        <v>0</v>
      </c>
      <c r="P480" t="n">
        <v>0</v>
      </c>
      <c r="Q480" t="n">
        <v>0</v>
      </c>
      <c r="R480" s="2" t="inlineStr"/>
    </row>
    <row r="481" ht="15" customHeight="1">
      <c r="A481" t="inlineStr">
        <is>
          <t>A 15268-2019</t>
        </is>
      </c>
      <c r="B481" s="1" t="n">
        <v>43539</v>
      </c>
      <c r="C481" s="1" t="n">
        <v>45343</v>
      </c>
      <c r="D481" t="inlineStr">
        <is>
          <t>JÄMTLANDS LÄN</t>
        </is>
      </c>
      <c r="E481" t="inlineStr">
        <is>
          <t>STRÖMSUND</t>
        </is>
      </c>
      <c r="G481" t="n">
        <v>0.3</v>
      </c>
      <c r="H481" t="n">
        <v>0</v>
      </c>
      <c r="I481" t="n">
        <v>0</v>
      </c>
      <c r="J481" t="n">
        <v>0</v>
      </c>
      <c r="K481" t="n">
        <v>0</v>
      </c>
      <c r="L481" t="n">
        <v>0</v>
      </c>
      <c r="M481" t="n">
        <v>0</v>
      </c>
      <c r="N481" t="n">
        <v>0</v>
      </c>
      <c r="O481" t="n">
        <v>0</v>
      </c>
      <c r="P481" t="n">
        <v>0</v>
      </c>
      <c r="Q481" t="n">
        <v>0</v>
      </c>
      <c r="R481" s="2" t="inlineStr"/>
    </row>
    <row r="482" ht="15" customHeight="1">
      <c r="A482" t="inlineStr">
        <is>
          <t>A 15944-2019</t>
        </is>
      </c>
      <c r="B482" s="1" t="n">
        <v>43542</v>
      </c>
      <c r="C482" s="1" t="n">
        <v>45343</v>
      </c>
      <c r="D482" t="inlineStr">
        <is>
          <t>JÄMTLANDS LÄN</t>
        </is>
      </c>
      <c r="E482" t="inlineStr">
        <is>
          <t>STRÖMSUND</t>
        </is>
      </c>
      <c r="G482" t="n">
        <v>6</v>
      </c>
      <c r="H482" t="n">
        <v>0</v>
      </c>
      <c r="I482" t="n">
        <v>0</v>
      </c>
      <c r="J482" t="n">
        <v>0</v>
      </c>
      <c r="K482" t="n">
        <v>0</v>
      </c>
      <c r="L482" t="n">
        <v>0</v>
      </c>
      <c r="M482" t="n">
        <v>0</v>
      </c>
      <c r="N482" t="n">
        <v>0</v>
      </c>
      <c r="O482" t="n">
        <v>0</v>
      </c>
      <c r="P482" t="n">
        <v>0</v>
      </c>
      <c r="Q482" t="n">
        <v>0</v>
      </c>
      <c r="R482" s="2" t="inlineStr"/>
    </row>
    <row r="483" ht="15" customHeight="1">
      <c r="A483" t="inlineStr">
        <is>
          <t>A 16140-2019</t>
        </is>
      </c>
      <c r="B483" s="1" t="n">
        <v>43544</v>
      </c>
      <c r="C483" s="1" t="n">
        <v>45343</v>
      </c>
      <c r="D483" t="inlineStr">
        <is>
          <t>JÄMTLANDS LÄN</t>
        </is>
      </c>
      <c r="E483" t="inlineStr">
        <is>
          <t>STRÖMSUND</t>
        </is>
      </c>
      <c r="G483" t="n">
        <v>0.4</v>
      </c>
      <c r="H483" t="n">
        <v>0</v>
      </c>
      <c r="I483" t="n">
        <v>0</v>
      </c>
      <c r="J483" t="n">
        <v>0</v>
      </c>
      <c r="K483" t="n">
        <v>0</v>
      </c>
      <c r="L483" t="n">
        <v>0</v>
      </c>
      <c r="M483" t="n">
        <v>0</v>
      </c>
      <c r="N483" t="n">
        <v>0</v>
      </c>
      <c r="O483" t="n">
        <v>0</v>
      </c>
      <c r="P483" t="n">
        <v>0</v>
      </c>
      <c r="Q483" t="n">
        <v>0</v>
      </c>
      <c r="R483" s="2" t="inlineStr"/>
    </row>
    <row r="484" ht="15" customHeight="1">
      <c r="A484" t="inlineStr">
        <is>
          <t>A 16641-2019</t>
        </is>
      </c>
      <c r="B484" s="1" t="n">
        <v>43549</v>
      </c>
      <c r="C484" s="1" t="n">
        <v>45343</v>
      </c>
      <c r="D484" t="inlineStr">
        <is>
          <t>JÄMTLANDS LÄN</t>
        </is>
      </c>
      <c r="E484" t="inlineStr">
        <is>
          <t>STRÖMSUND</t>
        </is>
      </c>
      <c r="G484" t="n">
        <v>3.1</v>
      </c>
      <c r="H484" t="n">
        <v>0</v>
      </c>
      <c r="I484" t="n">
        <v>0</v>
      </c>
      <c r="J484" t="n">
        <v>0</v>
      </c>
      <c r="K484" t="n">
        <v>0</v>
      </c>
      <c r="L484" t="n">
        <v>0</v>
      </c>
      <c r="M484" t="n">
        <v>0</v>
      </c>
      <c r="N484" t="n">
        <v>0</v>
      </c>
      <c r="O484" t="n">
        <v>0</v>
      </c>
      <c r="P484" t="n">
        <v>0</v>
      </c>
      <c r="Q484" t="n">
        <v>0</v>
      </c>
      <c r="R484" s="2" t="inlineStr"/>
    </row>
    <row r="485" ht="15" customHeight="1">
      <c r="A485" t="inlineStr">
        <is>
          <t>A 17038-2019</t>
        </is>
      </c>
      <c r="B485" s="1" t="n">
        <v>43551</v>
      </c>
      <c r="C485" s="1" t="n">
        <v>45343</v>
      </c>
      <c r="D485" t="inlineStr">
        <is>
          <t>JÄMTLANDS LÄN</t>
        </is>
      </c>
      <c r="E485" t="inlineStr">
        <is>
          <t>STRÖMSUND</t>
        </is>
      </c>
      <c r="G485" t="n">
        <v>17.6</v>
      </c>
      <c r="H485" t="n">
        <v>0</v>
      </c>
      <c r="I485" t="n">
        <v>0</v>
      </c>
      <c r="J485" t="n">
        <v>0</v>
      </c>
      <c r="K485" t="n">
        <v>0</v>
      </c>
      <c r="L485" t="n">
        <v>0</v>
      </c>
      <c r="M485" t="n">
        <v>0</v>
      </c>
      <c r="N485" t="n">
        <v>0</v>
      </c>
      <c r="O485" t="n">
        <v>0</v>
      </c>
      <c r="P485" t="n">
        <v>0</v>
      </c>
      <c r="Q485" t="n">
        <v>0</v>
      </c>
      <c r="R485" s="2" t="inlineStr"/>
    </row>
    <row r="486" ht="15" customHeight="1">
      <c r="A486" t="inlineStr">
        <is>
          <t>A 17190-2019</t>
        </is>
      </c>
      <c r="B486" s="1" t="n">
        <v>43551</v>
      </c>
      <c r="C486" s="1" t="n">
        <v>45343</v>
      </c>
      <c r="D486" t="inlineStr">
        <is>
          <t>JÄMTLANDS LÄN</t>
        </is>
      </c>
      <c r="E486" t="inlineStr">
        <is>
          <t>STRÖMSUND</t>
        </is>
      </c>
      <c r="G486" t="n">
        <v>4</v>
      </c>
      <c r="H486" t="n">
        <v>0</v>
      </c>
      <c r="I486" t="n">
        <v>0</v>
      </c>
      <c r="J486" t="n">
        <v>0</v>
      </c>
      <c r="K486" t="n">
        <v>0</v>
      </c>
      <c r="L486" t="n">
        <v>0</v>
      </c>
      <c r="M486" t="n">
        <v>0</v>
      </c>
      <c r="N486" t="n">
        <v>0</v>
      </c>
      <c r="O486" t="n">
        <v>0</v>
      </c>
      <c r="P486" t="n">
        <v>0</v>
      </c>
      <c r="Q486" t="n">
        <v>0</v>
      </c>
      <c r="R486" s="2" t="inlineStr"/>
    </row>
    <row r="487" ht="15" customHeight="1">
      <c r="A487" t="inlineStr">
        <is>
          <t>A 17225-2019</t>
        </is>
      </c>
      <c r="B487" s="1" t="n">
        <v>43552</v>
      </c>
      <c r="C487" s="1" t="n">
        <v>45343</v>
      </c>
      <c r="D487" t="inlineStr">
        <is>
          <t>JÄMTLANDS LÄN</t>
        </is>
      </c>
      <c r="E487" t="inlineStr">
        <is>
          <t>STRÖMSUND</t>
        </is>
      </c>
      <c r="G487" t="n">
        <v>7</v>
      </c>
      <c r="H487" t="n">
        <v>0</v>
      </c>
      <c r="I487" t="n">
        <v>0</v>
      </c>
      <c r="J487" t="n">
        <v>0</v>
      </c>
      <c r="K487" t="n">
        <v>0</v>
      </c>
      <c r="L487" t="n">
        <v>0</v>
      </c>
      <c r="M487" t="n">
        <v>0</v>
      </c>
      <c r="N487" t="n">
        <v>0</v>
      </c>
      <c r="O487" t="n">
        <v>0</v>
      </c>
      <c r="P487" t="n">
        <v>0</v>
      </c>
      <c r="Q487" t="n">
        <v>0</v>
      </c>
      <c r="R487" s="2" t="inlineStr"/>
    </row>
    <row r="488" ht="15" customHeight="1">
      <c r="A488" t="inlineStr">
        <is>
          <t>A 18058-2019</t>
        </is>
      </c>
      <c r="B488" s="1" t="n">
        <v>43557</v>
      </c>
      <c r="C488" s="1" t="n">
        <v>45343</v>
      </c>
      <c r="D488" t="inlineStr">
        <is>
          <t>JÄMTLANDS LÄN</t>
        </is>
      </c>
      <c r="E488" t="inlineStr">
        <is>
          <t>STRÖMSUND</t>
        </is>
      </c>
      <c r="G488" t="n">
        <v>0.7</v>
      </c>
      <c r="H488" t="n">
        <v>0</v>
      </c>
      <c r="I488" t="n">
        <v>0</v>
      </c>
      <c r="J488" t="n">
        <v>0</v>
      </c>
      <c r="K488" t="n">
        <v>0</v>
      </c>
      <c r="L488" t="n">
        <v>0</v>
      </c>
      <c r="M488" t="n">
        <v>0</v>
      </c>
      <c r="N488" t="n">
        <v>0</v>
      </c>
      <c r="O488" t="n">
        <v>0</v>
      </c>
      <c r="P488" t="n">
        <v>0</v>
      </c>
      <c r="Q488" t="n">
        <v>0</v>
      </c>
      <c r="R488" s="2" t="inlineStr"/>
    </row>
    <row r="489" ht="15" customHeight="1">
      <c r="A489" t="inlineStr">
        <is>
          <t>A 18057-2019</t>
        </is>
      </c>
      <c r="B489" s="1" t="n">
        <v>43557</v>
      </c>
      <c r="C489" s="1" t="n">
        <v>45343</v>
      </c>
      <c r="D489" t="inlineStr">
        <is>
          <t>JÄMTLANDS LÄN</t>
        </is>
      </c>
      <c r="E489" t="inlineStr">
        <is>
          <t>STRÖMSUND</t>
        </is>
      </c>
      <c r="G489" t="n">
        <v>1.3</v>
      </c>
      <c r="H489" t="n">
        <v>0</v>
      </c>
      <c r="I489" t="n">
        <v>0</v>
      </c>
      <c r="J489" t="n">
        <v>0</v>
      </c>
      <c r="K489" t="n">
        <v>0</v>
      </c>
      <c r="L489" t="n">
        <v>0</v>
      </c>
      <c r="M489" t="n">
        <v>0</v>
      </c>
      <c r="N489" t="n">
        <v>0</v>
      </c>
      <c r="O489" t="n">
        <v>0</v>
      </c>
      <c r="P489" t="n">
        <v>0</v>
      </c>
      <c r="Q489" t="n">
        <v>0</v>
      </c>
      <c r="R489" s="2" t="inlineStr"/>
    </row>
    <row r="490" ht="15" customHeight="1">
      <c r="A490" t="inlineStr">
        <is>
          <t>A 20569-2019</t>
        </is>
      </c>
      <c r="B490" s="1" t="n">
        <v>43572</v>
      </c>
      <c r="C490" s="1" t="n">
        <v>45343</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21702-2019</t>
        </is>
      </c>
      <c r="B491" s="1" t="n">
        <v>43581</v>
      </c>
      <c r="C491" s="1" t="n">
        <v>45343</v>
      </c>
      <c r="D491" t="inlineStr">
        <is>
          <t>JÄMTLANDS LÄN</t>
        </is>
      </c>
      <c r="E491" t="inlineStr">
        <is>
          <t>STRÖMSUND</t>
        </is>
      </c>
      <c r="G491" t="n">
        <v>1.6</v>
      </c>
      <c r="H491" t="n">
        <v>0</v>
      </c>
      <c r="I491" t="n">
        <v>0</v>
      </c>
      <c r="J491" t="n">
        <v>0</v>
      </c>
      <c r="K491" t="n">
        <v>0</v>
      </c>
      <c r="L491" t="n">
        <v>0</v>
      </c>
      <c r="M491" t="n">
        <v>0</v>
      </c>
      <c r="N491" t="n">
        <v>0</v>
      </c>
      <c r="O491" t="n">
        <v>0</v>
      </c>
      <c r="P491" t="n">
        <v>0</v>
      </c>
      <c r="Q491" t="n">
        <v>0</v>
      </c>
      <c r="R491" s="2" t="inlineStr"/>
    </row>
    <row r="492" ht="15" customHeight="1">
      <c r="A492" t="inlineStr">
        <is>
          <t>A 21676-2019</t>
        </is>
      </c>
      <c r="B492" s="1" t="n">
        <v>43581</v>
      </c>
      <c r="C492" s="1" t="n">
        <v>45343</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21696-2019</t>
        </is>
      </c>
      <c r="B493" s="1" t="n">
        <v>43581</v>
      </c>
      <c r="C493" s="1" t="n">
        <v>45343</v>
      </c>
      <c r="D493" t="inlineStr">
        <is>
          <t>JÄMTLANDS LÄN</t>
        </is>
      </c>
      <c r="E493" t="inlineStr">
        <is>
          <t>STRÖMSUND</t>
        </is>
      </c>
      <c r="G493" t="n">
        <v>1.5</v>
      </c>
      <c r="H493" t="n">
        <v>0</v>
      </c>
      <c r="I493" t="n">
        <v>0</v>
      </c>
      <c r="J493" t="n">
        <v>0</v>
      </c>
      <c r="K493" t="n">
        <v>0</v>
      </c>
      <c r="L493" t="n">
        <v>0</v>
      </c>
      <c r="M493" t="n">
        <v>0</v>
      </c>
      <c r="N493" t="n">
        <v>0</v>
      </c>
      <c r="O493" t="n">
        <v>0</v>
      </c>
      <c r="P493" t="n">
        <v>0</v>
      </c>
      <c r="Q493" t="n">
        <v>0</v>
      </c>
      <c r="R493" s="2" t="inlineStr"/>
    </row>
    <row r="494" ht="15" customHeight="1">
      <c r="A494" t="inlineStr">
        <is>
          <t>A 21763-2019</t>
        </is>
      </c>
      <c r="B494" s="1" t="n">
        <v>43581</v>
      </c>
      <c r="C494" s="1" t="n">
        <v>45343</v>
      </c>
      <c r="D494" t="inlineStr">
        <is>
          <t>JÄMTLANDS LÄN</t>
        </is>
      </c>
      <c r="E494" t="inlineStr">
        <is>
          <t>STRÖMSUND</t>
        </is>
      </c>
      <c r="G494" t="n">
        <v>12.7</v>
      </c>
      <c r="H494" t="n">
        <v>0</v>
      </c>
      <c r="I494" t="n">
        <v>0</v>
      </c>
      <c r="J494" t="n">
        <v>0</v>
      </c>
      <c r="K494" t="n">
        <v>0</v>
      </c>
      <c r="L494" t="n">
        <v>0</v>
      </c>
      <c r="M494" t="n">
        <v>0</v>
      </c>
      <c r="N494" t="n">
        <v>0</v>
      </c>
      <c r="O494" t="n">
        <v>0</v>
      </c>
      <c r="P494" t="n">
        <v>0</v>
      </c>
      <c r="Q494" t="n">
        <v>0</v>
      </c>
      <c r="R494" s="2" t="inlineStr"/>
    </row>
    <row r="495" ht="15" customHeight="1">
      <c r="A495" t="inlineStr">
        <is>
          <t>A 22113-2019</t>
        </is>
      </c>
      <c r="B495" s="1" t="n">
        <v>43584</v>
      </c>
      <c r="C495" s="1" t="n">
        <v>45343</v>
      </c>
      <c r="D495" t="inlineStr">
        <is>
          <t>JÄMTLANDS LÄN</t>
        </is>
      </c>
      <c r="E495" t="inlineStr">
        <is>
          <t>STRÖMSUND</t>
        </is>
      </c>
      <c r="G495" t="n">
        <v>3.3</v>
      </c>
      <c r="H495" t="n">
        <v>0</v>
      </c>
      <c r="I495" t="n">
        <v>0</v>
      </c>
      <c r="J495" t="n">
        <v>0</v>
      </c>
      <c r="K495" t="n">
        <v>0</v>
      </c>
      <c r="L495" t="n">
        <v>0</v>
      </c>
      <c r="M495" t="n">
        <v>0</v>
      </c>
      <c r="N495" t="n">
        <v>0</v>
      </c>
      <c r="O495" t="n">
        <v>0</v>
      </c>
      <c r="P495" t="n">
        <v>0</v>
      </c>
      <c r="Q495" t="n">
        <v>0</v>
      </c>
      <c r="R495" s="2" t="inlineStr"/>
      <c r="U495">
        <f>HYPERLINK("https://klasma.github.io/Logging_2313/knärot/A 22113-2019 karta knärot.png", "A 22113-2019")</f>
        <v/>
      </c>
      <c r="V495">
        <f>HYPERLINK("https://klasma.github.io/Logging_2313/klagomål/A 22113-2019 FSC-klagomål.docx", "A 22113-2019")</f>
        <v/>
      </c>
      <c r="W495">
        <f>HYPERLINK("https://klasma.github.io/Logging_2313/klagomålsmail/A 22113-2019 FSC-klagomål mail.docx", "A 22113-2019")</f>
        <v/>
      </c>
      <c r="X495">
        <f>HYPERLINK("https://klasma.github.io/Logging_2313/tillsyn/A 22113-2019 tillsynsbegäran.docx", "A 22113-2019")</f>
        <v/>
      </c>
      <c r="Y495">
        <f>HYPERLINK("https://klasma.github.io/Logging_2313/tillsynsmail/A 22113-2019 tillsynsbegäran mail.docx", "A 22113-2019")</f>
        <v/>
      </c>
    </row>
    <row r="496" ht="15" customHeight="1">
      <c r="A496" t="inlineStr">
        <is>
          <t>A 22293-2019</t>
        </is>
      </c>
      <c r="B496" s="1" t="n">
        <v>43585</v>
      </c>
      <c r="C496" s="1" t="n">
        <v>45343</v>
      </c>
      <c r="D496" t="inlineStr">
        <is>
          <t>JÄMTLANDS LÄN</t>
        </is>
      </c>
      <c r="E496" t="inlineStr">
        <is>
          <t>STRÖMSUND</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22305-2019</t>
        </is>
      </c>
      <c r="B497" s="1" t="n">
        <v>43585</v>
      </c>
      <c r="C497" s="1" t="n">
        <v>45343</v>
      </c>
      <c r="D497" t="inlineStr">
        <is>
          <t>JÄMTLANDS LÄN</t>
        </is>
      </c>
      <c r="E497" t="inlineStr">
        <is>
          <t>STRÖMSUND</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22291-2019</t>
        </is>
      </c>
      <c r="B498" s="1" t="n">
        <v>43585</v>
      </c>
      <c r="C498" s="1" t="n">
        <v>45343</v>
      </c>
      <c r="D498" t="inlineStr">
        <is>
          <t>JÄMTLANDS LÄN</t>
        </is>
      </c>
      <c r="E498" t="inlineStr">
        <is>
          <t>STRÖMSUND</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22777-2019</t>
        </is>
      </c>
      <c r="B499" s="1" t="n">
        <v>43589</v>
      </c>
      <c r="C499" s="1" t="n">
        <v>45343</v>
      </c>
      <c r="D499" t="inlineStr">
        <is>
          <t>JÄMTLANDS LÄN</t>
        </is>
      </c>
      <c r="E499" t="inlineStr">
        <is>
          <t>STRÖMSUND</t>
        </is>
      </c>
      <c r="F499" t="inlineStr">
        <is>
          <t>SCA</t>
        </is>
      </c>
      <c r="G499" t="n">
        <v>5.3</v>
      </c>
      <c r="H499" t="n">
        <v>0</v>
      </c>
      <c r="I499" t="n">
        <v>0</v>
      </c>
      <c r="J499" t="n">
        <v>0</v>
      </c>
      <c r="K499" t="n">
        <v>0</v>
      </c>
      <c r="L499" t="n">
        <v>0</v>
      </c>
      <c r="M499" t="n">
        <v>0</v>
      </c>
      <c r="N499" t="n">
        <v>0</v>
      </c>
      <c r="O499" t="n">
        <v>0</v>
      </c>
      <c r="P499" t="n">
        <v>0</v>
      </c>
      <c r="Q499" t="n">
        <v>0</v>
      </c>
      <c r="R499" s="2" t="inlineStr"/>
    </row>
    <row r="500" ht="15" customHeight="1">
      <c r="A500" t="inlineStr">
        <is>
          <t>A 23040-2019</t>
        </is>
      </c>
      <c r="B500" s="1" t="n">
        <v>43591</v>
      </c>
      <c r="C500" s="1" t="n">
        <v>45343</v>
      </c>
      <c r="D500" t="inlineStr">
        <is>
          <t>JÄMTLANDS LÄN</t>
        </is>
      </c>
      <c r="E500" t="inlineStr">
        <is>
          <t>STRÖMSUND</t>
        </is>
      </c>
      <c r="G500" t="n">
        <v>30.4</v>
      </c>
      <c r="H500" t="n">
        <v>0</v>
      </c>
      <c r="I500" t="n">
        <v>0</v>
      </c>
      <c r="J500" t="n">
        <v>0</v>
      </c>
      <c r="K500" t="n">
        <v>0</v>
      </c>
      <c r="L500" t="n">
        <v>0</v>
      </c>
      <c r="M500" t="n">
        <v>0</v>
      </c>
      <c r="N500" t="n">
        <v>0</v>
      </c>
      <c r="O500" t="n">
        <v>0</v>
      </c>
      <c r="P500" t="n">
        <v>0</v>
      </c>
      <c r="Q500" t="n">
        <v>0</v>
      </c>
      <c r="R500" s="2" t="inlineStr"/>
    </row>
    <row r="501" ht="15" customHeight="1">
      <c r="A501" t="inlineStr">
        <is>
          <t>A 23481-2019</t>
        </is>
      </c>
      <c r="B501" s="1" t="n">
        <v>43593</v>
      </c>
      <c r="C501" s="1" t="n">
        <v>45343</v>
      </c>
      <c r="D501" t="inlineStr">
        <is>
          <t>JÄMTLANDS LÄN</t>
        </is>
      </c>
      <c r="E501" t="inlineStr">
        <is>
          <t>STRÖMSUND</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23941-2019</t>
        </is>
      </c>
      <c r="B502" s="1" t="n">
        <v>43595</v>
      </c>
      <c r="C502" s="1" t="n">
        <v>45343</v>
      </c>
      <c r="D502" t="inlineStr">
        <is>
          <t>JÄMTLANDS LÄN</t>
        </is>
      </c>
      <c r="E502" t="inlineStr">
        <is>
          <t>STRÖMSUND</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23945-2019</t>
        </is>
      </c>
      <c r="B503" s="1" t="n">
        <v>43596</v>
      </c>
      <c r="C503" s="1" t="n">
        <v>45343</v>
      </c>
      <c r="D503" t="inlineStr">
        <is>
          <t>JÄMTLANDS LÄN</t>
        </is>
      </c>
      <c r="E503" t="inlineStr">
        <is>
          <t>STRÖMSUND</t>
        </is>
      </c>
      <c r="G503" t="n">
        <v>0.4</v>
      </c>
      <c r="H503" t="n">
        <v>0</v>
      </c>
      <c r="I503" t="n">
        <v>0</v>
      </c>
      <c r="J503" t="n">
        <v>0</v>
      </c>
      <c r="K503" t="n">
        <v>0</v>
      </c>
      <c r="L503" t="n">
        <v>0</v>
      </c>
      <c r="M503" t="n">
        <v>0</v>
      </c>
      <c r="N503" t="n">
        <v>0</v>
      </c>
      <c r="O503" t="n">
        <v>0</v>
      </c>
      <c r="P503" t="n">
        <v>0</v>
      </c>
      <c r="Q503" t="n">
        <v>0</v>
      </c>
      <c r="R503" s="2" t="inlineStr"/>
    </row>
    <row r="504" ht="15" customHeight="1">
      <c r="A504" t="inlineStr">
        <is>
          <t>A 23958-2019</t>
        </is>
      </c>
      <c r="B504" s="1" t="n">
        <v>43597</v>
      </c>
      <c r="C504" s="1" t="n">
        <v>45343</v>
      </c>
      <c r="D504" t="inlineStr">
        <is>
          <t>JÄMTLANDS LÄN</t>
        </is>
      </c>
      <c r="E504" t="inlineStr">
        <is>
          <t>STRÖMSUND</t>
        </is>
      </c>
      <c r="G504" t="n">
        <v>20.7</v>
      </c>
      <c r="H504" t="n">
        <v>0</v>
      </c>
      <c r="I504" t="n">
        <v>0</v>
      </c>
      <c r="J504" t="n">
        <v>0</v>
      </c>
      <c r="K504" t="n">
        <v>0</v>
      </c>
      <c r="L504" t="n">
        <v>0</v>
      </c>
      <c r="M504" t="n">
        <v>0</v>
      </c>
      <c r="N504" t="n">
        <v>0</v>
      </c>
      <c r="O504" t="n">
        <v>0</v>
      </c>
      <c r="P504" t="n">
        <v>0</v>
      </c>
      <c r="Q504" t="n">
        <v>0</v>
      </c>
      <c r="R504" s="2" t="inlineStr"/>
    </row>
    <row r="505" ht="15" customHeight="1">
      <c r="A505" t="inlineStr">
        <is>
          <t>A 24525-2019</t>
        </is>
      </c>
      <c r="B505" s="1" t="n">
        <v>43598</v>
      </c>
      <c r="C505" s="1" t="n">
        <v>45343</v>
      </c>
      <c r="D505" t="inlineStr">
        <is>
          <t>JÄMTLANDS LÄN</t>
        </is>
      </c>
      <c r="E505" t="inlineStr">
        <is>
          <t>STRÖMSUND</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24162-2019</t>
        </is>
      </c>
      <c r="B506" s="1" t="n">
        <v>43598</v>
      </c>
      <c r="C506" s="1" t="n">
        <v>45343</v>
      </c>
      <c r="D506" t="inlineStr">
        <is>
          <t>JÄMTLANDS LÄN</t>
        </is>
      </c>
      <c r="E506" t="inlineStr">
        <is>
          <t>STRÖMSUND</t>
        </is>
      </c>
      <c r="F506" t="inlineStr">
        <is>
          <t>SCA</t>
        </is>
      </c>
      <c r="G506" t="n">
        <v>18.9</v>
      </c>
      <c r="H506" t="n">
        <v>0</v>
      </c>
      <c r="I506" t="n">
        <v>0</v>
      </c>
      <c r="J506" t="n">
        <v>0</v>
      </c>
      <c r="K506" t="n">
        <v>0</v>
      </c>
      <c r="L506" t="n">
        <v>0</v>
      </c>
      <c r="M506" t="n">
        <v>0</v>
      </c>
      <c r="N506" t="n">
        <v>0</v>
      </c>
      <c r="O506" t="n">
        <v>0</v>
      </c>
      <c r="P506" t="n">
        <v>0</v>
      </c>
      <c r="Q506" t="n">
        <v>0</v>
      </c>
      <c r="R506" s="2" t="inlineStr"/>
    </row>
    <row r="507" ht="15" customHeight="1">
      <c r="A507" t="inlineStr">
        <is>
          <t>A 24577-2019</t>
        </is>
      </c>
      <c r="B507" s="1" t="n">
        <v>43600</v>
      </c>
      <c r="C507" s="1" t="n">
        <v>45343</v>
      </c>
      <c r="D507" t="inlineStr">
        <is>
          <t>JÄMTLANDS LÄN</t>
        </is>
      </c>
      <c r="E507" t="inlineStr">
        <is>
          <t>STRÖMSUND</t>
        </is>
      </c>
      <c r="F507" t="inlineStr">
        <is>
          <t>SCA</t>
        </is>
      </c>
      <c r="G507" t="n">
        <v>138.7</v>
      </c>
      <c r="H507" t="n">
        <v>0</v>
      </c>
      <c r="I507" t="n">
        <v>0</v>
      </c>
      <c r="J507" t="n">
        <v>0</v>
      </c>
      <c r="K507" t="n">
        <v>0</v>
      </c>
      <c r="L507" t="n">
        <v>0</v>
      </c>
      <c r="M507" t="n">
        <v>0</v>
      </c>
      <c r="N507" t="n">
        <v>0</v>
      </c>
      <c r="O507" t="n">
        <v>0</v>
      </c>
      <c r="P507" t="n">
        <v>0</v>
      </c>
      <c r="Q507" t="n">
        <v>0</v>
      </c>
      <c r="R507" s="2" t="inlineStr"/>
    </row>
    <row r="508" ht="15" customHeight="1">
      <c r="A508" t="inlineStr">
        <is>
          <t>A 24787-2019</t>
        </is>
      </c>
      <c r="B508" s="1" t="n">
        <v>43601</v>
      </c>
      <c r="C508" s="1" t="n">
        <v>45343</v>
      </c>
      <c r="D508" t="inlineStr">
        <is>
          <t>JÄMTLANDS LÄN</t>
        </is>
      </c>
      <c r="E508" t="inlineStr">
        <is>
          <t>STRÖMSUND</t>
        </is>
      </c>
      <c r="F508" t="inlineStr">
        <is>
          <t>SCA</t>
        </is>
      </c>
      <c r="G508" t="n">
        <v>6.5</v>
      </c>
      <c r="H508" t="n">
        <v>0</v>
      </c>
      <c r="I508" t="n">
        <v>0</v>
      </c>
      <c r="J508" t="n">
        <v>0</v>
      </c>
      <c r="K508" t="n">
        <v>0</v>
      </c>
      <c r="L508" t="n">
        <v>0</v>
      </c>
      <c r="M508" t="n">
        <v>0</v>
      </c>
      <c r="N508" t="n">
        <v>0</v>
      </c>
      <c r="O508" t="n">
        <v>0</v>
      </c>
      <c r="P508" t="n">
        <v>0</v>
      </c>
      <c r="Q508" t="n">
        <v>0</v>
      </c>
      <c r="R508" s="2" t="inlineStr"/>
    </row>
    <row r="509" ht="15" customHeight="1">
      <c r="A509" t="inlineStr">
        <is>
          <t>A 25923-2019</t>
        </is>
      </c>
      <c r="B509" s="1" t="n">
        <v>43608</v>
      </c>
      <c r="C509" s="1" t="n">
        <v>45343</v>
      </c>
      <c r="D509" t="inlineStr">
        <is>
          <t>JÄMTLANDS LÄN</t>
        </is>
      </c>
      <c r="E509" t="inlineStr">
        <is>
          <t>STRÖMSUND</t>
        </is>
      </c>
      <c r="F509" t="inlineStr">
        <is>
          <t>Kommuner</t>
        </is>
      </c>
      <c r="G509" t="n">
        <v>3.6</v>
      </c>
      <c r="H509" t="n">
        <v>0</v>
      </c>
      <c r="I509" t="n">
        <v>0</v>
      </c>
      <c r="J509" t="n">
        <v>0</v>
      </c>
      <c r="K509" t="n">
        <v>0</v>
      </c>
      <c r="L509" t="n">
        <v>0</v>
      </c>
      <c r="M509" t="n">
        <v>0</v>
      </c>
      <c r="N509" t="n">
        <v>0</v>
      </c>
      <c r="O509" t="n">
        <v>0</v>
      </c>
      <c r="P509" t="n">
        <v>0</v>
      </c>
      <c r="Q509" t="n">
        <v>0</v>
      </c>
      <c r="R509" s="2" t="inlineStr"/>
    </row>
    <row r="510" ht="15" customHeight="1">
      <c r="A510" t="inlineStr">
        <is>
          <t>A 25915-2019</t>
        </is>
      </c>
      <c r="B510" s="1" t="n">
        <v>43608</v>
      </c>
      <c r="C510" s="1" t="n">
        <v>45343</v>
      </c>
      <c r="D510" t="inlineStr">
        <is>
          <t>JÄMTLANDS LÄN</t>
        </is>
      </c>
      <c r="E510" t="inlineStr">
        <is>
          <t>STRÖMSUND</t>
        </is>
      </c>
      <c r="F510" t="inlineStr">
        <is>
          <t>Kommuner</t>
        </is>
      </c>
      <c r="G510" t="n">
        <v>5.7</v>
      </c>
      <c r="H510" t="n">
        <v>0</v>
      </c>
      <c r="I510" t="n">
        <v>0</v>
      </c>
      <c r="J510" t="n">
        <v>0</v>
      </c>
      <c r="K510" t="n">
        <v>0</v>
      </c>
      <c r="L510" t="n">
        <v>0</v>
      </c>
      <c r="M510" t="n">
        <v>0</v>
      </c>
      <c r="N510" t="n">
        <v>0</v>
      </c>
      <c r="O510" t="n">
        <v>0</v>
      </c>
      <c r="P510" t="n">
        <v>0</v>
      </c>
      <c r="Q510" t="n">
        <v>0</v>
      </c>
      <c r="R510" s="2" t="inlineStr"/>
    </row>
    <row r="511" ht="15" customHeight="1">
      <c r="A511" t="inlineStr">
        <is>
          <t>A 25925-2019</t>
        </is>
      </c>
      <c r="B511" s="1" t="n">
        <v>43608</v>
      </c>
      <c r="C511" s="1" t="n">
        <v>45343</v>
      </c>
      <c r="D511" t="inlineStr">
        <is>
          <t>JÄMTLANDS LÄN</t>
        </is>
      </c>
      <c r="E511" t="inlineStr">
        <is>
          <t>STRÖMSUND</t>
        </is>
      </c>
      <c r="F511" t="inlineStr">
        <is>
          <t>Kommuner</t>
        </is>
      </c>
      <c r="G511" t="n">
        <v>12.6</v>
      </c>
      <c r="H511" t="n">
        <v>0</v>
      </c>
      <c r="I511" t="n">
        <v>0</v>
      </c>
      <c r="J511" t="n">
        <v>0</v>
      </c>
      <c r="K511" t="n">
        <v>0</v>
      </c>
      <c r="L511" t="n">
        <v>0</v>
      </c>
      <c r="M511" t="n">
        <v>0</v>
      </c>
      <c r="N511" t="n">
        <v>0</v>
      </c>
      <c r="O511" t="n">
        <v>0</v>
      </c>
      <c r="P511" t="n">
        <v>0</v>
      </c>
      <c r="Q511" t="n">
        <v>0</v>
      </c>
      <c r="R511" s="2" t="inlineStr"/>
    </row>
    <row r="512" ht="15" customHeight="1">
      <c r="A512" t="inlineStr">
        <is>
          <t>A 25910-2019</t>
        </is>
      </c>
      <c r="B512" s="1" t="n">
        <v>43608</v>
      </c>
      <c r="C512" s="1" t="n">
        <v>45343</v>
      </c>
      <c r="D512" t="inlineStr">
        <is>
          <t>JÄMTLANDS LÄN</t>
        </is>
      </c>
      <c r="E512" t="inlineStr">
        <is>
          <t>STRÖMSUND</t>
        </is>
      </c>
      <c r="F512" t="inlineStr">
        <is>
          <t>Kommuner</t>
        </is>
      </c>
      <c r="G512" t="n">
        <v>7</v>
      </c>
      <c r="H512" t="n">
        <v>0</v>
      </c>
      <c r="I512" t="n">
        <v>0</v>
      </c>
      <c r="J512" t="n">
        <v>0</v>
      </c>
      <c r="K512" t="n">
        <v>0</v>
      </c>
      <c r="L512" t="n">
        <v>0</v>
      </c>
      <c r="M512" t="n">
        <v>0</v>
      </c>
      <c r="N512" t="n">
        <v>0</v>
      </c>
      <c r="O512" t="n">
        <v>0</v>
      </c>
      <c r="P512" t="n">
        <v>0</v>
      </c>
      <c r="Q512" t="n">
        <v>0</v>
      </c>
      <c r="R512" s="2" t="inlineStr"/>
    </row>
    <row r="513" ht="15" customHeight="1">
      <c r="A513" t="inlineStr">
        <is>
          <t>A 25918-2019</t>
        </is>
      </c>
      <c r="B513" s="1" t="n">
        <v>43608</v>
      </c>
      <c r="C513" s="1" t="n">
        <v>45343</v>
      </c>
      <c r="D513" t="inlineStr">
        <is>
          <t>JÄMTLANDS LÄN</t>
        </is>
      </c>
      <c r="E513" t="inlineStr">
        <is>
          <t>STRÖMSUND</t>
        </is>
      </c>
      <c r="F513" t="inlineStr">
        <is>
          <t>Kommuner</t>
        </is>
      </c>
      <c r="G513" t="n">
        <v>1.4</v>
      </c>
      <c r="H513" t="n">
        <v>0</v>
      </c>
      <c r="I513" t="n">
        <v>0</v>
      </c>
      <c r="J513" t="n">
        <v>0</v>
      </c>
      <c r="K513" t="n">
        <v>0</v>
      </c>
      <c r="L513" t="n">
        <v>0</v>
      </c>
      <c r="M513" t="n">
        <v>0</v>
      </c>
      <c r="N513" t="n">
        <v>0</v>
      </c>
      <c r="O513" t="n">
        <v>0</v>
      </c>
      <c r="P513" t="n">
        <v>0</v>
      </c>
      <c r="Q513" t="n">
        <v>0</v>
      </c>
      <c r="R513" s="2" t="inlineStr"/>
    </row>
    <row r="514" ht="15" customHeight="1">
      <c r="A514" t="inlineStr">
        <is>
          <t>A 25950-2019</t>
        </is>
      </c>
      <c r="B514" s="1" t="n">
        <v>43608</v>
      </c>
      <c r="C514" s="1" t="n">
        <v>45343</v>
      </c>
      <c r="D514" t="inlineStr">
        <is>
          <t>JÄMTLANDS LÄN</t>
        </is>
      </c>
      <c r="E514" t="inlineStr">
        <is>
          <t>STRÖMSUND</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26012-2019</t>
        </is>
      </c>
      <c r="B515" s="1" t="n">
        <v>43608</v>
      </c>
      <c r="C515" s="1" t="n">
        <v>45343</v>
      </c>
      <c r="D515" t="inlineStr">
        <is>
          <t>JÄMTLANDS LÄN</t>
        </is>
      </c>
      <c r="E515" t="inlineStr">
        <is>
          <t>STRÖMSUND</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25921-2019</t>
        </is>
      </c>
      <c r="B516" s="1" t="n">
        <v>43608</v>
      </c>
      <c r="C516" s="1" t="n">
        <v>45343</v>
      </c>
      <c r="D516" t="inlineStr">
        <is>
          <t>JÄMTLANDS LÄN</t>
        </is>
      </c>
      <c r="E516" t="inlineStr">
        <is>
          <t>STRÖMSUND</t>
        </is>
      </c>
      <c r="F516" t="inlineStr">
        <is>
          <t>Kommuner</t>
        </is>
      </c>
      <c r="G516" t="n">
        <v>23.9</v>
      </c>
      <c r="H516" t="n">
        <v>0</v>
      </c>
      <c r="I516" t="n">
        <v>0</v>
      </c>
      <c r="J516" t="n">
        <v>0</v>
      </c>
      <c r="K516" t="n">
        <v>0</v>
      </c>
      <c r="L516" t="n">
        <v>0</v>
      </c>
      <c r="M516" t="n">
        <v>0</v>
      </c>
      <c r="N516" t="n">
        <v>0</v>
      </c>
      <c r="O516" t="n">
        <v>0</v>
      </c>
      <c r="P516" t="n">
        <v>0</v>
      </c>
      <c r="Q516" t="n">
        <v>0</v>
      </c>
      <c r="R516" s="2" t="inlineStr"/>
    </row>
    <row r="517" ht="15" customHeight="1">
      <c r="A517" t="inlineStr">
        <is>
          <t>A 25984-2019</t>
        </is>
      </c>
      <c r="B517" s="1" t="n">
        <v>43608</v>
      </c>
      <c r="C517" s="1" t="n">
        <v>45343</v>
      </c>
      <c r="D517" t="inlineStr">
        <is>
          <t>JÄMTLANDS LÄN</t>
        </is>
      </c>
      <c r="E517" t="inlineStr">
        <is>
          <t>STRÖMSUND</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26252-2019</t>
        </is>
      </c>
      <c r="B518" s="1" t="n">
        <v>43609</v>
      </c>
      <c r="C518" s="1" t="n">
        <v>45343</v>
      </c>
      <c r="D518" t="inlineStr">
        <is>
          <t>JÄMTLANDS LÄN</t>
        </is>
      </c>
      <c r="E518" t="inlineStr">
        <is>
          <t>STRÖMSUND</t>
        </is>
      </c>
      <c r="F518" t="inlineStr">
        <is>
          <t>SCA</t>
        </is>
      </c>
      <c r="G518" t="n">
        <v>10.5</v>
      </c>
      <c r="H518" t="n">
        <v>0</v>
      </c>
      <c r="I518" t="n">
        <v>0</v>
      </c>
      <c r="J518" t="n">
        <v>0</v>
      </c>
      <c r="K518" t="n">
        <v>0</v>
      </c>
      <c r="L518" t="n">
        <v>0</v>
      </c>
      <c r="M518" t="n">
        <v>0</v>
      </c>
      <c r="N518" t="n">
        <v>0</v>
      </c>
      <c r="O518" t="n">
        <v>0</v>
      </c>
      <c r="P518" t="n">
        <v>0</v>
      </c>
      <c r="Q518" t="n">
        <v>0</v>
      </c>
      <c r="R518" s="2" t="inlineStr"/>
    </row>
    <row r="519" ht="15" customHeight="1">
      <c r="A519" t="inlineStr">
        <is>
          <t>A 26251-2019</t>
        </is>
      </c>
      <c r="B519" s="1" t="n">
        <v>43609</v>
      </c>
      <c r="C519" s="1" t="n">
        <v>45343</v>
      </c>
      <c r="D519" t="inlineStr">
        <is>
          <t>JÄMTLANDS LÄN</t>
        </is>
      </c>
      <c r="E519" t="inlineStr">
        <is>
          <t>STRÖMSUND</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27536-2019</t>
        </is>
      </c>
      <c r="B520" s="1" t="n">
        <v>43612</v>
      </c>
      <c r="C520" s="1" t="n">
        <v>45343</v>
      </c>
      <c r="D520" t="inlineStr">
        <is>
          <t>JÄMTLANDS LÄN</t>
        </is>
      </c>
      <c r="E520" t="inlineStr">
        <is>
          <t>STRÖMSUND</t>
        </is>
      </c>
      <c r="G520" t="n">
        <v>1.3</v>
      </c>
      <c r="H520" t="n">
        <v>0</v>
      </c>
      <c r="I520" t="n">
        <v>0</v>
      </c>
      <c r="J520" t="n">
        <v>0</v>
      </c>
      <c r="K520" t="n">
        <v>0</v>
      </c>
      <c r="L520" t="n">
        <v>0</v>
      </c>
      <c r="M520" t="n">
        <v>0</v>
      </c>
      <c r="N520" t="n">
        <v>0</v>
      </c>
      <c r="O520" t="n">
        <v>0</v>
      </c>
      <c r="P520" t="n">
        <v>0</v>
      </c>
      <c r="Q520" t="n">
        <v>0</v>
      </c>
      <c r="R520" s="2" t="inlineStr"/>
    </row>
    <row r="521" ht="15" customHeight="1">
      <c r="A521" t="inlineStr">
        <is>
          <t>A 26937-2019</t>
        </is>
      </c>
      <c r="B521" s="1" t="n">
        <v>43613</v>
      </c>
      <c r="C521" s="1" t="n">
        <v>45343</v>
      </c>
      <c r="D521" t="inlineStr">
        <is>
          <t>JÄMTLANDS LÄN</t>
        </is>
      </c>
      <c r="E521" t="inlineStr">
        <is>
          <t>STRÖMSUND</t>
        </is>
      </c>
      <c r="G521" t="n">
        <v>0.8</v>
      </c>
      <c r="H521" t="n">
        <v>0</v>
      </c>
      <c r="I521" t="n">
        <v>0</v>
      </c>
      <c r="J521" t="n">
        <v>0</v>
      </c>
      <c r="K521" t="n">
        <v>0</v>
      </c>
      <c r="L521" t="n">
        <v>0</v>
      </c>
      <c r="M521" t="n">
        <v>0</v>
      </c>
      <c r="N521" t="n">
        <v>0</v>
      </c>
      <c r="O521" t="n">
        <v>0</v>
      </c>
      <c r="P521" t="n">
        <v>0</v>
      </c>
      <c r="Q521" t="n">
        <v>0</v>
      </c>
      <c r="R521" s="2" t="inlineStr"/>
    </row>
    <row r="522" ht="15" customHeight="1">
      <c r="A522" t="inlineStr">
        <is>
          <t>A 27249-2019</t>
        </is>
      </c>
      <c r="B522" s="1" t="n">
        <v>43614</v>
      </c>
      <c r="C522" s="1" t="n">
        <v>45343</v>
      </c>
      <c r="D522" t="inlineStr">
        <is>
          <t>JÄMTLANDS LÄN</t>
        </is>
      </c>
      <c r="E522" t="inlineStr">
        <is>
          <t>STRÖMSUND</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27367-2019</t>
        </is>
      </c>
      <c r="B523" s="1" t="n">
        <v>43616</v>
      </c>
      <c r="C523" s="1" t="n">
        <v>45343</v>
      </c>
      <c r="D523" t="inlineStr">
        <is>
          <t>JÄMTLANDS LÄN</t>
        </is>
      </c>
      <c r="E523" t="inlineStr">
        <is>
          <t>STRÖMSUND</t>
        </is>
      </c>
      <c r="G523" t="n">
        <v>0.2</v>
      </c>
      <c r="H523" t="n">
        <v>0</v>
      </c>
      <c r="I523" t="n">
        <v>0</v>
      </c>
      <c r="J523" t="n">
        <v>0</v>
      </c>
      <c r="K523" t="n">
        <v>0</v>
      </c>
      <c r="L523" t="n">
        <v>0</v>
      </c>
      <c r="M523" t="n">
        <v>0</v>
      </c>
      <c r="N523" t="n">
        <v>0</v>
      </c>
      <c r="O523" t="n">
        <v>0</v>
      </c>
      <c r="P523" t="n">
        <v>0</v>
      </c>
      <c r="Q523" t="n">
        <v>0</v>
      </c>
      <c r="R523" s="2" t="inlineStr"/>
    </row>
    <row r="524" ht="15" customHeight="1">
      <c r="A524" t="inlineStr">
        <is>
          <t>A 27514-2019</t>
        </is>
      </c>
      <c r="B524" s="1" t="n">
        <v>43619</v>
      </c>
      <c r="C524" s="1" t="n">
        <v>45343</v>
      </c>
      <c r="D524" t="inlineStr">
        <is>
          <t>JÄMTLANDS LÄN</t>
        </is>
      </c>
      <c r="E524" t="inlineStr">
        <is>
          <t>STRÖMSUND</t>
        </is>
      </c>
      <c r="G524" t="n">
        <v>3.6</v>
      </c>
      <c r="H524" t="n">
        <v>0</v>
      </c>
      <c r="I524" t="n">
        <v>0</v>
      </c>
      <c r="J524" t="n">
        <v>0</v>
      </c>
      <c r="K524" t="n">
        <v>0</v>
      </c>
      <c r="L524" t="n">
        <v>0</v>
      </c>
      <c r="M524" t="n">
        <v>0</v>
      </c>
      <c r="N524" t="n">
        <v>0</v>
      </c>
      <c r="O524" t="n">
        <v>0</v>
      </c>
      <c r="P524" t="n">
        <v>0</v>
      </c>
      <c r="Q524" t="n">
        <v>0</v>
      </c>
      <c r="R524" s="2" t="inlineStr"/>
    </row>
    <row r="525" ht="15" customHeight="1">
      <c r="A525" t="inlineStr">
        <is>
          <t>A 27817-2019</t>
        </is>
      </c>
      <c r="B525" s="1" t="n">
        <v>43620</v>
      </c>
      <c r="C525" s="1" t="n">
        <v>45343</v>
      </c>
      <c r="D525" t="inlineStr">
        <is>
          <t>JÄMTLANDS LÄN</t>
        </is>
      </c>
      <c r="E525" t="inlineStr">
        <is>
          <t>STRÖMSUND</t>
        </is>
      </c>
      <c r="G525" t="n">
        <v>0.7</v>
      </c>
      <c r="H525" t="n">
        <v>0</v>
      </c>
      <c r="I525" t="n">
        <v>0</v>
      </c>
      <c r="J525" t="n">
        <v>0</v>
      </c>
      <c r="K525" t="n">
        <v>0</v>
      </c>
      <c r="L525" t="n">
        <v>0</v>
      </c>
      <c r="M525" t="n">
        <v>0</v>
      </c>
      <c r="N525" t="n">
        <v>0</v>
      </c>
      <c r="O525" t="n">
        <v>0</v>
      </c>
      <c r="P525" t="n">
        <v>0</v>
      </c>
      <c r="Q525" t="n">
        <v>0</v>
      </c>
      <c r="R525" s="2" t="inlineStr"/>
    </row>
    <row r="526" ht="15" customHeight="1">
      <c r="A526" t="inlineStr">
        <is>
          <t>A 28215-2019</t>
        </is>
      </c>
      <c r="B526" s="1" t="n">
        <v>43622</v>
      </c>
      <c r="C526" s="1" t="n">
        <v>45343</v>
      </c>
      <c r="D526" t="inlineStr">
        <is>
          <t>JÄMTLANDS LÄN</t>
        </is>
      </c>
      <c r="E526" t="inlineStr">
        <is>
          <t>STRÖMSUND</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28766-2019</t>
        </is>
      </c>
      <c r="B527" s="1" t="n">
        <v>43627</v>
      </c>
      <c r="C527" s="1" t="n">
        <v>45343</v>
      </c>
      <c r="D527" t="inlineStr">
        <is>
          <t>JÄMTLANDS LÄN</t>
        </is>
      </c>
      <c r="E527" t="inlineStr">
        <is>
          <t>STRÖMSUND</t>
        </is>
      </c>
      <c r="G527" t="n">
        <v>19.8</v>
      </c>
      <c r="H527" t="n">
        <v>0</v>
      </c>
      <c r="I527" t="n">
        <v>0</v>
      </c>
      <c r="J527" t="n">
        <v>0</v>
      </c>
      <c r="K527" t="n">
        <v>0</v>
      </c>
      <c r="L527" t="n">
        <v>0</v>
      </c>
      <c r="M527" t="n">
        <v>0</v>
      </c>
      <c r="N527" t="n">
        <v>0</v>
      </c>
      <c r="O527" t="n">
        <v>0</v>
      </c>
      <c r="P527" t="n">
        <v>0</v>
      </c>
      <c r="Q527" t="n">
        <v>0</v>
      </c>
      <c r="R527" s="2" t="inlineStr"/>
    </row>
    <row r="528" ht="15" customHeight="1">
      <c r="A528" t="inlineStr">
        <is>
          <t>A 28671-2019</t>
        </is>
      </c>
      <c r="B528" s="1" t="n">
        <v>43627</v>
      </c>
      <c r="C528" s="1" t="n">
        <v>45343</v>
      </c>
      <c r="D528" t="inlineStr">
        <is>
          <t>JÄMTLANDS LÄN</t>
        </is>
      </c>
      <c r="E528" t="inlineStr">
        <is>
          <t>STRÖMSUND</t>
        </is>
      </c>
      <c r="G528" t="n">
        <v>21.3</v>
      </c>
      <c r="H528" t="n">
        <v>0</v>
      </c>
      <c r="I528" t="n">
        <v>0</v>
      </c>
      <c r="J528" t="n">
        <v>0</v>
      </c>
      <c r="K528" t="n">
        <v>0</v>
      </c>
      <c r="L528" t="n">
        <v>0</v>
      </c>
      <c r="M528" t="n">
        <v>0</v>
      </c>
      <c r="N528" t="n">
        <v>0</v>
      </c>
      <c r="O528" t="n">
        <v>0</v>
      </c>
      <c r="P528" t="n">
        <v>0</v>
      </c>
      <c r="Q528" t="n">
        <v>0</v>
      </c>
      <c r="R528" s="2" t="inlineStr"/>
    </row>
    <row r="529" ht="15" customHeight="1">
      <c r="A529" t="inlineStr">
        <is>
          <t>A 29166-2019</t>
        </is>
      </c>
      <c r="B529" s="1" t="n">
        <v>43628</v>
      </c>
      <c r="C529" s="1" t="n">
        <v>45343</v>
      </c>
      <c r="D529" t="inlineStr">
        <is>
          <t>JÄMTLANDS LÄN</t>
        </is>
      </c>
      <c r="E529" t="inlineStr">
        <is>
          <t>STRÖMSUND</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29359-2019</t>
        </is>
      </c>
      <c r="B530" s="1" t="n">
        <v>43629</v>
      </c>
      <c r="C530" s="1" t="n">
        <v>45343</v>
      </c>
      <c r="D530" t="inlineStr">
        <is>
          <t>JÄMTLANDS LÄN</t>
        </is>
      </c>
      <c r="E530" t="inlineStr">
        <is>
          <t>STRÖMSUND</t>
        </is>
      </c>
      <c r="G530" t="n">
        <v>3</v>
      </c>
      <c r="H530" t="n">
        <v>0</v>
      </c>
      <c r="I530" t="n">
        <v>0</v>
      </c>
      <c r="J530" t="n">
        <v>0</v>
      </c>
      <c r="K530" t="n">
        <v>0</v>
      </c>
      <c r="L530" t="n">
        <v>0</v>
      </c>
      <c r="M530" t="n">
        <v>0</v>
      </c>
      <c r="N530" t="n">
        <v>0</v>
      </c>
      <c r="O530" t="n">
        <v>0</v>
      </c>
      <c r="P530" t="n">
        <v>0</v>
      </c>
      <c r="Q530" t="n">
        <v>0</v>
      </c>
      <c r="R530" s="2" t="inlineStr"/>
    </row>
    <row r="531" ht="15" customHeight="1">
      <c r="A531" t="inlineStr">
        <is>
          <t>A 29378-2019</t>
        </is>
      </c>
      <c r="B531" s="1" t="n">
        <v>43629</v>
      </c>
      <c r="C531" s="1" t="n">
        <v>45343</v>
      </c>
      <c r="D531" t="inlineStr">
        <is>
          <t>JÄMTLANDS LÄN</t>
        </is>
      </c>
      <c r="E531" t="inlineStr">
        <is>
          <t>STRÖMSUND</t>
        </is>
      </c>
      <c r="G531" t="n">
        <v>33.5</v>
      </c>
      <c r="H531" t="n">
        <v>0</v>
      </c>
      <c r="I531" t="n">
        <v>0</v>
      </c>
      <c r="J531" t="n">
        <v>0</v>
      </c>
      <c r="K531" t="n">
        <v>0</v>
      </c>
      <c r="L531" t="n">
        <v>0</v>
      </c>
      <c r="M531" t="n">
        <v>0</v>
      </c>
      <c r="N531" t="n">
        <v>0</v>
      </c>
      <c r="O531" t="n">
        <v>0</v>
      </c>
      <c r="P531" t="n">
        <v>0</v>
      </c>
      <c r="Q531" t="n">
        <v>0</v>
      </c>
      <c r="R531" s="2" t="inlineStr"/>
    </row>
    <row r="532" ht="15" customHeight="1">
      <c r="A532" t="inlineStr">
        <is>
          <t>A 29740-2019</t>
        </is>
      </c>
      <c r="B532" s="1" t="n">
        <v>43630</v>
      </c>
      <c r="C532" s="1" t="n">
        <v>45343</v>
      </c>
      <c r="D532" t="inlineStr">
        <is>
          <t>JÄMTLANDS LÄN</t>
        </is>
      </c>
      <c r="E532" t="inlineStr">
        <is>
          <t>STRÖMSUND</t>
        </is>
      </c>
      <c r="F532" t="inlineStr">
        <is>
          <t>SCA</t>
        </is>
      </c>
      <c r="G532" t="n">
        <v>62.8</v>
      </c>
      <c r="H532" t="n">
        <v>0</v>
      </c>
      <c r="I532" t="n">
        <v>0</v>
      </c>
      <c r="J532" t="n">
        <v>0</v>
      </c>
      <c r="K532" t="n">
        <v>0</v>
      </c>
      <c r="L532" t="n">
        <v>0</v>
      </c>
      <c r="M532" t="n">
        <v>0</v>
      </c>
      <c r="N532" t="n">
        <v>0</v>
      </c>
      <c r="O532" t="n">
        <v>0</v>
      </c>
      <c r="P532" t="n">
        <v>0</v>
      </c>
      <c r="Q532" t="n">
        <v>0</v>
      </c>
      <c r="R532" s="2" t="inlineStr"/>
    </row>
    <row r="533" ht="15" customHeight="1">
      <c r="A533" t="inlineStr">
        <is>
          <t>A 30136-2019</t>
        </is>
      </c>
      <c r="B533" s="1" t="n">
        <v>43634</v>
      </c>
      <c r="C533" s="1" t="n">
        <v>45343</v>
      </c>
      <c r="D533" t="inlineStr">
        <is>
          <t>JÄMTLANDS LÄN</t>
        </is>
      </c>
      <c r="E533" t="inlineStr">
        <is>
          <t>STRÖMSUND</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30378-2019</t>
        </is>
      </c>
      <c r="B534" s="1" t="n">
        <v>43634</v>
      </c>
      <c r="C534" s="1" t="n">
        <v>45343</v>
      </c>
      <c r="D534" t="inlineStr">
        <is>
          <t>JÄMTLANDS LÄN</t>
        </is>
      </c>
      <c r="E534" t="inlineStr">
        <is>
          <t>STRÖMSUND</t>
        </is>
      </c>
      <c r="F534" t="inlineStr">
        <is>
          <t>SCA</t>
        </is>
      </c>
      <c r="G534" t="n">
        <v>0.5</v>
      </c>
      <c r="H534" t="n">
        <v>0</v>
      </c>
      <c r="I534" t="n">
        <v>0</v>
      </c>
      <c r="J534" t="n">
        <v>0</v>
      </c>
      <c r="K534" t="n">
        <v>0</v>
      </c>
      <c r="L534" t="n">
        <v>0</v>
      </c>
      <c r="M534" t="n">
        <v>0</v>
      </c>
      <c r="N534" t="n">
        <v>0</v>
      </c>
      <c r="O534" t="n">
        <v>0</v>
      </c>
      <c r="P534" t="n">
        <v>0</v>
      </c>
      <c r="Q534" t="n">
        <v>0</v>
      </c>
      <c r="R534" s="2" t="inlineStr"/>
    </row>
    <row r="535" ht="15" customHeight="1">
      <c r="A535" t="inlineStr">
        <is>
          <t>A 30139-2019</t>
        </is>
      </c>
      <c r="B535" s="1" t="n">
        <v>43634</v>
      </c>
      <c r="C535" s="1" t="n">
        <v>45343</v>
      </c>
      <c r="D535" t="inlineStr">
        <is>
          <t>JÄMTLANDS LÄN</t>
        </is>
      </c>
      <c r="E535" t="inlineStr">
        <is>
          <t>STRÖMSUND</t>
        </is>
      </c>
      <c r="F535" t="inlineStr">
        <is>
          <t>Sveaskog</t>
        </is>
      </c>
      <c r="G535" t="n">
        <v>3.9</v>
      </c>
      <c r="H535" t="n">
        <v>0</v>
      </c>
      <c r="I535" t="n">
        <v>0</v>
      </c>
      <c r="J535" t="n">
        <v>0</v>
      </c>
      <c r="K535" t="n">
        <v>0</v>
      </c>
      <c r="L535" t="n">
        <v>0</v>
      </c>
      <c r="M535" t="n">
        <v>0</v>
      </c>
      <c r="N535" t="n">
        <v>0</v>
      </c>
      <c r="O535" t="n">
        <v>0</v>
      </c>
      <c r="P535" t="n">
        <v>0</v>
      </c>
      <c r="Q535" t="n">
        <v>0</v>
      </c>
      <c r="R535" s="2" t="inlineStr"/>
    </row>
    <row r="536" ht="15" customHeight="1">
      <c r="A536" t="inlineStr">
        <is>
          <t>A 30915-2019</t>
        </is>
      </c>
      <c r="B536" s="1" t="n">
        <v>43636</v>
      </c>
      <c r="C536" s="1" t="n">
        <v>45343</v>
      </c>
      <c r="D536" t="inlineStr">
        <is>
          <t>JÄMTLANDS LÄN</t>
        </is>
      </c>
      <c r="E536" t="inlineStr">
        <is>
          <t>STRÖMSUND</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32482-2019</t>
        </is>
      </c>
      <c r="B537" s="1" t="n">
        <v>43644</v>
      </c>
      <c r="C537" s="1" t="n">
        <v>45343</v>
      </c>
      <c r="D537" t="inlineStr">
        <is>
          <t>JÄMTLANDS LÄN</t>
        </is>
      </c>
      <c r="E537" t="inlineStr">
        <is>
          <t>STRÖMSUND</t>
        </is>
      </c>
      <c r="F537" t="inlineStr">
        <is>
          <t>SCA</t>
        </is>
      </c>
      <c r="G537" t="n">
        <v>8.4</v>
      </c>
      <c r="H537" t="n">
        <v>0</v>
      </c>
      <c r="I537" t="n">
        <v>0</v>
      </c>
      <c r="J537" t="n">
        <v>0</v>
      </c>
      <c r="K537" t="n">
        <v>0</v>
      </c>
      <c r="L537" t="n">
        <v>0</v>
      </c>
      <c r="M537" t="n">
        <v>0</v>
      </c>
      <c r="N537" t="n">
        <v>0</v>
      </c>
      <c r="O537" t="n">
        <v>0</v>
      </c>
      <c r="P537" t="n">
        <v>0</v>
      </c>
      <c r="Q537" t="n">
        <v>0</v>
      </c>
      <c r="R537" s="2" t="inlineStr"/>
    </row>
    <row r="538" ht="15" customHeight="1">
      <c r="A538" t="inlineStr">
        <is>
          <t>A 32739-2019</t>
        </is>
      </c>
      <c r="B538" s="1" t="n">
        <v>43647</v>
      </c>
      <c r="C538" s="1" t="n">
        <v>45343</v>
      </c>
      <c r="D538" t="inlineStr">
        <is>
          <t>JÄMTLANDS LÄN</t>
        </is>
      </c>
      <c r="E538" t="inlineStr">
        <is>
          <t>STRÖMSUND</t>
        </is>
      </c>
      <c r="F538" t="inlineStr">
        <is>
          <t>SCA</t>
        </is>
      </c>
      <c r="G538" t="n">
        <v>174.6</v>
      </c>
      <c r="H538" t="n">
        <v>0</v>
      </c>
      <c r="I538" t="n">
        <v>0</v>
      </c>
      <c r="J538" t="n">
        <v>0</v>
      </c>
      <c r="K538" t="n">
        <v>0</v>
      </c>
      <c r="L538" t="n">
        <v>0</v>
      </c>
      <c r="M538" t="n">
        <v>0</v>
      </c>
      <c r="N538" t="n">
        <v>0</v>
      </c>
      <c r="O538" t="n">
        <v>0</v>
      </c>
      <c r="P538" t="n">
        <v>0</v>
      </c>
      <c r="Q538" t="n">
        <v>0</v>
      </c>
      <c r="R538" s="2" t="inlineStr"/>
    </row>
    <row r="539" ht="15" customHeight="1">
      <c r="A539" t="inlineStr">
        <is>
          <t>A 32748-2019</t>
        </is>
      </c>
      <c r="B539" s="1" t="n">
        <v>43647</v>
      </c>
      <c r="C539" s="1" t="n">
        <v>45343</v>
      </c>
      <c r="D539" t="inlineStr">
        <is>
          <t>JÄMTLANDS LÄN</t>
        </is>
      </c>
      <c r="E539" t="inlineStr">
        <is>
          <t>STRÖMSUND</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32974-2019</t>
        </is>
      </c>
      <c r="B540" s="1" t="n">
        <v>43648</v>
      </c>
      <c r="C540" s="1" t="n">
        <v>45343</v>
      </c>
      <c r="D540" t="inlineStr">
        <is>
          <t>JÄMTLANDS LÄN</t>
        </is>
      </c>
      <c r="E540" t="inlineStr">
        <is>
          <t>STRÖMSUND</t>
        </is>
      </c>
      <c r="G540" t="n">
        <v>2.8</v>
      </c>
      <c r="H540" t="n">
        <v>0</v>
      </c>
      <c r="I540" t="n">
        <v>0</v>
      </c>
      <c r="J540" t="n">
        <v>0</v>
      </c>
      <c r="K540" t="n">
        <v>0</v>
      </c>
      <c r="L540" t="n">
        <v>0</v>
      </c>
      <c r="M540" t="n">
        <v>0</v>
      </c>
      <c r="N540" t="n">
        <v>0</v>
      </c>
      <c r="O540" t="n">
        <v>0</v>
      </c>
      <c r="P540" t="n">
        <v>0</v>
      </c>
      <c r="Q540" t="n">
        <v>0</v>
      </c>
      <c r="R540" s="2" t="inlineStr"/>
    </row>
    <row r="541" ht="15" customHeight="1">
      <c r="A541" t="inlineStr">
        <is>
          <t>A 32973-2019</t>
        </is>
      </c>
      <c r="B541" s="1" t="n">
        <v>43648</v>
      </c>
      <c r="C541" s="1" t="n">
        <v>45343</v>
      </c>
      <c r="D541" t="inlineStr">
        <is>
          <t>JÄMTLANDS LÄN</t>
        </is>
      </c>
      <c r="E541" t="inlineStr">
        <is>
          <t>STRÖMSUND</t>
        </is>
      </c>
      <c r="G541" t="n">
        <v>3.5</v>
      </c>
      <c r="H541" t="n">
        <v>0</v>
      </c>
      <c r="I541" t="n">
        <v>0</v>
      </c>
      <c r="J541" t="n">
        <v>0</v>
      </c>
      <c r="K541" t="n">
        <v>0</v>
      </c>
      <c r="L541" t="n">
        <v>0</v>
      </c>
      <c r="M541" t="n">
        <v>0</v>
      </c>
      <c r="N541" t="n">
        <v>0</v>
      </c>
      <c r="O541" t="n">
        <v>0</v>
      </c>
      <c r="P541" t="n">
        <v>0</v>
      </c>
      <c r="Q541" t="n">
        <v>0</v>
      </c>
      <c r="R541" s="2" t="inlineStr"/>
    </row>
    <row r="542" ht="15" customHeight="1">
      <c r="A542" t="inlineStr">
        <is>
          <t>A 32971-2019</t>
        </is>
      </c>
      <c r="B542" s="1" t="n">
        <v>43648</v>
      </c>
      <c r="C542" s="1" t="n">
        <v>45343</v>
      </c>
      <c r="D542" t="inlineStr">
        <is>
          <t>JÄMTLANDS LÄN</t>
        </is>
      </c>
      <c r="E542" t="inlineStr">
        <is>
          <t>STRÖMSUND</t>
        </is>
      </c>
      <c r="G542" t="n">
        <v>0.9</v>
      </c>
      <c r="H542" t="n">
        <v>0</v>
      </c>
      <c r="I542" t="n">
        <v>0</v>
      </c>
      <c r="J542" t="n">
        <v>0</v>
      </c>
      <c r="K542" t="n">
        <v>0</v>
      </c>
      <c r="L542" t="n">
        <v>0</v>
      </c>
      <c r="M542" t="n">
        <v>0</v>
      </c>
      <c r="N542" t="n">
        <v>0</v>
      </c>
      <c r="O542" t="n">
        <v>0</v>
      </c>
      <c r="P542" t="n">
        <v>0</v>
      </c>
      <c r="Q542" t="n">
        <v>0</v>
      </c>
      <c r="R542" s="2" t="inlineStr"/>
    </row>
    <row r="543" ht="15" customHeight="1">
      <c r="A543" t="inlineStr">
        <is>
          <t>A 32975-2019</t>
        </is>
      </c>
      <c r="B543" s="1" t="n">
        <v>43648</v>
      </c>
      <c r="C543" s="1" t="n">
        <v>45343</v>
      </c>
      <c r="D543" t="inlineStr">
        <is>
          <t>JÄMTLANDS LÄN</t>
        </is>
      </c>
      <c r="E543" t="inlineStr">
        <is>
          <t>STRÖMSUND</t>
        </is>
      </c>
      <c r="G543" t="n">
        <v>2.3</v>
      </c>
      <c r="H543" t="n">
        <v>0</v>
      </c>
      <c r="I543" t="n">
        <v>0</v>
      </c>
      <c r="J543" t="n">
        <v>0</v>
      </c>
      <c r="K543" t="n">
        <v>0</v>
      </c>
      <c r="L543" t="n">
        <v>0</v>
      </c>
      <c r="M543" t="n">
        <v>0</v>
      </c>
      <c r="N543" t="n">
        <v>0</v>
      </c>
      <c r="O543" t="n">
        <v>0</v>
      </c>
      <c r="P543" t="n">
        <v>0</v>
      </c>
      <c r="Q543" t="n">
        <v>0</v>
      </c>
      <c r="R543" s="2" t="inlineStr"/>
    </row>
    <row r="544" ht="15" customHeight="1">
      <c r="A544" t="inlineStr">
        <is>
          <t>A 34758-2019</t>
        </is>
      </c>
      <c r="B544" s="1" t="n">
        <v>43649</v>
      </c>
      <c r="C544" s="1" t="n">
        <v>45343</v>
      </c>
      <c r="D544" t="inlineStr">
        <is>
          <t>JÄMTLANDS LÄN</t>
        </is>
      </c>
      <c r="E544" t="inlineStr">
        <is>
          <t>STRÖMSUND</t>
        </is>
      </c>
      <c r="G544" t="n">
        <v>2.2</v>
      </c>
      <c r="H544" t="n">
        <v>0</v>
      </c>
      <c r="I544" t="n">
        <v>0</v>
      </c>
      <c r="J544" t="n">
        <v>0</v>
      </c>
      <c r="K544" t="n">
        <v>0</v>
      </c>
      <c r="L544" t="n">
        <v>0</v>
      </c>
      <c r="M544" t="n">
        <v>0</v>
      </c>
      <c r="N544" t="n">
        <v>0</v>
      </c>
      <c r="O544" t="n">
        <v>0</v>
      </c>
      <c r="P544" t="n">
        <v>0</v>
      </c>
      <c r="Q544" t="n">
        <v>0</v>
      </c>
      <c r="R544" s="2" t="inlineStr"/>
    </row>
    <row r="545" ht="15" customHeight="1">
      <c r="A545" t="inlineStr">
        <is>
          <t>A 33538-2019</t>
        </is>
      </c>
      <c r="B545" s="1" t="n">
        <v>43651</v>
      </c>
      <c r="C545" s="1" t="n">
        <v>45343</v>
      </c>
      <c r="D545" t="inlineStr">
        <is>
          <t>JÄMTLANDS LÄN</t>
        </is>
      </c>
      <c r="E545" t="inlineStr">
        <is>
          <t>STRÖMSUND</t>
        </is>
      </c>
      <c r="F545" t="inlineStr">
        <is>
          <t>Holmen skog AB</t>
        </is>
      </c>
      <c r="G545" t="n">
        <v>15.6</v>
      </c>
      <c r="H545" t="n">
        <v>0</v>
      </c>
      <c r="I545" t="n">
        <v>0</v>
      </c>
      <c r="J545" t="n">
        <v>0</v>
      </c>
      <c r="K545" t="n">
        <v>0</v>
      </c>
      <c r="L545" t="n">
        <v>0</v>
      </c>
      <c r="M545" t="n">
        <v>0</v>
      </c>
      <c r="N545" t="n">
        <v>0</v>
      </c>
      <c r="O545" t="n">
        <v>0</v>
      </c>
      <c r="P545" t="n">
        <v>0</v>
      </c>
      <c r="Q545" t="n">
        <v>0</v>
      </c>
      <c r="R545" s="2" t="inlineStr"/>
    </row>
    <row r="546" ht="15" customHeight="1">
      <c r="A546" t="inlineStr">
        <is>
          <t>A 33701-2019</t>
        </is>
      </c>
      <c r="B546" s="1" t="n">
        <v>43651</v>
      </c>
      <c r="C546" s="1" t="n">
        <v>45343</v>
      </c>
      <c r="D546" t="inlineStr">
        <is>
          <t>JÄMTLANDS LÄN</t>
        </is>
      </c>
      <c r="E546" t="inlineStr">
        <is>
          <t>STRÖMSUND</t>
        </is>
      </c>
      <c r="F546" t="inlineStr">
        <is>
          <t>Holmen skog AB</t>
        </is>
      </c>
      <c r="G546" t="n">
        <v>21.7</v>
      </c>
      <c r="H546" t="n">
        <v>0</v>
      </c>
      <c r="I546" t="n">
        <v>0</v>
      </c>
      <c r="J546" t="n">
        <v>0</v>
      </c>
      <c r="K546" t="n">
        <v>0</v>
      </c>
      <c r="L546" t="n">
        <v>0</v>
      </c>
      <c r="M546" t="n">
        <v>0</v>
      </c>
      <c r="N546" t="n">
        <v>0</v>
      </c>
      <c r="O546" t="n">
        <v>0</v>
      </c>
      <c r="P546" t="n">
        <v>0</v>
      </c>
      <c r="Q546" t="n">
        <v>0</v>
      </c>
      <c r="R546" s="2" t="inlineStr"/>
    </row>
    <row r="547" ht="15" customHeight="1">
      <c r="A547" t="inlineStr">
        <is>
          <t>A 33825-2019</t>
        </is>
      </c>
      <c r="B547" s="1" t="n">
        <v>43651</v>
      </c>
      <c r="C547" s="1" t="n">
        <v>45343</v>
      </c>
      <c r="D547" t="inlineStr">
        <is>
          <t>JÄMTLANDS LÄN</t>
        </is>
      </c>
      <c r="E547" t="inlineStr">
        <is>
          <t>STRÖMSUND</t>
        </is>
      </c>
      <c r="F547" t="inlineStr">
        <is>
          <t>SCA</t>
        </is>
      </c>
      <c r="G547" t="n">
        <v>15.6</v>
      </c>
      <c r="H547" t="n">
        <v>0</v>
      </c>
      <c r="I547" t="n">
        <v>0</v>
      </c>
      <c r="J547" t="n">
        <v>0</v>
      </c>
      <c r="K547" t="n">
        <v>0</v>
      </c>
      <c r="L547" t="n">
        <v>0</v>
      </c>
      <c r="M547" t="n">
        <v>0</v>
      </c>
      <c r="N547" t="n">
        <v>0</v>
      </c>
      <c r="O547" t="n">
        <v>0</v>
      </c>
      <c r="P547" t="n">
        <v>0</v>
      </c>
      <c r="Q547" t="n">
        <v>0</v>
      </c>
      <c r="R547" s="2" t="inlineStr"/>
    </row>
    <row r="548" ht="15" customHeight="1">
      <c r="A548" t="inlineStr">
        <is>
          <t>A 33552-2019</t>
        </is>
      </c>
      <c r="B548" s="1" t="n">
        <v>43651</v>
      </c>
      <c r="C548" s="1" t="n">
        <v>45343</v>
      </c>
      <c r="D548" t="inlineStr">
        <is>
          <t>JÄMTLANDS LÄN</t>
        </is>
      </c>
      <c r="E548" t="inlineStr">
        <is>
          <t>STRÖMSUND</t>
        </is>
      </c>
      <c r="F548" t="inlineStr">
        <is>
          <t>Holmen skog AB</t>
        </is>
      </c>
      <c r="G548" t="n">
        <v>15.9</v>
      </c>
      <c r="H548" t="n">
        <v>0</v>
      </c>
      <c r="I548" t="n">
        <v>0</v>
      </c>
      <c r="J548" t="n">
        <v>0</v>
      </c>
      <c r="K548" t="n">
        <v>0</v>
      </c>
      <c r="L548" t="n">
        <v>0</v>
      </c>
      <c r="M548" t="n">
        <v>0</v>
      </c>
      <c r="N548" t="n">
        <v>0</v>
      </c>
      <c r="O548" t="n">
        <v>0</v>
      </c>
      <c r="P548" t="n">
        <v>0</v>
      </c>
      <c r="Q548" t="n">
        <v>0</v>
      </c>
      <c r="R548" s="2" t="inlineStr"/>
    </row>
    <row r="549" ht="15" customHeight="1">
      <c r="A549" t="inlineStr">
        <is>
          <t>A 34125-2019</t>
        </is>
      </c>
      <c r="B549" s="1" t="n">
        <v>43654</v>
      </c>
      <c r="C549" s="1" t="n">
        <v>45343</v>
      </c>
      <c r="D549" t="inlineStr">
        <is>
          <t>JÄMTLANDS LÄN</t>
        </is>
      </c>
      <c r="E549" t="inlineStr">
        <is>
          <t>STRÖMSUND</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34144-2019</t>
        </is>
      </c>
      <c r="B550" s="1" t="n">
        <v>43655</v>
      </c>
      <c r="C550" s="1" t="n">
        <v>45343</v>
      </c>
      <c r="D550" t="inlineStr">
        <is>
          <t>JÄMTLANDS LÄN</t>
        </is>
      </c>
      <c r="E550" t="inlineStr">
        <is>
          <t>STRÖMSUND</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34156-2019</t>
        </is>
      </c>
      <c r="B551" s="1" t="n">
        <v>43655</v>
      </c>
      <c r="C551" s="1" t="n">
        <v>45343</v>
      </c>
      <c r="D551" t="inlineStr">
        <is>
          <t>JÄMTLANDS LÄN</t>
        </is>
      </c>
      <c r="E551" t="inlineStr">
        <is>
          <t>STRÖMSUND</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34152-2019</t>
        </is>
      </c>
      <c r="B552" s="1" t="n">
        <v>43655</v>
      </c>
      <c r="C552" s="1" t="n">
        <v>45343</v>
      </c>
      <c r="D552" t="inlineStr">
        <is>
          <t>JÄMTLANDS LÄN</t>
        </is>
      </c>
      <c r="E552" t="inlineStr">
        <is>
          <t>STRÖMSUND</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34233-2019</t>
        </is>
      </c>
      <c r="B553" s="1" t="n">
        <v>43655</v>
      </c>
      <c r="C553" s="1" t="n">
        <v>45343</v>
      </c>
      <c r="D553" t="inlineStr">
        <is>
          <t>JÄMTLANDS LÄN</t>
        </is>
      </c>
      <c r="E553" t="inlineStr">
        <is>
          <t>STRÖMSUND</t>
        </is>
      </c>
      <c r="G553" t="n">
        <v>3.1</v>
      </c>
      <c r="H553" t="n">
        <v>0</v>
      </c>
      <c r="I553" t="n">
        <v>0</v>
      </c>
      <c r="J553" t="n">
        <v>0</v>
      </c>
      <c r="K553" t="n">
        <v>0</v>
      </c>
      <c r="L553" t="n">
        <v>0</v>
      </c>
      <c r="M553" t="n">
        <v>0</v>
      </c>
      <c r="N553" t="n">
        <v>0</v>
      </c>
      <c r="O553" t="n">
        <v>0</v>
      </c>
      <c r="P553" t="n">
        <v>0</v>
      </c>
      <c r="Q553" t="n">
        <v>0</v>
      </c>
      <c r="R553" s="2" t="inlineStr"/>
    </row>
    <row r="554" ht="15" customHeight="1">
      <c r="A554" t="inlineStr">
        <is>
          <t>A 34146-2019</t>
        </is>
      </c>
      <c r="B554" s="1" t="n">
        <v>43655</v>
      </c>
      <c r="C554" s="1" t="n">
        <v>45343</v>
      </c>
      <c r="D554" t="inlineStr">
        <is>
          <t>JÄMTLANDS LÄN</t>
        </is>
      </c>
      <c r="E554" t="inlineStr">
        <is>
          <t>STRÖMSUND</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35674-2019</t>
        </is>
      </c>
      <c r="B555" s="1" t="n">
        <v>43655</v>
      </c>
      <c r="C555" s="1" t="n">
        <v>45343</v>
      </c>
      <c r="D555" t="inlineStr">
        <is>
          <t>JÄMTLANDS LÄN</t>
        </is>
      </c>
      <c r="E555" t="inlineStr">
        <is>
          <t>STRÖMSUND</t>
        </is>
      </c>
      <c r="G555" t="n">
        <v>2.8</v>
      </c>
      <c r="H555" t="n">
        <v>0</v>
      </c>
      <c r="I555" t="n">
        <v>0</v>
      </c>
      <c r="J555" t="n">
        <v>0</v>
      </c>
      <c r="K555" t="n">
        <v>0</v>
      </c>
      <c r="L555" t="n">
        <v>0</v>
      </c>
      <c r="M555" t="n">
        <v>0</v>
      </c>
      <c r="N555" t="n">
        <v>0</v>
      </c>
      <c r="O555" t="n">
        <v>0</v>
      </c>
      <c r="P555" t="n">
        <v>0</v>
      </c>
      <c r="Q555" t="n">
        <v>0</v>
      </c>
      <c r="R555" s="2" t="inlineStr"/>
    </row>
    <row r="556" ht="15" customHeight="1">
      <c r="A556" t="inlineStr">
        <is>
          <t>A 34219-2019</t>
        </is>
      </c>
      <c r="B556" s="1" t="n">
        <v>43655</v>
      </c>
      <c r="C556" s="1" t="n">
        <v>45343</v>
      </c>
      <c r="D556" t="inlineStr">
        <is>
          <t>JÄMTLANDS LÄN</t>
        </is>
      </c>
      <c r="E556" t="inlineStr">
        <is>
          <t>STRÖMSUND</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34741-2019</t>
        </is>
      </c>
      <c r="B557" s="1" t="n">
        <v>43657</v>
      </c>
      <c r="C557" s="1" t="n">
        <v>45343</v>
      </c>
      <c r="D557" t="inlineStr">
        <is>
          <t>JÄMTLANDS LÄN</t>
        </is>
      </c>
      <c r="E557" t="inlineStr">
        <is>
          <t>STRÖMSUND</t>
        </is>
      </c>
      <c r="F557" t="inlineStr">
        <is>
          <t>SCA</t>
        </is>
      </c>
      <c r="G557" t="n">
        <v>11.3</v>
      </c>
      <c r="H557" t="n">
        <v>0</v>
      </c>
      <c r="I557" t="n">
        <v>0</v>
      </c>
      <c r="J557" t="n">
        <v>0</v>
      </c>
      <c r="K557" t="n">
        <v>0</v>
      </c>
      <c r="L557" t="n">
        <v>0</v>
      </c>
      <c r="M557" t="n">
        <v>0</v>
      </c>
      <c r="N557" t="n">
        <v>0</v>
      </c>
      <c r="O557" t="n">
        <v>0</v>
      </c>
      <c r="P557" t="n">
        <v>0</v>
      </c>
      <c r="Q557" t="n">
        <v>0</v>
      </c>
      <c r="R557" s="2" t="inlineStr"/>
    </row>
    <row r="558" ht="15" customHeight="1">
      <c r="A558" t="inlineStr">
        <is>
          <t>A 36193-2019</t>
        </is>
      </c>
      <c r="B558" s="1" t="n">
        <v>43657</v>
      </c>
      <c r="C558" s="1" t="n">
        <v>45343</v>
      </c>
      <c r="D558" t="inlineStr">
        <is>
          <t>JÄMTLANDS LÄN</t>
        </is>
      </c>
      <c r="E558" t="inlineStr">
        <is>
          <t>STRÖMSUND</t>
        </is>
      </c>
      <c r="F558" t="inlineStr">
        <is>
          <t>Holmen skog AB</t>
        </is>
      </c>
      <c r="G558" t="n">
        <v>2</v>
      </c>
      <c r="H558" t="n">
        <v>0</v>
      </c>
      <c r="I558" t="n">
        <v>0</v>
      </c>
      <c r="J558" t="n">
        <v>0</v>
      </c>
      <c r="K558" t="n">
        <v>0</v>
      </c>
      <c r="L558" t="n">
        <v>0</v>
      </c>
      <c r="M558" t="n">
        <v>0</v>
      </c>
      <c r="N558" t="n">
        <v>0</v>
      </c>
      <c r="O558" t="n">
        <v>0</v>
      </c>
      <c r="P558" t="n">
        <v>0</v>
      </c>
      <c r="Q558" t="n">
        <v>0</v>
      </c>
      <c r="R558" s="2" t="inlineStr"/>
    </row>
    <row r="559" ht="15" customHeight="1">
      <c r="A559" t="inlineStr">
        <is>
          <t>A 34794-2019</t>
        </is>
      </c>
      <c r="B559" s="1" t="n">
        <v>43658</v>
      </c>
      <c r="C559" s="1" t="n">
        <v>45343</v>
      </c>
      <c r="D559" t="inlineStr">
        <is>
          <t>JÄMTLANDS LÄN</t>
        </is>
      </c>
      <c r="E559" t="inlineStr">
        <is>
          <t>STRÖMSUND</t>
        </is>
      </c>
      <c r="F559" t="inlineStr">
        <is>
          <t>Sveaskog</t>
        </is>
      </c>
      <c r="G559" t="n">
        <v>9.5</v>
      </c>
      <c r="H559" t="n">
        <v>0</v>
      </c>
      <c r="I559" t="n">
        <v>0</v>
      </c>
      <c r="J559" t="n">
        <v>0</v>
      </c>
      <c r="K559" t="n">
        <v>0</v>
      </c>
      <c r="L559" t="n">
        <v>0</v>
      </c>
      <c r="M559" t="n">
        <v>0</v>
      </c>
      <c r="N559" t="n">
        <v>0</v>
      </c>
      <c r="O559" t="n">
        <v>0</v>
      </c>
      <c r="P559" t="n">
        <v>0</v>
      </c>
      <c r="Q559" t="n">
        <v>0</v>
      </c>
      <c r="R559" s="2" t="inlineStr"/>
    </row>
    <row r="560" ht="15" customHeight="1">
      <c r="A560" t="inlineStr">
        <is>
          <t>A 35323-2019</t>
        </is>
      </c>
      <c r="B560" s="1" t="n">
        <v>43662</v>
      </c>
      <c r="C560" s="1" t="n">
        <v>45343</v>
      </c>
      <c r="D560" t="inlineStr">
        <is>
          <t>JÄMTLANDS LÄN</t>
        </is>
      </c>
      <c r="E560" t="inlineStr">
        <is>
          <t>STRÖMSUND</t>
        </is>
      </c>
      <c r="F560" t="inlineStr">
        <is>
          <t>SCA</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35472-2019</t>
        </is>
      </c>
      <c r="B561" s="1" t="n">
        <v>43663</v>
      </c>
      <c r="C561" s="1" t="n">
        <v>45343</v>
      </c>
      <c r="D561" t="inlineStr">
        <is>
          <t>JÄMTLANDS LÄN</t>
        </is>
      </c>
      <c r="E561" t="inlineStr">
        <is>
          <t>STRÖMSUND</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35442-2019</t>
        </is>
      </c>
      <c r="B562" s="1" t="n">
        <v>43663</v>
      </c>
      <c r="C562" s="1" t="n">
        <v>45343</v>
      </c>
      <c r="D562" t="inlineStr">
        <is>
          <t>JÄMTLANDS LÄN</t>
        </is>
      </c>
      <c r="E562" t="inlineStr">
        <is>
          <t>STRÖMSUND</t>
        </is>
      </c>
      <c r="F562" t="inlineStr">
        <is>
          <t>Holmen skog AB</t>
        </is>
      </c>
      <c r="G562" t="n">
        <v>5</v>
      </c>
      <c r="H562" t="n">
        <v>0</v>
      </c>
      <c r="I562" t="n">
        <v>0</v>
      </c>
      <c r="J562" t="n">
        <v>0</v>
      </c>
      <c r="K562" t="n">
        <v>0</v>
      </c>
      <c r="L562" t="n">
        <v>0</v>
      </c>
      <c r="M562" t="n">
        <v>0</v>
      </c>
      <c r="N562" t="n">
        <v>0</v>
      </c>
      <c r="O562" t="n">
        <v>0</v>
      </c>
      <c r="P562" t="n">
        <v>0</v>
      </c>
      <c r="Q562" t="n">
        <v>0</v>
      </c>
      <c r="R562" s="2" t="inlineStr"/>
    </row>
    <row r="563" ht="15" customHeight="1">
      <c r="A563" t="inlineStr">
        <is>
          <t>A 35621-2019</t>
        </is>
      </c>
      <c r="B563" s="1" t="n">
        <v>43664</v>
      </c>
      <c r="C563" s="1" t="n">
        <v>45343</v>
      </c>
      <c r="D563" t="inlineStr">
        <is>
          <t>JÄMTLANDS LÄN</t>
        </is>
      </c>
      <c r="E563" t="inlineStr">
        <is>
          <t>STRÖMSUND</t>
        </is>
      </c>
      <c r="G563" t="n">
        <v>35.5</v>
      </c>
      <c r="H563" t="n">
        <v>0</v>
      </c>
      <c r="I563" t="n">
        <v>0</v>
      </c>
      <c r="J563" t="n">
        <v>0</v>
      </c>
      <c r="K563" t="n">
        <v>0</v>
      </c>
      <c r="L563" t="n">
        <v>0</v>
      </c>
      <c r="M563" t="n">
        <v>0</v>
      </c>
      <c r="N563" t="n">
        <v>0</v>
      </c>
      <c r="O563" t="n">
        <v>0</v>
      </c>
      <c r="P563" t="n">
        <v>0</v>
      </c>
      <c r="Q563" t="n">
        <v>0</v>
      </c>
      <c r="R563" s="2" t="inlineStr"/>
    </row>
    <row r="564" ht="15" customHeight="1">
      <c r="A564" t="inlineStr">
        <is>
          <t>A 37879-2019</t>
        </is>
      </c>
      <c r="B564" s="1" t="n">
        <v>43682</v>
      </c>
      <c r="C564" s="1" t="n">
        <v>45343</v>
      </c>
      <c r="D564" t="inlineStr">
        <is>
          <t>JÄMTLANDS LÄN</t>
        </is>
      </c>
      <c r="E564" t="inlineStr">
        <is>
          <t>STRÖMSUND</t>
        </is>
      </c>
      <c r="F564" t="inlineStr">
        <is>
          <t>SCA</t>
        </is>
      </c>
      <c r="G564" t="n">
        <v>5.3</v>
      </c>
      <c r="H564" t="n">
        <v>0</v>
      </c>
      <c r="I564" t="n">
        <v>0</v>
      </c>
      <c r="J564" t="n">
        <v>0</v>
      </c>
      <c r="K564" t="n">
        <v>0</v>
      </c>
      <c r="L564" t="n">
        <v>0</v>
      </c>
      <c r="M564" t="n">
        <v>0</v>
      </c>
      <c r="N564" t="n">
        <v>0</v>
      </c>
      <c r="O564" t="n">
        <v>0</v>
      </c>
      <c r="P564" t="n">
        <v>0</v>
      </c>
      <c r="Q564" t="n">
        <v>0</v>
      </c>
      <c r="R564" s="2" t="inlineStr"/>
    </row>
    <row r="565" ht="15" customHeight="1">
      <c r="A565" t="inlineStr">
        <is>
          <t>A 37880-2019</t>
        </is>
      </c>
      <c r="B565" s="1" t="n">
        <v>43682</v>
      </c>
      <c r="C565" s="1" t="n">
        <v>45343</v>
      </c>
      <c r="D565" t="inlineStr">
        <is>
          <t>JÄMTLANDS LÄN</t>
        </is>
      </c>
      <c r="E565" t="inlineStr">
        <is>
          <t>STRÖMSUND</t>
        </is>
      </c>
      <c r="G565" t="n">
        <v>3.9</v>
      </c>
      <c r="H565" t="n">
        <v>0</v>
      </c>
      <c r="I565" t="n">
        <v>0</v>
      </c>
      <c r="J565" t="n">
        <v>0</v>
      </c>
      <c r="K565" t="n">
        <v>0</v>
      </c>
      <c r="L565" t="n">
        <v>0</v>
      </c>
      <c r="M565" t="n">
        <v>0</v>
      </c>
      <c r="N565" t="n">
        <v>0</v>
      </c>
      <c r="O565" t="n">
        <v>0</v>
      </c>
      <c r="P565" t="n">
        <v>0</v>
      </c>
      <c r="Q565" t="n">
        <v>0</v>
      </c>
      <c r="R565" s="2" t="inlineStr"/>
    </row>
    <row r="566" ht="15" customHeight="1">
      <c r="A566" t="inlineStr">
        <is>
          <t>A 38122-2019</t>
        </is>
      </c>
      <c r="B566" s="1" t="n">
        <v>43683</v>
      </c>
      <c r="C566" s="1" t="n">
        <v>45343</v>
      </c>
      <c r="D566" t="inlineStr">
        <is>
          <t>JÄMTLANDS LÄN</t>
        </is>
      </c>
      <c r="E566" t="inlineStr">
        <is>
          <t>STRÖMSUND</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38312-2019</t>
        </is>
      </c>
      <c r="B567" s="1" t="n">
        <v>43684</v>
      </c>
      <c r="C567" s="1" t="n">
        <v>45343</v>
      </c>
      <c r="D567" t="inlineStr">
        <is>
          <t>JÄMTLANDS LÄN</t>
        </is>
      </c>
      <c r="E567" t="inlineStr">
        <is>
          <t>STRÖMSUND</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38578-2019</t>
        </is>
      </c>
      <c r="B568" s="1" t="n">
        <v>43685</v>
      </c>
      <c r="C568" s="1" t="n">
        <v>45343</v>
      </c>
      <c r="D568" t="inlineStr">
        <is>
          <t>JÄMTLANDS LÄN</t>
        </is>
      </c>
      <c r="E568" t="inlineStr">
        <is>
          <t>STRÖMSUND</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38577-2019</t>
        </is>
      </c>
      <c r="B569" s="1" t="n">
        <v>43685</v>
      </c>
      <c r="C569" s="1" t="n">
        <v>45343</v>
      </c>
      <c r="D569" t="inlineStr">
        <is>
          <t>JÄMTLANDS LÄN</t>
        </is>
      </c>
      <c r="E569" t="inlineStr">
        <is>
          <t>STRÖMSUND</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39129-2019</t>
        </is>
      </c>
      <c r="B570" s="1" t="n">
        <v>43689</v>
      </c>
      <c r="C570" s="1" t="n">
        <v>45343</v>
      </c>
      <c r="D570" t="inlineStr">
        <is>
          <t>JÄMTLANDS LÄN</t>
        </is>
      </c>
      <c r="E570" t="inlineStr">
        <is>
          <t>STRÖMSUND</t>
        </is>
      </c>
      <c r="F570" t="inlineStr">
        <is>
          <t>SCA</t>
        </is>
      </c>
      <c r="G570" t="n">
        <v>67.2</v>
      </c>
      <c r="H570" t="n">
        <v>0</v>
      </c>
      <c r="I570" t="n">
        <v>0</v>
      </c>
      <c r="J570" t="n">
        <v>0</v>
      </c>
      <c r="K570" t="n">
        <v>0</v>
      </c>
      <c r="L570" t="n">
        <v>0</v>
      </c>
      <c r="M570" t="n">
        <v>0</v>
      </c>
      <c r="N570" t="n">
        <v>0</v>
      </c>
      <c r="O570" t="n">
        <v>0</v>
      </c>
      <c r="P570" t="n">
        <v>0</v>
      </c>
      <c r="Q570" t="n">
        <v>0</v>
      </c>
      <c r="R570" s="2" t="inlineStr"/>
    </row>
    <row r="571" ht="15" customHeight="1">
      <c r="A571" t="inlineStr">
        <is>
          <t>A 39226-2019</t>
        </is>
      </c>
      <c r="B571" s="1" t="n">
        <v>43690</v>
      </c>
      <c r="C571" s="1" t="n">
        <v>45343</v>
      </c>
      <c r="D571" t="inlineStr">
        <is>
          <t>JÄMTLANDS LÄN</t>
        </is>
      </c>
      <c r="E571" t="inlineStr">
        <is>
          <t>STRÖMSUND</t>
        </is>
      </c>
      <c r="G571" t="n">
        <v>3.3</v>
      </c>
      <c r="H571" t="n">
        <v>0</v>
      </c>
      <c r="I571" t="n">
        <v>0</v>
      </c>
      <c r="J571" t="n">
        <v>0</v>
      </c>
      <c r="K571" t="n">
        <v>0</v>
      </c>
      <c r="L571" t="n">
        <v>0</v>
      </c>
      <c r="M571" t="n">
        <v>0</v>
      </c>
      <c r="N571" t="n">
        <v>0</v>
      </c>
      <c r="O571" t="n">
        <v>0</v>
      </c>
      <c r="P571" t="n">
        <v>0</v>
      </c>
      <c r="Q571" t="n">
        <v>0</v>
      </c>
      <c r="R571" s="2" t="inlineStr"/>
    </row>
    <row r="572" ht="15" customHeight="1">
      <c r="A572" t="inlineStr">
        <is>
          <t>A 39282-2019</t>
        </is>
      </c>
      <c r="B572" s="1" t="n">
        <v>43690</v>
      </c>
      <c r="C572" s="1" t="n">
        <v>45343</v>
      </c>
      <c r="D572" t="inlineStr">
        <is>
          <t>JÄMTLANDS LÄN</t>
        </is>
      </c>
      <c r="E572" t="inlineStr">
        <is>
          <t>STRÖMSUND</t>
        </is>
      </c>
      <c r="F572" t="inlineStr">
        <is>
          <t>Holmen skog AB</t>
        </is>
      </c>
      <c r="G572" t="n">
        <v>21.2</v>
      </c>
      <c r="H572" t="n">
        <v>0</v>
      </c>
      <c r="I572" t="n">
        <v>0</v>
      </c>
      <c r="J572" t="n">
        <v>0</v>
      </c>
      <c r="K572" t="n">
        <v>0</v>
      </c>
      <c r="L572" t="n">
        <v>0</v>
      </c>
      <c r="M572" t="n">
        <v>0</v>
      </c>
      <c r="N572" t="n">
        <v>0</v>
      </c>
      <c r="O572" t="n">
        <v>0</v>
      </c>
      <c r="P572" t="n">
        <v>0</v>
      </c>
      <c r="Q572" t="n">
        <v>0</v>
      </c>
      <c r="R572" s="2" t="inlineStr"/>
    </row>
    <row r="573" ht="15" customHeight="1">
      <c r="A573" t="inlineStr">
        <is>
          <t>A 39924-2019</t>
        </is>
      </c>
      <c r="B573" s="1" t="n">
        <v>43692</v>
      </c>
      <c r="C573" s="1" t="n">
        <v>45343</v>
      </c>
      <c r="D573" t="inlineStr">
        <is>
          <t>JÄMTLANDS LÄN</t>
        </is>
      </c>
      <c r="E573" t="inlineStr">
        <is>
          <t>STRÖMSUND</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40509-2019</t>
        </is>
      </c>
      <c r="B574" s="1" t="n">
        <v>43696</v>
      </c>
      <c r="C574" s="1" t="n">
        <v>45343</v>
      </c>
      <c r="D574" t="inlineStr">
        <is>
          <t>JÄMTLANDS LÄN</t>
        </is>
      </c>
      <c r="E574" t="inlineStr">
        <is>
          <t>STRÖMSUND</t>
        </is>
      </c>
      <c r="G574" t="n">
        <v>16.4</v>
      </c>
      <c r="H574" t="n">
        <v>0</v>
      </c>
      <c r="I574" t="n">
        <v>0</v>
      </c>
      <c r="J574" t="n">
        <v>0</v>
      </c>
      <c r="K574" t="n">
        <v>0</v>
      </c>
      <c r="L574" t="n">
        <v>0</v>
      </c>
      <c r="M574" t="n">
        <v>0</v>
      </c>
      <c r="N574" t="n">
        <v>0</v>
      </c>
      <c r="O574" t="n">
        <v>0</v>
      </c>
      <c r="P574" t="n">
        <v>0</v>
      </c>
      <c r="Q574" t="n">
        <v>0</v>
      </c>
      <c r="R574" s="2" t="inlineStr"/>
    </row>
    <row r="575" ht="15" customHeight="1">
      <c r="A575" t="inlineStr">
        <is>
          <t>A 40661-2019</t>
        </is>
      </c>
      <c r="B575" s="1" t="n">
        <v>43696</v>
      </c>
      <c r="C575" s="1" t="n">
        <v>45343</v>
      </c>
      <c r="D575" t="inlineStr">
        <is>
          <t>JÄMTLANDS LÄN</t>
        </is>
      </c>
      <c r="E575" t="inlineStr">
        <is>
          <t>STRÖMSUND</t>
        </is>
      </c>
      <c r="G575" t="n">
        <v>2.9</v>
      </c>
      <c r="H575" t="n">
        <v>0</v>
      </c>
      <c r="I575" t="n">
        <v>0</v>
      </c>
      <c r="J575" t="n">
        <v>0</v>
      </c>
      <c r="K575" t="n">
        <v>0</v>
      </c>
      <c r="L575" t="n">
        <v>0</v>
      </c>
      <c r="M575" t="n">
        <v>0</v>
      </c>
      <c r="N575" t="n">
        <v>0</v>
      </c>
      <c r="O575" t="n">
        <v>0</v>
      </c>
      <c r="P575" t="n">
        <v>0</v>
      </c>
      <c r="Q575" t="n">
        <v>0</v>
      </c>
      <c r="R575" s="2" t="inlineStr"/>
    </row>
    <row r="576" ht="15" customHeight="1">
      <c r="A576" t="inlineStr">
        <is>
          <t>A 40670-2019</t>
        </is>
      </c>
      <c r="B576" s="1" t="n">
        <v>43696</v>
      </c>
      <c r="C576" s="1" t="n">
        <v>45343</v>
      </c>
      <c r="D576" t="inlineStr">
        <is>
          <t>JÄMTLANDS LÄN</t>
        </is>
      </c>
      <c r="E576" t="inlineStr">
        <is>
          <t>STRÖMSUND</t>
        </is>
      </c>
      <c r="F576" t="inlineStr">
        <is>
          <t>SCA</t>
        </is>
      </c>
      <c r="G576" t="n">
        <v>8.9</v>
      </c>
      <c r="H576" t="n">
        <v>0</v>
      </c>
      <c r="I576" t="n">
        <v>0</v>
      </c>
      <c r="J576" t="n">
        <v>0</v>
      </c>
      <c r="K576" t="n">
        <v>0</v>
      </c>
      <c r="L576" t="n">
        <v>0</v>
      </c>
      <c r="M576" t="n">
        <v>0</v>
      </c>
      <c r="N576" t="n">
        <v>0</v>
      </c>
      <c r="O576" t="n">
        <v>0</v>
      </c>
      <c r="P576" t="n">
        <v>0</v>
      </c>
      <c r="Q576" t="n">
        <v>0</v>
      </c>
      <c r="R576" s="2" t="inlineStr"/>
    </row>
    <row r="577" ht="15" customHeight="1">
      <c r="A577" t="inlineStr">
        <is>
          <t>A 40508-2019</t>
        </is>
      </c>
      <c r="B577" s="1" t="n">
        <v>43696</v>
      </c>
      <c r="C577" s="1" t="n">
        <v>45343</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41007-2019</t>
        </is>
      </c>
      <c r="B578" s="1" t="n">
        <v>43697</v>
      </c>
      <c r="C578" s="1" t="n">
        <v>45343</v>
      </c>
      <c r="D578" t="inlineStr">
        <is>
          <t>JÄMTLANDS LÄN</t>
        </is>
      </c>
      <c r="E578" t="inlineStr">
        <is>
          <t>STRÖMSUND</t>
        </is>
      </c>
      <c r="G578" t="n">
        <v>7.2</v>
      </c>
      <c r="H578" t="n">
        <v>0</v>
      </c>
      <c r="I578" t="n">
        <v>0</v>
      </c>
      <c r="J578" t="n">
        <v>0</v>
      </c>
      <c r="K578" t="n">
        <v>0</v>
      </c>
      <c r="L578" t="n">
        <v>0</v>
      </c>
      <c r="M578" t="n">
        <v>0</v>
      </c>
      <c r="N578" t="n">
        <v>0</v>
      </c>
      <c r="O578" t="n">
        <v>0</v>
      </c>
      <c r="P578" t="n">
        <v>0</v>
      </c>
      <c r="Q578" t="n">
        <v>0</v>
      </c>
      <c r="R578" s="2" t="inlineStr"/>
    </row>
    <row r="579" ht="15" customHeight="1">
      <c r="A579" t="inlineStr">
        <is>
          <t>A 41042-2019</t>
        </is>
      </c>
      <c r="B579" s="1" t="n">
        <v>43697</v>
      </c>
      <c r="C579" s="1" t="n">
        <v>45343</v>
      </c>
      <c r="D579" t="inlineStr">
        <is>
          <t>JÄMTLANDS LÄN</t>
        </is>
      </c>
      <c r="E579" t="inlineStr">
        <is>
          <t>STRÖMSUND</t>
        </is>
      </c>
      <c r="F579" t="inlineStr">
        <is>
          <t>SCA</t>
        </is>
      </c>
      <c r="G579" t="n">
        <v>58.2</v>
      </c>
      <c r="H579" t="n">
        <v>0</v>
      </c>
      <c r="I579" t="n">
        <v>0</v>
      </c>
      <c r="J579" t="n">
        <v>0</v>
      </c>
      <c r="K579" t="n">
        <v>0</v>
      </c>
      <c r="L579" t="n">
        <v>0</v>
      </c>
      <c r="M579" t="n">
        <v>0</v>
      </c>
      <c r="N579" t="n">
        <v>0</v>
      </c>
      <c r="O579" t="n">
        <v>0</v>
      </c>
      <c r="P579" t="n">
        <v>0</v>
      </c>
      <c r="Q579" t="n">
        <v>0</v>
      </c>
      <c r="R579" s="2" t="inlineStr"/>
    </row>
    <row r="580" ht="15" customHeight="1">
      <c r="A580" t="inlineStr">
        <is>
          <t>A 42420-2019</t>
        </is>
      </c>
      <c r="B580" s="1" t="n">
        <v>43703</v>
      </c>
      <c r="C580" s="1" t="n">
        <v>45343</v>
      </c>
      <c r="D580" t="inlineStr">
        <is>
          <t>JÄMTLANDS LÄN</t>
        </is>
      </c>
      <c r="E580" t="inlineStr">
        <is>
          <t>STRÖMSUND</t>
        </is>
      </c>
      <c r="G580" t="n">
        <v>8.4</v>
      </c>
      <c r="H580" t="n">
        <v>0</v>
      </c>
      <c r="I580" t="n">
        <v>0</v>
      </c>
      <c r="J580" t="n">
        <v>0</v>
      </c>
      <c r="K580" t="n">
        <v>0</v>
      </c>
      <c r="L580" t="n">
        <v>0</v>
      </c>
      <c r="M580" t="n">
        <v>0</v>
      </c>
      <c r="N580" t="n">
        <v>0</v>
      </c>
      <c r="O580" t="n">
        <v>0</v>
      </c>
      <c r="P580" t="n">
        <v>0</v>
      </c>
      <c r="Q580" t="n">
        <v>0</v>
      </c>
      <c r="R580" s="2" t="inlineStr"/>
    </row>
    <row r="581" ht="15" customHeight="1">
      <c r="A581" t="inlineStr">
        <is>
          <t>A 43180-2019</t>
        </is>
      </c>
      <c r="B581" s="1" t="n">
        <v>43705</v>
      </c>
      <c r="C581" s="1" t="n">
        <v>45343</v>
      </c>
      <c r="D581" t="inlineStr">
        <is>
          <t>JÄMTLANDS LÄN</t>
        </is>
      </c>
      <c r="E581" t="inlineStr">
        <is>
          <t>STRÖMSUND</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43707-2019</t>
        </is>
      </c>
      <c r="B582" s="1" t="n">
        <v>43707</v>
      </c>
      <c r="C582" s="1" t="n">
        <v>45343</v>
      </c>
      <c r="D582" t="inlineStr">
        <is>
          <t>JÄMTLANDS LÄN</t>
        </is>
      </c>
      <c r="E582" t="inlineStr">
        <is>
          <t>STRÖMSUND</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43943-2019</t>
        </is>
      </c>
      <c r="B583" s="1" t="n">
        <v>43707</v>
      </c>
      <c r="C583" s="1" t="n">
        <v>45343</v>
      </c>
      <c r="D583" t="inlineStr">
        <is>
          <t>JÄMTLANDS LÄN</t>
        </is>
      </c>
      <c r="E583" t="inlineStr">
        <is>
          <t>STRÖMSUND</t>
        </is>
      </c>
      <c r="F583" t="inlineStr">
        <is>
          <t>SCA</t>
        </is>
      </c>
      <c r="G583" t="n">
        <v>11.9</v>
      </c>
      <c r="H583" t="n">
        <v>0</v>
      </c>
      <c r="I583" t="n">
        <v>0</v>
      </c>
      <c r="J583" t="n">
        <v>0</v>
      </c>
      <c r="K583" t="n">
        <v>0</v>
      </c>
      <c r="L583" t="n">
        <v>0</v>
      </c>
      <c r="M583" t="n">
        <v>0</v>
      </c>
      <c r="N583" t="n">
        <v>0</v>
      </c>
      <c r="O583" t="n">
        <v>0</v>
      </c>
      <c r="P583" t="n">
        <v>0</v>
      </c>
      <c r="Q583" t="n">
        <v>0</v>
      </c>
      <c r="R583" s="2" t="inlineStr"/>
    </row>
    <row r="584" ht="15" customHeight="1">
      <c r="A584" t="inlineStr">
        <is>
          <t>A 43793-2019</t>
        </is>
      </c>
      <c r="B584" s="1" t="n">
        <v>43707</v>
      </c>
      <c r="C584" s="1" t="n">
        <v>45343</v>
      </c>
      <c r="D584" t="inlineStr">
        <is>
          <t>JÄMTLANDS LÄN</t>
        </is>
      </c>
      <c r="E584" t="inlineStr">
        <is>
          <t>STRÖMSUND</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45171-2019</t>
        </is>
      </c>
      <c r="B585" s="1" t="n">
        <v>43707</v>
      </c>
      <c r="C585" s="1" t="n">
        <v>45343</v>
      </c>
      <c r="D585" t="inlineStr">
        <is>
          <t>JÄMTLANDS LÄN</t>
        </is>
      </c>
      <c r="E585" t="inlineStr">
        <is>
          <t>STRÖMSUND</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44010-2019</t>
        </is>
      </c>
      <c r="B586" s="1" t="n">
        <v>43709</v>
      </c>
      <c r="C586" s="1" t="n">
        <v>45343</v>
      </c>
      <c r="D586" t="inlineStr">
        <is>
          <t>JÄMTLANDS LÄN</t>
        </is>
      </c>
      <c r="E586" t="inlineStr">
        <is>
          <t>STRÖMSUND</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44535-2019</t>
        </is>
      </c>
      <c r="B587" s="1" t="n">
        <v>43711</v>
      </c>
      <c r="C587" s="1" t="n">
        <v>45343</v>
      </c>
      <c r="D587" t="inlineStr">
        <is>
          <t>JÄMTLANDS LÄN</t>
        </is>
      </c>
      <c r="E587" t="inlineStr">
        <is>
          <t>STRÖMSUND</t>
        </is>
      </c>
      <c r="G587" t="n">
        <v>23.8</v>
      </c>
      <c r="H587" t="n">
        <v>0</v>
      </c>
      <c r="I587" t="n">
        <v>0</v>
      </c>
      <c r="J587" t="n">
        <v>0</v>
      </c>
      <c r="K587" t="n">
        <v>0</v>
      </c>
      <c r="L587" t="n">
        <v>0</v>
      </c>
      <c r="M587" t="n">
        <v>0</v>
      </c>
      <c r="N587" t="n">
        <v>0</v>
      </c>
      <c r="O587" t="n">
        <v>0</v>
      </c>
      <c r="P587" t="n">
        <v>0</v>
      </c>
      <c r="Q587" t="n">
        <v>0</v>
      </c>
      <c r="R587" s="2" t="inlineStr"/>
    </row>
    <row r="588" ht="15" customHeight="1">
      <c r="A588" t="inlineStr">
        <is>
          <t>A 44604-2019</t>
        </is>
      </c>
      <c r="B588" s="1" t="n">
        <v>43711</v>
      </c>
      <c r="C588" s="1" t="n">
        <v>45343</v>
      </c>
      <c r="D588" t="inlineStr">
        <is>
          <t>JÄMTLANDS LÄN</t>
        </is>
      </c>
      <c r="E588" t="inlineStr">
        <is>
          <t>STRÖMSUND</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45773-2019</t>
        </is>
      </c>
      <c r="B589" s="1" t="n">
        <v>43711</v>
      </c>
      <c r="C589" s="1" t="n">
        <v>45343</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44605-2019</t>
        </is>
      </c>
      <c r="B590" s="1" t="n">
        <v>43711</v>
      </c>
      <c r="C590" s="1" t="n">
        <v>45343</v>
      </c>
      <c r="D590" t="inlineStr">
        <is>
          <t>JÄMTLANDS LÄN</t>
        </is>
      </c>
      <c r="E590" t="inlineStr">
        <is>
          <t>STRÖMSUND</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45737-2019</t>
        </is>
      </c>
      <c r="B591" s="1" t="n">
        <v>43711</v>
      </c>
      <c r="C591" s="1" t="n">
        <v>45343</v>
      </c>
      <c r="D591" t="inlineStr">
        <is>
          <t>JÄMTLANDS LÄN</t>
        </is>
      </c>
      <c r="E591" t="inlineStr">
        <is>
          <t>STRÖMSUND</t>
        </is>
      </c>
      <c r="F591" t="inlineStr">
        <is>
          <t>Holmen skog AB</t>
        </is>
      </c>
      <c r="G591" t="n">
        <v>9.5</v>
      </c>
      <c r="H591" t="n">
        <v>0</v>
      </c>
      <c r="I591" t="n">
        <v>0</v>
      </c>
      <c r="J591" t="n">
        <v>0</v>
      </c>
      <c r="K591" t="n">
        <v>0</v>
      </c>
      <c r="L591" t="n">
        <v>0</v>
      </c>
      <c r="M591" t="n">
        <v>0</v>
      </c>
      <c r="N591" t="n">
        <v>0</v>
      </c>
      <c r="O591" t="n">
        <v>0</v>
      </c>
      <c r="P591" t="n">
        <v>0</v>
      </c>
      <c r="Q591" t="n">
        <v>0</v>
      </c>
      <c r="R591" s="2" t="inlineStr"/>
    </row>
    <row r="592" ht="15" customHeight="1">
      <c r="A592" t="inlineStr">
        <is>
          <t>A 45776-2019</t>
        </is>
      </c>
      <c r="B592" s="1" t="n">
        <v>43711</v>
      </c>
      <c r="C592" s="1" t="n">
        <v>45343</v>
      </c>
      <c r="D592" t="inlineStr">
        <is>
          <t>JÄMTLANDS LÄN</t>
        </is>
      </c>
      <c r="E592" t="inlineStr">
        <is>
          <t>STRÖMSUND</t>
        </is>
      </c>
      <c r="G592" t="n">
        <v>3.6</v>
      </c>
      <c r="H592" t="n">
        <v>0</v>
      </c>
      <c r="I592" t="n">
        <v>0</v>
      </c>
      <c r="J592" t="n">
        <v>0</v>
      </c>
      <c r="K592" t="n">
        <v>0</v>
      </c>
      <c r="L592" t="n">
        <v>0</v>
      </c>
      <c r="M592" t="n">
        <v>0</v>
      </c>
      <c r="N592" t="n">
        <v>0</v>
      </c>
      <c r="O592" t="n">
        <v>0</v>
      </c>
      <c r="P592" t="n">
        <v>0</v>
      </c>
      <c r="Q592" t="n">
        <v>0</v>
      </c>
      <c r="R592" s="2" t="inlineStr"/>
    </row>
    <row r="593" ht="15" customHeight="1">
      <c r="A593" t="inlineStr">
        <is>
          <t>A 44774-2019</t>
        </is>
      </c>
      <c r="B593" s="1" t="n">
        <v>43712</v>
      </c>
      <c r="C593" s="1" t="n">
        <v>45343</v>
      </c>
      <c r="D593" t="inlineStr">
        <is>
          <t>JÄMTLANDS LÄN</t>
        </is>
      </c>
      <c r="E593" t="inlineStr">
        <is>
          <t>STRÖMSUND</t>
        </is>
      </c>
      <c r="G593" t="n">
        <v>4.6</v>
      </c>
      <c r="H593" t="n">
        <v>0</v>
      </c>
      <c r="I593" t="n">
        <v>0</v>
      </c>
      <c r="J593" t="n">
        <v>0</v>
      </c>
      <c r="K593" t="n">
        <v>0</v>
      </c>
      <c r="L593" t="n">
        <v>0</v>
      </c>
      <c r="M593" t="n">
        <v>0</v>
      </c>
      <c r="N593" t="n">
        <v>0</v>
      </c>
      <c r="O593" t="n">
        <v>0</v>
      </c>
      <c r="P593" t="n">
        <v>0</v>
      </c>
      <c r="Q593" t="n">
        <v>0</v>
      </c>
      <c r="R593" s="2" t="inlineStr"/>
    </row>
    <row r="594" ht="15" customHeight="1">
      <c r="A594" t="inlineStr">
        <is>
          <t>A 44809-2019</t>
        </is>
      </c>
      <c r="B594" s="1" t="n">
        <v>43712</v>
      </c>
      <c r="C594" s="1" t="n">
        <v>45343</v>
      </c>
      <c r="D594" t="inlineStr">
        <is>
          <t>JÄMTLANDS LÄN</t>
        </is>
      </c>
      <c r="E594" t="inlineStr">
        <is>
          <t>STRÖMSUND</t>
        </is>
      </c>
      <c r="F594" t="inlineStr">
        <is>
          <t>Kommuner</t>
        </is>
      </c>
      <c r="G594" t="n">
        <v>13.4</v>
      </c>
      <c r="H594" t="n">
        <v>0</v>
      </c>
      <c r="I594" t="n">
        <v>0</v>
      </c>
      <c r="J594" t="n">
        <v>0</v>
      </c>
      <c r="K594" t="n">
        <v>0</v>
      </c>
      <c r="L594" t="n">
        <v>0</v>
      </c>
      <c r="M594" t="n">
        <v>0</v>
      </c>
      <c r="N594" t="n">
        <v>0</v>
      </c>
      <c r="O594" t="n">
        <v>0</v>
      </c>
      <c r="P594" t="n">
        <v>0</v>
      </c>
      <c r="Q594" t="n">
        <v>0</v>
      </c>
      <c r="R594" s="2" t="inlineStr"/>
    </row>
    <row r="595" ht="15" customHeight="1">
      <c r="A595" t="inlineStr">
        <is>
          <t>A 44882-2019</t>
        </is>
      </c>
      <c r="B595" s="1" t="n">
        <v>43712</v>
      </c>
      <c r="C595" s="1" t="n">
        <v>45343</v>
      </c>
      <c r="D595" t="inlineStr">
        <is>
          <t>JÄMTLANDS LÄN</t>
        </is>
      </c>
      <c r="E595" t="inlineStr">
        <is>
          <t>STRÖMSUND</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44956-2019</t>
        </is>
      </c>
      <c r="B596" s="1" t="n">
        <v>43713</v>
      </c>
      <c r="C596" s="1" t="n">
        <v>45343</v>
      </c>
      <c r="D596" t="inlineStr">
        <is>
          <t>JÄMTLANDS LÄN</t>
        </is>
      </c>
      <c r="E596" t="inlineStr">
        <is>
          <t>STRÖMSUND</t>
        </is>
      </c>
      <c r="G596" t="n">
        <v>2.4</v>
      </c>
      <c r="H596" t="n">
        <v>0</v>
      </c>
      <c r="I596" t="n">
        <v>0</v>
      </c>
      <c r="J596" t="n">
        <v>0</v>
      </c>
      <c r="K596" t="n">
        <v>0</v>
      </c>
      <c r="L596" t="n">
        <v>0</v>
      </c>
      <c r="M596" t="n">
        <v>0</v>
      </c>
      <c r="N596" t="n">
        <v>0</v>
      </c>
      <c r="O596" t="n">
        <v>0</v>
      </c>
      <c r="P596" t="n">
        <v>0</v>
      </c>
      <c r="Q596" t="n">
        <v>0</v>
      </c>
      <c r="R596" s="2" t="inlineStr"/>
    </row>
    <row r="597" ht="15" customHeight="1">
      <c r="A597" t="inlineStr">
        <is>
          <t>A 45165-2019</t>
        </is>
      </c>
      <c r="B597" s="1" t="n">
        <v>43713</v>
      </c>
      <c r="C597" s="1" t="n">
        <v>45343</v>
      </c>
      <c r="D597" t="inlineStr">
        <is>
          <t>JÄMTLANDS LÄN</t>
        </is>
      </c>
      <c r="E597" t="inlineStr">
        <is>
          <t>STRÖMSUND</t>
        </is>
      </c>
      <c r="F597" t="inlineStr">
        <is>
          <t>Holmen skog AB</t>
        </is>
      </c>
      <c r="G597" t="n">
        <v>25.4</v>
      </c>
      <c r="H597" t="n">
        <v>0</v>
      </c>
      <c r="I597" t="n">
        <v>0</v>
      </c>
      <c r="J597" t="n">
        <v>0</v>
      </c>
      <c r="K597" t="n">
        <v>0</v>
      </c>
      <c r="L597" t="n">
        <v>0</v>
      </c>
      <c r="M597" t="n">
        <v>0</v>
      </c>
      <c r="N597" t="n">
        <v>0</v>
      </c>
      <c r="O597" t="n">
        <v>0</v>
      </c>
      <c r="P597" t="n">
        <v>0</v>
      </c>
      <c r="Q597" t="n">
        <v>0</v>
      </c>
      <c r="R597" s="2" t="inlineStr"/>
    </row>
    <row r="598" ht="15" customHeight="1">
      <c r="A598" t="inlineStr">
        <is>
          <t>A 45362-2019</t>
        </is>
      </c>
      <c r="B598" s="1" t="n">
        <v>43714</v>
      </c>
      <c r="C598" s="1" t="n">
        <v>45343</v>
      </c>
      <c r="D598" t="inlineStr">
        <is>
          <t>JÄMTLANDS LÄN</t>
        </is>
      </c>
      <c r="E598" t="inlineStr">
        <is>
          <t>STRÖMSUND</t>
        </is>
      </c>
      <c r="G598" t="n">
        <v>4.2</v>
      </c>
      <c r="H598" t="n">
        <v>0</v>
      </c>
      <c r="I598" t="n">
        <v>0</v>
      </c>
      <c r="J598" t="n">
        <v>0</v>
      </c>
      <c r="K598" t="n">
        <v>0</v>
      </c>
      <c r="L598" t="n">
        <v>0</v>
      </c>
      <c r="M598" t="n">
        <v>0</v>
      </c>
      <c r="N598" t="n">
        <v>0</v>
      </c>
      <c r="O598" t="n">
        <v>0</v>
      </c>
      <c r="P598" t="n">
        <v>0</v>
      </c>
      <c r="Q598" t="n">
        <v>0</v>
      </c>
      <c r="R598" s="2" t="inlineStr"/>
    </row>
    <row r="599" ht="15" customHeight="1">
      <c r="A599" t="inlineStr">
        <is>
          <t>A 45649-2019</t>
        </is>
      </c>
      <c r="B599" s="1" t="n">
        <v>43717</v>
      </c>
      <c r="C599" s="1" t="n">
        <v>45343</v>
      </c>
      <c r="D599" t="inlineStr">
        <is>
          <t>JÄMTLANDS LÄN</t>
        </is>
      </c>
      <c r="E599" t="inlineStr">
        <is>
          <t>STRÖMSUND</t>
        </is>
      </c>
      <c r="F599" t="inlineStr">
        <is>
          <t>Holmen skog AB</t>
        </is>
      </c>
      <c r="G599" t="n">
        <v>24.2</v>
      </c>
      <c r="H599" t="n">
        <v>0</v>
      </c>
      <c r="I599" t="n">
        <v>0</v>
      </c>
      <c r="J599" t="n">
        <v>0</v>
      </c>
      <c r="K599" t="n">
        <v>0</v>
      </c>
      <c r="L599" t="n">
        <v>0</v>
      </c>
      <c r="M599" t="n">
        <v>0</v>
      </c>
      <c r="N599" t="n">
        <v>0</v>
      </c>
      <c r="O599" t="n">
        <v>0</v>
      </c>
      <c r="P599" t="n">
        <v>0</v>
      </c>
      <c r="Q599" t="n">
        <v>0</v>
      </c>
      <c r="R599" s="2" t="inlineStr"/>
    </row>
    <row r="600" ht="15" customHeight="1">
      <c r="A600" t="inlineStr">
        <is>
          <t>A 45918-2019</t>
        </is>
      </c>
      <c r="B600" s="1" t="n">
        <v>43717</v>
      </c>
      <c r="C600" s="1" t="n">
        <v>45343</v>
      </c>
      <c r="D600" t="inlineStr">
        <is>
          <t>JÄMTLANDS LÄN</t>
        </is>
      </c>
      <c r="E600" t="inlineStr">
        <is>
          <t>STRÖMSUND</t>
        </is>
      </c>
      <c r="G600" t="n">
        <v>1.5</v>
      </c>
      <c r="H600" t="n">
        <v>0</v>
      </c>
      <c r="I600" t="n">
        <v>0</v>
      </c>
      <c r="J600" t="n">
        <v>0</v>
      </c>
      <c r="K600" t="n">
        <v>0</v>
      </c>
      <c r="L600" t="n">
        <v>0</v>
      </c>
      <c r="M600" t="n">
        <v>0</v>
      </c>
      <c r="N600" t="n">
        <v>0</v>
      </c>
      <c r="O600" t="n">
        <v>0</v>
      </c>
      <c r="P600" t="n">
        <v>0</v>
      </c>
      <c r="Q600" t="n">
        <v>0</v>
      </c>
      <c r="R600" s="2" t="inlineStr"/>
    </row>
    <row r="601" ht="15" customHeight="1">
      <c r="A601" t="inlineStr">
        <is>
          <t>A 45917-2019</t>
        </is>
      </c>
      <c r="B601" s="1" t="n">
        <v>43717</v>
      </c>
      <c r="C601" s="1" t="n">
        <v>45343</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45835-2019</t>
        </is>
      </c>
      <c r="B602" s="1" t="n">
        <v>43717</v>
      </c>
      <c r="C602" s="1" t="n">
        <v>45343</v>
      </c>
      <c r="D602" t="inlineStr">
        <is>
          <t>JÄMTLANDS LÄN</t>
        </is>
      </c>
      <c r="E602" t="inlineStr">
        <is>
          <t>STRÖMSUND</t>
        </is>
      </c>
      <c r="F602" t="inlineStr">
        <is>
          <t>Holmen skog AB</t>
        </is>
      </c>
      <c r="G602" t="n">
        <v>5.9</v>
      </c>
      <c r="H602" t="n">
        <v>0</v>
      </c>
      <c r="I602" t="n">
        <v>0</v>
      </c>
      <c r="J602" t="n">
        <v>0</v>
      </c>
      <c r="K602" t="n">
        <v>0</v>
      </c>
      <c r="L602" t="n">
        <v>0</v>
      </c>
      <c r="M602" t="n">
        <v>0</v>
      </c>
      <c r="N602" t="n">
        <v>0</v>
      </c>
      <c r="O602" t="n">
        <v>0</v>
      </c>
      <c r="P602" t="n">
        <v>0</v>
      </c>
      <c r="Q602" t="n">
        <v>0</v>
      </c>
      <c r="R602" s="2" t="inlineStr"/>
    </row>
    <row r="603" ht="15" customHeight="1">
      <c r="A603" t="inlineStr">
        <is>
          <t>A 45963-2019</t>
        </is>
      </c>
      <c r="B603" s="1" t="n">
        <v>43718</v>
      </c>
      <c r="C603" s="1" t="n">
        <v>45343</v>
      </c>
      <c r="D603" t="inlineStr">
        <is>
          <t>JÄMTLANDS LÄN</t>
        </is>
      </c>
      <c r="E603" t="inlineStr">
        <is>
          <t>STRÖMSUND</t>
        </is>
      </c>
      <c r="F603" t="inlineStr">
        <is>
          <t>Holmen skog AB</t>
        </is>
      </c>
      <c r="G603" t="n">
        <v>11.8</v>
      </c>
      <c r="H603" t="n">
        <v>0</v>
      </c>
      <c r="I603" t="n">
        <v>0</v>
      </c>
      <c r="J603" t="n">
        <v>0</v>
      </c>
      <c r="K603" t="n">
        <v>0</v>
      </c>
      <c r="L603" t="n">
        <v>0</v>
      </c>
      <c r="M603" t="n">
        <v>0</v>
      </c>
      <c r="N603" t="n">
        <v>0</v>
      </c>
      <c r="O603" t="n">
        <v>0</v>
      </c>
      <c r="P603" t="n">
        <v>0</v>
      </c>
      <c r="Q603" t="n">
        <v>0</v>
      </c>
      <c r="R603" s="2" t="inlineStr"/>
    </row>
    <row r="604" ht="15" customHeight="1">
      <c r="A604" t="inlineStr">
        <is>
          <t>A 47082-2019</t>
        </is>
      </c>
      <c r="B604" s="1" t="n">
        <v>43720</v>
      </c>
      <c r="C604" s="1" t="n">
        <v>45343</v>
      </c>
      <c r="D604" t="inlineStr">
        <is>
          <t>JÄMTLANDS LÄN</t>
        </is>
      </c>
      <c r="E604" t="inlineStr">
        <is>
          <t>STRÖMSUND</t>
        </is>
      </c>
      <c r="F604" t="inlineStr">
        <is>
          <t>SCA</t>
        </is>
      </c>
      <c r="G604" t="n">
        <v>11.6</v>
      </c>
      <c r="H604" t="n">
        <v>0</v>
      </c>
      <c r="I604" t="n">
        <v>0</v>
      </c>
      <c r="J604" t="n">
        <v>0</v>
      </c>
      <c r="K604" t="n">
        <v>0</v>
      </c>
      <c r="L604" t="n">
        <v>0</v>
      </c>
      <c r="M604" t="n">
        <v>0</v>
      </c>
      <c r="N604" t="n">
        <v>0</v>
      </c>
      <c r="O604" t="n">
        <v>0</v>
      </c>
      <c r="P604" t="n">
        <v>0</v>
      </c>
      <c r="Q604" t="n">
        <v>0</v>
      </c>
      <c r="R604" s="2" t="inlineStr"/>
    </row>
    <row r="605" ht="15" customHeight="1">
      <c r="A605" t="inlineStr">
        <is>
          <t>A 47410-2019</t>
        </is>
      </c>
      <c r="B605" s="1" t="n">
        <v>43723</v>
      </c>
      <c r="C605" s="1" t="n">
        <v>45343</v>
      </c>
      <c r="D605" t="inlineStr">
        <is>
          <t>JÄMTLANDS LÄN</t>
        </is>
      </c>
      <c r="E605" t="inlineStr">
        <is>
          <t>STRÖMSUND</t>
        </is>
      </c>
      <c r="G605" t="n">
        <v>5.4</v>
      </c>
      <c r="H605" t="n">
        <v>0</v>
      </c>
      <c r="I605" t="n">
        <v>0</v>
      </c>
      <c r="J605" t="n">
        <v>0</v>
      </c>
      <c r="K605" t="n">
        <v>0</v>
      </c>
      <c r="L605" t="n">
        <v>0</v>
      </c>
      <c r="M605" t="n">
        <v>0</v>
      </c>
      <c r="N605" t="n">
        <v>0</v>
      </c>
      <c r="O605" t="n">
        <v>0</v>
      </c>
      <c r="P605" t="n">
        <v>0</v>
      </c>
      <c r="Q605" t="n">
        <v>0</v>
      </c>
      <c r="R605" s="2" t="inlineStr"/>
    </row>
    <row r="606" ht="15" customHeight="1">
      <c r="A606" t="inlineStr">
        <is>
          <t>A 47531-2019</t>
        </is>
      </c>
      <c r="B606" s="1" t="n">
        <v>43724</v>
      </c>
      <c r="C606" s="1" t="n">
        <v>45343</v>
      </c>
      <c r="D606" t="inlineStr">
        <is>
          <t>JÄMTLANDS LÄN</t>
        </is>
      </c>
      <c r="E606" t="inlineStr">
        <is>
          <t>STRÖMSUND</t>
        </is>
      </c>
      <c r="G606" t="n">
        <v>30.4</v>
      </c>
      <c r="H606" t="n">
        <v>0</v>
      </c>
      <c r="I606" t="n">
        <v>0</v>
      </c>
      <c r="J606" t="n">
        <v>0</v>
      </c>
      <c r="K606" t="n">
        <v>0</v>
      </c>
      <c r="L606" t="n">
        <v>0</v>
      </c>
      <c r="M606" t="n">
        <v>0</v>
      </c>
      <c r="N606" t="n">
        <v>0</v>
      </c>
      <c r="O606" t="n">
        <v>0</v>
      </c>
      <c r="P606" t="n">
        <v>0</v>
      </c>
      <c r="Q606" t="n">
        <v>0</v>
      </c>
      <c r="R606" s="2" t="inlineStr"/>
    </row>
    <row r="607" ht="15" customHeight="1">
      <c r="A607" t="inlineStr">
        <is>
          <t>A 47811-2019</t>
        </is>
      </c>
      <c r="B607" s="1" t="n">
        <v>43724</v>
      </c>
      <c r="C607" s="1" t="n">
        <v>45343</v>
      </c>
      <c r="D607" t="inlineStr">
        <is>
          <t>JÄMTLANDS LÄN</t>
        </is>
      </c>
      <c r="E607" t="inlineStr">
        <is>
          <t>STRÖMSUND</t>
        </is>
      </c>
      <c r="F607" t="inlineStr">
        <is>
          <t>SCA</t>
        </is>
      </c>
      <c r="G607" t="n">
        <v>14.6</v>
      </c>
      <c r="H607" t="n">
        <v>0</v>
      </c>
      <c r="I607" t="n">
        <v>0</v>
      </c>
      <c r="J607" t="n">
        <v>0</v>
      </c>
      <c r="K607" t="n">
        <v>0</v>
      </c>
      <c r="L607" t="n">
        <v>0</v>
      </c>
      <c r="M607" t="n">
        <v>0</v>
      </c>
      <c r="N607" t="n">
        <v>0</v>
      </c>
      <c r="O607" t="n">
        <v>0</v>
      </c>
      <c r="P607" t="n">
        <v>0</v>
      </c>
      <c r="Q607" t="n">
        <v>0</v>
      </c>
      <c r="R607" s="2" t="inlineStr"/>
    </row>
    <row r="608" ht="15" customHeight="1">
      <c r="A608" t="inlineStr">
        <is>
          <t>A 48052-2019</t>
        </is>
      </c>
      <c r="B608" s="1" t="n">
        <v>43725</v>
      </c>
      <c r="C608" s="1" t="n">
        <v>45343</v>
      </c>
      <c r="D608" t="inlineStr">
        <is>
          <t>JÄMTLANDS LÄN</t>
        </is>
      </c>
      <c r="E608" t="inlineStr">
        <is>
          <t>STRÖMSUND</t>
        </is>
      </c>
      <c r="G608" t="n">
        <v>4.8</v>
      </c>
      <c r="H608" t="n">
        <v>0</v>
      </c>
      <c r="I608" t="n">
        <v>0</v>
      </c>
      <c r="J608" t="n">
        <v>0</v>
      </c>
      <c r="K608" t="n">
        <v>0</v>
      </c>
      <c r="L608" t="n">
        <v>0</v>
      </c>
      <c r="M608" t="n">
        <v>0</v>
      </c>
      <c r="N608" t="n">
        <v>0</v>
      </c>
      <c r="O608" t="n">
        <v>0</v>
      </c>
      <c r="P608" t="n">
        <v>0</v>
      </c>
      <c r="Q608" t="n">
        <v>0</v>
      </c>
      <c r="R608" s="2" t="inlineStr"/>
    </row>
    <row r="609" ht="15" customHeight="1">
      <c r="A609" t="inlineStr">
        <is>
          <t>A 48578-2019</t>
        </is>
      </c>
      <c r="B609" s="1" t="n">
        <v>43727</v>
      </c>
      <c r="C609" s="1" t="n">
        <v>45343</v>
      </c>
      <c r="D609" t="inlineStr">
        <is>
          <t>JÄMTLANDS LÄN</t>
        </is>
      </c>
      <c r="E609" t="inlineStr">
        <is>
          <t>STRÖMSUND</t>
        </is>
      </c>
      <c r="G609" t="n">
        <v>20.8</v>
      </c>
      <c r="H609" t="n">
        <v>0</v>
      </c>
      <c r="I609" t="n">
        <v>0</v>
      </c>
      <c r="J609" t="n">
        <v>0</v>
      </c>
      <c r="K609" t="n">
        <v>0</v>
      </c>
      <c r="L609" t="n">
        <v>0</v>
      </c>
      <c r="M609" t="n">
        <v>0</v>
      </c>
      <c r="N609" t="n">
        <v>0</v>
      </c>
      <c r="O609" t="n">
        <v>0</v>
      </c>
      <c r="P609" t="n">
        <v>0</v>
      </c>
      <c r="Q609" t="n">
        <v>0</v>
      </c>
      <c r="R609" s="2" t="inlineStr"/>
    </row>
    <row r="610" ht="15" customHeight="1">
      <c r="A610" t="inlineStr">
        <is>
          <t>A 48565-2019</t>
        </is>
      </c>
      <c r="B610" s="1" t="n">
        <v>43727</v>
      </c>
      <c r="C610" s="1" t="n">
        <v>45343</v>
      </c>
      <c r="D610" t="inlineStr">
        <is>
          <t>JÄMTLANDS LÄN</t>
        </is>
      </c>
      <c r="E610" t="inlineStr">
        <is>
          <t>STRÖMSUND</t>
        </is>
      </c>
      <c r="G610" t="n">
        <v>2.8</v>
      </c>
      <c r="H610" t="n">
        <v>0</v>
      </c>
      <c r="I610" t="n">
        <v>0</v>
      </c>
      <c r="J610" t="n">
        <v>0</v>
      </c>
      <c r="K610" t="n">
        <v>0</v>
      </c>
      <c r="L610" t="n">
        <v>0</v>
      </c>
      <c r="M610" t="n">
        <v>0</v>
      </c>
      <c r="N610" t="n">
        <v>0</v>
      </c>
      <c r="O610" t="n">
        <v>0</v>
      </c>
      <c r="P610" t="n">
        <v>0</v>
      </c>
      <c r="Q610" t="n">
        <v>0</v>
      </c>
      <c r="R610" s="2" t="inlineStr"/>
    </row>
    <row r="611" ht="15" customHeight="1">
      <c r="A611" t="inlineStr">
        <is>
          <t>A 48620-2019</t>
        </is>
      </c>
      <c r="B611" s="1" t="n">
        <v>43727</v>
      </c>
      <c r="C611" s="1" t="n">
        <v>45343</v>
      </c>
      <c r="D611" t="inlineStr">
        <is>
          <t>JÄMTLANDS LÄN</t>
        </is>
      </c>
      <c r="E611" t="inlineStr">
        <is>
          <t>STRÖMSUND</t>
        </is>
      </c>
      <c r="G611" t="n">
        <v>2.4</v>
      </c>
      <c r="H611" t="n">
        <v>0</v>
      </c>
      <c r="I611" t="n">
        <v>0</v>
      </c>
      <c r="J611" t="n">
        <v>0</v>
      </c>
      <c r="K611" t="n">
        <v>0</v>
      </c>
      <c r="L611" t="n">
        <v>0</v>
      </c>
      <c r="M611" t="n">
        <v>0</v>
      </c>
      <c r="N611" t="n">
        <v>0</v>
      </c>
      <c r="O611" t="n">
        <v>0</v>
      </c>
      <c r="P611" t="n">
        <v>0</v>
      </c>
      <c r="Q611" t="n">
        <v>0</v>
      </c>
      <c r="R611" s="2" t="inlineStr"/>
    </row>
    <row r="612" ht="15" customHeight="1">
      <c r="A612" t="inlineStr">
        <is>
          <t>A 48573-2019</t>
        </is>
      </c>
      <c r="B612" s="1" t="n">
        <v>43727</v>
      </c>
      <c r="C612" s="1" t="n">
        <v>45343</v>
      </c>
      <c r="D612" t="inlineStr">
        <is>
          <t>JÄMTLANDS LÄN</t>
        </is>
      </c>
      <c r="E612" t="inlineStr">
        <is>
          <t>STRÖMSUND</t>
        </is>
      </c>
      <c r="G612" t="n">
        <v>7.5</v>
      </c>
      <c r="H612" t="n">
        <v>0</v>
      </c>
      <c r="I612" t="n">
        <v>0</v>
      </c>
      <c r="J612" t="n">
        <v>0</v>
      </c>
      <c r="K612" t="n">
        <v>0</v>
      </c>
      <c r="L612" t="n">
        <v>0</v>
      </c>
      <c r="M612" t="n">
        <v>0</v>
      </c>
      <c r="N612" t="n">
        <v>0</v>
      </c>
      <c r="O612" t="n">
        <v>0</v>
      </c>
      <c r="P612" t="n">
        <v>0</v>
      </c>
      <c r="Q612" t="n">
        <v>0</v>
      </c>
      <c r="R612" s="2" t="inlineStr"/>
    </row>
    <row r="613" ht="15" customHeight="1">
      <c r="A613" t="inlineStr">
        <is>
          <t>A 48951-2019</t>
        </is>
      </c>
      <c r="B613" s="1" t="n">
        <v>43728</v>
      </c>
      <c r="C613" s="1" t="n">
        <v>45343</v>
      </c>
      <c r="D613" t="inlineStr">
        <is>
          <t>JÄMTLANDS LÄN</t>
        </is>
      </c>
      <c r="E613" t="inlineStr">
        <is>
          <t>STRÖMSUND</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48965-2019</t>
        </is>
      </c>
      <c r="B614" s="1" t="n">
        <v>43728</v>
      </c>
      <c r="C614" s="1" t="n">
        <v>45343</v>
      </c>
      <c r="D614" t="inlineStr">
        <is>
          <t>JÄMTLANDS LÄN</t>
        </is>
      </c>
      <c r="E614" t="inlineStr">
        <is>
          <t>STRÖMSUND</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49291-2019</t>
        </is>
      </c>
      <c r="B615" s="1" t="n">
        <v>43731</v>
      </c>
      <c r="C615" s="1" t="n">
        <v>45343</v>
      </c>
      <c r="D615" t="inlineStr">
        <is>
          <t>JÄMTLANDS LÄN</t>
        </is>
      </c>
      <c r="E615" t="inlineStr">
        <is>
          <t>STRÖMSUND</t>
        </is>
      </c>
      <c r="G615" t="n">
        <v>20.7</v>
      </c>
      <c r="H615" t="n">
        <v>0</v>
      </c>
      <c r="I615" t="n">
        <v>0</v>
      </c>
      <c r="J615" t="n">
        <v>0</v>
      </c>
      <c r="K615" t="n">
        <v>0</v>
      </c>
      <c r="L615" t="n">
        <v>0</v>
      </c>
      <c r="M615" t="n">
        <v>0</v>
      </c>
      <c r="N615" t="n">
        <v>0</v>
      </c>
      <c r="O615" t="n">
        <v>0</v>
      </c>
      <c r="P615" t="n">
        <v>0</v>
      </c>
      <c r="Q615" t="n">
        <v>0</v>
      </c>
      <c r="R615" s="2" t="inlineStr"/>
    </row>
    <row r="616" ht="15" customHeight="1">
      <c r="A616" t="inlineStr">
        <is>
          <t>A 49316-2019</t>
        </is>
      </c>
      <c r="B616" s="1" t="n">
        <v>43731</v>
      </c>
      <c r="C616" s="1" t="n">
        <v>45343</v>
      </c>
      <c r="D616" t="inlineStr">
        <is>
          <t>JÄMTLANDS LÄN</t>
        </is>
      </c>
      <c r="E616" t="inlineStr">
        <is>
          <t>STRÖMSUND</t>
        </is>
      </c>
      <c r="G616" t="n">
        <v>1</v>
      </c>
      <c r="H616" t="n">
        <v>0</v>
      </c>
      <c r="I616" t="n">
        <v>0</v>
      </c>
      <c r="J616" t="n">
        <v>0</v>
      </c>
      <c r="K616" t="n">
        <v>0</v>
      </c>
      <c r="L616" t="n">
        <v>0</v>
      </c>
      <c r="M616" t="n">
        <v>0</v>
      </c>
      <c r="N616" t="n">
        <v>0</v>
      </c>
      <c r="O616" t="n">
        <v>0</v>
      </c>
      <c r="P616" t="n">
        <v>0</v>
      </c>
      <c r="Q616" t="n">
        <v>0</v>
      </c>
      <c r="R616" s="2" t="inlineStr"/>
    </row>
    <row r="617" ht="15" customHeight="1">
      <c r="A617" t="inlineStr">
        <is>
          <t>A 50001-2019</t>
        </is>
      </c>
      <c r="B617" s="1" t="n">
        <v>43733</v>
      </c>
      <c r="C617" s="1" t="n">
        <v>45343</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50305-2019</t>
        </is>
      </c>
      <c r="B618" s="1" t="n">
        <v>43734</v>
      </c>
      <c r="C618" s="1" t="n">
        <v>45343</v>
      </c>
      <c r="D618" t="inlineStr">
        <is>
          <t>JÄMTLANDS LÄN</t>
        </is>
      </c>
      <c r="E618" t="inlineStr">
        <is>
          <t>STRÖMSUND</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50302-2019</t>
        </is>
      </c>
      <c r="B619" s="1" t="n">
        <v>43734</v>
      </c>
      <c r="C619" s="1" t="n">
        <v>45343</v>
      </c>
      <c r="D619" t="inlineStr">
        <is>
          <t>JÄMTLANDS LÄN</t>
        </is>
      </c>
      <c r="E619" t="inlineStr">
        <is>
          <t>STRÖMSUND</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51008-2019</t>
        </is>
      </c>
      <c r="B620" s="1" t="n">
        <v>43738</v>
      </c>
      <c r="C620" s="1" t="n">
        <v>45343</v>
      </c>
      <c r="D620" t="inlineStr">
        <is>
          <t>JÄMTLANDS LÄN</t>
        </is>
      </c>
      <c r="E620" t="inlineStr">
        <is>
          <t>STRÖMSUND</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51183-2019</t>
        </is>
      </c>
      <c r="B621" s="1" t="n">
        <v>43739</v>
      </c>
      <c r="C621" s="1" t="n">
        <v>45343</v>
      </c>
      <c r="D621" t="inlineStr">
        <is>
          <t>JÄMTLANDS LÄN</t>
        </is>
      </c>
      <c r="E621" t="inlineStr">
        <is>
          <t>STRÖMSUND</t>
        </is>
      </c>
      <c r="F621" t="inlineStr">
        <is>
          <t>Sveaskog</t>
        </is>
      </c>
      <c r="G621" t="n">
        <v>6.9</v>
      </c>
      <c r="H621" t="n">
        <v>0</v>
      </c>
      <c r="I621" t="n">
        <v>0</v>
      </c>
      <c r="J621" t="n">
        <v>0</v>
      </c>
      <c r="K621" t="n">
        <v>0</v>
      </c>
      <c r="L621" t="n">
        <v>0</v>
      </c>
      <c r="M621" t="n">
        <v>0</v>
      </c>
      <c r="N621" t="n">
        <v>0</v>
      </c>
      <c r="O621" t="n">
        <v>0</v>
      </c>
      <c r="P621" t="n">
        <v>0</v>
      </c>
      <c r="Q621" t="n">
        <v>0</v>
      </c>
      <c r="R621" s="2" t="inlineStr"/>
    </row>
    <row r="622" ht="15" customHeight="1">
      <c r="A622" t="inlineStr">
        <is>
          <t>A 51015-2019</t>
        </is>
      </c>
      <c r="B622" s="1" t="n">
        <v>43739</v>
      </c>
      <c r="C622" s="1" t="n">
        <v>45343</v>
      </c>
      <c r="D622" t="inlineStr">
        <is>
          <t>JÄMTLANDS LÄN</t>
        </is>
      </c>
      <c r="E622" t="inlineStr">
        <is>
          <t>STRÖMSUND</t>
        </is>
      </c>
      <c r="G622" t="n">
        <v>2.1</v>
      </c>
      <c r="H622" t="n">
        <v>0</v>
      </c>
      <c r="I622" t="n">
        <v>0</v>
      </c>
      <c r="J622" t="n">
        <v>0</v>
      </c>
      <c r="K622" t="n">
        <v>0</v>
      </c>
      <c r="L622" t="n">
        <v>0</v>
      </c>
      <c r="M622" t="n">
        <v>0</v>
      </c>
      <c r="N622" t="n">
        <v>0</v>
      </c>
      <c r="O622" t="n">
        <v>0</v>
      </c>
      <c r="P622" t="n">
        <v>0</v>
      </c>
      <c r="Q622" t="n">
        <v>0</v>
      </c>
      <c r="R622" s="2" t="inlineStr"/>
    </row>
    <row r="623" ht="15" customHeight="1">
      <c r="A623" t="inlineStr">
        <is>
          <t>A 51951-2019</t>
        </is>
      </c>
      <c r="B623" s="1" t="n">
        <v>43741</v>
      </c>
      <c r="C623" s="1" t="n">
        <v>45343</v>
      </c>
      <c r="D623" t="inlineStr">
        <is>
          <t>JÄMTLANDS LÄN</t>
        </is>
      </c>
      <c r="E623" t="inlineStr">
        <is>
          <t>STRÖMSUND</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52258-2019</t>
        </is>
      </c>
      <c r="B624" s="1" t="n">
        <v>43742</v>
      </c>
      <c r="C624" s="1" t="n">
        <v>45343</v>
      </c>
      <c r="D624" t="inlineStr">
        <is>
          <t>JÄMTLANDS LÄN</t>
        </is>
      </c>
      <c r="E624" t="inlineStr">
        <is>
          <t>STRÖMSUND</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52384-2019</t>
        </is>
      </c>
      <c r="B625" s="1" t="n">
        <v>43745</v>
      </c>
      <c r="C625" s="1" t="n">
        <v>45343</v>
      </c>
      <c r="D625" t="inlineStr">
        <is>
          <t>JÄMTLANDS LÄN</t>
        </is>
      </c>
      <c r="E625" t="inlineStr">
        <is>
          <t>STRÖMSUND</t>
        </is>
      </c>
      <c r="G625" t="n">
        <v>3.7</v>
      </c>
      <c r="H625" t="n">
        <v>0</v>
      </c>
      <c r="I625" t="n">
        <v>0</v>
      </c>
      <c r="J625" t="n">
        <v>0</v>
      </c>
      <c r="K625" t="n">
        <v>0</v>
      </c>
      <c r="L625" t="n">
        <v>0</v>
      </c>
      <c r="M625" t="n">
        <v>0</v>
      </c>
      <c r="N625" t="n">
        <v>0</v>
      </c>
      <c r="O625" t="n">
        <v>0</v>
      </c>
      <c r="P625" t="n">
        <v>0</v>
      </c>
      <c r="Q625" t="n">
        <v>0</v>
      </c>
      <c r="R625" s="2" t="inlineStr"/>
    </row>
    <row r="626" ht="15" customHeight="1">
      <c r="A626" t="inlineStr">
        <is>
          <t>A 53874-2019</t>
        </is>
      </c>
      <c r="B626" s="1" t="n">
        <v>43745</v>
      </c>
      <c r="C626" s="1" t="n">
        <v>45343</v>
      </c>
      <c r="D626" t="inlineStr">
        <is>
          <t>JÄMTLANDS LÄN</t>
        </is>
      </c>
      <c r="E626" t="inlineStr">
        <is>
          <t>STRÖMSUND</t>
        </is>
      </c>
      <c r="G626" t="n">
        <v>10.1</v>
      </c>
      <c r="H626" t="n">
        <v>0</v>
      </c>
      <c r="I626" t="n">
        <v>0</v>
      </c>
      <c r="J626" t="n">
        <v>0</v>
      </c>
      <c r="K626" t="n">
        <v>0</v>
      </c>
      <c r="L626" t="n">
        <v>0</v>
      </c>
      <c r="M626" t="n">
        <v>0</v>
      </c>
      <c r="N626" t="n">
        <v>0</v>
      </c>
      <c r="O626" t="n">
        <v>0</v>
      </c>
      <c r="P626" t="n">
        <v>0</v>
      </c>
      <c r="Q626" t="n">
        <v>0</v>
      </c>
      <c r="R626" s="2" t="inlineStr"/>
    </row>
    <row r="627" ht="15" customHeight="1">
      <c r="A627" t="inlineStr">
        <is>
          <t>A 53886-2019</t>
        </is>
      </c>
      <c r="B627" s="1" t="n">
        <v>43745</v>
      </c>
      <c r="C627" s="1" t="n">
        <v>45343</v>
      </c>
      <c r="D627" t="inlineStr">
        <is>
          <t>JÄMTLANDS LÄN</t>
        </is>
      </c>
      <c r="E627" t="inlineStr">
        <is>
          <t>STRÖMSUND</t>
        </is>
      </c>
      <c r="G627" t="n">
        <v>15.2</v>
      </c>
      <c r="H627" t="n">
        <v>0</v>
      </c>
      <c r="I627" t="n">
        <v>0</v>
      </c>
      <c r="J627" t="n">
        <v>0</v>
      </c>
      <c r="K627" t="n">
        <v>0</v>
      </c>
      <c r="L627" t="n">
        <v>0</v>
      </c>
      <c r="M627" t="n">
        <v>0</v>
      </c>
      <c r="N627" t="n">
        <v>0</v>
      </c>
      <c r="O627" t="n">
        <v>0</v>
      </c>
      <c r="P627" t="n">
        <v>0</v>
      </c>
      <c r="Q627" t="n">
        <v>0</v>
      </c>
      <c r="R627" s="2" t="inlineStr"/>
    </row>
    <row r="628" ht="15" customHeight="1">
      <c r="A628" t="inlineStr">
        <is>
          <t>A 53483-2019</t>
        </is>
      </c>
      <c r="B628" s="1" t="n">
        <v>43748</v>
      </c>
      <c r="C628" s="1" t="n">
        <v>45343</v>
      </c>
      <c r="D628" t="inlineStr">
        <is>
          <t>JÄMTLANDS LÄN</t>
        </is>
      </c>
      <c r="E628" t="inlineStr">
        <is>
          <t>STRÖMSUND</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54235-2019</t>
        </is>
      </c>
      <c r="B629" s="1" t="n">
        <v>43748</v>
      </c>
      <c r="C629" s="1" t="n">
        <v>45343</v>
      </c>
      <c r="D629" t="inlineStr">
        <is>
          <t>JÄMTLANDS LÄN</t>
        </is>
      </c>
      <c r="E629" t="inlineStr">
        <is>
          <t>STRÖMSUND</t>
        </is>
      </c>
      <c r="G629" t="n">
        <v>0.9</v>
      </c>
      <c r="H629" t="n">
        <v>0</v>
      </c>
      <c r="I629" t="n">
        <v>0</v>
      </c>
      <c r="J629" t="n">
        <v>0</v>
      </c>
      <c r="K629" t="n">
        <v>0</v>
      </c>
      <c r="L629" t="n">
        <v>0</v>
      </c>
      <c r="M629" t="n">
        <v>0</v>
      </c>
      <c r="N629" t="n">
        <v>0</v>
      </c>
      <c r="O629" t="n">
        <v>0</v>
      </c>
      <c r="P629" t="n">
        <v>0</v>
      </c>
      <c r="Q629" t="n">
        <v>0</v>
      </c>
      <c r="R629" s="2" t="inlineStr"/>
    </row>
    <row r="630" ht="15" customHeight="1">
      <c r="A630" t="inlineStr">
        <is>
          <t>A 57227-2019</t>
        </is>
      </c>
      <c r="B630" s="1" t="n">
        <v>43748</v>
      </c>
      <c r="C630" s="1" t="n">
        <v>45343</v>
      </c>
      <c r="D630" t="inlineStr">
        <is>
          <t>JÄMTLANDS LÄN</t>
        </is>
      </c>
      <c r="E630" t="inlineStr">
        <is>
          <t>STRÖMSUND</t>
        </is>
      </c>
      <c r="G630" t="n">
        <v>1.1</v>
      </c>
      <c r="H630" t="n">
        <v>0</v>
      </c>
      <c r="I630" t="n">
        <v>0</v>
      </c>
      <c r="J630" t="n">
        <v>0</v>
      </c>
      <c r="K630" t="n">
        <v>0</v>
      </c>
      <c r="L630" t="n">
        <v>0</v>
      </c>
      <c r="M630" t="n">
        <v>0</v>
      </c>
      <c r="N630" t="n">
        <v>0</v>
      </c>
      <c r="O630" t="n">
        <v>0</v>
      </c>
      <c r="P630" t="n">
        <v>0</v>
      </c>
      <c r="Q630" t="n">
        <v>0</v>
      </c>
      <c r="R630" s="2" t="inlineStr"/>
    </row>
    <row r="631" ht="15" customHeight="1">
      <c r="A631" t="inlineStr">
        <is>
          <t>A 53898-2019</t>
        </is>
      </c>
      <c r="B631" s="1" t="n">
        <v>43748</v>
      </c>
      <c r="C631" s="1" t="n">
        <v>45343</v>
      </c>
      <c r="D631" t="inlineStr">
        <is>
          <t>JÄMTLANDS LÄN</t>
        </is>
      </c>
      <c r="E631" t="inlineStr">
        <is>
          <t>STRÖMSUND</t>
        </is>
      </c>
      <c r="G631" t="n">
        <v>4.2</v>
      </c>
      <c r="H631" t="n">
        <v>0</v>
      </c>
      <c r="I631" t="n">
        <v>0</v>
      </c>
      <c r="J631" t="n">
        <v>0</v>
      </c>
      <c r="K631" t="n">
        <v>0</v>
      </c>
      <c r="L631" t="n">
        <v>0</v>
      </c>
      <c r="M631" t="n">
        <v>0</v>
      </c>
      <c r="N631" t="n">
        <v>0</v>
      </c>
      <c r="O631" t="n">
        <v>0</v>
      </c>
      <c r="P631" t="n">
        <v>0</v>
      </c>
      <c r="Q631" t="n">
        <v>0</v>
      </c>
      <c r="R631" s="2" t="inlineStr"/>
    </row>
    <row r="632" ht="15" customHeight="1">
      <c r="A632" t="inlineStr">
        <is>
          <t>A 53482-2019</t>
        </is>
      </c>
      <c r="B632" s="1" t="n">
        <v>43748</v>
      </c>
      <c r="C632" s="1" t="n">
        <v>45343</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53895-2019</t>
        </is>
      </c>
      <c r="B633" s="1" t="n">
        <v>43748</v>
      </c>
      <c r="C633" s="1" t="n">
        <v>45343</v>
      </c>
      <c r="D633" t="inlineStr">
        <is>
          <t>JÄMTLANDS LÄN</t>
        </is>
      </c>
      <c r="E633" t="inlineStr">
        <is>
          <t>STRÖMSUND</t>
        </is>
      </c>
      <c r="G633" t="n">
        <v>2.8</v>
      </c>
      <c r="H633" t="n">
        <v>0</v>
      </c>
      <c r="I633" t="n">
        <v>0</v>
      </c>
      <c r="J633" t="n">
        <v>0</v>
      </c>
      <c r="K633" t="n">
        <v>0</v>
      </c>
      <c r="L633" t="n">
        <v>0</v>
      </c>
      <c r="M633" t="n">
        <v>0</v>
      </c>
      <c r="N633" t="n">
        <v>0</v>
      </c>
      <c r="O633" t="n">
        <v>0</v>
      </c>
      <c r="P633" t="n">
        <v>0</v>
      </c>
      <c r="Q633" t="n">
        <v>0</v>
      </c>
      <c r="R633" s="2" t="inlineStr"/>
    </row>
    <row r="634" ht="15" customHeight="1">
      <c r="A634" t="inlineStr">
        <is>
          <t>A 54672-2019</t>
        </is>
      </c>
      <c r="B634" s="1" t="n">
        <v>43754</v>
      </c>
      <c r="C634" s="1" t="n">
        <v>45343</v>
      </c>
      <c r="D634" t="inlineStr">
        <is>
          <t>JÄMTLANDS LÄN</t>
        </is>
      </c>
      <c r="E634" t="inlineStr">
        <is>
          <t>STRÖMSUND</t>
        </is>
      </c>
      <c r="F634" t="inlineStr">
        <is>
          <t>SCA</t>
        </is>
      </c>
      <c r="G634" t="n">
        <v>15.7</v>
      </c>
      <c r="H634" t="n">
        <v>0</v>
      </c>
      <c r="I634" t="n">
        <v>0</v>
      </c>
      <c r="J634" t="n">
        <v>0</v>
      </c>
      <c r="K634" t="n">
        <v>0</v>
      </c>
      <c r="L634" t="n">
        <v>0</v>
      </c>
      <c r="M634" t="n">
        <v>0</v>
      </c>
      <c r="N634" t="n">
        <v>0</v>
      </c>
      <c r="O634" t="n">
        <v>0</v>
      </c>
      <c r="P634" t="n">
        <v>0</v>
      </c>
      <c r="Q634" t="n">
        <v>0</v>
      </c>
      <c r="R634" s="2" t="inlineStr"/>
    </row>
    <row r="635" ht="15" customHeight="1">
      <c r="A635" t="inlineStr">
        <is>
          <t>A 55028-2019</t>
        </is>
      </c>
      <c r="B635" s="1" t="n">
        <v>43755</v>
      </c>
      <c r="C635" s="1" t="n">
        <v>45343</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56155-2019</t>
        </is>
      </c>
      <c r="B636" s="1" t="n">
        <v>43756</v>
      </c>
      <c r="C636" s="1" t="n">
        <v>45343</v>
      </c>
      <c r="D636" t="inlineStr">
        <is>
          <t>JÄMTLANDS LÄN</t>
        </is>
      </c>
      <c r="E636" t="inlineStr">
        <is>
          <t>STRÖMSUND</t>
        </is>
      </c>
      <c r="G636" t="n">
        <v>4.7</v>
      </c>
      <c r="H636" t="n">
        <v>0</v>
      </c>
      <c r="I636" t="n">
        <v>0</v>
      </c>
      <c r="J636" t="n">
        <v>0</v>
      </c>
      <c r="K636" t="n">
        <v>0</v>
      </c>
      <c r="L636" t="n">
        <v>0</v>
      </c>
      <c r="M636" t="n">
        <v>0</v>
      </c>
      <c r="N636" t="n">
        <v>0</v>
      </c>
      <c r="O636" t="n">
        <v>0</v>
      </c>
      <c r="P636" t="n">
        <v>0</v>
      </c>
      <c r="Q636" t="n">
        <v>0</v>
      </c>
      <c r="R636" s="2" t="inlineStr"/>
    </row>
    <row r="637" ht="15" customHeight="1">
      <c r="A637" t="inlineStr">
        <is>
          <t>A 23225-2020</t>
        </is>
      </c>
      <c r="B637" s="1" t="n">
        <v>43756</v>
      </c>
      <c r="C637" s="1" t="n">
        <v>45343</v>
      </c>
      <c r="D637" t="inlineStr">
        <is>
          <t>JÄMTLANDS LÄN</t>
        </is>
      </c>
      <c r="E637" t="inlineStr">
        <is>
          <t>STRÖMSUND</t>
        </is>
      </c>
      <c r="G637" t="n">
        <v>4.8</v>
      </c>
      <c r="H637" t="n">
        <v>0</v>
      </c>
      <c r="I637" t="n">
        <v>0</v>
      </c>
      <c r="J637" t="n">
        <v>0</v>
      </c>
      <c r="K637" t="n">
        <v>0</v>
      </c>
      <c r="L637" t="n">
        <v>0</v>
      </c>
      <c r="M637" t="n">
        <v>0</v>
      </c>
      <c r="N637" t="n">
        <v>0</v>
      </c>
      <c r="O637" t="n">
        <v>0</v>
      </c>
      <c r="P637" t="n">
        <v>0</v>
      </c>
      <c r="Q637" t="n">
        <v>0</v>
      </c>
      <c r="R637" s="2" t="inlineStr"/>
    </row>
    <row r="638" ht="15" customHeight="1">
      <c r="A638" t="inlineStr">
        <is>
          <t>A 55663-2019</t>
        </is>
      </c>
      <c r="B638" s="1" t="n">
        <v>43760</v>
      </c>
      <c r="C638" s="1" t="n">
        <v>45343</v>
      </c>
      <c r="D638" t="inlineStr">
        <is>
          <t>JÄMTLANDS LÄN</t>
        </is>
      </c>
      <c r="E638" t="inlineStr">
        <is>
          <t>STRÖMSUND</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55675-2019</t>
        </is>
      </c>
      <c r="B639" s="1" t="n">
        <v>43760</v>
      </c>
      <c r="C639" s="1" t="n">
        <v>45343</v>
      </c>
      <c r="D639" t="inlineStr">
        <is>
          <t>JÄMTLANDS LÄN</t>
        </is>
      </c>
      <c r="E639" t="inlineStr">
        <is>
          <t>STRÖMSUND</t>
        </is>
      </c>
      <c r="G639" t="n">
        <v>0.6</v>
      </c>
      <c r="H639" t="n">
        <v>0</v>
      </c>
      <c r="I639" t="n">
        <v>0</v>
      </c>
      <c r="J639" t="n">
        <v>0</v>
      </c>
      <c r="K639" t="n">
        <v>0</v>
      </c>
      <c r="L639" t="n">
        <v>0</v>
      </c>
      <c r="M639" t="n">
        <v>0</v>
      </c>
      <c r="N639" t="n">
        <v>0</v>
      </c>
      <c r="O639" t="n">
        <v>0</v>
      </c>
      <c r="P639" t="n">
        <v>0</v>
      </c>
      <c r="Q639" t="n">
        <v>0</v>
      </c>
      <c r="R639" s="2" t="inlineStr"/>
    </row>
    <row r="640" ht="15" customHeight="1">
      <c r="A640" t="inlineStr">
        <is>
          <t>A 55728-2019</t>
        </is>
      </c>
      <c r="B640" s="1" t="n">
        <v>43760</v>
      </c>
      <c r="C640" s="1" t="n">
        <v>45343</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55725-2019</t>
        </is>
      </c>
      <c r="B641" s="1" t="n">
        <v>43760</v>
      </c>
      <c r="C641" s="1" t="n">
        <v>45343</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56187-2019</t>
        </is>
      </c>
      <c r="B642" s="1" t="n">
        <v>43761</v>
      </c>
      <c r="C642" s="1" t="n">
        <v>45343</v>
      </c>
      <c r="D642" t="inlineStr">
        <is>
          <t>JÄMTLANDS LÄN</t>
        </is>
      </c>
      <c r="E642" t="inlineStr">
        <is>
          <t>STRÖMSUND</t>
        </is>
      </c>
      <c r="F642" t="inlineStr">
        <is>
          <t>SCA</t>
        </is>
      </c>
      <c r="G642" t="n">
        <v>11.3</v>
      </c>
      <c r="H642" t="n">
        <v>0</v>
      </c>
      <c r="I642" t="n">
        <v>0</v>
      </c>
      <c r="J642" t="n">
        <v>0</v>
      </c>
      <c r="K642" t="n">
        <v>0</v>
      </c>
      <c r="L642" t="n">
        <v>0</v>
      </c>
      <c r="M642" t="n">
        <v>0</v>
      </c>
      <c r="N642" t="n">
        <v>0</v>
      </c>
      <c r="O642" t="n">
        <v>0</v>
      </c>
      <c r="P642" t="n">
        <v>0</v>
      </c>
      <c r="Q642" t="n">
        <v>0</v>
      </c>
      <c r="R642" s="2" t="inlineStr"/>
    </row>
    <row r="643" ht="15" customHeight="1">
      <c r="A643" t="inlineStr">
        <is>
          <t>A 56798-2019</t>
        </is>
      </c>
      <c r="B643" s="1" t="n">
        <v>43763</v>
      </c>
      <c r="C643" s="1" t="n">
        <v>45343</v>
      </c>
      <c r="D643" t="inlineStr">
        <is>
          <t>JÄMTLANDS LÄN</t>
        </is>
      </c>
      <c r="E643" t="inlineStr">
        <is>
          <t>STRÖMSUND</t>
        </is>
      </c>
      <c r="F643" t="inlineStr">
        <is>
          <t>SCA</t>
        </is>
      </c>
      <c r="G643" t="n">
        <v>5.1</v>
      </c>
      <c r="H643" t="n">
        <v>0</v>
      </c>
      <c r="I643" t="n">
        <v>0</v>
      </c>
      <c r="J643" t="n">
        <v>0</v>
      </c>
      <c r="K643" t="n">
        <v>0</v>
      </c>
      <c r="L643" t="n">
        <v>0</v>
      </c>
      <c r="M643" t="n">
        <v>0</v>
      </c>
      <c r="N643" t="n">
        <v>0</v>
      </c>
      <c r="O643" t="n">
        <v>0</v>
      </c>
      <c r="P643" t="n">
        <v>0</v>
      </c>
      <c r="Q643" t="n">
        <v>0</v>
      </c>
      <c r="R643" s="2" t="inlineStr"/>
    </row>
    <row r="644" ht="15" customHeight="1">
      <c r="A644" t="inlineStr">
        <is>
          <t>A 56797-2019</t>
        </is>
      </c>
      <c r="B644" s="1" t="n">
        <v>43763</v>
      </c>
      <c r="C644" s="1" t="n">
        <v>45343</v>
      </c>
      <c r="D644" t="inlineStr">
        <is>
          <t>JÄMTLANDS LÄN</t>
        </is>
      </c>
      <c r="E644" t="inlineStr">
        <is>
          <t>STRÖMSUND</t>
        </is>
      </c>
      <c r="F644" t="inlineStr">
        <is>
          <t>SCA</t>
        </is>
      </c>
      <c r="G644" t="n">
        <v>3.3</v>
      </c>
      <c r="H644" t="n">
        <v>0</v>
      </c>
      <c r="I644" t="n">
        <v>0</v>
      </c>
      <c r="J644" t="n">
        <v>0</v>
      </c>
      <c r="K644" t="n">
        <v>0</v>
      </c>
      <c r="L644" t="n">
        <v>0</v>
      </c>
      <c r="M644" t="n">
        <v>0</v>
      </c>
      <c r="N644" t="n">
        <v>0</v>
      </c>
      <c r="O644" t="n">
        <v>0</v>
      </c>
      <c r="P644" t="n">
        <v>0</v>
      </c>
      <c r="Q644" t="n">
        <v>0</v>
      </c>
      <c r="R644" s="2" t="inlineStr"/>
    </row>
    <row r="645" ht="15" customHeight="1">
      <c r="A645" t="inlineStr">
        <is>
          <t>A 56801-2019</t>
        </is>
      </c>
      <c r="B645" s="1" t="n">
        <v>43763</v>
      </c>
      <c r="C645" s="1" t="n">
        <v>45343</v>
      </c>
      <c r="D645" t="inlineStr">
        <is>
          <t>JÄMTLANDS LÄN</t>
        </is>
      </c>
      <c r="E645" t="inlineStr">
        <is>
          <t>STRÖMSUND</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56800-2019</t>
        </is>
      </c>
      <c r="B646" s="1" t="n">
        <v>43763</v>
      </c>
      <c r="C646" s="1" t="n">
        <v>45343</v>
      </c>
      <c r="D646" t="inlineStr">
        <is>
          <t>JÄMTLANDS LÄN</t>
        </is>
      </c>
      <c r="E646" t="inlineStr">
        <is>
          <t>STRÖMSUND</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56799-2019</t>
        </is>
      </c>
      <c r="B647" s="1" t="n">
        <v>43763</v>
      </c>
      <c r="C647" s="1" t="n">
        <v>45343</v>
      </c>
      <c r="D647" t="inlineStr">
        <is>
          <t>JÄMTLANDS LÄN</t>
        </is>
      </c>
      <c r="E647" t="inlineStr">
        <is>
          <t>STRÖMSUND</t>
        </is>
      </c>
      <c r="F647" t="inlineStr">
        <is>
          <t>SCA</t>
        </is>
      </c>
      <c r="G647" t="n">
        <v>4.7</v>
      </c>
      <c r="H647" t="n">
        <v>0</v>
      </c>
      <c r="I647" t="n">
        <v>0</v>
      </c>
      <c r="J647" t="n">
        <v>0</v>
      </c>
      <c r="K647" t="n">
        <v>0</v>
      </c>
      <c r="L647" t="n">
        <v>0</v>
      </c>
      <c r="M647" t="n">
        <v>0</v>
      </c>
      <c r="N647" t="n">
        <v>0</v>
      </c>
      <c r="O647" t="n">
        <v>0</v>
      </c>
      <c r="P647" t="n">
        <v>0</v>
      </c>
      <c r="Q647" t="n">
        <v>0</v>
      </c>
      <c r="R647" s="2" t="inlineStr"/>
    </row>
    <row r="648" ht="15" customHeight="1">
      <c r="A648" t="inlineStr">
        <is>
          <t>A 56692-2019</t>
        </is>
      </c>
      <c r="B648" s="1" t="n">
        <v>43763</v>
      </c>
      <c r="C648" s="1" t="n">
        <v>45343</v>
      </c>
      <c r="D648" t="inlineStr">
        <is>
          <t>JÄMTLANDS LÄN</t>
        </is>
      </c>
      <c r="E648" t="inlineStr">
        <is>
          <t>STRÖMSUND</t>
        </is>
      </c>
      <c r="G648" t="n">
        <v>0.8</v>
      </c>
      <c r="H648" t="n">
        <v>0</v>
      </c>
      <c r="I648" t="n">
        <v>0</v>
      </c>
      <c r="J648" t="n">
        <v>0</v>
      </c>
      <c r="K648" t="n">
        <v>0</v>
      </c>
      <c r="L648" t="n">
        <v>0</v>
      </c>
      <c r="M648" t="n">
        <v>0</v>
      </c>
      <c r="N648" t="n">
        <v>0</v>
      </c>
      <c r="O648" t="n">
        <v>0</v>
      </c>
      <c r="P648" t="n">
        <v>0</v>
      </c>
      <c r="Q648" t="n">
        <v>0</v>
      </c>
      <c r="R648" s="2" t="inlineStr"/>
    </row>
    <row r="649" ht="15" customHeight="1">
      <c r="A649" t="inlineStr">
        <is>
          <t>A 56808-2019</t>
        </is>
      </c>
      <c r="B649" s="1" t="n">
        <v>43763</v>
      </c>
      <c r="C649" s="1" t="n">
        <v>45343</v>
      </c>
      <c r="D649" t="inlineStr">
        <is>
          <t>JÄMTLANDS LÄN</t>
        </is>
      </c>
      <c r="E649" t="inlineStr">
        <is>
          <t>STRÖMSUND</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56809-2019</t>
        </is>
      </c>
      <c r="B650" s="1" t="n">
        <v>43763</v>
      </c>
      <c r="C650" s="1" t="n">
        <v>45343</v>
      </c>
      <c r="D650" t="inlineStr">
        <is>
          <t>JÄMTLANDS LÄN</t>
        </is>
      </c>
      <c r="E650" t="inlineStr">
        <is>
          <t>STRÖMSUND</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57546-2019</t>
        </is>
      </c>
      <c r="B651" s="1" t="n">
        <v>43767</v>
      </c>
      <c r="C651" s="1" t="n">
        <v>45343</v>
      </c>
      <c r="D651" t="inlineStr">
        <is>
          <t>JÄMTLANDS LÄN</t>
        </is>
      </c>
      <c r="E651" t="inlineStr">
        <is>
          <t>STRÖMSUND</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58662-2019</t>
        </is>
      </c>
      <c r="B652" s="1" t="n">
        <v>43767</v>
      </c>
      <c r="C652" s="1" t="n">
        <v>45343</v>
      </c>
      <c r="D652" t="inlineStr">
        <is>
          <t>JÄMTLANDS LÄN</t>
        </is>
      </c>
      <c r="E652" t="inlineStr">
        <is>
          <t>STRÖMSUND</t>
        </is>
      </c>
      <c r="G652" t="n">
        <v>18.4</v>
      </c>
      <c r="H652" t="n">
        <v>0</v>
      </c>
      <c r="I652" t="n">
        <v>0</v>
      </c>
      <c r="J652" t="n">
        <v>0</v>
      </c>
      <c r="K652" t="n">
        <v>0</v>
      </c>
      <c r="L652" t="n">
        <v>0</v>
      </c>
      <c r="M652" t="n">
        <v>0</v>
      </c>
      <c r="N652" t="n">
        <v>0</v>
      </c>
      <c r="O652" t="n">
        <v>0</v>
      </c>
      <c r="P652" t="n">
        <v>0</v>
      </c>
      <c r="Q652" t="n">
        <v>0</v>
      </c>
      <c r="R652" s="2" t="inlineStr"/>
    </row>
    <row r="653" ht="15" customHeight="1">
      <c r="A653" t="inlineStr">
        <is>
          <t>A 57547-2019</t>
        </is>
      </c>
      <c r="B653" s="1" t="n">
        <v>43767</v>
      </c>
      <c r="C653" s="1" t="n">
        <v>45343</v>
      </c>
      <c r="D653" t="inlineStr">
        <is>
          <t>JÄMTLANDS LÄN</t>
        </is>
      </c>
      <c r="E653" t="inlineStr">
        <is>
          <t>STRÖMSUND</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57552-2019</t>
        </is>
      </c>
      <c r="B654" s="1" t="n">
        <v>43767</v>
      </c>
      <c r="C654" s="1" t="n">
        <v>45343</v>
      </c>
      <c r="D654" t="inlineStr">
        <is>
          <t>JÄMTLANDS LÄN</t>
        </is>
      </c>
      <c r="E654" t="inlineStr">
        <is>
          <t>STRÖMSUND</t>
        </is>
      </c>
      <c r="G654" t="n">
        <v>1.4</v>
      </c>
      <c r="H654" t="n">
        <v>0</v>
      </c>
      <c r="I654" t="n">
        <v>0</v>
      </c>
      <c r="J654" t="n">
        <v>0</v>
      </c>
      <c r="K654" t="n">
        <v>0</v>
      </c>
      <c r="L654" t="n">
        <v>0</v>
      </c>
      <c r="M654" t="n">
        <v>0</v>
      </c>
      <c r="N654" t="n">
        <v>0</v>
      </c>
      <c r="O654" t="n">
        <v>0</v>
      </c>
      <c r="P654" t="n">
        <v>0</v>
      </c>
      <c r="Q654" t="n">
        <v>0</v>
      </c>
      <c r="R654" s="2" t="inlineStr"/>
    </row>
    <row r="655" ht="15" customHeight="1">
      <c r="A655" t="inlineStr">
        <is>
          <t>A 57873-2019</t>
        </is>
      </c>
      <c r="B655" s="1" t="n">
        <v>43768</v>
      </c>
      <c r="C655" s="1" t="n">
        <v>45343</v>
      </c>
      <c r="D655" t="inlineStr">
        <is>
          <t>JÄMTLANDS LÄN</t>
        </is>
      </c>
      <c r="E655" t="inlineStr">
        <is>
          <t>STRÖMSUND</t>
        </is>
      </c>
      <c r="G655" t="n">
        <v>2.5</v>
      </c>
      <c r="H655" t="n">
        <v>0</v>
      </c>
      <c r="I655" t="n">
        <v>0</v>
      </c>
      <c r="J655" t="n">
        <v>0</v>
      </c>
      <c r="K655" t="n">
        <v>0</v>
      </c>
      <c r="L655" t="n">
        <v>0</v>
      </c>
      <c r="M655" t="n">
        <v>0</v>
      </c>
      <c r="N655" t="n">
        <v>0</v>
      </c>
      <c r="O655" t="n">
        <v>0</v>
      </c>
      <c r="P655" t="n">
        <v>0</v>
      </c>
      <c r="Q655" t="n">
        <v>0</v>
      </c>
      <c r="R655" s="2" t="inlineStr"/>
    </row>
    <row r="656" ht="15" customHeight="1">
      <c r="A656" t="inlineStr">
        <is>
          <t>A 57872-2019</t>
        </is>
      </c>
      <c r="B656" s="1" t="n">
        <v>43768</v>
      </c>
      <c r="C656" s="1" t="n">
        <v>45343</v>
      </c>
      <c r="D656" t="inlineStr">
        <is>
          <t>JÄMTLANDS LÄN</t>
        </is>
      </c>
      <c r="E656" t="inlineStr">
        <is>
          <t>STRÖMSUND</t>
        </is>
      </c>
      <c r="G656" t="n">
        <v>47.2</v>
      </c>
      <c r="H656" t="n">
        <v>0</v>
      </c>
      <c r="I656" t="n">
        <v>0</v>
      </c>
      <c r="J656" t="n">
        <v>0</v>
      </c>
      <c r="K656" t="n">
        <v>0</v>
      </c>
      <c r="L656" t="n">
        <v>0</v>
      </c>
      <c r="M656" t="n">
        <v>0</v>
      </c>
      <c r="N656" t="n">
        <v>0</v>
      </c>
      <c r="O656" t="n">
        <v>0</v>
      </c>
      <c r="P656" t="n">
        <v>0</v>
      </c>
      <c r="Q656" t="n">
        <v>0</v>
      </c>
      <c r="R656" s="2" t="inlineStr"/>
    </row>
    <row r="657" ht="15" customHeight="1">
      <c r="A657" t="inlineStr">
        <is>
          <t>A 58844-2019</t>
        </is>
      </c>
      <c r="B657" s="1" t="n">
        <v>43768</v>
      </c>
      <c r="C657" s="1" t="n">
        <v>45343</v>
      </c>
      <c r="D657" t="inlineStr">
        <is>
          <t>JÄMTLANDS LÄN</t>
        </is>
      </c>
      <c r="E657" t="inlineStr">
        <is>
          <t>STRÖMSUND</t>
        </is>
      </c>
      <c r="G657" t="n">
        <v>4.8</v>
      </c>
      <c r="H657" t="n">
        <v>0</v>
      </c>
      <c r="I657" t="n">
        <v>0</v>
      </c>
      <c r="J657" t="n">
        <v>0</v>
      </c>
      <c r="K657" t="n">
        <v>0</v>
      </c>
      <c r="L657" t="n">
        <v>0</v>
      </c>
      <c r="M657" t="n">
        <v>0</v>
      </c>
      <c r="N657" t="n">
        <v>0</v>
      </c>
      <c r="O657" t="n">
        <v>0</v>
      </c>
      <c r="P657" t="n">
        <v>0</v>
      </c>
      <c r="Q657" t="n">
        <v>0</v>
      </c>
      <c r="R657" s="2" t="inlineStr"/>
    </row>
    <row r="658" ht="15" customHeight="1">
      <c r="A658" t="inlineStr">
        <is>
          <t>A 58172-2019</t>
        </is>
      </c>
      <c r="B658" s="1" t="n">
        <v>43769</v>
      </c>
      <c r="C658" s="1" t="n">
        <v>45343</v>
      </c>
      <c r="D658" t="inlineStr">
        <is>
          <t>JÄMTLANDS LÄN</t>
        </is>
      </c>
      <c r="E658" t="inlineStr">
        <is>
          <t>STRÖMSUND</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59543-2019</t>
        </is>
      </c>
      <c r="B659" s="1" t="n">
        <v>43773</v>
      </c>
      <c r="C659" s="1" t="n">
        <v>45343</v>
      </c>
      <c r="D659" t="inlineStr">
        <is>
          <t>JÄMTLANDS LÄN</t>
        </is>
      </c>
      <c r="E659" t="inlineStr">
        <is>
          <t>STRÖMSUND</t>
        </is>
      </c>
      <c r="G659" t="n">
        <v>6.3</v>
      </c>
      <c r="H659" t="n">
        <v>0</v>
      </c>
      <c r="I659" t="n">
        <v>0</v>
      </c>
      <c r="J659" t="n">
        <v>0</v>
      </c>
      <c r="K659" t="n">
        <v>0</v>
      </c>
      <c r="L659" t="n">
        <v>0</v>
      </c>
      <c r="M659" t="n">
        <v>0</v>
      </c>
      <c r="N659" t="n">
        <v>0</v>
      </c>
      <c r="O659" t="n">
        <v>0</v>
      </c>
      <c r="P659" t="n">
        <v>0</v>
      </c>
      <c r="Q659" t="n">
        <v>0</v>
      </c>
      <c r="R659" s="2" t="inlineStr"/>
    </row>
    <row r="660" ht="15" customHeight="1">
      <c r="A660" t="inlineStr">
        <is>
          <t>A 59425-2019</t>
        </is>
      </c>
      <c r="B660" s="1" t="n">
        <v>43775</v>
      </c>
      <c r="C660" s="1" t="n">
        <v>45343</v>
      </c>
      <c r="D660" t="inlineStr">
        <is>
          <t>JÄMTLANDS LÄN</t>
        </is>
      </c>
      <c r="E660" t="inlineStr">
        <is>
          <t>STRÖMSUND</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59456-2019</t>
        </is>
      </c>
      <c r="B661" s="1" t="n">
        <v>43776</v>
      </c>
      <c r="C661" s="1" t="n">
        <v>45343</v>
      </c>
      <c r="D661" t="inlineStr">
        <is>
          <t>JÄMTLANDS LÄN</t>
        </is>
      </c>
      <c r="E661" t="inlineStr">
        <is>
          <t>STRÖMSUND</t>
        </is>
      </c>
      <c r="G661" t="n">
        <v>2.1</v>
      </c>
      <c r="H661" t="n">
        <v>0</v>
      </c>
      <c r="I661" t="n">
        <v>0</v>
      </c>
      <c r="J661" t="n">
        <v>0</v>
      </c>
      <c r="K661" t="n">
        <v>0</v>
      </c>
      <c r="L661" t="n">
        <v>0</v>
      </c>
      <c r="M661" t="n">
        <v>0</v>
      </c>
      <c r="N661" t="n">
        <v>0</v>
      </c>
      <c r="O661" t="n">
        <v>0</v>
      </c>
      <c r="P661" t="n">
        <v>0</v>
      </c>
      <c r="Q661" t="n">
        <v>0</v>
      </c>
      <c r="R661" s="2" t="inlineStr"/>
    </row>
    <row r="662" ht="15" customHeight="1">
      <c r="A662" t="inlineStr">
        <is>
          <t>A 61411-2019</t>
        </is>
      </c>
      <c r="B662" s="1" t="n">
        <v>43780</v>
      </c>
      <c r="C662" s="1" t="n">
        <v>45343</v>
      </c>
      <c r="D662" t="inlineStr">
        <is>
          <t>JÄMTLANDS LÄN</t>
        </is>
      </c>
      <c r="E662" t="inlineStr">
        <is>
          <t>STRÖMSUND</t>
        </is>
      </c>
      <c r="G662" t="n">
        <v>2.3</v>
      </c>
      <c r="H662" t="n">
        <v>0</v>
      </c>
      <c r="I662" t="n">
        <v>0</v>
      </c>
      <c r="J662" t="n">
        <v>0</v>
      </c>
      <c r="K662" t="n">
        <v>0</v>
      </c>
      <c r="L662" t="n">
        <v>0</v>
      </c>
      <c r="M662" t="n">
        <v>0</v>
      </c>
      <c r="N662" t="n">
        <v>0</v>
      </c>
      <c r="O662" t="n">
        <v>0</v>
      </c>
      <c r="P662" t="n">
        <v>0</v>
      </c>
      <c r="Q662" t="n">
        <v>0</v>
      </c>
      <c r="R662" s="2" t="inlineStr"/>
    </row>
    <row r="663" ht="15" customHeight="1">
      <c r="A663" t="inlineStr">
        <is>
          <t>A 61703-2019</t>
        </is>
      </c>
      <c r="B663" s="1" t="n">
        <v>43780</v>
      </c>
      <c r="C663" s="1" t="n">
        <v>45343</v>
      </c>
      <c r="D663" t="inlineStr">
        <is>
          <t>JÄMTLANDS LÄN</t>
        </is>
      </c>
      <c r="E663" t="inlineStr">
        <is>
          <t>STRÖMSUND</t>
        </is>
      </c>
      <c r="G663" t="n">
        <v>4</v>
      </c>
      <c r="H663" t="n">
        <v>0</v>
      </c>
      <c r="I663" t="n">
        <v>0</v>
      </c>
      <c r="J663" t="n">
        <v>0</v>
      </c>
      <c r="K663" t="n">
        <v>0</v>
      </c>
      <c r="L663" t="n">
        <v>0</v>
      </c>
      <c r="M663" t="n">
        <v>0</v>
      </c>
      <c r="N663" t="n">
        <v>0</v>
      </c>
      <c r="O663" t="n">
        <v>0</v>
      </c>
      <c r="P663" t="n">
        <v>0</v>
      </c>
      <c r="Q663" t="n">
        <v>0</v>
      </c>
      <c r="R663" s="2" t="inlineStr"/>
    </row>
    <row r="664" ht="15" customHeight="1">
      <c r="A664" t="inlineStr">
        <is>
          <t>A 61705-2019</t>
        </is>
      </c>
      <c r="B664" s="1" t="n">
        <v>43780</v>
      </c>
      <c r="C664" s="1" t="n">
        <v>45343</v>
      </c>
      <c r="D664" t="inlineStr">
        <is>
          <t>JÄMTLANDS LÄN</t>
        </is>
      </c>
      <c r="E664" t="inlineStr">
        <is>
          <t>STRÖMSUND</t>
        </is>
      </c>
      <c r="G664" t="n">
        <v>6.4</v>
      </c>
      <c r="H664" t="n">
        <v>0</v>
      </c>
      <c r="I664" t="n">
        <v>0</v>
      </c>
      <c r="J664" t="n">
        <v>0</v>
      </c>
      <c r="K664" t="n">
        <v>0</v>
      </c>
      <c r="L664" t="n">
        <v>0</v>
      </c>
      <c r="M664" t="n">
        <v>0</v>
      </c>
      <c r="N664" t="n">
        <v>0</v>
      </c>
      <c r="O664" t="n">
        <v>0</v>
      </c>
      <c r="P664" t="n">
        <v>0</v>
      </c>
      <c r="Q664" t="n">
        <v>0</v>
      </c>
      <c r="R664" s="2" t="inlineStr"/>
    </row>
    <row r="665" ht="15" customHeight="1">
      <c r="A665" t="inlineStr">
        <is>
          <t>A 60569-2019</t>
        </is>
      </c>
      <c r="B665" s="1" t="n">
        <v>43781</v>
      </c>
      <c r="C665" s="1" t="n">
        <v>45343</v>
      </c>
      <c r="D665" t="inlineStr">
        <is>
          <t>JÄMTLANDS LÄN</t>
        </is>
      </c>
      <c r="E665" t="inlineStr">
        <is>
          <t>STRÖMSUND</t>
        </is>
      </c>
      <c r="G665" t="n">
        <v>1</v>
      </c>
      <c r="H665" t="n">
        <v>0</v>
      </c>
      <c r="I665" t="n">
        <v>0</v>
      </c>
      <c r="J665" t="n">
        <v>0</v>
      </c>
      <c r="K665" t="n">
        <v>0</v>
      </c>
      <c r="L665" t="n">
        <v>0</v>
      </c>
      <c r="M665" t="n">
        <v>0</v>
      </c>
      <c r="N665" t="n">
        <v>0</v>
      </c>
      <c r="O665" t="n">
        <v>0</v>
      </c>
      <c r="P665" t="n">
        <v>0</v>
      </c>
      <c r="Q665" t="n">
        <v>0</v>
      </c>
      <c r="R665" s="2" t="inlineStr"/>
    </row>
    <row r="666" ht="15" customHeight="1">
      <c r="A666" t="inlineStr">
        <is>
          <t>A 60536-2019</t>
        </is>
      </c>
      <c r="B666" s="1" t="n">
        <v>43781</v>
      </c>
      <c r="C666" s="1" t="n">
        <v>45343</v>
      </c>
      <c r="D666" t="inlineStr">
        <is>
          <t>JÄMTLANDS LÄN</t>
        </is>
      </c>
      <c r="E666" t="inlineStr">
        <is>
          <t>STRÖMSUND</t>
        </is>
      </c>
      <c r="G666" t="n">
        <v>0.2</v>
      </c>
      <c r="H666" t="n">
        <v>0</v>
      </c>
      <c r="I666" t="n">
        <v>0</v>
      </c>
      <c r="J666" t="n">
        <v>0</v>
      </c>
      <c r="K666" t="n">
        <v>0</v>
      </c>
      <c r="L666" t="n">
        <v>0</v>
      </c>
      <c r="M666" t="n">
        <v>0</v>
      </c>
      <c r="N666" t="n">
        <v>0</v>
      </c>
      <c r="O666" t="n">
        <v>0</v>
      </c>
      <c r="P666" t="n">
        <v>0</v>
      </c>
      <c r="Q666" t="n">
        <v>0</v>
      </c>
      <c r="R666" s="2" t="inlineStr"/>
    </row>
    <row r="667" ht="15" customHeight="1">
      <c r="A667" t="inlineStr">
        <is>
          <t>A 61122-2019</t>
        </is>
      </c>
      <c r="B667" s="1" t="n">
        <v>43782</v>
      </c>
      <c r="C667" s="1" t="n">
        <v>45343</v>
      </c>
      <c r="D667" t="inlineStr">
        <is>
          <t>JÄMTLANDS LÄN</t>
        </is>
      </c>
      <c r="E667" t="inlineStr">
        <is>
          <t>STRÖMSUND</t>
        </is>
      </c>
      <c r="F667" t="inlineStr">
        <is>
          <t>Holmen skog AB</t>
        </is>
      </c>
      <c r="G667" t="n">
        <v>0.9</v>
      </c>
      <c r="H667" t="n">
        <v>0</v>
      </c>
      <c r="I667" t="n">
        <v>0</v>
      </c>
      <c r="J667" t="n">
        <v>0</v>
      </c>
      <c r="K667" t="n">
        <v>0</v>
      </c>
      <c r="L667" t="n">
        <v>0</v>
      </c>
      <c r="M667" t="n">
        <v>0</v>
      </c>
      <c r="N667" t="n">
        <v>0</v>
      </c>
      <c r="O667" t="n">
        <v>0</v>
      </c>
      <c r="P667" t="n">
        <v>0</v>
      </c>
      <c r="Q667" t="n">
        <v>0</v>
      </c>
      <c r="R667" s="2" t="inlineStr"/>
    </row>
    <row r="668" ht="15" customHeight="1">
      <c r="A668" t="inlineStr">
        <is>
          <t>A 62256-2019</t>
        </is>
      </c>
      <c r="B668" s="1" t="n">
        <v>43782</v>
      </c>
      <c r="C668" s="1" t="n">
        <v>45343</v>
      </c>
      <c r="D668" t="inlineStr">
        <is>
          <t>JÄMTLANDS LÄN</t>
        </is>
      </c>
      <c r="E668" t="inlineStr">
        <is>
          <t>STRÖMSUND</t>
        </is>
      </c>
      <c r="G668" t="n">
        <v>1.6</v>
      </c>
      <c r="H668" t="n">
        <v>0</v>
      </c>
      <c r="I668" t="n">
        <v>0</v>
      </c>
      <c r="J668" t="n">
        <v>0</v>
      </c>
      <c r="K668" t="n">
        <v>0</v>
      </c>
      <c r="L668" t="n">
        <v>0</v>
      </c>
      <c r="M668" t="n">
        <v>0</v>
      </c>
      <c r="N668" t="n">
        <v>0</v>
      </c>
      <c r="O668" t="n">
        <v>0</v>
      </c>
      <c r="P668" t="n">
        <v>0</v>
      </c>
      <c r="Q668" t="n">
        <v>0</v>
      </c>
      <c r="R668" s="2" t="inlineStr"/>
    </row>
    <row r="669" ht="15" customHeight="1">
      <c r="A669" t="inlineStr">
        <is>
          <t>A 60955-2019</t>
        </is>
      </c>
      <c r="B669" s="1" t="n">
        <v>43782</v>
      </c>
      <c r="C669" s="1" t="n">
        <v>45343</v>
      </c>
      <c r="D669" t="inlineStr">
        <is>
          <t>JÄMTLANDS LÄN</t>
        </is>
      </c>
      <c r="E669" t="inlineStr">
        <is>
          <t>STRÖMSUND</t>
        </is>
      </c>
      <c r="F669" t="inlineStr">
        <is>
          <t>Holmen skog AB</t>
        </is>
      </c>
      <c r="G669" t="n">
        <v>6.6</v>
      </c>
      <c r="H669" t="n">
        <v>0</v>
      </c>
      <c r="I669" t="n">
        <v>0</v>
      </c>
      <c r="J669" t="n">
        <v>0</v>
      </c>
      <c r="K669" t="n">
        <v>0</v>
      </c>
      <c r="L669" t="n">
        <v>0</v>
      </c>
      <c r="M669" t="n">
        <v>0</v>
      </c>
      <c r="N669" t="n">
        <v>0</v>
      </c>
      <c r="O669" t="n">
        <v>0</v>
      </c>
      <c r="P669" t="n">
        <v>0</v>
      </c>
      <c r="Q669" t="n">
        <v>0</v>
      </c>
      <c r="R669" s="2" t="inlineStr"/>
    </row>
    <row r="670" ht="15" customHeight="1">
      <c r="A670" t="inlineStr">
        <is>
          <t>A 61690-2019</t>
        </is>
      </c>
      <c r="B670" s="1" t="n">
        <v>43784</v>
      </c>
      <c r="C670" s="1" t="n">
        <v>45343</v>
      </c>
      <c r="D670" t="inlineStr">
        <is>
          <t>JÄMTLANDS LÄN</t>
        </is>
      </c>
      <c r="E670" t="inlineStr">
        <is>
          <t>STRÖMSUND</t>
        </is>
      </c>
      <c r="G670" t="n">
        <v>6</v>
      </c>
      <c r="H670" t="n">
        <v>0</v>
      </c>
      <c r="I670" t="n">
        <v>0</v>
      </c>
      <c r="J670" t="n">
        <v>0</v>
      </c>
      <c r="K670" t="n">
        <v>0</v>
      </c>
      <c r="L670" t="n">
        <v>0</v>
      </c>
      <c r="M670" t="n">
        <v>0</v>
      </c>
      <c r="N670" t="n">
        <v>0</v>
      </c>
      <c r="O670" t="n">
        <v>0</v>
      </c>
      <c r="P670" t="n">
        <v>0</v>
      </c>
      <c r="Q670" t="n">
        <v>0</v>
      </c>
      <c r="R670" s="2" t="inlineStr"/>
    </row>
    <row r="671" ht="15" customHeight="1">
      <c r="A671" t="inlineStr">
        <is>
          <t>A 61778-2019</t>
        </is>
      </c>
      <c r="B671" s="1" t="n">
        <v>43784</v>
      </c>
      <c r="C671" s="1" t="n">
        <v>45343</v>
      </c>
      <c r="D671" t="inlineStr">
        <is>
          <t>JÄMTLANDS LÄN</t>
        </is>
      </c>
      <c r="E671" t="inlineStr">
        <is>
          <t>STRÖMSUND</t>
        </is>
      </c>
      <c r="G671" t="n">
        <v>1</v>
      </c>
      <c r="H671" t="n">
        <v>0</v>
      </c>
      <c r="I671" t="n">
        <v>0</v>
      </c>
      <c r="J671" t="n">
        <v>0</v>
      </c>
      <c r="K671" t="n">
        <v>0</v>
      </c>
      <c r="L671" t="n">
        <v>0</v>
      </c>
      <c r="M671" t="n">
        <v>0</v>
      </c>
      <c r="N671" t="n">
        <v>0</v>
      </c>
      <c r="O671" t="n">
        <v>0</v>
      </c>
      <c r="P671" t="n">
        <v>0</v>
      </c>
      <c r="Q671" t="n">
        <v>0</v>
      </c>
      <c r="R671" s="2" t="inlineStr"/>
    </row>
    <row r="672" ht="15" customHeight="1">
      <c r="A672" t="inlineStr">
        <is>
          <t>A 61833-2019</t>
        </is>
      </c>
      <c r="B672" s="1" t="n">
        <v>43786</v>
      </c>
      <c r="C672" s="1" t="n">
        <v>45343</v>
      </c>
      <c r="D672" t="inlineStr">
        <is>
          <t>JÄMTLANDS LÄN</t>
        </is>
      </c>
      <c r="E672" t="inlineStr">
        <is>
          <t>STRÖMSUND</t>
        </is>
      </c>
      <c r="G672" t="n">
        <v>11.5</v>
      </c>
      <c r="H672" t="n">
        <v>0</v>
      </c>
      <c r="I672" t="n">
        <v>0</v>
      </c>
      <c r="J672" t="n">
        <v>0</v>
      </c>
      <c r="K672" t="n">
        <v>0</v>
      </c>
      <c r="L672" t="n">
        <v>0</v>
      </c>
      <c r="M672" t="n">
        <v>0</v>
      </c>
      <c r="N672" t="n">
        <v>0</v>
      </c>
      <c r="O672" t="n">
        <v>0</v>
      </c>
      <c r="P672" t="n">
        <v>0</v>
      </c>
      <c r="Q672" t="n">
        <v>0</v>
      </c>
      <c r="R672" s="2" t="inlineStr"/>
    </row>
    <row r="673" ht="15" customHeight="1">
      <c r="A673" t="inlineStr">
        <is>
          <t>A 61838-2019</t>
        </is>
      </c>
      <c r="B673" s="1" t="n">
        <v>43786</v>
      </c>
      <c r="C673" s="1" t="n">
        <v>45343</v>
      </c>
      <c r="D673" t="inlineStr">
        <is>
          <t>JÄMTLANDS LÄN</t>
        </is>
      </c>
      <c r="E673" t="inlineStr">
        <is>
          <t>STRÖMSUND</t>
        </is>
      </c>
      <c r="G673" t="n">
        <v>0.8</v>
      </c>
      <c r="H673" t="n">
        <v>0</v>
      </c>
      <c r="I673" t="n">
        <v>0</v>
      </c>
      <c r="J673" t="n">
        <v>0</v>
      </c>
      <c r="K673" t="n">
        <v>0</v>
      </c>
      <c r="L673" t="n">
        <v>0</v>
      </c>
      <c r="M673" t="n">
        <v>0</v>
      </c>
      <c r="N673" t="n">
        <v>0</v>
      </c>
      <c r="O673" t="n">
        <v>0</v>
      </c>
      <c r="P673" t="n">
        <v>0</v>
      </c>
      <c r="Q673" t="n">
        <v>0</v>
      </c>
      <c r="R673" s="2" t="inlineStr"/>
    </row>
    <row r="674" ht="15" customHeight="1">
      <c r="A674" t="inlineStr">
        <is>
          <t>A 61830-2019</t>
        </is>
      </c>
      <c r="B674" s="1" t="n">
        <v>43786</v>
      </c>
      <c r="C674" s="1" t="n">
        <v>45343</v>
      </c>
      <c r="D674" t="inlineStr">
        <is>
          <t>JÄMTLANDS LÄN</t>
        </is>
      </c>
      <c r="E674" t="inlineStr">
        <is>
          <t>STRÖMSUND</t>
        </is>
      </c>
      <c r="G674" t="n">
        <v>8</v>
      </c>
      <c r="H674" t="n">
        <v>0</v>
      </c>
      <c r="I674" t="n">
        <v>0</v>
      </c>
      <c r="J674" t="n">
        <v>0</v>
      </c>
      <c r="K674" t="n">
        <v>0</v>
      </c>
      <c r="L674" t="n">
        <v>0</v>
      </c>
      <c r="M674" t="n">
        <v>0</v>
      </c>
      <c r="N674" t="n">
        <v>0</v>
      </c>
      <c r="O674" t="n">
        <v>0</v>
      </c>
      <c r="P674" t="n">
        <v>0</v>
      </c>
      <c r="Q674" t="n">
        <v>0</v>
      </c>
      <c r="R674" s="2" t="inlineStr"/>
    </row>
    <row r="675" ht="15" customHeight="1">
      <c r="A675" t="inlineStr">
        <is>
          <t>A 61835-2019</t>
        </is>
      </c>
      <c r="B675" s="1" t="n">
        <v>43786</v>
      </c>
      <c r="C675" s="1" t="n">
        <v>45343</v>
      </c>
      <c r="D675" t="inlineStr">
        <is>
          <t>JÄMTLANDS LÄN</t>
        </is>
      </c>
      <c r="E675" t="inlineStr">
        <is>
          <t>STRÖMSUND</t>
        </is>
      </c>
      <c r="G675" t="n">
        <v>6</v>
      </c>
      <c r="H675" t="n">
        <v>0</v>
      </c>
      <c r="I675" t="n">
        <v>0</v>
      </c>
      <c r="J675" t="n">
        <v>0</v>
      </c>
      <c r="K675" t="n">
        <v>0</v>
      </c>
      <c r="L675" t="n">
        <v>0</v>
      </c>
      <c r="M675" t="n">
        <v>0</v>
      </c>
      <c r="N675" t="n">
        <v>0</v>
      </c>
      <c r="O675" t="n">
        <v>0</v>
      </c>
      <c r="P675" t="n">
        <v>0</v>
      </c>
      <c r="Q675" t="n">
        <v>0</v>
      </c>
      <c r="R675" s="2" t="inlineStr"/>
    </row>
    <row r="676" ht="15" customHeight="1">
      <c r="A676" t="inlineStr">
        <is>
          <t>A 61829-2019</t>
        </is>
      </c>
      <c r="B676" s="1" t="n">
        <v>43786</v>
      </c>
      <c r="C676" s="1" t="n">
        <v>45343</v>
      </c>
      <c r="D676" t="inlineStr">
        <is>
          <t>JÄMTLANDS LÄN</t>
        </is>
      </c>
      <c r="E676" t="inlineStr">
        <is>
          <t>STRÖMSUND</t>
        </is>
      </c>
      <c r="G676" t="n">
        <v>4.3</v>
      </c>
      <c r="H676" t="n">
        <v>0</v>
      </c>
      <c r="I676" t="n">
        <v>0</v>
      </c>
      <c r="J676" t="n">
        <v>0</v>
      </c>
      <c r="K676" t="n">
        <v>0</v>
      </c>
      <c r="L676" t="n">
        <v>0</v>
      </c>
      <c r="M676" t="n">
        <v>0</v>
      </c>
      <c r="N676" t="n">
        <v>0</v>
      </c>
      <c r="O676" t="n">
        <v>0</v>
      </c>
      <c r="P676" t="n">
        <v>0</v>
      </c>
      <c r="Q676" t="n">
        <v>0</v>
      </c>
      <c r="R676" s="2" t="inlineStr"/>
    </row>
    <row r="677" ht="15" customHeight="1">
      <c r="A677" t="inlineStr">
        <is>
          <t>A 61834-2019</t>
        </is>
      </c>
      <c r="B677" s="1" t="n">
        <v>43786</v>
      </c>
      <c r="C677" s="1" t="n">
        <v>45343</v>
      </c>
      <c r="D677" t="inlineStr">
        <is>
          <t>JÄMTLANDS LÄN</t>
        </is>
      </c>
      <c r="E677" t="inlineStr">
        <is>
          <t>STRÖMSUND</t>
        </is>
      </c>
      <c r="G677" t="n">
        <v>6.7</v>
      </c>
      <c r="H677" t="n">
        <v>0</v>
      </c>
      <c r="I677" t="n">
        <v>0</v>
      </c>
      <c r="J677" t="n">
        <v>0</v>
      </c>
      <c r="K677" t="n">
        <v>0</v>
      </c>
      <c r="L677" t="n">
        <v>0</v>
      </c>
      <c r="M677" t="n">
        <v>0</v>
      </c>
      <c r="N677" t="n">
        <v>0</v>
      </c>
      <c r="O677" t="n">
        <v>0</v>
      </c>
      <c r="P677" t="n">
        <v>0</v>
      </c>
      <c r="Q677" t="n">
        <v>0</v>
      </c>
      <c r="R677" s="2" t="inlineStr"/>
    </row>
    <row r="678" ht="15" customHeight="1">
      <c r="A678" t="inlineStr">
        <is>
          <t>A 61836-2019</t>
        </is>
      </c>
      <c r="B678" s="1" t="n">
        <v>43786</v>
      </c>
      <c r="C678" s="1" t="n">
        <v>45343</v>
      </c>
      <c r="D678" t="inlineStr">
        <is>
          <t>JÄMTLANDS LÄN</t>
        </is>
      </c>
      <c r="E678" t="inlineStr">
        <is>
          <t>STRÖMSUND</t>
        </is>
      </c>
      <c r="G678" t="n">
        <v>3.1</v>
      </c>
      <c r="H678" t="n">
        <v>0</v>
      </c>
      <c r="I678" t="n">
        <v>0</v>
      </c>
      <c r="J678" t="n">
        <v>0</v>
      </c>
      <c r="K678" t="n">
        <v>0</v>
      </c>
      <c r="L678" t="n">
        <v>0</v>
      </c>
      <c r="M678" t="n">
        <v>0</v>
      </c>
      <c r="N678" t="n">
        <v>0</v>
      </c>
      <c r="O678" t="n">
        <v>0</v>
      </c>
      <c r="P678" t="n">
        <v>0</v>
      </c>
      <c r="Q678" t="n">
        <v>0</v>
      </c>
      <c r="R678" s="2" t="inlineStr"/>
    </row>
    <row r="679" ht="15" customHeight="1">
      <c r="A679" t="inlineStr">
        <is>
          <t>A 61832-2019</t>
        </is>
      </c>
      <c r="B679" s="1" t="n">
        <v>43786</v>
      </c>
      <c r="C679" s="1" t="n">
        <v>45343</v>
      </c>
      <c r="D679" t="inlineStr">
        <is>
          <t>JÄMTLANDS LÄN</t>
        </is>
      </c>
      <c r="E679" t="inlineStr">
        <is>
          <t>STRÖMSUND</t>
        </is>
      </c>
      <c r="G679" t="n">
        <v>19.9</v>
      </c>
      <c r="H679" t="n">
        <v>0</v>
      </c>
      <c r="I679" t="n">
        <v>0</v>
      </c>
      <c r="J679" t="n">
        <v>0</v>
      </c>
      <c r="K679" t="n">
        <v>0</v>
      </c>
      <c r="L679" t="n">
        <v>0</v>
      </c>
      <c r="M679" t="n">
        <v>0</v>
      </c>
      <c r="N679" t="n">
        <v>0</v>
      </c>
      <c r="O679" t="n">
        <v>0</v>
      </c>
      <c r="P679" t="n">
        <v>0</v>
      </c>
      <c r="Q679" t="n">
        <v>0</v>
      </c>
      <c r="R679" s="2" t="inlineStr"/>
    </row>
    <row r="680" ht="15" customHeight="1">
      <c r="A680" t="inlineStr">
        <is>
          <t>A 62492-2019</t>
        </is>
      </c>
      <c r="B680" s="1" t="n">
        <v>43788</v>
      </c>
      <c r="C680" s="1" t="n">
        <v>45343</v>
      </c>
      <c r="D680" t="inlineStr">
        <is>
          <t>JÄMTLANDS LÄN</t>
        </is>
      </c>
      <c r="E680" t="inlineStr">
        <is>
          <t>STRÖMSUND</t>
        </is>
      </c>
      <c r="F680" t="inlineStr">
        <is>
          <t>SCA</t>
        </is>
      </c>
      <c r="G680" t="n">
        <v>6.3</v>
      </c>
      <c r="H680" t="n">
        <v>0</v>
      </c>
      <c r="I680" t="n">
        <v>0</v>
      </c>
      <c r="J680" t="n">
        <v>0</v>
      </c>
      <c r="K680" t="n">
        <v>0</v>
      </c>
      <c r="L680" t="n">
        <v>0</v>
      </c>
      <c r="M680" t="n">
        <v>0</v>
      </c>
      <c r="N680" t="n">
        <v>0</v>
      </c>
      <c r="O680" t="n">
        <v>0</v>
      </c>
      <c r="P680" t="n">
        <v>0</v>
      </c>
      <c r="Q680" t="n">
        <v>0</v>
      </c>
      <c r="R680" s="2" t="inlineStr"/>
    </row>
    <row r="681" ht="15" customHeight="1">
      <c r="A681" t="inlineStr">
        <is>
          <t>A 63715-2019</t>
        </is>
      </c>
      <c r="B681" s="1" t="n">
        <v>43789</v>
      </c>
      <c r="C681" s="1" t="n">
        <v>45343</v>
      </c>
      <c r="D681" t="inlineStr">
        <is>
          <t>JÄMTLANDS LÄN</t>
        </is>
      </c>
      <c r="E681" t="inlineStr">
        <is>
          <t>STRÖMSUND</t>
        </is>
      </c>
      <c r="G681" t="n">
        <v>5.8</v>
      </c>
      <c r="H681" t="n">
        <v>0</v>
      </c>
      <c r="I681" t="n">
        <v>0</v>
      </c>
      <c r="J681" t="n">
        <v>0</v>
      </c>
      <c r="K681" t="n">
        <v>0</v>
      </c>
      <c r="L681" t="n">
        <v>0</v>
      </c>
      <c r="M681" t="n">
        <v>0</v>
      </c>
      <c r="N681" t="n">
        <v>0</v>
      </c>
      <c r="O681" t="n">
        <v>0</v>
      </c>
      <c r="P681" t="n">
        <v>0</v>
      </c>
      <c r="Q681" t="n">
        <v>0</v>
      </c>
      <c r="R681" s="2" t="inlineStr"/>
    </row>
    <row r="682" ht="15" customHeight="1">
      <c r="A682" t="inlineStr">
        <is>
          <t>A 62511-2019</t>
        </is>
      </c>
      <c r="B682" s="1" t="n">
        <v>43789</v>
      </c>
      <c r="C682" s="1" t="n">
        <v>45343</v>
      </c>
      <c r="D682" t="inlineStr">
        <is>
          <t>JÄMTLANDS LÄN</t>
        </is>
      </c>
      <c r="E682" t="inlineStr">
        <is>
          <t>STRÖMSUND</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63927-2019</t>
        </is>
      </c>
      <c r="B683" s="1" t="n">
        <v>43790</v>
      </c>
      <c r="C683" s="1" t="n">
        <v>45343</v>
      </c>
      <c r="D683" t="inlineStr">
        <is>
          <t>JÄMTLANDS LÄN</t>
        </is>
      </c>
      <c r="E683" t="inlineStr">
        <is>
          <t>STRÖMSUND</t>
        </is>
      </c>
      <c r="G683" t="n">
        <v>1</v>
      </c>
      <c r="H683" t="n">
        <v>0</v>
      </c>
      <c r="I683" t="n">
        <v>0</v>
      </c>
      <c r="J683" t="n">
        <v>0</v>
      </c>
      <c r="K683" t="n">
        <v>0</v>
      </c>
      <c r="L683" t="n">
        <v>0</v>
      </c>
      <c r="M683" t="n">
        <v>0</v>
      </c>
      <c r="N683" t="n">
        <v>0</v>
      </c>
      <c r="O683" t="n">
        <v>0</v>
      </c>
      <c r="P683" t="n">
        <v>0</v>
      </c>
      <c r="Q683" t="n">
        <v>0</v>
      </c>
      <c r="R683" s="2" t="inlineStr"/>
    </row>
    <row r="684" ht="15" customHeight="1">
      <c r="A684" t="inlineStr">
        <is>
          <t>A 63918-2019</t>
        </is>
      </c>
      <c r="B684" s="1" t="n">
        <v>43790</v>
      </c>
      <c r="C684" s="1" t="n">
        <v>45343</v>
      </c>
      <c r="D684" t="inlineStr">
        <is>
          <t>JÄMTLANDS LÄN</t>
        </is>
      </c>
      <c r="E684" t="inlineStr">
        <is>
          <t>STRÖMSUND</t>
        </is>
      </c>
      <c r="G684" t="n">
        <v>1.5</v>
      </c>
      <c r="H684" t="n">
        <v>0</v>
      </c>
      <c r="I684" t="n">
        <v>0</v>
      </c>
      <c r="J684" t="n">
        <v>0</v>
      </c>
      <c r="K684" t="n">
        <v>0</v>
      </c>
      <c r="L684" t="n">
        <v>0</v>
      </c>
      <c r="M684" t="n">
        <v>0</v>
      </c>
      <c r="N684" t="n">
        <v>0</v>
      </c>
      <c r="O684" t="n">
        <v>0</v>
      </c>
      <c r="P684" t="n">
        <v>0</v>
      </c>
      <c r="Q684" t="n">
        <v>0</v>
      </c>
      <c r="R684" s="2" t="inlineStr"/>
    </row>
    <row r="685" ht="15" customHeight="1">
      <c r="A685" t="inlineStr">
        <is>
          <t>A 63429-2019</t>
        </is>
      </c>
      <c r="B685" s="1" t="n">
        <v>43794</v>
      </c>
      <c r="C685" s="1" t="n">
        <v>45343</v>
      </c>
      <c r="D685" t="inlineStr">
        <is>
          <t>JÄMTLANDS LÄN</t>
        </is>
      </c>
      <c r="E685" t="inlineStr">
        <is>
          <t>STRÖMSUND</t>
        </is>
      </c>
      <c r="G685" t="n">
        <v>11</v>
      </c>
      <c r="H685" t="n">
        <v>0</v>
      </c>
      <c r="I685" t="n">
        <v>0</v>
      </c>
      <c r="J685" t="n">
        <v>0</v>
      </c>
      <c r="K685" t="n">
        <v>0</v>
      </c>
      <c r="L685" t="n">
        <v>0</v>
      </c>
      <c r="M685" t="n">
        <v>0</v>
      </c>
      <c r="N685" t="n">
        <v>0</v>
      </c>
      <c r="O685" t="n">
        <v>0</v>
      </c>
      <c r="P685" t="n">
        <v>0</v>
      </c>
      <c r="Q685" t="n">
        <v>0</v>
      </c>
      <c r="R685" s="2" t="inlineStr"/>
    </row>
    <row r="686" ht="15" customHeight="1">
      <c r="A686" t="inlineStr">
        <is>
          <t>A 63443-2019</t>
        </is>
      </c>
      <c r="B686" s="1" t="n">
        <v>43794</v>
      </c>
      <c r="C686" s="1" t="n">
        <v>45343</v>
      </c>
      <c r="D686" t="inlineStr">
        <is>
          <t>JÄMTLANDS LÄN</t>
        </is>
      </c>
      <c r="E686" t="inlineStr">
        <is>
          <t>STRÖMSUND</t>
        </is>
      </c>
      <c r="G686" t="n">
        <v>13.8</v>
      </c>
      <c r="H686" t="n">
        <v>0</v>
      </c>
      <c r="I686" t="n">
        <v>0</v>
      </c>
      <c r="J686" t="n">
        <v>0</v>
      </c>
      <c r="K686" t="n">
        <v>0</v>
      </c>
      <c r="L686" t="n">
        <v>0</v>
      </c>
      <c r="M686" t="n">
        <v>0</v>
      </c>
      <c r="N686" t="n">
        <v>0</v>
      </c>
      <c r="O686" t="n">
        <v>0</v>
      </c>
      <c r="P686" t="n">
        <v>0</v>
      </c>
      <c r="Q686" t="n">
        <v>0</v>
      </c>
      <c r="R686" s="2" t="inlineStr"/>
    </row>
    <row r="687" ht="15" customHeight="1">
      <c r="A687" t="inlineStr">
        <is>
          <t>A 63426-2019</t>
        </is>
      </c>
      <c r="B687" s="1" t="n">
        <v>43794</v>
      </c>
      <c r="C687" s="1" t="n">
        <v>45343</v>
      </c>
      <c r="D687" t="inlineStr">
        <is>
          <t>JÄMTLANDS LÄN</t>
        </is>
      </c>
      <c r="E687" t="inlineStr">
        <is>
          <t>STRÖMSUND</t>
        </is>
      </c>
      <c r="G687" t="n">
        <v>1.2</v>
      </c>
      <c r="H687" t="n">
        <v>0</v>
      </c>
      <c r="I687" t="n">
        <v>0</v>
      </c>
      <c r="J687" t="n">
        <v>0</v>
      </c>
      <c r="K687" t="n">
        <v>0</v>
      </c>
      <c r="L687" t="n">
        <v>0</v>
      </c>
      <c r="M687" t="n">
        <v>0</v>
      </c>
      <c r="N687" t="n">
        <v>0</v>
      </c>
      <c r="O687" t="n">
        <v>0</v>
      </c>
      <c r="P687" t="n">
        <v>0</v>
      </c>
      <c r="Q687" t="n">
        <v>0</v>
      </c>
      <c r="R687" s="2" t="inlineStr"/>
    </row>
    <row r="688" ht="15" customHeight="1">
      <c r="A688" t="inlineStr">
        <is>
          <t>A 63444-2019</t>
        </is>
      </c>
      <c r="B688" s="1" t="n">
        <v>43794</v>
      </c>
      <c r="C688" s="1" t="n">
        <v>45343</v>
      </c>
      <c r="D688" t="inlineStr">
        <is>
          <t>JÄMTLANDS LÄN</t>
        </is>
      </c>
      <c r="E688" t="inlineStr">
        <is>
          <t>STRÖMSUND</t>
        </is>
      </c>
      <c r="G688" t="n">
        <v>5.6</v>
      </c>
      <c r="H688" t="n">
        <v>0</v>
      </c>
      <c r="I688" t="n">
        <v>0</v>
      </c>
      <c r="J688" t="n">
        <v>0</v>
      </c>
      <c r="K688" t="n">
        <v>0</v>
      </c>
      <c r="L688" t="n">
        <v>0</v>
      </c>
      <c r="M688" t="n">
        <v>0</v>
      </c>
      <c r="N688" t="n">
        <v>0</v>
      </c>
      <c r="O688" t="n">
        <v>0</v>
      </c>
      <c r="P688" t="n">
        <v>0</v>
      </c>
      <c r="Q688" t="n">
        <v>0</v>
      </c>
      <c r="R688" s="2" t="inlineStr"/>
    </row>
    <row r="689" ht="15" customHeight="1">
      <c r="A689" t="inlineStr">
        <is>
          <t>A 64138-2019</t>
        </is>
      </c>
      <c r="B689" s="1" t="n">
        <v>43796</v>
      </c>
      <c r="C689" s="1" t="n">
        <v>45343</v>
      </c>
      <c r="D689" t="inlineStr">
        <is>
          <t>JÄMTLANDS LÄN</t>
        </is>
      </c>
      <c r="E689" t="inlineStr">
        <is>
          <t>STRÖMSUND</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64463-2019</t>
        </is>
      </c>
      <c r="B690" s="1" t="n">
        <v>43797</v>
      </c>
      <c r="C690" s="1" t="n">
        <v>45343</v>
      </c>
      <c r="D690" t="inlineStr">
        <is>
          <t>JÄMTLANDS LÄN</t>
        </is>
      </c>
      <c r="E690" t="inlineStr">
        <is>
          <t>STRÖMSUND</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65415-2019</t>
        </is>
      </c>
      <c r="B691" s="1" t="n">
        <v>43797</v>
      </c>
      <c r="C691" s="1" t="n">
        <v>45343</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65390-2019</t>
        </is>
      </c>
      <c r="B692" s="1" t="n">
        <v>43797</v>
      </c>
      <c r="C692" s="1" t="n">
        <v>45343</v>
      </c>
      <c r="D692" t="inlineStr">
        <is>
          <t>JÄMTLANDS LÄN</t>
        </is>
      </c>
      <c r="E692" t="inlineStr">
        <is>
          <t>STRÖMSUND</t>
        </is>
      </c>
      <c r="G692" t="n">
        <v>0.9</v>
      </c>
      <c r="H692" t="n">
        <v>0</v>
      </c>
      <c r="I692" t="n">
        <v>0</v>
      </c>
      <c r="J692" t="n">
        <v>0</v>
      </c>
      <c r="K692" t="n">
        <v>0</v>
      </c>
      <c r="L692" t="n">
        <v>0</v>
      </c>
      <c r="M692" t="n">
        <v>0</v>
      </c>
      <c r="N692" t="n">
        <v>0</v>
      </c>
      <c r="O692" t="n">
        <v>0</v>
      </c>
      <c r="P692" t="n">
        <v>0</v>
      </c>
      <c r="Q692" t="n">
        <v>0</v>
      </c>
      <c r="R692" s="2" t="inlineStr"/>
    </row>
    <row r="693" ht="15" customHeight="1">
      <c r="A693" t="inlineStr">
        <is>
          <t>A 66574-2019</t>
        </is>
      </c>
      <c r="B693" s="1" t="n">
        <v>43803</v>
      </c>
      <c r="C693" s="1" t="n">
        <v>45343</v>
      </c>
      <c r="D693" t="inlineStr">
        <is>
          <t>JÄMTLANDS LÄN</t>
        </is>
      </c>
      <c r="E693" t="inlineStr">
        <is>
          <t>STRÖMSUND</t>
        </is>
      </c>
      <c r="G693" t="n">
        <v>0.7</v>
      </c>
      <c r="H693" t="n">
        <v>0</v>
      </c>
      <c r="I693" t="n">
        <v>0</v>
      </c>
      <c r="J693" t="n">
        <v>0</v>
      </c>
      <c r="K693" t="n">
        <v>0</v>
      </c>
      <c r="L693" t="n">
        <v>0</v>
      </c>
      <c r="M693" t="n">
        <v>0</v>
      </c>
      <c r="N693" t="n">
        <v>0</v>
      </c>
      <c r="O693" t="n">
        <v>0</v>
      </c>
      <c r="P693" t="n">
        <v>0</v>
      </c>
      <c r="Q693" t="n">
        <v>0</v>
      </c>
      <c r="R693" s="2" t="inlineStr"/>
    </row>
    <row r="694" ht="15" customHeight="1">
      <c r="A694" t="inlineStr">
        <is>
          <t>A 65781-2019</t>
        </is>
      </c>
      <c r="B694" s="1" t="n">
        <v>43804</v>
      </c>
      <c r="C694" s="1" t="n">
        <v>45343</v>
      </c>
      <c r="D694" t="inlineStr">
        <is>
          <t>JÄMTLANDS LÄN</t>
        </is>
      </c>
      <c r="E694" t="inlineStr">
        <is>
          <t>STRÖMSUND</t>
        </is>
      </c>
      <c r="G694" t="n">
        <v>4.3</v>
      </c>
      <c r="H694" t="n">
        <v>0</v>
      </c>
      <c r="I694" t="n">
        <v>0</v>
      </c>
      <c r="J694" t="n">
        <v>0</v>
      </c>
      <c r="K694" t="n">
        <v>0</v>
      </c>
      <c r="L694" t="n">
        <v>0</v>
      </c>
      <c r="M694" t="n">
        <v>0</v>
      </c>
      <c r="N694" t="n">
        <v>0</v>
      </c>
      <c r="O694" t="n">
        <v>0</v>
      </c>
      <c r="P694" t="n">
        <v>0</v>
      </c>
      <c r="Q694" t="n">
        <v>0</v>
      </c>
      <c r="R694" s="2" t="inlineStr"/>
    </row>
    <row r="695" ht="15" customHeight="1">
      <c r="A695" t="inlineStr">
        <is>
          <t>A 67064-2019</t>
        </is>
      </c>
      <c r="B695" s="1" t="n">
        <v>43805</v>
      </c>
      <c r="C695" s="1" t="n">
        <v>45343</v>
      </c>
      <c r="D695" t="inlineStr">
        <is>
          <t>JÄMTLANDS LÄN</t>
        </is>
      </c>
      <c r="E695" t="inlineStr">
        <is>
          <t>STRÖMSUND</t>
        </is>
      </c>
      <c r="G695" t="n">
        <v>0.8</v>
      </c>
      <c r="H695" t="n">
        <v>0</v>
      </c>
      <c r="I695" t="n">
        <v>0</v>
      </c>
      <c r="J695" t="n">
        <v>0</v>
      </c>
      <c r="K695" t="n">
        <v>0</v>
      </c>
      <c r="L695" t="n">
        <v>0</v>
      </c>
      <c r="M695" t="n">
        <v>0</v>
      </c>
      <c r="N695" t="n">
        <v>0</v>
      </c>
      <c r="O695" t="n">
        <v>0</v>
      </c>
      <c r="P695" t="n">
        <v>0</v>
      </c>
      <c r="Q695" t="n">
        <v>0</v>
      </c>
      <c r="R695" s="2" t="inlineStr"/>
    </row>
    <row r="696" ht="15" customHeight="1">
      <c r="A696" t="inlineStr">
        <is>
          <t>A 66349-2019</t>
        </is>
      </c>
      <c r="B696" s="1" t="n">
        <v>43808</v>
      </c>
      <c r="C696" s="1" t="n">
        <v>45343</v>
      </c>
      <c r="D696" t="inlineStr">
        <is>
          <t>JÄMTLANDS LÄN</t>
        </is>
      </c>
      <c r="E696" t="inlineStr">
        <is>
          <t>STRÖMSUND</t>
        </is>
      </c>
      <c r="F696" t="inlineStr">
        <is>
          <t>Sveaskog</t>
        </is>
      </c>
      <c r="G696" t="n">
        <v>3.7</v>
      </c>
      <c r="H696" t="n">
        <v>0</v>
      </c>
      <c r="I696" t="n">
        <v>0</v>
      </c>
      <c r="J696" t="n">
        <v>0</v>
      </c>
      <c r="K696" t="n">
        <v>0</v>
      </c>
      <c r="L696" t="n">
        <v>0</v>
      </c>
      <c r="M696" t="n">
        <v>0</v>
      </c>
      <c r="N696" t="n">
        <v>0</v>
      </c>
      <c r="O696" t="n">
        <v>0</v>
      </c>
      <c r="P696" t="n">
        <v>0</v>
      </c>
      <c r="Q696" t="n">
        <v>0</v>
      </c>
      <c r="R696" s="2" t="inlineStr"/>
    </row>
    <row r="697" ht="15" customHeight="1">
      <c r="A697" t="inlineStr">
        <is>
          <t>A 67820-2019</t>
        </is>
      </c>
      <c r="B697" s="1" t="n">
        <v>43815</v>
      </c>
      <c r="C697" s="1" t="n">
        <v>45343</v>
      </c>
      <c r="D697" t="inlineStr">
        <is>
          <t>JÄMTLANDS LÄN</t>
        </is>
      </c>
      <c r="E697" t="inlineStr">
        <is>
          <t>STRÖMSUND</t>
        </is>
      </c>
      <c r="F697" t="inlineStr">
        <is>
          <t>SCA</t>
        </is>
      </c>
      <c r="G697" t="n">
        <v>28.7</v>
      </c>
      <c r="H697" t="n">
        <v>0</v>
      </c>
      <c r="I697" t="n">
        <v>0</v>
      </c>
      <c r="J697" t="n">
        <v>0</v>
      </c>
      <c r="K697" t="n">
        <v>0</v>
      </c>
      <c r="L697" t="n">
        <v>0</v>
      </c>
      <c r="M697" t="n">
        <v>0</v>
      </c>
      <c r="N697" t="n">
        <v>0</v>
      </c>
      <c r="O697" t="n">
        <v>0</v>
      </c>
      <c r="P697" t="n">
        <v>0</v>
      </c>
      <c r="Q697" t="n">
        <v>0</v>
      </c>
      <c r="R697" s="2" t="inlineStr"/>
    </row>
    <row r="698" ht="15" customHeight="1">
      <c r="A698" t="inlineStr">
        <is>
          <t>A 67914-2019</t>
        </is>
      </c>
      <c r="B698" s="1" t="n">
        <v>43816</v>
      </c>
      <c r="C698" s="1" t="n">
        <v>45343</v>
      </c>
      <c r="D698" t="inlineStr">
        <is>
          <t>JÄMTLANDS LÄN</t>
        </is>
      </c>
      <c r="E698" t="inlineStr">
        <is>
          <t>STRÖMSUND</t>
        </is>
      </c>
      <c r="F698" t="inlineStr">
        <is>
          <t>Holmen skog AB</t>
        </is>
      </c>
      <c r="G698" t="n">
        <v>27.7</v>
      </c>
      <c r="H698" t="n">
        <v>0</v>
      </c>
      <c r="I698" t="n">
        <v>0</v>
      </c>
      <c r="J698" t="n">
        <v>0</v>
      </c>
      <c r="K698" t="n">
        <v>0</v>
      </c>
      <c r="L698" t="n">
        <v>0</v>
      </c>
      <c r="M698" t="n">
        <v>0</v>
      </c>
      <c r="N698" t="n">
        <v>0</v>
      </c>
      <c r="O698" t="n">
        <v>0</v>
      </c>
      <c r="P698" t="n">
        <v>0</v>
      </c>
      <c r="Q698" t="n">
        <v>0</v>
      </c>
      <c r="R698" s="2" t="inlineStr"/>
    </row>
    <row r="699" ht="15" customHeight="1">
      <c r="A699" t="inlineStr">
        <is>
          <t>A 68080-2019</t>
        </is>
      </c>
      <c r="B699" s="1" t="n">
        <v>43816</v>
      </c>
      <c r="C699" s="1" t="n">
        <v>45343</v>
      </c>
      <c r="D699" t="inlineStr">
        <is>
          <t>JÄMTLANDS LÄN</t>
        </is>
      </c>
      <c r="E699" t="inlineStr">
        <is>
          <t>STRÖMSUND</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68607-2019</t>
        </is>
      </c>
      <c r="B700" s="1" t="n">
        <v>43818</v>
      </c>
      <c r="C700" s="1" t="n">
        <v>45343</v>
      </c>
      <c r="D700" t="inlineStr">
        <is>
          <t>JÄMTLANDS LÄN</t>
        </is>
      </c>
      <c r="E700" t="inlineStr">
        <is>
          <t>STRÖMSUND</t>
        </is>
      </c>
      <c r="G700" t="n">
        <v>2.5</v>
      </c>
      <c r="H700" t="n">
        <v>0</v>
      </c>
      <c r="I700" t="n">
        <v>0</v>
      </c>
      <c r="J700" t="n">
        <v>0</v>
      </c>
      <c r="K700" t="n">
        <v>0</v>
      </c>
      <c r="L700" t="n">
        <v>0</v>
      </c>
      <c r="M700" t="n">
        <v>0</v>
      </c>
      <c r="N700" t="n">
        <v>0</v>
      </c>
      <c r="O700" t="n">
        <v>0</v>
      </c>
      <c r="P700" t="n">
        <v>0</v>
      </c>
      <c r="Q700" t="n">
        <v>0</v>
      </c>
      <c r="R700" s="2" t="inlineStr"/>
    </row>
    <row r="701" ht="15" customHeight="1">
      <c r="A701" t="inlineStr">
        <is>
          <t>A 68335-2019</t>
        </is>
      </c>
      <c r="B701" s="1" t="n">
        <v>43818</v>
      </c>
      <c r="C701" s="1" t="n">
        <v>45343</v>
      </c>
      <c r="D701" t="inlineStr">
        <is>
          <t>JÄMTLANDS LÄN</t>
        </is>
      </c>
      <c r="E701" t="inlineStr">
        <is>
          <t>STRÖMSUND</t>
        </is>
      </c>
      <c r="G701" t="n">
        <v>3.4</v>
      </c>
      <c r="H701" t="n">
        <v>0</v>
      </c>
      <c r="I701" t="n">
        <v>0</v>
      </c>
      <c r="J701" t="n">
        <v>0</v>
      </c>
      <c r="K701" t="n">
        <v>0</v>
      </c>
      <c r="L701" t="n">
        <v>0</v>
      </c>
      <c r="M701" t="n">
        <v>0</v>
      </c>
      <c r="N701" t="n">
        <v>0</v>
      </c>
      <c r="O701" t="n">
        <v>0</v>
      </c>
      <c r="P701" t="n">
        <v>0</v>
      </c>
      <c r="Q701" t="n">
        <v>0</v>
      </c>
      <c r="R701" s="2" t="inlineStr"/>
    </row>
    <row r="702" ht="15" customHeight="1">
      <c r="A702" t="inlineStr">
        <is>
          <t>A 861-2020</t>
        </is>
      </c>
      <c r="B702" s="1" t="n">
        <v>43838</v>
      </c>
      <c r="C702" s="1" t="n">
        <v>45343</v>
      </c>
      <c r="D702" t="inlineStr">
        <is>
          <t>JÄMTLANDS LÄN</t>
        </is>
      </c>
      <c r="E702" t="inlineStr">
        <is>
          <t>STRÖMSUND</t>
        </is>
      </c>
      <c r="G702" t="n">
        <v>0.6</v>
      </c>
      <c r="H702" t="n">
        <v>0</v>
      </c>
      <c r="I702" t="n">
        <v>0</v>
      </c>
      <c r="J702" t="n">
        <v>0</v>
      </c>
      <c r="K702" t="n">
        <v>0</v>
      </c>
      <c r="L702" t="n">
        <v>0</v>
      </c>
      <c r="M702" t="n">
        <v>0</v>
      </c>
      <c r="N702" t="n">
        <v>0</v>
      </c>
      <c r="O702" t="n">
        <v>0</v>
      </c>
      <c r="P702" t="n">
        <v>0</v>
      </c>
      <c r="Q702" t="n">
        <v>0</v>
      </c>
      <c r="R702" s="2" t="inlineStr"/>
    </row>
    <row r="703" ht="15" customHeight="1">
      <c r="A703" t="inlineStr">
        <is>
          <t>A 1034-2020</t>
        </is>
      </c>
      <c r="B703" s="1" t="n">
        <v>43839</v>
      </c>
      <c r="C703" s="1" t="n">
        <v>45343</v>
      </c>
      <c r="D703" t="inlineStr">
        <is>
          <t>JÄMTLANDS LÄN</t>
        </is>
      </c>
      <c r="E703" t="inlineStr">
        <is>
          <t>STRÖMSUND</t>
        </is>
      </c>
      <c r="G703" t="n">
        <v>1.7</v>
      </c>
      <c r="H703" t="n">
        <v>0</v>
      </c>
      <c r="I703" t="n">
        <v>0</v>
      </c>
      <c r="J703" t="n">
        <v>0</v>
      </c>
      <c r="K703" t="n">
        <v>0</v>
      </c>
      <c r="L703" t="n">
        <v>0</v>
      </c>
      <c r="M703" t="n">
        <v>0</v>
      </c>
      <c r="N703" t="n">
        <v>0</v>
      </c>
      <c r="O703" t="n">
        <v>0</v>
      </c>
      <c r="P703" t="n">
        <v>0</v>
      </c>
      <c r="Q703" t="n">
        <v>0</v>
      </c>
      <c r="R703" s="2" t="inlineStr"/>
    </row>
    <row r="704" ht="15" customHeight="1">
      <c r="A704" t="inlineStr">
        <is>
          <t>A 1134-2020</t>
        </is>
      </c>
      <c r="B704" s="1" t="n">
        <v>43840</v>
      </c>
      <c r="C704" s="1" t="n">
        <v>45343</v>
      </c>
      <c r="D704" t="inlineStr">
        <is>
          <t>JÄMTLANDS LÄN</t>
        </is>
      </c>
      <c r="E704" t="inlineStr">
        <is>
          <t>STRÖMSUND</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1138-2020</t>
        </is>
      </c>
      <c r="B705" s="1" t="n">
        <v>43840</v>
      </c>
      <c r="C705" s="1" t="n">
        <v>45343</v>
      </c>
      <c r="D705" t="inlineStr">
        <is>
          <t>JÄMTLANDS LÄN</t>
        </is>
      </c>
      <c r="E705" t="inlineStr">
        <is>
          <t>STRÖMSUND</t>
        </is>
      </c>
      <c r="G705" t="n">
        <v>6.5</v>
      </c>
      <c r="H705" t="n">
        <v>0</v>
      </c>
      <c r="I705" t="n">
        <v>0</v>
      </c>
      <c r="J705" t="n">
        <v>0</v>
      </c>
      <c r="K705" t="n">
        <v>0</v>
      </c>
      <c r="L705" t="n">
        <v>0</v>
      </c>
      <c r="M705" t="n">
        <v>0</v>
      </c>
      <c r="N705" t="n">
        <v>0</v>
      </c>
      <c r="O705" t="n">
        <v>0</v>
      </c>
      <c r="P705" t="n">
        <v>0</v>
      </c>
      <c r="Q705" t="n">
        <v>0</v>
      </c>
      <c r="R705" s="2" t="inlineStr"/>
    </row>
    <row r="706" ht="15" customHeight="1">
      <c r="A706" t="inlineStr">
        <is>
          <t>A 1201-2020</t>
        </is>
      </c>
      <c r="B706" s="1" t="n">
        <v>43840</v>
      </c>
      <c r="C706" s="1" t="n">
        <v>45343</v>
      </c>
      <c r="D706" t="inlineStr">
        <is>
          <t>JÄMTLANDS LÄN</t>
        </is>
      </c>
      <c r="E706" t="inlineStr">
        <is>
          <t>STRÖMSUND</t>
        </is>
      </c>
      <c r="G706" t="n">
        <v>39.5</v>
      </c>
      <c r="H706" t="n">
        <v>0</v>
      </c>
      <c r="I706" t="n">
        <v>0</v>
      </c>
      <c r="J706" t="n">
        <v>0</v>
      </c>
      <c r="K706" t="n">
        <v>0</v>
      </c>
      <c r="L706" t="n">
        <v>0</v>
      </c>
      <c r="M706" t="n">
        <v>0</v>
      </c>
      <c r="N706" t="n">
        <v>0</v>
      </c>
      <c r="O706" t="n">
        <v>0</v>
      </c>
      <c r="P706" t="n">
        <v>0</v>
      </c>
      <c r="Q706" t="n">
        <v>0</v>
      </c>
      <c r="R706" s="2" t="inlineStr"/>
    </row>
    <row r="707" ht="15" customHeight="1">
      <c r="A707" t="inlineStr">
        <is>
          <t>A 1238-2020</t>
        </is>
      </c>
      <c r="B707" s="1" t="n">
        <v>43840</v>
      </c>
      <c r="C707" s="1" t="n">
        <v>45343</v>
      </c>
      <c r="D707" t="inlineStr">
        <is>
          <t>JÄMTLANDS LÄN</t>
        </is>
      </c>
      <c r="E707" t="inlineStr">
        <is>
          <t>STRÖMSUND</t>
        </is>
      </c>
      <c r="G707" t="n">
        <v>20.3</v>
      </c>
      <c r="H707" t="n">
        <v>0</v>
      </c>
      <c r="I707" t="n">
        <v>0</v>
      </c>
      <c r="J707" t="n">
        <v>0</v>
      </c>
      <c r="K707" t="n">
        <v>0</v>
      </c>
      <c r="L707" t="n">
        <v>0</v>
      </c>
      <c r="M707" t="n">
        <v>0</v>
      </c>
      <c r="N707" t="n">
        <v>0</v>
      </c>
      <c r="O707" t="n">
        <v>0</v>
      </c>
      <c r="P707" t="n">
        <v>0</v>
      </c>
      <c r="Q707" t="n">
        <v>0</v>
      </c>
      <c r="R707" s="2" t="inlineStr"/>
    </row>
    <row r="708" ht="15" customHeight="1">
      <c r="A708" t="inlineStr">
        <is>
          <t>A 2250-2020</t>
        </is>
      </c>
      <c r="B708" s="1" t="n">
        <v>43846</v>
      </c>
      <c r="C708" s="1" t="n">
        <v>45343</v>
      </c>
      <c r="D708" t="inlineStr">
        <is>
          <t>JÄMTLANDS LÄN</t>
        </is>
      </c>
      <c r="E708" t="inlineStr">
        <is>
          <t>STRÖMSUND</t>
        </is>
      </c>
      <c r="G708" t="n">
        <v>0.1</v>
      </c>
      <c r="H708" t="n">
        <v>0</v>
      </c>
      <c r="I708" t="n">
        <v>0</v>
      </c>
      <c r="J708" t="n">
        <v>0</v>
      </c>
      <c r="K708" t="n">
        <v>0</v>
      </c>
      <c r="L708" t="n">
        <v>0</v>
      </c>
      <c r="M708" t="n">
        <v>0</v>
      </c>
      <c r="N708" t="n">
        <v>0</v>
      </c>
      <c r="O708" t="n">
        <v>0</v>
      </c>
      <c r="P708" t="n">
        <v>0</v>
      </c>
      <c r="Q708" t="n">
        <v>0</v>
      </c>
      <c r="R708" s="2" t="inlineStr"/>
    </row>
    <row r="709" ht="15" customHeight="1">
      <c r="A709" t="inlineStr">
        <is>
          <t>A 2184-2020</t>
        </is>
      </c>
      <c r="B709" s="1" t="n">
        <v>43846</v>
      </c>
      <c r="C709" s="1" t="n">
        <v>45343</v>
      </c>
      <c r="D709" t="inlineStr">
        <is>
          <t>JÄMTLANDS LÄN</t>
        </is>
      </c>
      <c r="E709" t="inlineStr">
        <is>
          <t>STRÖMSUND</t>
        </is>
      </c>
      <c r="F709" t="inlineStr">
        <is>
          <t>Holmen skog AB</t>
        </is>
      </c>
      <c r="G709" t="n">
        <v>0.8</v>
      </c>
      <c r="H709" t="n">
        <v>0</v>
      </c>
      <c r="I709" t="n">
        <v>0</v>
      </c>
      <c r="J709" t="n">
        <v>0</v>
      </c>
      <c r="K709" t="n">
        <v>0</v>
      </c>
      <c r="L709" t="n">
        <v>0</v>
      </c>
      <c r="M709" t="n">
        <v>0</v>
      </c>
      <c r="N709" t="n">
        <v>0</v>
      </c>
      <c r="O709" t="n">
        <v>0</v>
      </c>
      <c r="P709" t="n">
        <v>0</v>
      </c>
      <c r="Q709" t="n">
        <v>0</v>
      </c>
      <c r="R709" s="2" t="inlineStr"/>
    </row>
    <row r="710" ht="15" customHeight="1">
      <c r="A710" t="inlineStr">
        <is>
          <t>A 2705-2020</t>
        </is>
      </c>
      <c r="B710" s="1" t="n">
        <v>43850</v>
      </c>
      <c r="C710" s="1" t="n">
        <v>45343</v>
      </c>
      <c r="D710" t="inlineStr">
        <is>
          <t>JÄMTLANDS LÄN</t>
        </is>
      </c>
      <c r="E710" t="inlineStr">
        <is>
          <t>STRÖMSUND</t>
        </is>
      </c>
      <c r="G710" t="n">
        <v>11.2</v>
      </c>
      <c r="H710" t="n">
        <v>0</v>
      </c>
      <c r="I710" t="n">
        <v>0</v>
      </c>
      <c r="J710" t="n">
        <v>0</v>
      </c>
      <c r="K710" t="n">
        <v>0</v>
      </c>
      <c r="L710" t="n">
        <v>0</v>
      </c>
      <c r="M710" t="n">
        <v>0</v>
      </c>
      <c r="N710" t="n">
        <v>0</v>
      </c>
      <c r="O710" t="n">
        <v>0</v>
      </c>
      <c r="P710" t="n">
        <v>0</v>
      </c>
      <c r="Q710" t="n">
        <v>0</v>
      </c>
      <c r="R710" s="2" t="inlineStr"/>
    </row>
    <row r="711" ht="15" customHeight="1">
      <c r="A711" t="inlineStr">
        <is>
          <t>A 2911-2020</t>
        </is>
      </c>
      <c r="B711" s="1" t="n">
        <v>43850</v>
      </c>
      <c r="C711" s="1" t="n">
        <v>45343</v>
      </c>
      <c r="D711" t="inlineStr">
        <is>
          <t>JÄMTLANDS LÄN</t>
        </is>
      </c>
      <c r="E711" t="inlineStr">
        <is>
          <t>STRÖMSUND</t>
        </is>
      </c>
      <c r="G711" t="n">
        <v>6.4</v>
      </c>
      <c r="H711" t="n">
        <v>0</v>
      </c>
      <c r="I711" t="n">
        <v>0</v>
      </c>
      <c r="J711" t="n">
        <v>0</v>
      </c>
      <c r="K711" t="n">
        <v>0</v>
      </c>
      <c r="L711" t="n">
        <v>0</v>
      </c>
      <c r="M711" t="n">
        <v>0</v>
      </c>
      <c r="N711" t="n">
        <v>0</v>
      </c>
      <c r="O711" t="n">
        <v>0</v>
      </c>
      <c r="P711" t="n">
        <v>0</v>
      </c>
      <c r="Q711" t="n">
        <v>0</v>
      </c>
      <c r="R711" s="2" t="inlineStr"/>
    </row>
    <row r="712" ht="15" customHeight="1">
      <c r="A712" t="inlineStr">
        <is>
          <t>A 5127-2020</t>
        </is>
      </c>
      <c r="B712" s="1" t="n">
        <v>43850</v>
      </c>
      <c r="C712" s="1" t="n">
        <v>45343</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5119-2020</t>
        </is>
      </c>
      <c r="B713" s="1" t="n">
        <v>43850</v>
      </c>
      <c r="C713" s="1" t="n">
        <v>45343</v>
      </c>
      <c r="D713" t="inlineStr">
        <is>
          <t>JÄMTLANDS LÄN</t>
        </is>
      </c>
      <c r="E713" t="inlineStr">
        <is>
          <t>STRÖMSUND</t>
        </is>
      </c>
      <c r="G713" t="n">
        <v>0.7</v>
      </c>
      <c r="H713" t="n">
        <v>0</v>
      </c>
      <c r="I713" t="n">
        <v>0</v>
      </c>
      <c r="J713" t="n">
        <v>0</v>
      </c>
      <c r="K713" t="n">
        <v>0</v>
      </c>
      <c r="L713" t="n">
        <v>0</v>
      </c>
      <c r="M713" t="n">
        <v>0</v>
      </c>
      <c r="N713" t="n">
        <v>0</v>
      </c>
      <c r="O713" t="n">
        <v>0</v>
      </c>
      <c r="P713" t="n">
        <v>0</v>
      </c>
      <c r="Q713" t="n">
        <v>0</v>
      </c>
      <c r="R713" s="2" t="inlineStr"/>
    </row>
    <row r="714" ht="15" customHeight="1">
      <c r="A714" t="inlineStr">
        <is>
          <t>A 2987-2020</t>
        </is>
      </c>
      <c r="B714" s="1" t="n">
        <v>43850</v>
      </c>
      <c r="C714" s="1" t="n">
        <v>45343</v>
      </c>
      <c r="D714" t="inlineStr">
        <is>
          <t>JÄMTLANDS LÄN</t>
        </is>
      </c>
      <c r="E714" t="inlineStr">
        <is>
          <t>STRÖMSUND</t>
        </is>
      </c>
      <c r="G714" t="n">
        <v>7.3</v>
      </c>
      <c r="H714" t="n">
        <v>0</v>
      </c>
      <c r="I714" t="n">
        <v>0</v>
      </c>
      <c r="J714" t="n">
        <v>0</v>
      </c>
      <c r="K714" t="n">
        <v>0</v>
      </c>
      <c r="L714" t="n">
        <v>0</v>
      </c>
      <c r="M714" t="n">
        <v>0</v>
      </c>
      <c r="N714" t="n">
        <v>0</v>
      </c>
      <c r="O714" t="n">
        <v>0</v>
      </c>
      <c r="P714" t="n">
        <v>0</v>
      </c>
      <c r="Q714" t="n">
        <v>0</v>
      </c>
      <c r="R714" s="2" t="inlineStr"/>
    </row>
    <row r="715" ht="15" customHeight="1">
      <c r="A715" t="inlineStr">
        <is>
          <t>A 5147-2020</t>
        </is>
      </c>
      <c r="B715" s="1" t="n">
        <v>43850</v>
      </c>
      <c r="C715" s="1" t="n">
        <v>45343</v>
      </c>
      <c r="D715" t="inlineStr">
        <is>
          <t>JÄMTLANDS LÄN</t>
        </is>
      </c>
      <c r="E715" t="inlineStr">
        <is>
          <t>STRÖMSUND</t>
        </is>
      </c>
      <c r="G715" t="n">
        <v>10.8</v>
      </c>
      <c r="H715" t="n">
        <v>0</v>
      </c>
      <c r="I715" t="n">
        <v>0</v>
      </c>
      <c r="J715" t="n">
        <v>0</v>
      </c>
      <c r="K715" t="n">
        <v>0</v>
      </c>
      <c r="L715" t="n">
        <v>0</v>
      </c>
      <c r="M715" t="n">
        <v>0</v>
      </c>
      <c r="N715" t="n">
        <v>0</v>
      </c>
      <c r="O715" t="n">
        <v>0</v>
      </c>
      <c r="P715" t="n">
        <v>0</v>
      </c>
      <c r="Q715" t="n">
        <v>0</v>
      </c>
      <c r="R715" s="2" t="inlineStr"/>
    </row>
    <row r="716" ht="15" customHeight="1">
      <c r="A716" t="inlineStr">
        <is>
          <t>A 4654-2020</t>
        </is>
      </c>
      <c r="B716" s="1" t="n">
        <v>43851</v>
      </c>
      <c r="C716" s="1" t="n">
        <v>45343</v>
      </c>
      <c r="D716" t="inlineStr">
        <is>
          <t>JÄMTLANDS LÄN</t>
        </is>
      </c>
      <c r="E716" t="inlineStr">
        <is>
          <t>STRÖMSUND</t>
        </is>
      </c>
      <c r="G716" t="n">
        <v>4</v>
      </c>
      <c r="H716" t="n">
        <v>0</v>
      </c>
      <c r="I716" t="n">
        <v>0</v>
      </c>
      <c r="J716" t="n">
        <v>0</v>
      </c>
      <c r="K716" t="n">
        <v>0</v>
      </c>
      <c r="L716" t="n">
        <v>0</v>
      </c>
      <c r="M716" t="n">
        <v>0</v>
      </c>
      <c r="N716" t="n">
        <v>0</v>
      </c>
      <c r="O716" t="n">
        <v>0</v>
      </c>
      <c r="P716" t="n">
        <v>0</v>
      </c>
      <c r="Q716" t="n">
        <v>0</v>
      </c>
      <c r="R716" s="2" t="inlineStr"/>
    </row>
    <row r="717" ht="15" customHeight="1">
      <c r="A717" t="inlineStr">
        <is>
          <t>A 4898-2020</t>
        </is>
      </c>
      <c r="B717" s="1" t="n">
        <v>43852</v>
      </c>
      <c r="C717" s="1" t="n">
        <v>45343</v>
      </c>
      <c r="D717" t="inlineStr">
        <is>
          <t>JÄMTLANDS LÄN</t>
        </is>
      </c>
      <c r="E717" t="inlineStr">
        <is>
          <t>STRÖMSUND</t>
        </is>
      </c>
      <c r="G717" t="n">
        <v>6.7</v>
      </c>
      <c r="H717" t="n">
        <v>0</v>
      </c>
      <c r="I717" t="n">
        <v>0</v>
      </c>
      <c r="J717" t="n">
        <v>0</v>
      </c>
      <c r="K717" t="n">
        <v>0</v>
      </c>
      <c r="L717" t="n">
        <v>0</v>
      </c>
      <c r="M717" t="n">
        <v>0</v>
      </c>
      <c r="N717" t="n">
        <v>0</v>
      </c>
      <c r="O717" t="n">
        <v>0</v>
      </c>
      <c r="P717" t="n">
        <v>0</v>
      </c>
      <c r="Q717" t="n">
        <v>0</v>
      </c>
      <c r="R717" s="2" t="inlineStr"/>
    </row>
    <row r="718" ht="15" customHeight="1">
      <c r="A718" t="inlineStr">
        <is>
          <t>A 3862-2020</t>
        </is>
      </c>
      <c r="B718" s="1" t="n">
        <v>43854</v>
      </c>
      <c r="C718" s="1" t="n">
        <v>45343</v>
      </c>
      <c r="D718" t="inlineStr">
        <is>
          <t>JÄMTLANDS LÄN</t>
        </is>
      </c>
      <c r="E718" t="inlineStr">
        <is>
          <t>STRÖMSUND</t>
        </is>
      </c>
      <c r="G718" t="n">
        <v>4.3</v>
      </c>
      <c r="H718" t="n">
        <v>0</v>
      </c>
      <c r="I718" t="n">
        <v>0</v>
      </c>
      <c r="J718" t="n">
        <v>0</v>
      </c>
      <c r="K718" t="n">
        <v>0</v>
      </c>
      <c r="L718" t="n">
        <v>0</v>
      </c>
      <c r="M718" t="n">
        <v>0</v>
      </c>
      <c r="N718" t="n">
        <v>0</v>
      </c>
      <c r="O718" t="n">
        <v>0</v>
      </c>
      <c r="P718" t="n">
        <v>0</v>
      </c>
      <c r="Q718" t="n">
        <v>0</v>
      </c>
      <c r="R718" s="2" t="inlineStr"/>
    </row>
    <row r="719" ht="15" customHeight="1">
      <c r="A719" t="inlineStr">
        <is>
          <t>A 3895-2020</t>
        </is>
      </c>
      <c r="B719" s="1" t="n">
        <v>43854</v>
      </c>
      <c r="C719" s="1" t="n">
        <v>45343</v>
      </c>
      <c r="D719" t="inlineStr">
        <is>
          <t>JÄMTLANDS LÄN</t>
        </is>
      </c>
      <c r="E719" t="inlineStr">
        <is>
          <t>STRÖMSUND</t>
        </is>
      </c>
      <c r="G719" t="n">
        <v>0.5</v>
      </c>
      <c r="H719" t="n">
        <v>0</v>
      </c>
      <c r="I719" t="n">
        <v>0</v>
      </c>
      <c r="J719" t="n">
        <v>0</v>
      </c>
      <c r="K719" t="n">
        <v>0</v>
      </c>
      <c r="L719" t="n">
        <v>0</v>
      </c>
      <c r="M719" t="n">
        <v>0</v>
      </c>
      <c r="N719" t="n">
        <v>0</v>
      </c>
      <c r="O719" t="n">
        <v>0</v>
      </c>
      <c r="P719" t="n">
        <v>0</v>
      </c>
      <c r="Q719" t="n">
        <v>0</v>
      </c>
      <c r="R719" s="2" t="inlineStr"/>
    </row>
    <row r="720" ht="15" customHeight="1">
      <c r="A720" t="inlineStr">
        <is>
          <t>A 3988-2020</t>
        </is>
      </c>
      <c r="B720" s="1" t="n">
        <v>43856</v>
      </c>
      <c r="C720" s="1" t="n">
        <v>45343</v>
      </c>
      <c r="D720" t="inlineStr">
        <is>
          <t>JÄMTLANDS LÄN</t>
        </is>
      </c>
      <c r="E720" t="inlineStr">
        <is>
          <t>STRÖMSUND</t>
        </is>
      </c>
      <c r="G720" t="n">
        <v>12.4</v>
      </c>
      <c r="H720" t="n">
        <v>0</v>
      </c>
      <c r="I720" t="n">
        <v>0</v>
      </c>
      <c r="J720" t="n">
        <v>0</v>
      </c>
      <c r="K720" t="n">
        <v>0</v>
      </c>
      <c r="L720" t="n">
        <v>0</v>
      </c>
      <c r="M720" t="n">
        <v>0</v>
      </c>
      <c r="N720" t="n">
        <v>0</v>
      </c>
      <c r="O720" t="n">
        <v>0</v>
      </c>
      <c r="P720" t="n">
        <v>0</v>
      </c>
      <c r="Q720" t="n">
        <v>0</v>
      </c>
      <c r="R720" s="2" t="inlineStr"/>
    </row>
    <row r="721" ht="15" customHeight="1">
      <c r="A721" t="inlineStr">
        <is>
          <t>A 4905-2020</t>
        </is>
      </c>
      <c r="B721" s="1" t="n">
        <v>43859</v>
      </c>
      <c r="C721" s="1" t="n">
        <v>45343</v>
      </c>
      <c r="D721" t="inlineStr">
        <is>
          <t>JÄMTLANDS LÄN</t>
        </is>
      </c>
      <c r="E721" t="inlineStr">
        <is>
          <t>STRÖMSUND</t>
        </is>
      </c>
      <c r="G721" t="n">
        <v>22.3</v>
      </c>
      <c r="H721" t="n">
        <v>0</v>
      </c>
      <c r="I721" t="n">
        <v>0</v>
      </c>
      <c r="J721" t="n">
        <v>0</v>
      </c>
      <c r="K721" t="n">
        <v>0</v>
      </c>
      <c r="L721" t="n">
        <v>0</v>
      </c>
      <c r="M721" t="n">
        <v>0</v>
      </c>
      <c r="N721" t="n">
        <v>0</v>
      </c>
      <c r="O721" t="n">
        <v>0</v>
      </c>
      <c r="P721" t="n">
        <v>0</v>
      </c>
      <c r="Q721" t="n">
        <v>0</v>
      </c>
      <c r="R721" s="2" t="inlineStr"/>
    </row>
    <row r="722" ht="15" customHeight="1">
      <c r="A722" t="inlineStr">
        <is>
          <t>A 5915-2020</t>
        </is>
      </c>
      <c r="B722" s="1" t="n">
        <v>43861</v>
      </c>
      <c r="C722" s="1" t="n">
        <v>45343</v>
      </c>
      <c r="D722" t="inlineStr">
        <is>
          <t>JÄMTLANDS LÄN</t>
        </is>
      </c>
      <c r="E722" t="inlineStr">
        <is>
          <t>STRÖMSUND</t>
        </is>
      </c>
      <c r="G722" t="n">
        <v>10.3</v>
      </c>
      <c r="H722" t="n">
        <v>0</v>
      </c>
      <c r="I722" t="n">
        <v>0</v>
      </c>
      <c r="J722" t="n">
        <v>0</v>
      </c>
      <c r="K722" t="n">
        <v>0</v>
      </c>
      <c r="L722" t="n">
        <v>0</v>
      </c>
      <c r="M722" t="n">
        <v>0</v>
      </c>
      <c r="N722" t="n">
        <v>0</v>
      </c>
      <c r="O722" t="n">
        <v>0</v>
      </c>
      <c r="P722" t="n">
        <v>0</v>
      </c>
      <c r="Q722" t="n">
        <v>0</v>
      </c>
      <c r="R722" s="2" t="inlineStr"/>
    </row>
    <row r="723" ht="15" customHeight="1">
      <c r="A723" t="inlineStr">
        <is>
          <t>A 6146-2020</t>
        </is>
      </c>
      <c r="B723" s="1" t="n">
        <v>43865</v>
      </c>
      <c r="C723" s="1" t="n">
        <v>45343</v>
      </c>
      <c r="D723" t="inlineStr">
        <is>
          <t>JÄMTLANDS LÄN</t>
        </is>
      </c>
      <c r="E723" t="inlineStr">
        <is>
          <t>STRÖMSUND</t>
        </is>
      </c>
      <c r="G723" t="n">
        <v>1.9</v>
      </c>
      <c r="H723" t="n">
        <v>0</v>
      </c>
      <c r="I723" t="n">
        <v>0</v>
      </c>
      <c r="J723" t="n">
        <v>0</v>
      </c>
      <c r="K723" t="n">
        <v>0</v>
      </c>
      <c r="L723" t="n">
        <v>0</v>
      </c>
      <c r="M723" t="n">
        <v>0</v>
      </c>
      <c r="N723" t="n">
        <v>0</v>
      </c>
      <c r="O723" t="n">
        <v>0</v>
      </c>
      <c r="P723" t="n">
        <v>0</v>
      </c>
      <c r="Q723" t="n">
        <v>0</v>
      </c>
      <c r="R723" s="2" t="inlineStr"/>
    </row>
    <row r="724" ht="15" customHeight="1">
      <c r="A724" t="inlineStr">
        <is>
          <t>A 7192-2020</t>
        </is>
      </c>
      <c r="B724" s="1" t="n">
        <v>43871</v>
      </c>
      <c r="C724" s="1" t="n">
        <v>45343</v>
      </c>
      <c r="D724" t="inlineStr">
        <is>
          <t>JÄMTLANDS LÄN</t>
        </is>
      </c>
      <c r="E724" t="inlineStr">
        <is>
          <t>STRÖMSUND</t>
        </is>
      </c>
      <c r="G724" t="n">
        <v>11.4</v>
      </c>
      <c r="H724" t="n">
        <v>0</v>
      </c>
      <c r="I724" t="n">
        <v>0</v>
      </c>
      <c r="J724" t="n">
        <v>0</v>
      </c>
      <c r="K724" t="n">
        <v>0</v>
      </c>
      <c r="L724" t="n">
        <v>0</v>
      </c>
      <c r="M724" t="n">
        <v>0</v>
      </c>
      <c r="N724" t="n">
        <v>0</v>
      </c>
      <c r="O724" t="n">
        <v>0</v>
      </c>
      <c r="P724" t="n">
        <v>0</v>
      </c>
      <c r="Q724" t="n">
        <v>0</v>
      </c>
      <c r="R724" s="2" t="inlineStr"/>
    </row>
    <row r="725" ht="15" customHeight="1">
      <c r="A725" t="inlineStr">
        <is>
          <t>A 7630-2020</t>
        </is>
      </c>
      <c r="B725" s="1" t="n">
        <v>43871</v>
      </c>
      <c r="C725" s="1" t="n">
        <v>45343</v>
      </c>
      <c r="D725" t="inlineStr">
        <is>
          <t>JÄMTLANDS LÄN</t>
        </is>
      </c>
      <c r="E725" t="inlineStr">
        <is>
          <t>STRÖMSUND</t>
        </is>
      </c>
      <c r="G725" t="n">
        <v>3</v>
      </c>
      <c r="H725" t="n">
        <v>0</v>
      </c>
      <c r="I725" t="n">
        <v>0</v>
      </c>
      <c r="J725" t="n">
        <v>0</v>
      </c>
      <c r="K725" t="n">
        <v>0</v>
      </c>
      <c r="L725" t="n">
        <v>0</v>
      </c>
      <c r="M725" t="n">
        <v>0</v>
      </c>
      <c r="N725" t="n">
        <v>0</v>
      </c>
      <c r="O725" t="n">
        <v>0</v>
      </c>
      <c r="P725" t="n">
        <v>0</v>
      </c>
      <c r="Q725" t="n">
        <v>0</v>
      </c>
      <c r="R725" s="2" t="inlineStr"/>
    </row>
    <row r="726" ht="15" customHeight="1">
      <c r="A726" t="inlineStr">
        <is>
          <t>A 7963-2020</t>
        </is>
      </c>
      <c r="B726" s="1" t="n">
        <v>43872</v>
      </c>
      <c r="C726" s="1" t="n">
        <v>45343</v>
      </c>
      <c r="D726" t="inlineStr">
        <is>
          <t>JÄMTLANDS LÄN</t>
        </is>
      </c>
      <c r="E726" t="inlineStr">
        <is>
          <t>STRÖMSUND</t>
        </is>
      </c>
      <c r="G726" t="n">
        <v>0.5</v>
      </c>
      <c r="H726" t="n">
        <v>0</v>
      </c>
      <c r="I726" t="n">
        <v>0</v>
      </c>
      <c r="J726" t="n">
        <v>0</v>
      </c>
      <c r="K726" t="n">
        <v>0</v>
      </c>
      <c r="L726" t="n">
        <v>0</v>
      </c>
      <c r="M726" t="n">
        <v>0</v>
      </c>
      <c r="N726" t="n">
        <v>0</v>
      </c>
      <c r="O726" t="n">
        <v>0</v>
      </c>
      <c r="P726" t="n">
        <v>0</v>
      </c>
      <c r="Q726" t="n">
        <v>0</v>
      </c>
      <c r="R726" s="2" t="inlineStr"/>
    </row>
    <row r="727" ht="15" customHeight="1">
      <c r="A727" t="inlineStr">
        <is>
          <t>A 7974-2020</t>
        </is>
      </c>
      <c r="B727" s="1" t="n">
        <v>43873</v>
      </c>
      <c r="C727" s="1" t="n">
        <v>45343</v>
      </c>
      <c r="D727" t="inlineStr">
        <is>
          <t>JÄMTLANDS LÄN</t>
        </is>
      </c>
      <c r="E727" t="inlineStr">
        <is>
          <t>STRÖMSUND</t>
        </is>
      </c>
      <c r="G727" t="n">
        <v>24.1</v>
      </c>
      <c r="H727" t="n">
        <v>0</v>
      </c>
      <c r="I727" t="n">
        <v>0</v>
      </c>
      <c r="J727" t="n">
        <v>0</v>
      </c>
      <c r="K727" t="n">
        <v>0</v>
      </c>
      <c r="L727" t="n">
        <v>0</v>
      </c>
      <c r="M727" t="n">
        <v>0</v>
      </c>
      <c r="N727" t="n">
        <v>0</v>
      </c>
      <c r="O727" t="n">
        <v>0</v>
      </c>
      <c r="P727" t="n">
        <v>0</v>
      </c>
      <c r="Q727" t="n">
        <v>0</v>
      </c>
      <c r="R727" s="2" t="inlineStr"/>
    </row>
    <row r="728" ht="15" customHeight="1">
      <c r="A728" t="inlineStr">
        <is>
          <t>A 8482-2020</t>
        </is>
      </c>
      <c r="B728" s="1" t="n">
        <v>43875</v>
      </c>
      <c r="C728" s="1" t="n">
        <v>45343</v>
      </c>
      <c r="D728" t="inlineStr">
        <is>
          <t>JÄMTLANDS LÄN</t>
        </is>
      </c>
      <c r="E728" t="inlineStr">
        <is>
          <t>STRÖMSUND</t>
        </is>
      </c>
      <c r="G728" t="n">
        <v>25.5</v>
      </c>
      <c r="H728" t="n">
        <v>0</v>
      </c>
      <c r="I728" t="n">
        <v>0</v>
      </c>
      <c r="J728" t="n">
        <v>0</v>
      </c>
      <c r="K728" t="n">
        <v>0</v>
      </c>
      <c r="L728" t="n">
        <v>0</v>
      </c>
      <c r="M728" t="n">
        <v>0</v>
      </c>
      <c r="N728" t="n">
        <v>0</v>
      </c>
      <c r="O728" t="n">
        <v>0</v>
      </c>
      <c r="P728" t="n">
        <v>0</v>
      </c>
      <c r="Q728" t="n">
        <v>0</v>
      </c>
      <c r="R728" s="2" t="inlineStr"/>
    </row>
    <row r="729" ht="15" customHeight="1">
      <c r="A729" t="inlineStr">
        <is>
          <t>A 8775-2020</t>
        </is>
      </c>
      <c r="B729" s="1" t="n">
        <v>43878</v>
      </c>
      <c r="C729" s="1" t="n">
        <v>45343</v>
      </c>
      <c r="D729" t="inlineStr">
        <is>
          <t>JÄMTLANDS LÄN</t>
        </is>
      </c>
      <c r="E729" t="inlineStr">
        <is>
          <t>STRÖMSUND</t>
        </is>
      </c>
      <c r="G729" t="n">
        <v>4.2</v>
      </c>
      <c r="H729" t="n">
        <v>0</v>
      </c>
      <c r="I729" t="n">
        <v>0</v>
      </c>
      <c r="J729" t="n">
        <v>0</v>
      </c>
      <c r="K729" t="n">
        <v>0</v>
      </c>
      <c r="L729" t="n">
        <v>0</v>
      </c>
      <c r="M729" t="n">
        <v>0</v>
      </c>
      <c r="N729" t="n">
        <v>0</v>
      </c>
      <c r="O729" t="n">
        <v>0</v>
      </c>
      <c r="P729" t="n">
        <v>0</v>
      </c>
      <c r="Q729" t="n">
        <v>0</v>
      </c>
      <c r="R729" s="2" t="inlineStr"/>
    </row>
    <row r="730" ht="15" customHeight="1">
      <c r="A730" t="inlineStr">
        <is>
          <t>A 10057-2020</t>
        </is>
      </c>
      <c r="B730" s="1" t="n">
        <v>43882</v>
      </c>
      <c r="C730" s="1" t="n">
        <v>45343</v>
      </c>
      <c r="D730" t="inlineStr">
        <is>
          <t>JÄMTLANDS LÄN</t>
        </is>
      </c>
      <c r="E730" t="inlineStr">
        <is>
          <t>STRÖMSUND</t>
        </is>
      </c>
      <c r="G730" t="n">
        <v>10.4</v>
      </c>
      <c r="H730" t="n">
        <v>0</v>
      </c>
      <c r="I730" t="n">
        <v>0</v>
      </c>
      <c r="J730" t="n">
        <v>0</v>
      </c>
      <c r="K730" t="n">
        <v>0</v>
      </c>
      <c r="L730" t="n">
        <v>0</v>
      </c>
      <c r="M730" t="n">
        <v>0</v>
      </c>
      <c r="N730" t="n">
        <v>0</v>
      </c>
      <c r="O730" t="n">
        <v>0</v>
      </c>
      <c r="P730" t="n">
        <v>0</v>
      </c>
      <c r="Q730" t="n">
        <v>0</v>
      </c>
      <c r="R730" s="2" t="inlineStr"/>
    </row>
    <row r="731" ht="15" customHeight="1">
      <c r="A731" t="inlineStr">
        <is>
          <t>A 12609-2020</t>
        </is>
      </c>
      <c r="B731" s="1" t="n">
        <v>43899</v>
      </c>
      <c r="C731" s="1" t="n">
        <v>45343</v>
      </c>
      <c r="D731" t="inlineStr">
        <is>
          <t>JÄMTLANDS LÄN</t>
        </is>
      </c>
      <c r="E731" t="inlineStr">
        <is>
          <t>STRÖMSUND</t>
        </is>
      </c>
      <c r="F731" t="inlineStr">
        <is>
          <t>Kyrkan</t>
        </is>
      </c>
      <c r="G731" t="n">
        <v>1.6</v>
      </c>
      <c r="H731" t="n">
        <v>0</v>
      </c>
      <c r="I731" t="n">
        <v>0</v>
      </c>
      <c r="J731" t="n">
        <v>0</v>
      </c>
      <c r="K731" t="n">
        <v>0</v>
      </c>
      <c r="L731" t="n">
        <v>0</v>
      </c>
      <c r="M731" t="n">
        <v>0</v>
      </c>
      <c r="N731" t="n">
        <v>0</v>
      </c>
      <c r="O731" t="n">
        <v>0</v>
      </c>
      <c r="P731" t="n">
        <v>0</v>
      </c>
      <c r="Q731" t="n">
        <v>0</v>
      </c>
      <c r="R731" s="2" t="inlineStr"/>
    </row>
    <row r="732" ht="15" customHeight="1">
      <c r="A732" t="inlineStr">
        <is>
          <t>A 13233-2020</t>
        </is>
      </c>
      <c r="B732" s="1" t="n">
        <v>43901</v>
      </c>
      <c r="C732" s="1" t="n">
        <v>45343</v>
      </c>
      <c r="D732" t="inlineStr">
        <is>
          <t>JÄMTLANDS LÄN</t>
        </is>
      </c>
      <c r="E732" t="inlineStr">
        <is>
          <t>STRÖMSUND</t>
        </is>
      </c>
      <c r="G732" t="n">
        <v>6.9</v>
      </c>
      <c r="H732" t="n">
        <v>0</v>
      </c>
      <c r="I732" t="n">
        <v>0</v>
      </c>
      <c r="J732" t="n">
        <v>0</v>
      </c>
      <c r="K732" t="n">
        <v>0</v>
      </c>
      <c r="L732" t="n">
        <v>0</v>
      </c>
      <c r="M732" t="n">
        <v>0</v>
      </c>
      <c r="N732" t="n">
        <v>0</v>
      </c>
      <c r="O732" t="n">
        <v>0</v>
      </c>
      <c r="P732" t="n">
        <v>0</v>
      </c>
      <c r="Q732" t="n">
        <v>0</v>
      </c>
      <c r="R732" s="2" t="inlineStr"/>
    </row>
    <row r="733" ht="15" customHeight="1">
      <c r="A733" t="inlineStr">
        <is>
          <t>A 13241-2020</t>
        </is>
      </c>
      <c r="B733" s="1" t="n">
        <v>43901</v>
      </c>
      <c r="C733" s="1" t="n">
        <v>45343</v>
      </c>
      <c r="D733" t="inlineStr">
        <is>
          <t>JÄMTLANDS LÄN</t>
        </is>
      </c>
      <c r="E733" t="inlineStr">
        <is>
          <t>STRÖMSUND</t>
        </is>
      </c>
      <c r="G733" t="n">
        <v>4</v>
      </c>
      <c r="H733" t="n">
        <v>0</v>
      </c>
      <c r="I733" t="n">
        <v>0</v>
      </c>
      <c r="J733" t="n">
        <v>0</v>
      </c>
      <c r="K733" t="n">
        <v>0</v>
      </c>
      <c r="L733" t="n">
        <v>0</v>
      </c>
      <c r="M733" t="n">
        <v>0</v>
      </c>
      <c r="N733" t="n">
        <v>0</v>
      </c>
      <c r="O733" t="n">
        <v>0</v>
      </c>
      <c r="P733" t="n">
        <v>0</v>
      </c>
      <c r="Q733" t="n">
        <v>0</v>
      </c>
      <c r="R733" s="2" t="inlineStr"/>
    </row>
    <row r="734" ht="15" customHeight="1">
      <c r="A734" t="inlineStr">
        <is>
          <t>A 14259-2020</t>
        </is>
      </c>
      <c r="B734" s="1" t="n">
        <v>43901</v>
      </c>
      <c r="C734" s="1" t="n">
        <v>45343</v>
      </c>
      <c r="D734" t="inlineStr">
        <is>
          <t>JÄMTLANDS LÄN</t>
        </is>
      </c>
      <c r="E734" t="inlineStr">
        <is>
          <t>STRÖMSUND</t>
        </is>
      </c>
      <c r="G734" t="n">
        <v>17.8</v>
      </c>
      <c r="H734" t="n">
        <v>0</v>
      </c>
      <c r="I734" t="n">
        <v>0</v>
      </c>
      <c r="J734" t="n">
        <v>0</v>
      </c>
      <c r="K734" t="n">
        <v>0</v>
      </c>
      <c r="L734" t="n">
        <v>0</v>
      </c>
      <c r="M734" t="n">
        <v>0</v>
      </c>
      <c r="N734" t="n">
        <v>0</v>
      </c>
      <c r="O734" t="n">
        <v>0</v>
      </c>
      <c r="P734" t="n">
        <v>0</v>
      </c>
      <c r="Q734" t="n">
        <v>0</v>
      </c>
      <c r="R734" s="2" t="inlineStr"/>
    </row>
    <row r="735" ht="15" customHeight="1">
      <c r="A735" t="inlineStr">
        <is>
          <t>A 14904-2020</t>
        </is>
      </c>
      <c r="B735" s="1" t="n">
        <v>43906</v>
      </c>
      <c r="C735" s="1" t="n">
        <v>45343</v>
      </c>
      <c r="D735" t="inlineStr">
        <is>
          <t>JÄMTLANDS LÄN</t>
        </is>
      </c>
      <c r="E735" t="inlineStr">
        <is>
          <t>STRÖMSUND</t>
        </is>
      </c>
      <c r="G735" t="n">
        <v>7.5</v>
      </c>
      <c r="H735" t="n">
        <v>0</v>
      </c>
      <c r="I735" t="n">
        <v>0</v>
      </c>
      <c r="J735" t="n">
        <v>0</v>
      </c>
      <c r="K735" t="n">
        <v>0</v>
      </c>
      <c r="L735" t="n">
        <v>0</v>
      </c>
      <c r="M735" t="n">
        <v>0</v>
      </c>
      <c r="N735" t="n">
        <v>0</v>
      </c>
      <c r="O735" t="n">
        <v>0</v>
      </c>
      <c r="P735" t="n">
        <v>0</v>
      </c>
      <c r="Q735" t="n">
        <v>0</v>
      </c>
      <c r="R735" s="2" t="inlineStr"/>
    </row>
    <row r="736" ht="15" customHeight="1">
      <c r="A736" t="inlineStr">
        <is>
          <t>A 16335-2020</t>
        </is>
      </c>
      <c r="B736" s="1" t="n">
        <v>43917</v>
      </c>
      <c r="C736" s="1" t="n">
        <v>45343</v>
      </c>
      <c r="D736" t="inlineStr">
        <is>
          <t>JÄMTLANDS LÄN</t>
        </is>
      </c>
      <c r="E736" t="inlineStr">
        <is>
          <t>STRÖMSUND</t>
        </is>
      </c>
      <c r="F736" t="inlineStr">
        <is>
          <t>Kyrkan</t>
        </is>
      </c>
      <c r="G736" t="n">
        <v>2.6</v>
      </c>
      <c r="H736" t="n">
        <v>0</v>
      </c>
      <c r="I736" t="n">
        <v>0</v>
      </c>
      <c r="J736" t="n">
        <v>0</v>
      </c>
      <c r="K736" t="n">
        <v>0</v>
      </c>
      <c r="L736" t="n">
        <v>0</v>
      </c>
      <c r="M736" t="n">
        <v>0</v>
      </c>
      <c r="N736" t="n">
        <v>0</v>
      </c>
      <c r="O736" t="n">
        <v>0</v>
      </c>
      <c r="P736" t="n">
        <v>0</v>
      </c>
      <c r="Q736" t="n">
        <v>0</v>
      </c>
      <c r="R736" s="2" t="inlineStr"/>
    </row>
    <row r="737" ht="15" customHeight="1">
      <c r="A737" t="inlineStr">
        <is>
          <t>A 17063-2020</t>
        </is>
      </c>
      <c r="B737" s="1" t="n">
        <v>43921</v>
      </c>
      <c r="C737" s="1" t="n">
        <v>45343</v>
      </c>
      <c r="D737" t="inlineStr">
        <is>
          <t>JÄMTLANDS LÄN</t>
        </is>
      </c>
      <c r="E737" t="inlineStr">
        <is>
          <t>STRÖMSUND</t>
        </is>
      </c>
      <c r="G737" t="n">
        <v>3.4</v>
      </c>
      <c r="H737" t="n">
        <v>0</v>
      </c>
      <c r="I737" t="n">
        <v>0</v>
      </c>
      <c r="J737" t="n">
        <v>0</v>
      </c>
      <c r="K737" t="n">
        <v>0</v>
      </c>
      <c r="L737" t="n">
        <v>0</v>
      </c>
      <c r="M737" t="n">
        <v>0</v>
      </c>
      <c r="N737" t="n">
        <v>0</v>
      </c>
      <c r="O737" t="n">
        <v>0</v>
      </c>
      <c r="P737" t="n">
        <v>0</v>
      </c>
      <c r="Q737" t="n">
        <v>0</v>
      </c>
      <c r="R737" s="2" t="inlineStr"/>
    </row>
    <row r="738" ht="15" customHeight="1">
      <c r="A738" t="inlineStr">
        <is>
          <t>A 18931-2020</t>
        </is>
      </c>
      <c r="B738" s="1" t="n">
        <v>43929</v>
      </c>
      <c r="C738" s="1" t="n">
        <v>45343</v>
      </c>
      <c r="D738" t="inlineStr">
        <is>
          <t>JÄMTLANDS LÄN</t>
        </is>
      </c>
      <c r="E738" t="inlineStr">
        <is>
          <t>STRÖMSUND</t>
        </is>
      </c>
      <c r="G738" t="n">
        <v>6.3</v>
      </c>
      <c r="H738" t="n">
        <v>0</v>
      </c>
      <c r="I738" t="n">
        <v>0</v>
      </c>
      <c r="J738" t="n">
        <v>0</v>
      </c>
      <c r="K738" t="n">
        <v>0</v>
      </c>
      <c r="L738" t="n">
        <v>0</v>
      </c>
      <c r="M738" t="n">
        <v>0</v>
      </c>
      <c r="N738" t="n">
        <v>0</v>
      </c>
      <c r="O738" t="n">
        <v>0</v>
      </c>
      <c r="P738" t="n">
        <v>0</v>
      </c>
      <c r="Q738" t="n">
        <v>0</v>
      </c>
      <c r="R738" s="2" t="inlineStr"/>
    </row>
    <row r="739" ht="15" customHeight="1">
      <c r="A739" t="inlineStr">
        <is>
          <t>A 18731-2020</t>
        </is>
      </c>
      <c r="B739" s="1" t="n">
        <v>43930</v>
      </c>
      <c r="C739" s="1" t="n">
        <v>45343</v>
      </c>
      <c r="D739" t="inlineStr">
        <is>
          <t>JÄMTLANDS LÄN</t>
        </is>
      </c>
      <c r="E739" t="inlineStr">
        <is>
          <t>STRÖMSUND</t>
        </is>
      </c>
      <c r="G739" t="n">
        <v>0.9</v>
      </c>
      <c r="H739" t="n">
        <v>0</v>
      </c>
      <c r="I739" t="n">
        <v>0</v>
      </c>
      <c r="J739" t="n">
        <v>0</v>
      </c>
      <c r="K739" t="n">
        <v>0</v>
      </c>
      <c r="L739" t="n">
        <v>0</v>
      </c>
      <c r="M739" t="n">
        <v>0</v>
      </c>
      <c r="N739" t="n">
        <v>0</v>
      </c>
      <c r="O739" t="n">
        <v>0</v>
      </c>
      <c r="P739" t="n">
        <v>0</v>
      </c>
      <c r="Q739" t="n">
        <v>0</v>
      </c>
      <c r="R739" s="2" t="inlineStr"/>
    </row>
    <row r="740" ht="15" customHeight="1">
      <c r="A740" t="inlineStr">
        <is>
          <t>A 18780-2020</t>
        </is>
      </c>
      <c r="B740" s="1" t="n">
        <v>43930</v>
      </c>
      <c r="C740" s="1" t="n">
        <v>45343</v>
      </c>
      <c r="D740" t="inlineStr">
        <is>
          <t>JÄMTLANDS LÄN</t>
        </is>
      </c>
      <c r="E740" t="inlineStr">
        <is>
          <t>STRÖMSUND</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19089-2020</t>
        </is>
      </c>
      <c r="B741" s="1" t="n">
        <v>43935</v>
      </c>
      <c r="C741" s="1" t="n">
        <v>45343</v>
      </c>
      <c r="D741" t="inlineStr">
        <is>
          <t>JÄMTLANDS LÄN</t>
        </is>
      </c>
      <c r="E741" t="inlineStr">
        <is>
          <t>STRÖMSUND</t>
        </is>
      </c>
      <c r="G741" t="n">
        <v>15</v>
      </c>
      <c r="H741" t="n">
        <v>0</v>
      </c>
      <c r="I741" t="n">
        <v>0</v>
      </c>
      <c r="J741" t="n">
        <v>0</v>
      </c>
      <c r="K741" t="n">
        <v>0</v>
      </c>
      <c r="L741" t="n">
        <v>0</v>
      </c>
      <c r="M741" t="n">
        <v>0</v>
      </c>
      <c r="N741" t="n">
        <v>0</v>
      </c>
      <c r="O741" t="n">
        <v>0</v>
      </c>
      <c r="P741" t="n">
        <v>0</v>
      </c>
      <c r="Q741" t="n">
        <v>0</v>
      </c>
      <c r="R741" s="2" t="inlineStr"/>
    </row>
    <row r="742" ht="15" customHeight="1">
      <c r="A742" t="inlineStr">
        <is>
          <t>A 19842-2020</t>
        </is>
      </c>
      <c r="B742" s="1" t="n">
        <v>43942</v>
      </c>
      <c r="C742" s="1" t="n">
        <v>45343</v>
      </c>
      <c r="D742" t="inlineStr">
        <is>
          <t>JÄMTLANDS LÄN</t>
        </is>
      </c>
      <c r="E742" t="inlineStr">
        <is>
          <t>STRÖMSUND</t>
        </is>
      </c>
      <c r="G742" t="n">
        <v>20.3</v>
      </c>
      <c r="H742" t="n">
        <v>0</v>
      </c>
      <c r="I742" t="n">
        <v>0</v>
      </c>
      <c r="J742" t="n">
        <v>0</v>
      </c>
      <c r="K742" t="n">
        <v>0</v>
      </c>
      <c r="L742" t="n">
        <v>0</v>
      </c>
      <c r="M742" t="n">
        <v>0</v>
      </c>
      <c r="N742" t="n">
        <v>0</v>
      </c>
      <c r="O742" t="n">
        <v>0</v>
      </c>
      <c r="P742" t="n">
        <v>0</v>
      </c>
      <c r="Q742" t="n">
        <v>0</v>
      </c>
      <c r="R742" s="2" t="inlineStr"/>
    </row>
    <row r="743" ht="15" customHeight="1">
      <c r="A743" t="inlineStr">
        <is>
          <t>A 20816-2020</t>
        </is>
      </c>
      <c r="B743" s="1" t="n">
        <v>43949</v>
      </c>
      <c r="C743" s="1" t="n">
        <v>45343</v>
      </c>
      <c r="D743" t="inlineStr">
        <is>
          <t>JÄMTLANDS LÄN</t>
        </is>
      </c>
      <c r="E743" t="inlineStr">
        <is>
          <t>STRÖMSUND</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20812-2020</t>
        </is>
      </c>
      <c r="B744" s="1" t="n">
        <v>43950</v>
      </c>
      <c r="C744" s="1" t="n">
        <v>45343</v>
      </c>
      <c r="D744" t="inlineStr">
        <is>
          <t>JÄMTLANDS LÄN</t>
        </is>
      </c>
      <c r="E744" t="inlineStr">
        <is>
          <t>STRÖMSUND</t>
        </is>
      </c>
      <c r="G744" t="n">
        <v>6.1</v>
      </c>
      <c r="H744" t="n">
        <v>0</v>
      </c>
      <c r="I744" t="n">
        <v>0</v>
      </c>
      <c r="J744" t="n">
        <v>0</v>
      </c>
      <c r="K744" t="n">
        <v>0</v>
      </c>
      <c r="L744" t="n">
        <v>0</v>
      </c>
      <c r="M744" t="n">
        <v>0</v>
      </c>
      <c r="N744" t="n">
        <v>0</v>
      </c>
      <c r="O744" t="n">
        <v>0</v>
      </c>
      <c r="P744" t="n">
        <v>0</v>
      </c>
      <c r="Q744" t="n">
        <v>0</v>
      </c>
      <c r="R744" s="2" t="inlineStr"/>
    </row>
    <row r="745" ht="15" customHeight="1">
      <c r="A745" t="inlineStr">
        <is>
          <t>A 21939-2020</t>
        </is>
      </c>
      <c r="B745" s="1" t="n">
        <v>43955</v>
      </c>
      <c r="C745" s="1" t="n">
        <v>45343</v>
      </c>
      <c r="D745" t="inlineStr">
        <is>
          <t>JÄMTLANDS LÄN</t>
        </is>
      </c>
      <c r="E745" t="inlineStr">
        <is>
          <t>STRÖMSUND</t>
        </is>
      </c>
      <c r="G745" t="n">
        <v>4.5</v>
      </c>
      <c r="H745" t="n">
        <v>0</v>
      </c>
      <c r="I745" t="n">
        <v>0</v>
      </c>
      <c r="J745" t="n">
        <v>0</v>
      </c>
      <c r="K745" t="n">
        <v>0</v>
      </c>
      <c r="L745" t="n">
        <v>0</v>
      </c>
      <c r="M745" t="n">
        <v>0</v>
      </c>
      <c r="N745" t="n">
        <v>0</v>
      </c>
      <c r="O745" t="n">
        <v>0</v>
      </c>
      <c r="P745" t="n">
        <v>0</v>
      </c>
      <c r="Q745" t="n">
        <v>0</v>
      </c>
      <c r="R745" s="2" t="inlineStr"/>
    </row>
    <row r="746" ht="15" customHeight="1">
      <c r="A746" t="inlineStr">
        <is>
          <t>A 21602-2020</t>
        </is>
      </c>
      <c r="B746" s="1" t="n">
        <v>43957</v>
      </c>
      <c r="C746" s="1" t="n">
        <v>45343</v>
      </c>
      <c r="D746" t="inlineStr">
        <is>
          <t>JÄMTLANDS LÄN</t>
        </is>
      </c>
      <c r="E746" t="inlineStr">
        <is>
          <t>STRÖMSUND</t>
        </is>
      </c>
      <c r="G746" t="n">
        <v>15.4</v>
      </c>
      <c r="H746" t="n">
        <v>0</v>
      </c>
      <c r="I746" t="n">
        <v>0</v>
      </c>
      <c r="J746" t="n">
        <v>0</v>
      </c>
      <c r="K746" t="n">
        <v>0</v>
      </c>
      <c r="L746" t="n">
        <v>0</v>
      </c>
      <c r="M746" t="n">
        <v>0</v>
      </c>
      <c r="N746" t="n">
        <v>0</v>
      </c>
      <c r="O746" t="n">
        <v>0</v>
      </c>
      <c r="P746" t="n">
        <v>0</v>
      </c>
      <c r="Q746" t="n">
        <v>0</v>
      </c>
      <c r="R746" s="2" t="inlineStr"/>
    </row>
    <row r="747" ht="15" customHeight="1">
      <c r="A747" t="inlineStr">
        <is>
          <t>A 21773-2020</t>
        </is>
      </c>
      <c r="B747" s="1" t="n">
        <v>43957</v>
      </c>
      <c r="C747" s="1" t="n">
        <v>45343</v>
      </c>
      <c r="D747" t="inlineStr">
        <is>
          <t>JÄMTLANDS LÄN</t>
        </is>
      </c>
      <c r="E747" t="inlineStr">
        <is>
          <t>STRÖMSUND</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21971-2020</t>
        </is>
      </c>
      <c r="B748" s="1" t="n">
        <v>43958</v>
      </c>
      <c r="C748" s="1" t="n">
        <v>45343</v>
      </c>
      <c r="D748" t="inlineStr">
        <is>
          <t>JÄMTLANDS LÄN</t>
        </is>
      </c>
      <c r="E748" t="inlineStr">
        <is>
          <t>STRÖMSUND</t>
        </is>
      </c>
      <c r="F748" t="inlineStr">
        <is>
          <t>SCA</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22092-2020</t>
        </is>
      </c>
      <c r="B749" s="1" t="n">
        <v>43959</v>
      </c>
      <c r="C749" s="1" t="n">
        <v>45343</v>
      </c>
      <c r="D749" t="inlineStr">
        <is>
          <t>JÄMTLANDS LÄN</t>
        </is>
      </c>
      <c r="E749" t="inlineStr">
        <is>
          <t>STRÖMSUND</t>
        </is>
      </c>
      <c r="F749" t="inlineStr">
        <is>
          <t>SCA</t>
        </is>
      </c>
      <c r="G749" t="n">
        <v>4.3</v>
      </c>
      <c r="H749" t="n">
        <v>0</v>
      </c>
      <c r="I749" t="n">
        <v>0</v>
      </c>
      <c r="J749" t="n">
        <v>0</v>
      </c>
      <c r="K749" t="n">
        <v>0</v>
      </c>
      <c r="L749" t="n">
        <v>0</v>
      </c>
      <c r="M749" t="n">
        <v>0</v>
      </c>
      <c r="N749" t="n">
        <v>0</v>
      </c>
      <c r="O749" t="n">
        <v>0</v>
      </c>
      <c r="P749" t="n">
        <v>0</v>
      </c>
      <c r="Q749" t="n">
        <v>0</v>
      </c>
      <c r="R749" s="2" t="inlineStr"/>
    </row>
    <row r="750" ht="15" customHeight="1">
      <c r="A750" t="inlineStr">
        <is>
          <t>A 22699-2020</t>
        </is>
      </c>
      <c r="B750" s="1" t="n">
        <v>43963</v>
      </c>
      <c r="C750" s="1" t="n">
        <v>45343</v>
      </c>
      <c r="D750" t="inlineStr">
        <is>
          <t>JÄMTLANDS LÄN</t>
        </is>
      </c>
      <c r="E750" t="inlineStr">
        <is>
          <t>STRÖMSUND</t>
        </is>
      </c>
      <c r="F750" t="inlineStr">
        <is>
          <t>SCA</t>
        </is>
      </c>
      <c r="G750" t="n">
        <v>7.7</v>
      </c>
      <c r="H750" t="n">
        <v>0</v>
      </c>
      <c r="I750" t="n">
        <v>0</v>
      </c>
      <c r="J750" t="n">
        <v>0</v>
      </c>
      <c r="K750" t="n">
        <v>0</v>
      </c>
      <c r="L750" t="n">
        <v>0</v>
      </c>
      <c r="M750" t="n">
        <v>0</v>
      </c>
      <c r="N750" t="n">
        <v>0</v>
      </c>
      <c r="O750" t="n">
        <v>0</v>
      </c>
      <c r="P750" t="n">
        <v>0</v>
      </c>
      <c r="Q750" t="n">
        <v>0</v>
      </c>
      <c r="R750" s="2" t="inlineStr"/>
    </row>
    <row r="751" ht="15" customHeight="1">
      <c r="A751" t="inlineStr">
        <is>
          <t>A 22905-2020</t>
        </is>
      </c>
      <c r="B751" s="1" t="n">
        <v>43964</v>
      </c>
      <c r="C751" s="1" t="n">
        <v>45343</v>
      </c>
      <c r="D751" t="inlineStr">
        <is>
          <t>JÄMTLANDS LÄN</t>
        </is>
      </c>
      <c r="E751" t="inlineStr">
        <is>
          <t>STRÖMSUND</t>
        </is>
      </c>
      <c r="F751" t="inlineStr">
        <is>
          <t>SCA</t>
        </is>
      </c>
      <c r="G751" t="n">
        <v>5.3</v>
      </c>
      <c r="H751" t="n">
        <v>0</v>
      </c>
      <c r="I751" t="n">
        <v>0</v>
      </c>
      <c r="J751" t="n">
        <v>0</v>
      </c>
      <c r="K751" t="n">
        <v>0</v>
      </c>
      <c r="L751" t="n">
        <v>0</v>
      </c>
      <c r="M751" t="n">
        <v>0</v>
      </c>
      <c r="N751" t="n">
        <v>0</v>
      </c>
      <c r="O751" t="n">
        <v>0</v>
      </c>
      <c r="P751" t="n">
        <v>0</v>
      </c>
      <c r="Q751" t="n">
        <v>0</v>
      </c>
      <c r="R751" s="2" t="inlineStr"/>
    </row>
    <row r="752" ht="15" customHeight="1">
      <c r="A752" t="inlineStr">
        <is>
          <t>A 22906-2020</t>
        </is>
      </c>
      <c r="B752" s="1" t="n">
        <v>43964</v>
      </c>
      <c r="C752" s="1" t="n">
        <v>45343</v>
      </c>
      <c r="D752" t="inlineStr">
        <is>
          <t>JÄMTLANDS LÄN</t>
        </is>
      </c>
      <c r="E752" t="inlineStr">
        <is>
          <t>STRÖMSUND</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22912-2020</t>
        </is>
      </c>
      <c r="B753" s="1" t="n">
        <v>43964</v>
      </c>
      <c r="C753" s="1" t="n">
        <v>45343</v>
      </c>
      <c r="D753" t="inlineStr">
        <is>
          <t>JÄMTLANDS LÄN</t>
        </is>
      </c>
      <c r="E753" t="inlineStr">
        <is>
          <t>STRÖMSUND</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23412-2020</t>
        </is>
      </c>
      <c r="B754" s="1" t="n">
        <v>43969</v>
      </c>
      <c r="C754" s="1" t="n">
        <v>45343</v>
      </c>
      <c r="D754" t="inlineStr">
        <is>
          <t>JÄMTLANDS LÄN</t>
        </is>
      </c>
      <c r="E754" t="inlineStr">
        <is>
          <t>STRÖMSUND</t>
        </is>
      </c>
      <c r="F754" t="inlineStr">
        <is>
          <t>Holmen skog AB</t>
        </is>
      </c>
      <c r="G754" t="n">
        <v>1.6</v>
      </c>
      <c r="H754" t="n">
        <v>0</v>
      </c>
      <c r="I754" t="n">
        <v>0</v>
      </c>
      <c r="J754" t="n">
        <v>0</v>
      </c>
      <c r="K754" t="n">
        <v>0</v>
      </c>
      <c r="L754" t="n">
        <v>0</v>
      </c>
      <c r="M754" t="n">
        <v>0</v>
      </c>
      <c r="N754" t="n">
        <v>0</v>
      </c>
      <c r="O754" t="n">
        <v>0</v>
      </c>
      <c r="P754" t="n">
        <v>0</v>
      </c>
      <c r="Q754" t="n">
        <v>0</v>
      </c>
      <c r="R754" s="2" t="inlineStr"/>
    </row>
    <row r="755" ht="15" customHeight="1">
      <c r="A755" t="inlineStr">
        <is>
          <t>A 23647-2020</t>
        </is>
      </c>
      <c r="B755" s="1" t="n">
        <v>43969</v>
      </c>
      <c r="C755" s="1" t="n">
        <v>45343</v>
      </c>
      <c r="D755" t="inlineStr">
        <is>
          <t>JÄMTLANDS LÄN</t>
        </is>
      </c>
      <c r="E755" t="inlineStr">
        <is>
          <t>STRÖMSUND</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24054-2020</t>
        </is>
      </c>
      <c r="B756" s="1" t="n">
        <v>43971</v>
      </c>
      <c r="C756" s="1" t="n">
        <v>45343</v>
      </c>
      <c r="D756" t="inlineStr">
        <is>
          <t>JÄMTLANDS LÄN</t>
        </is>
      </c>
      <c r="E756" t="inlineStr">
        <is>
          <t>STRÖMSUND</t>
        </is>
      </c>
      <c r="F756" t="inlineStr">
        <is>
          <t>SCA</t>
        </is>
      </c>
      <c r="G756" t="n">
        <v>3.8</v>
      </c>
      <c r="H756" t="n">
        <v>0</v>
      </c>
      <c r="I756" t="n">
        <v>0</v>
      </c>
      <c r="J756" t="n">
        <v>0</v>
      </c>
      <c r="K756" t="n">
        <v>0</v>
      </c>
      <c r="L756" t="n">
        <v>0</v>
      </c>
      <c r="M756" t="n">
        <v>0</v>
      </c>
      <c r="N756" t="n">
        <v>0</v>
      </c>
      <c r="O756" t="n">
        <v>0</v>
      </c>
      <c r="P756" t="n">
        <v>0</v>
      </c>
      <c r="Q756" t="n">
        <v>0</v>
      </c>
      <c r="R756" s="2" t="inlineStr"/>
    </row>
    <row r="757" ht="15" customHeight="1">
      <c r="A757" t="inlineStr">
        <is>
          <t>A 24064-2020</t>
        </is>
      </c>
      <c r="B757" s="1" t="n">
        <v>43971</v>
      </c>
      <c r="C757" s="1" t="n">
        <v>45343</v>
      </c>
      <c r="D757" t="inlineStr">
        <is>
          <t>JÄMTLANDS LÄN</t>
        </is>
      </c>
      <c r="E757" t="inlineStr">
        <is>
          <t>STRÖMSUND</t>
        </is>
      </c>
      <c r="F757" t="inlineStr">
        <is>
          <t>SCA</t>
        </is>
      </c>
      <c r="G757" t="n">
        <v>15.3</v>
      </c>
      <c r="H757" t="n">
        <v>0</v>
      </c>
      <c r="I757" t="n">
        <v>0</v>
      </c>
      <c r="J757" t="n">
        <v>0</v>
      </c>
      <c r="K757" t="n">
        <v>0</v>
      </c>
      <c r="L757" t="n">
        <v>0</v>
      </c>
      <c r="M757" t="n">
        <v>0</v>
      </c>
      <c r="N757" t="n">
        <v>0</v>
      </c>
      <c r="O757" t="n">
        <v>0</v>
      </c>
      <c r="P757" t="n">
        <v>0</v>
      </c>
      <c r="Q757" t="n">
        <v>0</v>
      </c>
      <c r="R757" s="2" t="inlineStr"/>
    </row>
    <row r="758" ht="15" customHeight="1">
      <c r="A758" t="inlineStr">
        <is>
          <t>A 24335-2020</t>
        </is>
      </c>
      <c r="B758" s="1" t="n">
        <v>43971</v>
      </c>
      <c r="C758" s="1" t="n">
        <v>45343</v>
      </c>
      <c r="D758" t="inlineStr">
        <is>
          <t>JÄMTLANDS LÄN</t>
        </is>
      </c>
      <c r="E758" t="inlineStr">
        <is>
          <t>STRÖMSUND</t>
        </is>
      </c>
      <c r="G758" t="n">
        <v>14.3</v>
      </c>
      <c r="H758" t="n">
        <v>0</v>
      </c>
      <c r="I758" t="n">
        <v>0</v>
      </c>
      <c r="J758" t="n">
        <v>0</v>
      </c>
      <c r="K758" t="n">
        <v>0</v>
      </c>
      <c r="L758" t="n">
        <v>0</v>
      </c>
      <c r="M758" t="n">
        <v>0</v>
      </c>
      <c r="N758" t="n">
        <v>0</v>
      </c>
      <c r="O758" t="n">
        <v>0</v>
      </c>
      <c r="P758" t="n">
        <v>0</v>
      </c>
      <c r="Q758" t="n">
        <v>0</v>
      </c>
      <c r="R758" s="2" t="inlineStr"/>
    </row>
    <row r="759" ht="15" customHeight="1">
      <c r="A759" t="inlineStr">
        <is>
          <t>A 24117-2020</t>
        </is>
      </c>
      <c r="B759" s="1" t="n">
        <v>43973</v>
      </c>
      <c r="C759" s="1" t="n">
        <v>45343</v>
      </c>
      <c r="D759" t="inlineStr">
        <is>
          <t>JÄMTLANDS LÄN</t>
        </is>
      </c>
      <c r="E759" t="inlineStr">
        <is>
          <t>STRÖMSUND</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24414-2020</t>
        </is>
      </c>
      <c r="B760" s="1" t="n">
        <v>43976</v>
      </c>
      <c r="C760" s="1" t="n">
        <v>45343</v>
      </c>
      <c r="D760" t="inlineStr">
        <is>
          <t>JÄMTLANDS LÄN</t>
        </is>
      </c>
      <c r="E760" t="inlineStr">
        <is>
          <t>STRÖMSUND</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24379-2020</t>
        </is>
      </c>
      <c r="B761" s="1" t="n">
        <v>43976</v>
      </c>
      <c r="C761" s="1" t="n">
        <v>45343</v>
      </c>
      <c r="D761" t="inlineStr">
        <is>
          <t>JÄMTLANDS LÄN</t>
        </is>
      </c>
      <c r="E761" t="inlineStr">
        <is>
          <t>STRÖMSUND</t>
        </is>
      </c>
      <c r="F761" t="inlineStr">
        <is>
          <t>Holmen skog AB</t>
        </is>
      </c>
      <c r="G761" t="n">
        <v>1.4</v>
      </c>
      <c r="H761" t="n">
        <v>0</v>
      </c>
      <c r="I761" t="n">
        <v>0</v>
      </c>
      <c r="J761" t="n">
        <v>0</v>
      </c>
      <c r="K761" t="n">
        <v>0</v>
      </c>
      <c r="L761" t="n">
        <v>0</v>
      </c>
      <c r="M761" t="n">
        <v>0</v>
      </c>
      <c r="N761" t="n">
        <v>0</v>
      </c>
      <c r="O761" t="n">
        <v>0</v>
      </c>
      <c r="P761" t="n">
        <v>0</v>
      </c>
      <c r="Q761" t="n">
        <v>0</v>
      </c>
      <c r="R761" s="2" t="inlineStr"/>
    </row>
    <row r="762" ht="15" customHeight="1">
      <c r="A762" t="inlineStr">
        <is>
          <t>A 24415-2020</t>
        </is>
      </c>
      <c r="B762" s="1" t="n">
        <v>43976</v>
      </c>
      <c r="C762" s="1" t="n">
        <v>45343</v>
      </c>
      <c r="D762" t="inlineStr">
        <is>
          <t>JÄMTLANDS LÄN</t>
        </is>
      </c>
      <c r="E762" t="inlineStr">
        <is>
          <t>STRÖMSUND</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24384-2020</t>
        </is>
      </c>
      <c r="B763" s="1" t="n">
        <v>43976</v>
      </c>
      <c r="C763" s="1" t="n">
        <v>45343</v>
      </c>
      <c r="D763" t="inlineStr">
        <is>
          <t>JÄMTLANDS LÄN</t>
        </is>
      </c>
      <c r="E763" t="inlineStr">
        <is>
          <t>STRÖMSUND</t>
        </is>
      </c>
      <c r="G763" t="n">
        <v>1.1</v>
      </c>
      <c r="H763" t="n">
        <v>0</v>
      </c>
      <c r="I763" t="n">
        <v>0</v>
      </c>
      <c r="J763" t="n">
        <v>0</v>
      </c>
      <c r="K763" t="n">
        <v>0</v>
      </c>
      <c r="L763" t="n">
        <v>0</v>
      </c>
      <c r="M763" t="n">
        <v>0</v>
      </c>
      <c r="N763" t="n">
        <v>0</v>
      </c>
      <c r="O763" t="n">
        <v>0</v>
      </c>
      <c r="P763" t="n">
        <v>0</v>
      </c>
      <c r="Q763" t="n">
        <v>0</v>
      </c>
      <c r="R763" s="2" t="inlineStr"/>
    </row>
    <row r="764" ht="15" customHeight="1">
      <c r="A764" t="inlineStr">
        <is>
          <t>A 24413-2020</t>
        </is>
      </c>
      <c r="B764" s="1" t="n">
        <v>43976</v>
      </c>
      <c r="C764" s="1" t="n">
        <v>45343</v>
      </c>
      <c r="D764" t="inlineStr">
        <is>
          <t>JÄMTLANDS LÄN</t>
        </is>
      </c>
      <c r="E764" t="inlineStr">
        <is>
          <t>STRÖMSUND</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25109-2020</t>
        </is>
      </c>
      <c r="B765" s="1" t="n">
        <v>43979</v>
      </c>
      <c r="C765" s="1" t="n">
        <v>45343</v>
      </c>
      <c r="D765" t="inlineStr">
        <is>
          <t>JÄMTLANDS LÄN</t>
        </is>
      </c>
      <c r="E765" t="inlineStr">
        <is>
          <t>STRÖMSUND</t>
        </is>
      </c>
      <c r="F765" t="inlineStr">
        <is>
          <t>SCA</t>
        </is>
      </c>
      <c r="G765" t="n">
        <v>10.7</v>
      </c>
      <c r="H765" t="n">
        <v>0</v>
      </c>
      <c r="I765" t="n">
        <v>0</v>
      </c>
      <c r="J765" t="n">
        <v>0</v>
      </c>
      <c r="K765" t="n">
        <v>0</v>
      </c>
      <c r="L765" t="n">
        <v>0</v>
      </c>
      <c r="M765" t="n">
        <v>0</v>
      </c>
      <c r="N765" t="n">
        <v>0</v>
      </c>
      <c r="O765" t="n">
        <v>0</v>
      </c>
      <c r="P765" t="n">
        <v>0</v>
      </c>
      <c r="Q765" t="n">
        <v>0</v>
      </c>
      <c r="R765" s="2" t="inlineStr"/>
    </row>
    <row r="766" ht="15" customHeight="1">
      <c r="A766" t="inlineStr">
        <is>
          <t>A 25107-2020</t>
        </is>
      </c>
      <c r="B766" s="1" t="n">
        <v>43979</v>
      </c>
      <c r="C766" s="1" t="n">
        <v>45343</v>
      </c>
      <c r="D766" t="inlineStr">
        <is>
          <t>JÄMTLANDS LÄN</t>
        </is>
      </c>
      <c r="E766" t="inlineStr">
        <is>
          <t>STRÖMSUND</t>
        </is>
      </c>
      <c r="F766" t="inlineStr">
        <is>
          <t>SCA</t>
        </is>
      </c>
      <c r="G766" t="n">
        <v>0.2</v>
      </c>
      <c r="H766" t="n">
        <v>0</v>
      </c>
      <c r="I766" t="n">
        <v>0</v>
      </c>
      <c r="J766" t="n">
        <v>0</v>
      </c>
      <c r="K766" t="n">
        <v>0</v>
      </c>
      <c r="L766" t="n">
        <v>0</v>
      </c>
      <c r="M766" t="n">
        <v>0</v>
      </c>
      <c r="N766" t="n">
        <v>0</v>
      </c>
      <c r="O766" t="n">
        <v>0</v>
      </c>
      <c r="P766" t="n">
        <v>0</v>
      </c>
      <c r="Q766" t="n">
        <v>0</v>
      </c>
      <c r="R766" s="2" t="inlineStr"/>
    </row>
    <row r="767" ht="15" customHeight="1">
      <c r="A767" t="inlineStr">
        <is>
          <t>A 25396-2020</t>
        </is>
      </c>
      <c r="B767" s="1" t="n">
        <v>43980</v>
      </c>
      <c r="C767" s="1" t="n">
        <v>45343</v>
      </c>
      <c r="D767" t="inlineStr">
        <is>
          <t>JÄMTLANDS LÄN</t>
        </is>
      </c>
      <c r="E767" t="inlineStr">
        <is>
          <t>STRÖMSUND</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25375-2020</t>
        </is>
      </c>
      <c r="B768" s="1" t="n">
        <v>43980</v>
      </c>
      <c r="C768" s="1" t="n">
        <v>45343</v>
      </c>
      <c r="D768" t="inlineStr">
        <is>
          <t>JÄMTLANDS LÄN</t>
        </is>
      </c>
      <c r="E768" t="inlineStr">
        <is>
          <t>STRÖMSUND</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25390-2020</t>
        </is>
      </c>
      <c r="B769" s="1" t="n">
        <v>43980</v>
      </c>
      <c r="C769" s="1" t="n">
        <v>45343</v>
      </c>
      <c r="D769" t="inlineStr">
        <is>
          <t>JÄMTLANDS LÄN</t>
        </is>
      </c>
      <c r="E769" t="inlineStr">
        <is>
          <t>STRÖMSUND</t>
        </is>
      </c>
      <c r="F769" t="inlineStr">
        <is>
          <t>SCA</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25388-2020</t>
        </is>
      </c>
      <c r="B770" s="1" t="n">
        <v>43980</v>
      </c>
      <c r="C770" s="1" t="n">
        <v>45343</v>
      </c>
      <c r="D770" t="inlineStr">
        <is>
          <t>JÄMTLANDS LÄN</t>
        </is>
      </c>
      <c r="E770" t="inlineStr">
        <is>
          <t>STRÖMSUND</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25398-2020</t>
        </is>
      </c>
      <c r="B771" s="1" t="n">
        <v>43980</v>
      </c>
      <c r="C771" s="1" t="n">
        <v>45343</v>
      </c>
      <c r="D771" t="inlineStr">
        <is>
          <t>JÄMTLANDS LÄN</t>
        </is>
      </c>
      <c r="E771" t="inlineStr">
        <is>
          <t>STRÖMSUND</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25381-2020</t>
        </is>
      </c>
      <c r="B772" s="1" t="n">
        <v>43980</v>
      </c>
      <c r="C772" s="1" t="n">
        <v>45343</v>
      </c>
      <c r="D772" t="inlineStr">
        <is>
          <t>JÄMTLANDS LÄN</t>
        </is>
      </c>
      <c r="E772" t="inlineStr">
        <is>
          <t>STRÖMSUND</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25392-2020</t>
        </is>
      </c>
      <c r="B773" s="1" t="n">
        <v>43980</v>
      </c>
      <c r="C773" s="1" t="n">
        <v>45343</v>
      </c>
      <c r="D773" t="inlineStr">
        <is>
          <t>JÄMTLANDS LÄN</t>
        </is>
      </c>
      <c r="E773" t="inlineStr">
        <is>
          <t>STRÖMSUND</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25680-2020</t>
        </is>
      </c>
      <c r="B774" s="1" t="n">
        <v>43983</v>
      </c>
      <c r="C774" s="1" t="n">
        <v>45343</v>
      </c>
      <c r="D774" t="inlineStr">
        <is>
          <t>JÄMTLANDS LÄN</t>
        </is>
      </c>
      <c r="E774" t="inlineStr">
        <is>
          <t>STRÖMSUND</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25892-2020</t>
        </is>
      </c>
      <c r="B775" s="1" t="n">
        <v>43984</v>
      </c>
      <c r="C775" s="1" t="n">
        <v>45343</v>
      </c>
      <c r="D775" t="inlineStr">
        <is>
          <t>JÄMTLANDS LÄN</t>
        </is>
      </c>
      <c r="E775" t="inlineStr">
        <is>
          <t>STRÖMSUND</t>
        </is>
      </c>
      <c r="G775" t="n">
        <v>3.5</v>
      </c>
      <c r="H775" t="n">
        <v>0</v>
      </c>
      <c r="I775" t="n">
        <v>0</v>
      </c>
      <c r="J775" t="n">
        <v>0</v>
      </c>
      <c r="K775" t="n">
        <v>0</v>
      </c>
      <c r="L775" t="n">
        <v>0</v>
      </c>
      <c r="M775" t="n">
        <v>0</v>
      </c>
      <c r="N775" t="n">
        <v>0</v>
      </c>
      <c r="O775" t="n">
        <v>0</v>
      </c>
      <c r="P775" t="n">
        <v>0</v>
      </c>
      <c r="Q775" t="n">
        <v>0</v>
      </c>
      <c r="R775" s="2" t="inlineStr"/>
    </row>
    <row r="776" ht="15" customHeight="1">
      <c r="A776" t="inlineStr">
        <is>
          <t>A 25913-2020</t>
        </is>
      </c>
      <c r="B776" s="1" t="n">
        <v>43984</v>
      </c>
      <c r="C776" s="1" t="n">
        <v>45343</v>
      </c>
      <c r="D776" t="inlineStr">
        <is>
          <t>JÄMTLANDS LÄN</t>
        </is>
      </c>
      <c r="E776" t="inlineStr">
        <is>
          <t>STRÖMSUND</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25997-2020</t>
        </is>
      </c>
      <c r="B777" s="1" t="n">
        <v>43985</v>
      </c>
      <c r="C777" s="1" t="n">
        <v>45343</v>
      </c>
      <c r="D777" t="inlineStr">
        <is>
          <t>JÄMTLANDS LÄN</t>
        </is>
      </c>
      <c r="E777" t="inlineStr">
        <is>
          <t>STRÖMSUND</t>
        </is>
      </c>
      <c r="G777" t="n">
        <v>2.4</v>
      </c>
      <c r="H777" t="n">
        <v>0</v>
      </c>
      <c r="I777" t="n">
        <v>0</v>
      </c>
      <c r="J777" t="n">
        <v>0</v>
      </c>
      <c r="K777" t="n">
        <v>0</v>
      </c>
      <c r="L777" t="n">
        <v>0</v>
      </c>
      <c r="M777" t="n">
        <v>0</v>
      </c>
      <c r="N777" t="n">
        <v>0</v>
      </c>
      <c r="O777" t="n">
        <v>0</v>
      </c>
      <c r="P777" t="n">
        <v>0</v>
      </c>
      <c r="Q777" t="n">
        <v>0</v>
      </c>
      <c r="R777" s="2" t="inlineStr"/>
    </row>
    <row r="778" ht="15" customHeight="1">
      <c r="A778" t="inlineStr">
        <is>
          <t>A 26190-2020</t>
        </is>
      </c>
      <c r="B778" s="1" t="n">
        <v>43985</v>
      </c>
      <c r="C778" s="1" t="n">
        <v>45343</v>
      </c>
      <c r="D778" t="inlineStr">
        <is>
          <t>JÄMTLANDS LÄN</t>
        </is>
      </c>
      <c r="E778" t="inlineStr">
        <is>
          <t>STRÖMSUND</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26669-2020</t>
        </is>
      </c>
      <c r="B779" s="1" t="n">
        <v>43989</v>
      </c>
      <c r="C779" s="1" t="n">
        <v>45343</v>
      </c>
      <c r="D779" t="inlineStr">
        <is>
          <t>JÄMTLANDS LÄN</t>
        </is>
      </c>
      <c r="E779" t="inlineStr">
        <is>
          <t>STRÖMSUND</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26670-2020</t>
        </is>
      </c>
      <c r="B780" s="1" t="n">
        <v>43989</v>
      </c>
      <c r="C780" s="1" t="n">
        <v>45343</v>
      </c>
      <c r="D780" t="inlineStr">
        <is>
          <t>JÄMTLANDS LÄN</t>
        </is>
      </c>
      <c r="E780" t="inlineStr">
        <is>
          <t>STRÖMSUND</t>
        </is>
      </c>
      <c r="G780" t="n">
        <v>2.3</v>
      </c>
      <c r="H780" t="n">
        <v>0</v>
      </c>
      <c r="I780" t="n">
        <v>0</v>
      </c>
      <c r="J780" t="n">
        <v>0</v>
      </c>
      <c r="K780" t="n">
        <v>0</v>
      </c>
      <c r="L780" t="n">
        <v>0</v>
      </c>
      <c r="M780" t="n">
        <v>0</v>
      </c>
      <c r="N780" t="n">
        <v>0</v>
      </c>
      <c r="O780" t="n">
        <v>0</v>
      </c>
      <c r="P780" t="n">
        <v>0</v>
      </c>
      <c r="Q780" t="n">
        <v>0</v>
      </c>
      <c r="R780" s="2" t="inlineStr"/>
    </row>
    <row r="781" ht="15" customHeight="1">
      <c r="A781" t="inlineStr">
        <is>
          <t>A 27415-2020</t>
        </is>
      </c>
      <c r="B781" s="1" t="n">
        <v>43992</v>
      </c>
      <c r="C781" s="1" t="n">
        <v>45343</v>
      </c>
      <c r="D781" t="inlineStr">
        <is>
          <t>JÄMTLANDS LÄN</t>
        </is>
      </c>
      <c r="E781" t="inlineStr">
        <is>
          <t>STRÖMSUND</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27709-2020</t>
        </is>
      </c>
      <c r="B782" s="1" t="n">
        <v>43994</v>
      </c>
      <c r="C782" s="1" t="n">
        <v>45343</v>
      </c>
      <c r="D782" t="inlineStr">
        <is>
          <t>JÄMTLANDS LÄN</t>
        </is>
      </c>
      <c r="E782" t="inlineStr">
        <is>
          <t>STRÖMSUND</t>
        </is>
      </c>
      <c r="G782" t="n">
        <v>2.9</v>
      </c>
      <c r="H782" t="n">
        <v>0</v>
      </c>
      <c r="I782" t="n">
        <v>0</v>
      </c>
      <c r="J782" t="n">
        <v>0</v>
      </c>
      <c r="K782" t="n">
        <v>0</v>
      </c>
      <c r="L782" t="n">
        <v>0</v>
      </c>
      <c r="M782" t="n">
        <v>0</v>
      </c>
      <c r="N782" t="n">
        <v>0</v>
      </c>
      <c r="O782" t="n">
        <v>0</v>
      </c>
      <c r="P782" t="n">
        <v>0</v>
      </c>
      <c r="Q782" t="n">
        <v>0</v>
      </c>
      <c r="R782" s="2" t="inlineStr"/>
    </row>
    <row r="783" ht="15" customHeight="1">
      <c r="A783" t="inlineStr">
        <is>
          <t>A 28196-2020</t>
        </is>
      </c>
      <c r="B783" s="1" t="n">
        <v>43997</v>
      </c>
      <c r="C783" s="1" t="n">
        <v>45343</v>
      </c>
      <c r="D783" t="inlineStr">
        <is>
          <t>JÄMTLANDS LÄN</t>
        </is>
      </c>
      <c r="E783" t="inlineStr">
        <is>
          <t>STRÖMSUND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28765-2020</t>
        </is>
      </c>
      <c r="B784" s="1" t="n">
        <v>43999</v>
      </c>
      <c r="C784" s="1" t="n">
        <v>45343</v>
      </c>
      <c r="D784" t="inlineStr">
        <is>
          <t>JÄMTLANDS LÄN</t>
        </is>
      </c>
      <c r="E784" t="inlineStr">
        <is>
          <t>STRÖMSUND</t>
        </is>
      </c>
      <c r="F784" t="inlineStr">
        <is>
          <t>SCA</t>
        </is>
      </c>
      <c r="G784" t="n">
        <v>7.1</v>
      </c>
      <c r="H784" t="n">
        <v>0</v>
      </c>
      <c r="I784" t="n">
        <v>0</v>
      </c>
      <c r="J784" t="n">
        <v>0</v>
      </c>
      <c r="K784" t="n">
        <v>0</v>
      </c>
      <c r="L784" t="n">
        <v>0</v>
      </c>
      <c r="M784" t="n">
        <v>0</v>
      </c>
      <c r="N784" t="n">
        <v>0</v>
      </c>
      <c r="O784" t="n">
        <v>0</v>
      </c>
      <c r="P784" t="n">
        <v>0</v>
      </c>
      <c r="Q784" t="n">
        <v>0</v>
      </c>
      <c r="R784" s="2" t="inlineStr"/>
    </row>
    <row r="785" ht="15" customHeight="1">
      <c r="A785" t="inlineStr">
        <is>
          <t>A 29046-2020</t>
        </is>
      </c>
      <c r="B785" s="1" t="n">
        <v>44000</v>
      </c>
      <c r="C785" s="1" t="n">
        <v>45343</v>
      </c>
      <c r="D785" t="inlineStr">
        <is>
          <t>JÄMTLANDS LÄN</t>
        </is>
      </c>
      <c r="E785" t="inlineStr">
        <is>
          <t>STRÖMSUND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30804-2020</t>
        </is>
      </c>
      <c r="B786" s="1" t="n">
        <v>44010</v>
      </c>
      <c r="C786" s="1" t="n">
        <v>45343</v>
      </c>
      <c r="D786" t="inlineStr">
        <is>
          <t>JÄMTLANDS LÄN</t>
        </is>
      </c>
      <c r="E786" t="inlineStr">
        <is>
          <t>STRÖMSUND</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30981-2020</t>
        </is>
      </c>
      <c r="B787" s="1" t="n">
        <v>44011</v>
      </c>
      <c r="C787" s="1" t="n">
        <v>45343</v>
      </c>
      <c r="D787" t="inlineStr">
        <is>
          <t>JÄMTLANDS LÄN</t>
        </is>
      </c>
      <c r="E787" t="inlineStr">
        <is>
          <t>STRÖMSUND</t>
        </is>
      </c>
      <c r="G787" t="n">
        <v>6.7</v>
      </c>
      <c r="H787" t="n">
        <v>0</v>
      </c>
      <c r="I787" t="n">
        <v>0</v>
      </c>
      <c r="J787" t="n">
        <v>0</v>
      </c>
      <c r="K787" t="n">
        <v>0</v>
      </c>
      <c r="L787" t="n">
        <v>0</v>
      </c>
      <c r="M787" t="n">
        <v>0</v>
      </c>
      <c r="N787" t="n">
        <v>0</v>
      </c>
      <c r="O787" t="n">
        <v>0</v>
      </c>
      <c r="P787" t="n">
        <v>0</v>
      </c>
      <c r="Q787" t="n">
        <v>0</v>
      </c>
      <c r="R787" s="2" t="inlineStr"/>
    </row>
    <row r="788" ht="15" customHeight="1">
      <c r="A788" t="inlineStr">
        <is>
          <t>A 31077-2020</t>
        </is>
      </c>
      <c r="B788" s="1" t="n">
        <v>44011</v>
      </c>
      <c r="C788" s="1" t="n">
        <v>45343</v>
      </c>
      <c r="D788" t="inlineStr">
        <is>
          <t>JÄMTLANDS LÄN</t>
        </is>
      </c>
      <c r="E788" t="inlineStr">
        <is>
          <t>STRÖMSUND</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31337-2020</t>
        </is>
      </c>
      <c r="B789" s="1" t="n">
        <v>44012</v>
      </c>
      <c r="C789" s="1" t="n">
        <v>45343</v>
      </c>
      <c r="D789" t="inlineStr">
        <is>
          <t>JÄMTLANDS LÄN</t>
        </is>
      </c>
      <c r="E789" t="inlineStr">
        <is>
          <t>STRÖMSUND</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31447-2020</t>
        </is>
      </c>
      <c r="B790" s="1" t="n">
        <v>44013</v>
      </c>
      <c r="C790" s="1" t="n">
        <v>45343</v>
      </c>
      <c r="D790" t="inlineStr">
        <is>
          <t>JÄMTLANDS LÄN</t>
        </is>
      </c>
      <c r="E790" t="inlineStr">
        <is>
          <t>STRÖMSUND</t>
        </is>
      </c>
      <c r="G790" t="n">
        <v>22</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45343</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45343</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45343</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45343</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45343</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45343</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45343</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45343</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45343</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45343</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45343</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45343</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45343</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45343</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45343</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45343</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45343</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45343</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45343</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45343</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45343</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45343</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45343</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45343</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45343</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45343</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45343</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45343</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45343</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45343</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45343</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45343</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45343</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45343</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45343</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45343</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45343</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45343</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45343</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45343</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45343</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45343</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45343</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45343</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45343</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45343</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45343</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45343</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45343</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45343</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45343</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45343</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45343</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45343</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45343</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45343</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45343</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45343</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45343</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45343</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45343</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45343</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45343</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45343</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45343</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45343</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45343</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45343</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45343</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45343</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45343</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45343</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45343</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45343</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45343</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45343</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45343</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45343</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45343</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45343</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45343</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45343</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45343</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45343</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45343</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45343</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45343</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45343</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45343</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45343</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45343</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45343</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45343</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45343</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45343</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45343</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45343</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45343</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45343</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45343</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45343</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45343</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45343</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45343</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45343</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45343</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45343</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45343</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45343</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45343</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45343</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45343</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45343</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45343</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45343</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45343</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45343</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45343</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45343</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45343</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45343</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45343</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45343</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45343</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45343</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45343</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45343</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45343</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45343</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45343</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45343</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45343</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45343</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45343</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45343</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45343</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45343</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45343</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45343</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45343</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45343</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45343</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45343</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45343</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45343</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45343</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45343</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45343</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45343</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45343</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45343</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45343</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45343</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45343</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45343</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45343</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45343</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45343</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45343</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45343</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45343</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45343</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45343</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45343</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45343</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45343</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45343</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45343</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45343</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45343</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45343</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45343</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575-2021</t>
        </is>
      </c>
      <c r="B963" s="1" t="n">
        <v>44201</v>
      </c>
      <c r="C963" s="1" t="n">
        <v>45343</v>
      </c>
      <c r="D963" t="inlineStr">
        <is>
          <t>JÄMTLANDS LÄN</t>
        </is>
      </c>
      <c r="E963" t="inlineStr">
        <is>
          <t>STRÖMSUND</t>
        </is>
      </c>
      <c r="G963" t="n">
        <v>32.5</v>
      </c>
      <c r="H963" t="n">
        <v>0</v>
      </c>
      <c r="I963" t="n">
        <v>0</v>
      </c>
      <c r="J963" t="n">
        <v>0</v>
      </c>
      <c r="K963" t="n">
        <v>0</v>
      </c>
      <c r="L963" t="n">
        <v>0</v>
      </c>
      <c r="M963" t="n">
        <v>0</v>
      </c>
      <c r="N963" t="n">
        <v>0</v>
      </c>
      <c r="O963" t="n">
        <v>0</v>
      </c>
      <c r="P963" t="n">
        <v>0</v>
      </c>
      <c r="Q963" t="n">
        <v>0</v>
      </c>
      <c r="R963" s="2" t="inlineStr"/>
    </row>
    <row r="964" ht="15" customHeight="1">
      <c r="A964" t="inlineStr">
        <is>
          <t>A 363-2021</t>
        </is>
      </c>
      <c r="B964" s="1" t="n">
        <v>44201</v>
      </c>
      <c r="C964" s="1" t="n">
        <v>45343</v>
      </c>
      <c r="D964" t="inlineStr">
        <is>
          <t>JÄMTLANDS LÄN</t>
        </is>
      </c>
      <c r="E964" t="inlineStr">
        <is>
          <t>STRÖMSUND</t>
        </is>
      </c>
      <c r="F964" t="inlineStr">
        <is>
          <t>SCA</t>
        </is>
      </c>
      <c r="G964" t="n">
        <v>52.4</v>
      </c>
      <c r="H964" t="n">
        <v>0</v>
      </c>
      <c r="I964" t="n">
        <v>0</v>
      </c>
      <c r="J964" t="n">
        <v>0</v>
      </c>
      <c r="K964" t="n">
        <v>0</v>
      </c>
      <c r="L964" t="n">
        <v>0</v>
      </c>
      <c r="M964" t="n">
        <v>0</v>
      </c>
      <c r="N964" t="n">
        <v>0</v>
      </c>
      <c r="O964" t="n">
        <v>0</v>
      </c>
      <c r="P964" t="n">
        <v>0</v>
      </c>
      <c r="Q964" t="n">
        <v>0</v>
      </c>
      <c r="R964" s="2" t="inlineStr"/>
    </row>
    <row r="965" ht="15" customHeight="1">
      <c r="A965" t="inlineStr">
        <is>
          <t>A 457-2021</t>
        </is>
      </c>
      <c r="B965" s="1" t="n">
        <v>44202</v>
      </c>
      <c r="C965" s="1" t="n">
        <v>45343</v>
      </c>
      <c r="D965" t="inlineStr">
        <is>
          <t>JÄMTLANDS LÄN</t>
        </is>
      </c>
      <c r="E965" t="inlineStr">
        <is>
          <t>STRÖMSUND</t>
        </is>
      </c>
      <c r="G965" t="n">
        <v>2.3</v>
      </c>
      <c r="H965" t="n">
        <v>0</v>
      </c>
      <c r="I965" t="n">
        <v>0</v>
      </c>
      <c r="J965" t="n">
        <v>0</v>
      </c>
      <c r="K965" t="n">
        <v>0</v>
      </c>
      <c r="L965" t="n">
        <v>0</v>
      </c>
      <c r="M965" t="n">
        <v>0</v>
      </c>
      <c r="N965" t="n">
        <v>0</v>
      </c>
      <c r="O965" t="n">
        <v>0</v>
      </c>
      <c r="P965" t="n">
        <v>0</v>
      </c>
      <c r="Q965" t="n">
        <v>0</v>
      </c>
      <c r="R965" s="2" t="inlineStr"/>
    </row>
    <row r="966" ht="15" customHeight="1">
      <c r="A966" t="inlineStr">
        <is>
          <t>A 582-2021</t>
        </is>
      </c>
      <c r="B966" s="1" t="n">
        <v>44203</v>
      </c>
      <c r="C966" s="1" t="n">
        <v>45343</v>
      </c>
      <c r="D966" t="inlineStr">
        <is>
          <t>JÄMTLANDS LÄN</t>
        </is>
      </c>
      <c r="E966" t="inlineStr">
        <is>
          <t>STRÖMSUND</t>
        </is>
      </c>
      <c r="F966" t="inlineStr">
        <is>
          <t>SCA</t>
        </is>
      </c>
      <c r="G966" t="n">
        <v>54.9</v>
      </c>
      <c r="H966" t="n">
        <v>0</v>
      </c>
      <c r="I966" t="n">
        <v>0</v>
      </c>
      <c r="J966" t="n">
        <v>0</v>
      </c>
      <c r="K966" t="n">
        <v>0</v>
      </c>
      <c r="L966" t="n">
        <v>0</v>
      </c>
      <c r="M966" t="n">
        <v>0</v>
      </c>
      <c r="N966" t="n">
        <v>0</v>
      </c>
      <c r="O966" t="n">
        <v>0</v>
      </c>
      <c r="P966" t="n">
        <v>0</v>
      </c>
      <c r="Q966" t="n">
        <v>0</v>
      </c>
      <c r="R966" s="2" t="inlineStr"/>
    </row>
    <row r="967" ht="15" customHeight="1">
      <c r="A967" t="inlineStr">
        <is>
          <t>A 647-2021</t>
        </is>
      </c>
      <c r="B967" s="1" t="n">
        <v>44203</v>
      </c>
      <c r="C967" s="1" t="n">
        <v>45343</v>
      </c>
      <c r="D967" t="inlineStr">
        <is>
          <t>JÄMTLANDS LÄN</t>
        </is>
      </c>
      <c r="E967" t="inlineStr">
        <is>
          <t>STRÖMSUND</t>
        </is>
      </c>
      <c r="F967" t="inlineStr">
        <is>
          <t>SCA</t>
        </is>
      </c>
      <c r="G967" t="n">
        <v>151.3</v>
      </c>
      <c r="H967" t="n">
        <v>0</v>
      </c>
      <c r="I967" t="n">
        <v>0</v>
      </c>
      <c r="J967" t="n">
        <v>0</v>
      </c>
      <c r="K967" t="n">
        <v>0</v>
      </c>
      <c r="L967" t="n">
        <v>0</v>
      </c>
      <c r="M967" t="n">
        <v>0</v>
      </c>
      <c r="N967" t="n">
        <v>0</v>
      </c>
      <c r="O967" t="n">
        <v>0</v>
      </c>
      <c r="P967" t="n">
        <v>0</v>
      </c>
      <c r="Q967" t="n">
        <v>0</v>
      </c>
      <c r="R967" s="2" t="inlineStr"/>
    </row>
    <row r="968" ht="15" customHeight="1">
      <c r="A968" t="inlineStr">
        <is>
          <t>A 742-2021</t>
        </is>
      </c>
      <c r="B968" s="1" t="n">
        <v>44204</v>
      </c>
      <c r="C968" s="1" t="n">
        <v>45343</v>
      </c>
      <c r="D968" t="inlineStr">
        <is>
          <t>JÄMTLANDS LÄN</t>
        </is>
      </c>
      <c r="E968" t="inlineStr">
        <is>
          <t>STRÖMSUND</t>
        </is>
      </c>
      <c r="F968" t="inlineStr">
        <is>
          <t>SCA</t>
        </is>
      </c>
      <c r="G968" t="n">
        <v>22.8</v>
      </c>
      <c r="H968" t="n">
        <v>0</v>
      </c>
      <c r="I968" t="n">
        <v>0</v>
      </c>
      <c r="J968" t="n">
        <v>0</v>
      </c>
      <c r="K968" t="n">
        <v>0</v>
      </c>
      <c r="L968" t="n">
        <v>0</v>
      </c>
      <c r="M968" t="n">
        <v>0</v>
      </c>
      <c r="N968" t="n">
        <v>0</v>
      </c>
      <c r="O968" t="n">
        <v>0</v>
      </c>
      <c r="P968" t="n">
        <v>0</v>
      </c>
      <c r="Q968" t="n">
        <v>0</v>
      </c>
      <c r="R968" s="2" t="inlineStr"/>
    </row>
    <row r="969" ht="15" customHeight="1">
      <c r="A969" t="inlineStr">
        <is>
          <t>A 1305-2021</t>
        </is>
      </c>
      <c r="B969" s="1" t="n">
        <v>44207</v>
      </c>
      <c r="C969" s="1" t="n">
        <v>45343</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2159-2021</t>
        </is>
      </c>
      <c r="B970" s="1" t="n">
        <v>44211</v>
      </c>
      <c r="C970" s="1" t="n">
        <v>45343</v>
      </c>
      <c r="D970" t="inlineStr">
        <is>
          <t>JÄMTLANDS LÄN</t>
        </is>
      </c>
      <c r="E970" t="inlineStr">
        <is>
          <t>STRÖMSUND</t>
        </is>
      </c>
      <c r="G970" t="n">
        <v>0.6</v>
      </c>
      <c r="H970" t="n">
        <v>0</v>
      </c>
      <c r="I970" t="n">
        <v>0</v>
      </c>
      <c r="J970" t="n">
        <v>0</v>
      </c>
      <c r="K970" t="n">
        <v>0</v>
      </c>
      <c r="L970" t="n">
        <v>0</v>
      </c>
      <c r="M970" t="n">
        <v>0</v>
      </c>
      <c r="N970" t="n">
        <v>0</v>
      </c>
      <c r="O970" t="n">
        <v>0</v>
      </c>
      <c r="P970" t="n">
        <v>0</v>
      </c>
      <c r="Q970" t="n">
        <v>0</v>
      </c>
      <c r="R970" s="2" t="inlineStr"/>
    </row>
    <row r="971" ht="15" customHeight="1">
      <c r="A971" t="inlineStr">
        <is>
          <t>A 2432-2021</t>
        </is>
      </c>
      <c r="B971" s="1" t="n">
        <v>44211</v>
      </c>
      <c r="C971" s="1" t="n">
        <v>45343</v>
      </c>
      <c r="D971" t="inlineStr">
        <is>
          <t>JÄMTLANDS LÄN</t>
        </is>
      </c>
      <c r="E971" t="inlineStr">
        <is>
          <t>STRÖMSUND</t>
        </is>
      </c>
      <c r="G971" t="n">
        <v>1.5</v>
      </c>
      <c r="H971" t="n">
        <v>0</v>
      </c>
      <c r="I971" t="n">
        <v>0</v>
      </c>
      <c r="J971" t="n">
        <v>0</v>
      </c>
      <c r="K971" t="n">
        <v>0</v>
      </c>
      <c r="L971" t="n">
        <v>0</v>
      </c>
      <c r="M971" t="n">
        <v>0</v>
      </c>
      <c r="N971" t="n">
        <v>0</v>
      </c>
      <c r="O971" t="n">
        <v>0</v>
      </c>
      <c r="P971" t="n">
        <v>0</v>
      </c>
      <c r="Q971" t="n">
        <v>0</v>
      </c>
      <c r="R971" s="2" t="inlineStr"/>
    </row>
    <row r="972" ht="15" customHeight="1">
      <c r="A972" t="inlineStr">
        <is>
          <t>A 2549-2021</t>
        </is>
      </c>
      <c r="B972" s="1" t="n">
        <v>44214</v>
      </c>
      <c r="C972" s="1" t="n">
        <v>45343</v>
      </c>
      <c r="D972" t="inlineStr">
        <is>
          <t>JÄMTLANDS LÄN</t>
        </is>
      </c>
      <c r="E972" t="inlineStr">
        <is>
          <t>STRÖMSUND</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2660-2021</t>
        </is>
      </c>
      <c r="B973" s="1" t="n">
        <v>44215</v>
      </c>
      <c r="C973" s="1" t="n">
        <v>45343</v>
      </c>
      <c r="D973" t="inlineStr">
        <is>
          <t>JÄMTLANDS LÄN</t>
        </is>
      </c>
      <c r="E973" t="inlineStr">
        <is>
          <t>STRÖMSUND</t>
        </is>
      </c>
      <c r="G973" t="n">
        <v>11.2</v>
      </c>
      <c r="H973" t="n">
        <v>0</v>
      </c>
      <c r="I973" t="n">
        <v>0</v>
      </c>
      <c r="J973" t="n">
        <v>0</v>
      </c>
      <c r="K973" t="n">
        <v>0</v>
      </c>
      <c r="L973" t="n">
        <v>0</v>
      </c>
      <c r="M973" t="n">
        <v>0</v>
      </c>
      <c r="N973" t="n">
        <v>0</v>
      </c>
      <c r="O973" t="n">
        <v>0</v>
      </c>
      <c r="P973" t="n">
        <v>0</v>
      </c>
      <c r="Q973" t="n">
        <v>0</v>
      </c>
      <c r="R973" s="2" t="inlineStr"/>
    </row>
    <row r="974" ht="15" customHeight="1">
      <c r="A974" t="inlineStr">
        <is>
          <t>A 3186-2021</t>
        </is>
      </c>
      <c r="B974" s="1" t="n">
        <v>44217</v>
      </c>
      <c r="C974" s="1" t="n">
        <v>45343</v>
      </c>
      <c r="D974" t="inlineStr">
        <is>
          <t>JÄMTLANDS LÄN</t>
        </is>
      </c>
      <c r="E974" t="inlineStr">
        <is>
          <t>STRÖMSUND</t>
        </is>
      </c>
      <c r="G974" t="n">
        <v>13.7</v>
      </c>
      <c r="H974" t="n">
        <v>0</v>
      </c>
      <c r="I974" t="n">
        <v>0</v>
      </c>
      <c r="J974" t="n">
        <v>0</v>
      </c>
      <c r="K974" t="n">
        <v>0</v>
      </c>
      <c r="L974" t="n">
        <v>0</v>
      </c>
      <c r="M974" t="n">
        <v>0</v>
      </c>
      <c r="N974" t="n">
        <v>0</v>
      </c>
      <c r="O974" t="n">
        <v>0</v>
      </c>
      <c r="P974" t="n">
        <v>0</v>
      </c>
      <c r="Q974" t="n">
        <v>0</v>
      </c>
      <c r="R974" s="2" t="inlineStr"/>
    </row>
    <row r="975" ht="15" customHeight="1">
      <c r="A975" t="inlineStr">
        <is>
          <t>A 4004-2021</t>
        </is>
      </c>
      <c r="B975" s="1" t="n">
        <v>44222</v>
      </c>
      <c r="C975" s="1" t="n">
        <v>45343</v>
      </c>
      <c r="D975" t="inlineStr">
        <is>
          <t>JÄMTLANDS LÄN</t>
        </is>
      </c>
      <c r="E975" t="inlineStr">
        <is>
          <t>STRÖMSUND</t>
        </is>
      </c>
      <c r="F975" t="inlineStr">
        <is>
          <t>Kyrkan</t>
        </is>
      </c>
      <c r="G975" t="n">
        <v>5.9</v>
      </c>
      <c r="H975" t="n">
        <v>0</v>
      </c>
      <c r="I975" t="n">
        <v>0</v>
      </c>
      <c r="J975" t="n">
        <v>0</v>
      </c>
      <c r="K975" t="n">
        <v>0</v>
      </c>
      <c r="L975" t="n">
        <v>0</v>
      </c>
      <c r="M975" t="n">
        <v>0</v>
      </c>
      <c r="N975" t="n">
        <v>0</v>
      </c>
      <c r="O975" t="n">
        <v>0</v>
      </c>
      <c r="P975" t="n">
        <v>0</v>
      </c>
      <c r="Q975" t="n">
        <v>0</v>
      </c>
      <c r="R975" s="2" t="inlineStr"/>
    </row>
    <row r="976" ht="15" customHeight="1">
      <c r="A976" t="inlineStr">
        <is>
          <t>A 4135-2021</t>
        </is>
      </c>
      <c r="B976" s="1" t="n">
        <v>44223</v>
      </c>
      <c r="C976" s="1" t="n">
        <v>45343</v>
      </c>
      <c r="D976" t="inlineStr">
        <is>
          <t>JÄMTLANDS LÄN</t>
        </is>
      </c>
      <c r="E976" t="inlineStr">
        <is>
          <t>STRÖMSUND</t>
        </is>
      </c>
      <c r="F976" t="inlineStr">
        <is>
          <t>Holmen skog AB</t>
        </is>
      </c>
      <c r="G976" t="n">
        <v>1</v>
      </c>
      <c r="H976" t="n">
        <v>0</v>
      </c>
      <c r="I976" t="n">
        <v>0</v>
      </c>
      <c r="J976" t="n">
        <v>0</v>
      </c>
      <c r="K976" t="n">
        <v>0</v>
      </c>
      <c r="L976" t="n">
        <v>0</v>
      </c>
      <c r="M976" t="n">
        <v>0</v>
      </c>
      <c r="N976" t="n">
        <v>0</v>
      </c>
      <c r="O976" t="n">
        <v>0</v>
      </c>
      <c r="P976" t="n">
        <v>0</v>
      </c>
      <c r="Q976" t="n">
        <v>0</v>
      </c>
      <c r="R976" s="2" t="inlineStr"/>
    </row>
    <row r="977" ht="15" customHeight="1">
      <c r="A977" t="inlineStr">
        <is>
          <t>A 4662-2021</t>
        </is>
      </c>
      <c r="B977" s="1" t="n">
        <v>44224</v>
      </c>
      <c r="C977" s="1" t="n">
        <v>45343</v>
      </c>
      <c r="D977" t="inlineStr">
        <is>
          <t>JÄMTLANDS LÄN</t>
        </is>
      </c>
      <c r="E977" t="inlineStr">
        <is>
          <t>STRÖMSUND</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4661-2021</t>
        </is>
      </c>
      <c r="B978" s="1" t="n">
        <v>44224</v>
      </c>
      <c r="C978" s="1" t="n">
        <v>45343</v>
      </c>
      <c r="D978" t="inlineStr">
        <is>
          <t>JÄMTLANDS LÄN</t>
        </is>
      </c>
      <c r="E978" t="inlineStr">
        <is>
          <t>STRÖMSUND</t>
        </is>
      </c>
      <c r="F978" t="inlineStr">
        <is>
          <t>SCA</t>
        </is>
      </c>
      <c r="G978" t="n">
        <v>6.4</v>
      </c>
      <c r="H978" t="n">
        <v>0</v>
      </c>
      <c r="I978" t="n">
        <v>0</v>
      </c>
      <c r="J978" t="n">
        <v>0</v>
      </c>
      <c r="K978" t="n">
        <v>0</v>
      </c>
      <c r="L978" t="n">
        <v>0</v>
      </c>
      <c r="M978" t="n">
        <v>0</v>
      </c>
      <c r="N978" t="n">
        <v>0</v>
      </c>
      <c r="O978" t="n">
        <v>0</v>
      </c>
      <c r="P978" t="n">
        <v>0</v>
      </c>
      <c r="Q978" t="n">
        <v>0</v>
      </c>
      <c r="R978" s="2" t="inlineStr"/>
    </row>
    <row r="979" ht="15" customHeight="1">
      <c r="A979" t="inlineStr">
        <is>
          <t>A 5034-2021</t>
        </is>
      </c>
      <c r="B979" s="1" t="n">
        <v>44228</v>
      </c>
      <c r="C979" s="1" t="n">
        <v>45343</v>
      </c>
      <c r="D979" t="inlineStr">
        <is>
          <t>JÄMTLANDS LÄN</t>
        </is>
      </c>
      <c r="E979" t="inlineStr">
        <is>
          <t>STRÖMSUND</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5384-2021</t>
        </is>
      </c>
      <c r="B980" s="1" t="n">
        <v>44228</v>
      </c>
      <c r="C980" s="1" t="n">
        <v>45343</v>
      </c>
      <c r="D980" t="inlineStr">
        <is>
          <t>JÄMTLANDS LÄN</t>
        </is>
      </c>
      <c r="E980" t="inlineStr">
        <is>
          <t>STRÖMSUND</t>
        </is>
      </c>
      <c r="G980" t="n">
        <v>18.3</v>
      </c>
      <c r="H980" t="n">
        <v>0</v>
      </c>
      <c r="I980" t="n">
        <v>0</v>
      </c>
      <c r="J980" t="n">
        <v>0</v>
      </c>
      <c r="K980" t="n">
        <v>0</v>
      </c>
      <c r="L980" t="n">
        <v>0</v>
      </c>
      <c r="M980" t="n">
        <v>0</v>
      </c>
      <c r="N980" t="n">
        <v>0</v>
      </c>
      <c r="O980" t="n">
        <v>0</v>
      </c>
      <c r="P980" t="n">
        <v>0</v>
      </c>
      <c r="Q980" t="n">
        <v>0</v>
      </c>
      <c r="R980" s="2" t="inlineStr"/>
    </row>
    <row r="981" ht="15" customHeight="1">
      <c r="A981" t="inlineStr">
        <is>
          <t>A 5464-2021</t>
        </is>
      </c>
      <c r="B981" s="1" t="n">
        <v>44229</v>
      </c>
      <c r="C981" s="1" t="n">
        <v>45343</v>
      </c>
      <c r="D981" t="inlineStr">
        <is>
          <t>JÄMTLANDS LÄN</t>
        </is>
      </c>
      <c r="E981" t="inlineStr">
        <is>
          <t>STRÖMSUND</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5470-2021</t>
        </is>
      </c>
      <c r="B982" s="1" t="n">
        <v>44229</v>
      </c>
      <c r="C982" s="1" t="n">
        <v>45343</v>
      </c>
      <c r="D982" t="inlineStr">
        <is>
          <t>JÄMTLANDS LÄN</t>
        </is>
      </c>
      <c r="E982" t="inlineStr">
        <is>
          <t>STRÖMSUND</t>
        </is>
      </c>
      <c r="F982" t="inlineStr">
        <is>
          <t>SCA</t>
        </is>
      </c>
      <c r="G982" t="n">
        <v>5</v>
      </c>
      <c r="H982" t="n">
        <v>0</v>
      </c>
      <c r="I982" t="n">
        <v>0</v>
      </c>
      <c r="J982" t="n">
        <v>0</v>
      </c>
      <c r="K982" t="n">
        <v>0</v>
      </c>
      <c r="L982" t="n">
        <v>0</v>
      </c>
      <c r="M982" t="n">
        <v>0</v>
      </c>
      <c r="N982" t="n">
        <v>0</v>
      </c>
      <c r="O982" t="n">
        <v>0</v>
      </c>
      <c r="P982" t="n">
        <v>0</v>
      </c>
      <c r="Q982" t="n">
        <v>0</v>
      </c>
      <c r="R982" s="2" t="inlineStr"/>
    </row>
    <row r="983" ht="15" customHeight="1">
      <c r="A983" t="inlineStr">
        <is>
          <t>A 5795-2021</t>
        </is>
      </c>
      <c r="B983" s="1" t="n">
        <v>44230</v>
      </c>
      <c r="C983" s="1" t="n">
        <v>45343</v>
      </c>
      <c r="D983" t="inlineStr">
        <is>
          <t>JÄMTLANDS LÄN</t>
        </is>
      </c>
      <c r="E983" t="inlineStr">
        <is>
          <t>STRÖMSUND</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5794-2021</t>
        </is>
      </c>
      <c r="B984" s="1" t="n">
        <v>44230</v>
      </c>
      <c r="C984" s="1" t="n">
        <v>45343</v>
      </c>
      <c r="D984" t="inlineStr">
        <is>
          <t>JÄMTLANDS LÄN</t>
        </is>
      </c>
      <c r="E984" t="inlineStr">
        <is>
          <t>STRÖMSUND</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6386-2021</t>
        </is>
      </c>
      <c r="B985" s="1" t="n">
        <v>44232</v>
      </c>
      <c r="C985" s="1" t="n">
        <v>45343</v>
      </c>
      <c r="D985" t="inlineStr">
        <is>
          <t>JÄMTLANDS LÄN</t>
        </is>
      </c>
      <c r="E985" t="inlineStr">
        <is>
          <t>STRÖMSUND</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6394-2021</t>
        </is>
      </c>
      <c r="B986" s="1" t="n">
        <v>44232</v>
      </c>
      <c r="C986" s="1" t="n">
        <v>45343</v>
      </c>
      <c r="D986" t="inlineStr">
        <is>
          <t>JÄMTLANDS LÄN</t>
        </is>
      </c>
      <c r="E986" t="inlineStr">
        <is>
          <t>STRÖMSUND</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6371-2021</t>
        </is>
      </c>
      <c r="B987" s="1" t="n">
        <v>44232</v>
      </c>
      <c r="C987" s="1" t="n">
        <v>45343</v>
      </c>
      <c r="D987" t="inlineStr">
        <is>
          <t>JÄMTLANDS LÄN</t>
        </is>
      </c>
      <c r="E987" t="inlineStr">
        <is>
          <t>STRÖMSUND</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7268-2021</t>
        </is>
      </c>
      <c r="B988" s="1" t="n">
        <v>44238</v>
      </c>
      <c r="C988" s="1" t="n">
        <v>45343</v>
      </c>
      <c r="D988" t="inlineStr">
        <is>
          <t>JÄMTLANDS LÄN</t>
        </is>
      </c>
      <c r="E988" t="inlineStr">
        <is>
          <t>STRÖMSUND</t>
        </is>
      </c>
      <c r="G988" t="n">
        <v>5.2</v>
      </c>
      <c r="H988" t="n">
        <v>0</v>
      </c>
      <c r="I988" t="n">
        <v>0</v>
      </c>
      <c r="J988" t="n">
        <v>0</v>
      </c>
      <c r="K988" t="n">
        <v>0</v>
      </c>
      <c r="L988" t="n">
        <v>0</v>
      </c>
      <c r="M988" t="n">
        <v>0</v>
      </c>
      <c r="N988" t="n">
        <v>0</v>
      </c>
      <c r="O988" t="n">
        <v>0</v>
      </c>
      <c r="P988" t="n">
        <v>0</v>
      </c>
      <c r="Q988" t="n">
        <v>0</v>
      </c>
      <c r="R988" s="2" t="inlineStr"/>
    </row>
    <row r="989" ht="15" customHeight="1">
      <c r="A989" t="inlineStr">
        <is>
          <t>A 7697-2021</t>
        </is>
      </c>
      <c r="B989" s="1" t="n">
        <v>44239</v>
      </c>
      <c r="C989" s="1" t="n">
        <v>45343</v>
      </c>
      <c r="D989" t="inlineStr">
        <is>
          <t>JÄMTLANDS LÄN</t>
        </is>
      </c>
      <c r="E989" t="inlineStr">
        <is>
          <t>STRÖMSUND</t>
        </is>
      </c>
      <c r="G989" t="n">
        <v>2.7</v>
      </c>
      <c r="H989" t="n">
        <v>0</v>
      </c>
      <c r="I989" t="n">
        <v>0</v>
      </c>
      <c r="J989" t="n">
        <v>0</v>
      </c>
      <c r="K989" t="n">
        <v>0</v>
      </c>
      <c r="L989" t="n">
        <v>0</v>
      </c>
      <c r="M989" t="n">
        <v>0</v>
      </c>
      <c r="N989" t="n">
        <v>0</v>
      </c>
      <c r="O989" t="n">
        <v>0</v>
      </c>
      <c r="P989" t="n">
        <v>0</v>
      </c>
      <c r="Q989" t="n">
        <v>0</v>
      </c>
      <c r="R989" s="2" t="inlineStr"/>
    </row>
    <row r="990" ht="15" customHeight="1">
      <c r="A990" t="inlineStr">
        <is>
          <t>A 8016-2021</t>
        </is>
      </c>
      <c r="B990" s="1" t="n">
        <v>44243</v>
      </c>
      <c r="C990" s="1" t="n">
        <v>45343</v>
      </c>
      <c r="D990" t="inlineStr">
        <is>
          <t>JÄMTLANDS LÄN</t>
        </is>
      </c>
      <c r="E990" t="inlineStr">
        <is>
          <t>STRÖMSUND</t>
        </is>
      </c>
      <c r="G990" t="n">
        <v>2.8</v>
      </c>
      <c r="H990" t="n">
        <v>0</v>
      </c>
      <c r="I990" t="n">
        <v>0</v>
      </c>
      <c r="J990" t="n">
        <v>0</v>
      </c>
      <c r="K990" t="n">
        <v>0</v>
      </c>
      <c r="L990" t="n">
        <v>0</v>
      </c>
      <c r="M990" t="n">
        <v>0</v>
      </c>
      <c r="N990" t="n">
        <v>0</v>
      </c>
      <c r="O990" t="n">
        <v>0</v>
      </c>
      <c r="P990" t="n">
        <v>0</v>
      </c>
      <c r="Q990" t="n">
        <v>0</v>
      </c>
      <c r="R990" s="2" t="inlineStr"/>
    </row>
    <row r="991" ht="15" customHeight="1">
      <c r="A991" t="inlineStr">
        <is>
          <t>A 8020-2021</t>
        </is>
      </c>
      <c r="B991" s="1" t="n">
        <v>44243</v>
      </c>
      <c r="C991" s="1" t="n">
        <v>45343</v>
      </c>
      <c r="D991" t="inlineStr">
        <is>
          <t>JÄMTLANDS LÄN</t>
        </is>
      </c>
      <c r="E991" t="inlineStr">
        <is>
          <t>STRÖMSUND</t>
        </is>
      </c>
      <c r="G991" t="n">
        <v>2.7</v>
      </c>
      <c r="H991" t="n">
        <v>0</v>
      </c>
      <c r="I991" t="n">
        <v>0</v>
      </c>
      <c r="J991" t="n">
        <v>0</v>
      </c>
      <c r="K991" t="n">
        <v>0</v>
      </c>
      <c r="L991" t="n">
        <v>0</v>
      </c>
      <c r="M991" t="n">
        <v>0</v>
      </c>
      <c r="N991" t="n">
        <v>0</v>
      </c>
      <c r="O991" t="n">
        <v>0</v>
      </c>
      <c r="P991" t="n">
        <v>0</v>
      </c>
      <c r="Q991" t="n">
        <v>0</v>
      </c>
      <c r="R991" s="2" t="inlineStr"/>
    </row>
    <row r="992" ht="15" customHeight="1">
      <c r="A992" t="inlineStr">
        <is>
          <t>A 8364-2021</t>
        </is>
      </c>
      <c r="B992" s="1" t="n">
        <v>44244</v>
      </c>
      <c r="C992" s="1" t="n">
        <v>45343</v>
      </c>
      <c r="D992" t="inlineStr">
        <is>
          <t>JÄMTLANDS LÄN</t>
        </is>
      </c>
      <c r="E992" t="inlineStr">
        <is>
          <t>STRÖMSUND</t>
        </is>
      </c>
      <c r="G992" t="n">
        <v>1</v>
      </c>
      <c r="H992" t="n">
        <v>0</v>
      </c>
      <c r="I992" t="n">
        <v>0</v>
      </c>
      <c r="J992" t="n">
        <v>0</v>
      </c>
      <c r="K992" t="n">
        <v>0</v>
      </c>
      <c r="L992" t="n">
        <v>0</v>
      </c>
      <c r="M992" t="n">
        <v>0</v>
      </c>
      <c r="N992" t="n">
        <v>0</v>
      </c>
      <c r="O992" t="n">
        <v>0</v>
      </c>
      <c r="P992" t="n">
        <v>0</v>
      </c>
      <c r="Q992" t="n">
        <v>0</v>
      </c>
      <c r="R992" s="2" t="inlineStr"/>
    </row>
    <row r="993" ht="15" customHeight="1">
      <c r="A993" t="inlineStr">
        <is>
          <t>A 8979-2021</t>
        </is>
      </c>
      <c r="B993" s="1" t="n">
        <v>44246</v>
      </c>
      <c r="C993" s="1" t="n">
        <v>45343</v>
      </c>
      <c r="D993" t="inlineStr">
        <is>
          <t>JÄMTLANDS LÄN</t>
        </is>
      </c>
      <c r="E993" t="inlineStr">
        <is>
          <t>STRÖMSUND</t>
        </is>
      </c>
      <c r="G993" t="n">
        <v>40.4</v>
      </c>
      <c r="H993" t="n">
        <v>0</v>
      </c>
      <c r="I993" t="n">
        <v>0</v>
      </c>
      <c r="J993" t="n">
        <v>0</v>
      </c>
      <c r="K993" t="n">
        <v>0</v>
      </c>
      <c r="L993" t="n">
        <v>0</v>
      </c>
      <c r="M993" t="n">
        <v>0</v>
      </c>
      <c r="N993" t="n">
        <v>0</v>
      </c>
      <c r="O993" t="n">
        <v>0</v>
      </c>
      <c r="P993" t="n">
        <v>0</v>
      </c>
      <c r="Q993" t="n">
        <v>0</v>
      </c>
      <c r="R993" s="2" t="inlineStr"/>
    </row>
    <row r="994" ht="15" customHeight="1">
      <c r="A994" t="inlineStr">
        <is>
          <t>A 9710-2021</t>
        </is>
      </c>
      <c r="B994" s="1" t="n">
        <v>44252</v>
      </c>
      <c r="C994" s="1" t="n">
        <v>45343</v>
      </c>
      <c r="D994" t="inlineStr">
        <is>
          <t>JÄMTLANDS LÄN</t>
        </is>
      </c>
      <c r="E994" t="inlineStr">
        <is>
          <t>STRÖMSUND</t>
        </is>
      </c>
      <c r="G994" t="n">
        <v>18.5</v>
      </c>
      <c r="H994" t="n">
        <v>0</v>
      </c>
      <c r="I994" t="n">
        <v>0</v>
      </c>
      <c r="J994" t="n">
        <v>0</v>
      </c>
      <c r="K994" t="n">
        <v>0</v>
      </c>
      <c r="L994" t="n">
        <v>0</v>
      </c>
      <c r="M994" t="n">
        <v>0</v>
      </c>
      <c r="N994" t="n">
        <v>0</v>
      </c>
      <c r="O994" t="n">
        <v>0</v>
      </c>
      <c r="P994" t="n">
        <v>0</v>
      </c>
      <c r="Q994" t="n">
        <v>0</v>
      </c>
      <c r="R994" s="2" t="inlineStr"/>
    </row>
    <row r="995" ht="15" customHeight="1">
      <c r="A995" t="inlineStr">
        <is>
          <t>A 10528-2021</t>
        </is>
      </c>
      <c r="B995" s="1" t="n">
        <v>44257</v>
      </c>
      <c r="C995" s="1" t="n">
        <v>45343</v>
      </c>
      <c r="D995" t="inlineStr">
        <is>
          <t>JÄMTLANDS LÄN</t>
        </is>
      </c>
      <c r="E995" t="inlineStr">
        <is>
          <t>STRÖMSUND</t>
        </is>
      </c>
      <c r="G995" t="n">
        <v>12.8</v>
      </c>
      <c r="H995" t="n">
        <v>0</v>
      </c>
      <c r="I995" t="n">
        <v>0</v>
      </c>
      <c r="J995" t="n">
        <v>0</v>
      </c>
      <c r="K995" t="n">
        <v>0</v>
      </c>
      <c r="L995" t="n">
        <v>0</v>
      </c>
      <c r="M995" t="n">
        <v>0</v>
      </c>
      <c r="N995" t="n">
        <v>0</v>
      </c>
      <c r="O995" t="n">
        <v>0</v>
      </c>
      <c r="P995" t="n">
        <v>0</v>
      </c>
      <c r="Q995" t="n">
        <v>0</v>
      </c>
      <c r="R995" s="2" t="inlineStr"/>
    </row>
    <row r="996" ht="15" customHeight="1">
      <c r="A996" t="inlineStr">
        <is>
          <t>A 11034-2021</t>
        </is>
      </c>
      <c r="B996" s="1" t="n">
        <v>44260</v>
      </c>
      <c r="C996" s="1" t="n">
        <v>45343</v>
      </c>
      <c r="D996" t="inlineStr">
        <is>
          <t>JÄMTLANDS LÄN</t>
        </is>
      </c>
      <c r="E996" t="inlineStr">
        <is>
          <t>STRÖMSUND</t>
        </is>
      </c>
      <c r="G996" t="n">
        <v>8.5</v>
      </c>
      <c r="H996" t="n">
        <v>0</v>
      </c>
      <c r="I996" t="n">
        <v>0</v>
      </c>
      <c r="J996" t="n">
        <v>0</v>
      </c>
      <c r="K996" t="n">
        <v>0</v>
      </c>
      <c r="L996" t="n">
        <v>0</v>
      </c>
      <c r="M996" t="n">
        <v>0</v>
      </c>
      <c r="N996" t="n">
        <v>0</v>
      </c>
      <c r="O996" t="n">
        <v>0</v>
      </c>
      <c r="P996" t="n">
        <v>0</v>
      </c>
      <c r="Q996" t="n">
        <v>0</v>
      </c>
      <c r="R996" s="2" t="inlineStr"/>
    </row>
    <row r="997" ht="15" customHeight="1">
      <c r="A997" t="inlineStr">
        <is>
          <t>A 11508-2021</t>
        </is>
      </c>
      <c r="B997" s="1" t="n">
        <v>44264</v>
      </c>
      <c r="C997" s="1" t="n">
        <v>45343</v>
      </c>
      <c r="D997" t="inlineStr">
        <is>
          <t>JÄMTLANDS LÄN</t>
        </is>
      </c>
      <c r="E997" t="inlineStr">
        <is>
          <t>STRÖMSUND</t>
        </is>
      </c>
      <c r="F997" t="inlineStr">
        <is>
          <t>Kyrkan</t>
        </is>
      </c>
      <c r="G997" t="n">
        <v>3.5</v>
      </c>
      <c r="H997" t="n">
        <v>0</v>
      </c>
      <c r="I997" t="n">
        <v>0</v>
      </c>
      <c r="J997" t="n">
        <v>0</v>
      </c>
      <c r="K997" t="n">
        <v>0</v>
      </c>
      <c r="L997" t="n">
        <v>0</v>
      </c>
      <c r="M997" t="n">
        <v>0</v>
      </c>
      <c r="N997" t="n">
        <v>0</v>
      </c>
      <c r="O997" t="n">
        <v>0</v>
      </c>
      <c r="P997" t="n">
        <v>0</v>
      </c>
      <c r="Q997" t="n">
        <v>0</v>
      </c>
      <c r="R997" s="2" t="inlineStr"/>
    </row>
    <row r="998" ht="15" customHeight="1">
      <c r="A998" t="inlineStr">
        <is>
          <t>A 12250-2021</t>
        </is>
      </c>
      <c r="B998" s="1" t="n">
        <v>44266</v>
      </c>
      <c r="C998" s="1" t="n">
        <v>45343</v>
      </c>
      <c r="D998" t="inlineStr">
        <is>
          <t>JÄMTLANDS LÄN</t>
        </is>
      </c>
      <c r="E998" t="inlineStr">
        <is>
          <t>STRÖMSUND</t>
        </is>
      </c>
      <c r="G998" t="n">
        <v>5</v>
      </c>
      <c r="H998" t="n">
        <v>0</v>
      </c>
      <c r="I998" t="n">
        <v>0</v>
      </c>
      <c r="J998" t="n">
        <v>0</v>
      </c>
      <c r="K998" t="n">
        <v>0</v>
      </c>
      <c r="L998" t="n">
        <v>0</v>
      </c>
      <c r="M998" t="n">
        <v>0</v>
      </c>
      <c r="N998" t="n">
        <v>0</v>
      </c>
      <c r="O998" t="n">
        <v>0</v>
      </c>
      <c r="P998" t="n">
        <v>0</v>
      </c>
      <c r="Q998" t="n">
        <v>0</v>
      </c>
      <c r="R998" s="2" t="inlineStr"/>
    </row>
    <row r="999" ht="15" customHeight="1">
      <c r="A999" t="inlineStr">
        <is>
          <t>A 12186-2021</t>
        </is>
      </c>
      <c r="B999" s="1" t="n">
        <v>44266</v>
      </c>
      <c r="C999" s="1" t="n">
        <v>45343</v>
      </c>
      <c r="D999" t="inlineStr">
        <is>
          <t>JÄMTLANDS LÄN</t>
        </is>
      </c>
      <c r="E999" t="inlineStr">
        <is>
          <t>STRÖMSUND</t>
        </is>
      </c>
      <c r="G999" t="n">
        <v>3</v>
      </c>
      <c r="H999" t="n">
        <v>0</v>
      </c>
      <c r="I999" t="n">
        <v>0</v>
      </c>
      <c r="J999" t="n">
        <v>0</v>
      </c>
      <c r="K999" t="n">
        <v>0</v>
      </c>
      <c r="L999" t="n">
        <v>0</v>
      </c>
      <c r="M999" t="n">
        <v>0</v>
      </c>
      <c r="N999" t="n">
        <v>0</v>
      </c>
      <c r="O999" t="n">
        <v>0</v>
      </c>
      <c r="P999" t="n">
        <v>0</v>
      </c>
      <c r="Q999" t="n">
        <v>0</v>
      </c>
      <c r="R999" s="2" t="inlineStr"/>
    </row>
    <row r="1000" ht="15" customHeight="1">
      <c r="A1000" t="inlineStr">
        <is>
          <t>A 12428-2021</t>
        </is>
      </c>
      <c r="B1000" s="1" t="n">
        <v>44267</v>
      </c>
      <c r="C1000" s="1" t="n">
        <v>45343</v>
      </c>
      <c r="D1000" t="inlineStr">
        <is>
          <t>JÄMTLANDS LÄN</t>
        </is>
      </c>
      <c r="E1000" t="inlineStr">
        <is>
          <t>STRÖMSUND</t>
        </is>
      </c>
      <c r="G1000" t="n">
        <v>19.6</v>
      </c>
      <c r="H1000" t="n">
        <v>0</v>
      </c>
      <c r="I1000" t="n">
        <v>0</v>
      </c>
      <c r="J1000" t="n">
        <v>0</v>
      </c>
      <c r="K1000" t="n">
        <v>0</v>
      </c>
      <c r="L1000" t="n">
        <v>0</v>
      </c>
      <c r="M1000" t="n">
        <v>0</v>
      </c>
      <c r="N1000" t="n">
        <v>0</v>
      </c>
      <c r="O1000" t="n">
        <v>0</v>
      </c>
      <c r="P1000" t="n">
        <v>0</v>
      </c>
      <c r="Q1000" t="n">
        <v>0</v>
      </c>
      <c r="R1000" s="2" t="inlineStr"/>
    </row>
    <row r="1001" ht="15" customHeight="1">
      <c r="A1001" t="inlineStr">
        <is>
          <t>A 12840-2021</t>
        </is>
      </c>
      <c r="B1001" s="1" t="n">
        <v>44270</v>
      </c>
      <c r="C1001" s="1" t="n">
        <v>45343</v>
      </c>
      <c r="D1001" t="inlineStr">
        <is>
          <t>JÄMTLANDS LÄN</t>
        </is>
      </c>
      <c r="E1001" t="inlineStr">
        <is>
          <t>STRÖMSUND</t>
        </is>
      </c>
      <c r="G1001" t="n">
        <v>15.5</v>
      </c>
      <c r="H1001" t="n">
        <v>0</v>
      </c>
      <c r="I1001" t="n">
        <v>0</v>
      </c>
      <c r="J1001" t="n">
        <v>0</v>
      </c>
      <c r="K1001" t="n">
        <v>0</v>
      </c>
      <c r="L1001" t="n">
        <v>0</v>
      </c>
      <c r="M1001" t="n">
        <v>0</v>
      </c>
      <c r="N1001" t="n">
        <v>0</v>
      </c>
      <c r="O1001" t="n">
        <v>0</v>
      </c>
      <c r="P1001" t="n">
        <v>0</v>
      </c>
      <c r="Q1001" t="n">
        <v>0</v>
      </c>
      <c r="R1001" s="2" t="inlineStr"/>
    </row>
    <row r="1002" ht="15" customHeight="1">
      <c r="A1002" t="inlineStr">
        <is>
          <t>A 13041-2021</t>
        </is>
      </c>
      <c r="B1002" s="1" t="n">
        <v>44271</v>
      </c>
      <c r="C1002" s="1" t="n">
        <v>45343</v>
      </c>
      <c r="D1002" t="inlineStr">
        <is>
          <t>JÄMTLANDS LÄN</t>
        </is>
      </c>
      <c r="E1002" t="inlineStr">
        <is>
          <t>STRÖMSUND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13563-2021</t>
        </is>
      </c>
      <c r="B1003" s="1" t="n">
        <v>44273</v>
      </c>
      <c r="C1003" s="1" t="n">
        <v>45343</v>
      </c>
      <c r="D1003" t="inlineStr">
        <is>
          <t>JÄMTLANDS LÄN</t>
        </is>
      </c>
      <c r="E1003" t="inlineStr">
        <is>
          <t>STRÖMSUND</t>
        </is>
      </c>
      <c r="G1003" t="n">
        <v>27.1</v>
      </c>
      <c r="H1003" t="n">
        <v>0</v>
      </c>
      <c r="I1003" t="n">
        <v>0</v>
      </c>
      <c r="J1003" t="n">
        <v>0</v>
      </c>
      <c r="K1003" t="n">
        <v>0</v>
      </c>
      <c r="L1003" t="n">
        <v>0</v>
      </c>
      <c r="M1003" t="n">
        <v>0</v>
      </c>
      <c r="N1003" t="n">
        <v>0</v>
      </c>
      <c r="O1003" t="n">
        <v>0</v>
      </c>
      <c r="P1003" t="n">
        <v>0</v>
      </c>
      <c r="Q1003" t="n">
        <v>0</v>
      </c>
      <c r="R1003" s="2" t="inlineStr"/>
    </row>
    <row r="1004" ht="15" customHeight="1">
      <c r="A1004" t="inlineStr">
        <is>
          <t>A 14067-2021</t>
        </is>
      </c>
      <c r="B1004" s="1" t="n">
        <v>44277</v>
      </c>
      <c r="C1004" s="1" t="n">
        <v>45343</v>
      </c>
      <c r="D1004" t="inlineStr">
        <is>
          <t>JÄMTLANDS LÄN</t>
        </is>
      </c>
      <c r="E1004" t="inlineStr">
        <is>
          <t>STRÖMSUND</t>
        </is>
      </c>
      <c r="G1004" t="n">
        <v>27.7</v>
      </c>
      <c r="H1004" t="n">
        <v>0</v>
      </c>
      <c r="I1004" t="n">
        <v>0</v>
      </c>
      <c r="J1004" t="n">
        <v>0</v>
      </c>
      <c r="K1004" t="n">
        <v>0</v>
      </c>
      <c r="L1004" t="n">
        <v>0</v>
      </c>
      <c r="M1004" t="n">
        <v>0</v>
      </c>
      <c r="N1004" t="n">
        <v>0</v>
      </c>
      <c r="O1004" t="n">
        <v>0</v>
      </c>
      <c r="P1004" t="n">
        <v>0</v>
      </c>
      <c r="Q1004" t="n">
        <v>0</v>
      </c>
      <c r="R1004" s="2" t="inlineStr"/>
    </row>
    <row r="1005" ht="15" customHeight="1">
      <c r="A1005" t="inlineStr">
        <is>
          <t>A 14147-2021</t>
        </is>
      </c>
      <c r="B1005" s="1" t="n">
        <v>44278</v>
      </c>
      <c r="C1005" s="1" t="n">
        <v>45343</v>
      </c>
      <c r="D1005" t="inlineStr">
        <is>
          <t>JÄMTLANDS LÄN</t>
        </is>
      </c>
      <c r="E1005" t="inlineStr">
        <is>
          <t>STRÖMSUND</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14556-2021</t>
        </is>
      </c>
      <c r="B1006" s="1" t="n">
        <v>44279</v>
      </c>
      <c r="C1006" s="1" t="n">
        <v>45343</v>
      </c>
      <c r="D1006" t="inlineStr">
        <is>
          <t>JÄMTLANDS LÄN</t>
        </is>
      </c>
      <c r="E1006" t="inlineStr">
        <is>
          <t>STRÖMSUND</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15118-2021</t>
        </is>
      </c>
      <c r="B1007" s="1" t="n">
        <v>44282</v>
      </c>
      <c r="C1007" s="1" t="n">
        <v>45343</v>
      </c>
      <c r="D1007" t="inlineStr">
        <is>
          <t>JÄMTLANDS LÄN</t>
        </is>
      </c>
      <c r="E1007" t="inlineStr">
        <is>
          <t>STRÖMSUND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15355-2021</t>
        </is>
      </c>
      <c r="B1008" s="1" t="n">
        <v>44284</v>
      </c>
      <c r="C1008" s="1" t="n">
        <v>45343</v>
      </c>
      <c r="D1008" t="inlineStr">
        <is>
          <t>JÄMTLANDS LÄN</t>
        </is>
      </c>
      <c r="E1008" t="inlineStr">
        <is>
          <t>STRÖMSUND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15360-2021</t>
        </is>
      </c>
      <c r="B1009" s="1" t="n">
        <v>44284</v>
      </c>
      <c r="C1009" s="1" t="n">
        <v>45343</v>
      </c>
      <c r="D1009" t="inlineStr">
        <is>
          <t>JÄMTLANDS LÄN</t>
        </is>
      </c>
      <c r="E1009" t="inlineStr">
        <is>
          <t>STRÖMSUND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15371-2021</t>
        </is>
      </c>
      <c r="B1010" s="1" t="n">
        <v>44284</v>
      </c>
      <c r="C1010" s="1" t="n">
        <v>45343</v>
      </c>
      <c r="D1010" t="inlineStr">
        <is>
          <t>JÄMTLANDS LÄN</t>
        </is>
      </c>
      <c r="E1010" t="inlineStr">
        <is>
          <t>STRÖMSUND</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15650-2021</t>
        </is>
      </c>
      <c r="B1011" s="1" t="n">
        <v>44285</v>
      </c>
      <c r="C1011" s="1" t="n">
        <v>45343</v>
      </c>
      <c r="D1011" t="inlineStr">
        <is>
          <t>JÄMTLANDS LÄN</t>
        </is>
      </c>
      <c r="E1011" t="inlineStr">
        <is>
          <t>STRÖMSUND</t>
        </is>
      </c>
      <c r="F1011" t="inlineStr">
        <is>
          <t>SCA</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16128-2021</t>
        </is>
      </c>
      <c r="B1012" s="1" t="n">
        <v>44291</v>
      </c>
      <c r="C1012" s="1" t="n">
        <v>45343</v>
      </c>
      <c r="D1012" t="inlineStr">
        <is>
          <t>JÄMTLANDS LÄN</t>
        </is>
      </c>
      <c r="E1012" t="inlineStr">
        <is>
          <t>STRÖMSUND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16774-2021</t>
        </is>
      </c>
      <c r="B1013" s="1" t="n">
        <v>44294</v>
      </c>
      <c r="C1013" s="1" t="n">
        <v>45343</v>
      </c>
      <c r="D1013" t="inlineStr">
        <is>
          <t>JÄMTLANDS LÄN</t>
        </is>
      </c>
      <c r="E1013" t="inlineStr">
        <is>
          <t>STRÖMSUND</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17368-2021</t>
        </is>
      </c>
      <c r="B1014" s="1" t="n">
        <v>44299</v>
      </c>
      <c r="C1014" s="1" t="n">
        <v>45343</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17373-2021</t>
        </is>
      </c>
      <c r="B1015" s="1" t="n">
        <v>44299</v>
      </c>
      <c r="C1015" s="1" t="n">
        <v>45343</v>
      </c>
      <c r="D1015" t="inlineStr">
        <is>
          <t>JÄMTLANDS LÄN</t>
        </is>
      </c>
      <c r="E1015" t="inlineStr">
        <is>
          <t>STRÖMSUND</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17808-2021</t>
        </is>
      </c>
      <c r="B1016" s="1" t="n">
        <v>44300</v>
      </c>
      <c r="C1016" s="1" t="n">
        <v>45343</v>
      </c>
      <c r="D1016" t="inlineStr">
        <is>
          <t>JÄMTLANDS LÄN</t>
        </is>
      </c>
      <c r="E1016" t="inlineStr">
        <is>
          <t>STRÖMSUND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17857-2021</t>
        </is>
      </c>
      <c r="B1017" s="1" t="n">
        <v>44300</v>
      </c>
      <c r="C1017" s="1" t="n">
        <v>45343</v>
      </c>
      <c r="D1017" t="inlineStr">
        <is>
          <t>JÄMTLANDS LÄN</t>
        </is>
      </c>
      <c r="E1017" t="inlineStr">
        <is>
          <t>STRÖMSUND</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17933-2021</t>
        </is>
      </c>
      <c r="B1018" s="1" t="n">
        <v>44301</v>
      </c>
      <c r="C1018" s="1" t="n">
        <v>45343</v>
      </c>
      <c r="D1018" t="inlineStr">
        <is>
          <t>JÄMTLANDS LÄN</t>
        </is>
      </c>
      <c r="E1018" t="inlineStr">
        <is>
          <t>STRÖMSUND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18220-2021</t>
        </is>
      </c>
      <c r="B1019" s="1" t="n">
        <v>44302</v>
      </c>
      <c r="C1019" s="1" t="n">
        <v>45343</v>
      </c>
      <c r="D1019" t="inlineStr">
        <is>
          <t>JÄMTLANDS LÄN</t>
        </is>
      </c>
      <c r="E1019" t="inlineStr">
        <is>
          <t>STRÖMSUND</t>
        </is>
      </c>
      <c r="F1019" t="inlineStr">
        <is>
          <t>SCA</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18775-2021</t>
        </is>
      </c>
      <c r="B1020" s="1" t="n">
        <v>44307</v>
      </c>
      <c r="C1020" s="1" t="n">
        <v>45343</v>
      </c>
      <c r="D1020" t="inlineStr">
        <is>
          <t>JÄMTLANDS LÄN</t>
        </is>
      </c>
      <c r="E1020" t="inlineStr">
        <is>
          <t>STRÖMSUND</t>
        </is>
      </c>
      <c r="G1020" t="n">
        <v>39.7</v>
      </c>
      <c r="H1020" t="n">
        <v>0</v>
      </c>
      <c r="I1020" t="n">
        <v>0</v>
      </c>
      <c r="J1020" t="n">
        <v>0</v>
      </c>
      <c r="K1020" t="n">
        <v>0</v>
      </c>
      <c r="L1020" t="n">
        <v>0</v>
      </c>
      <c r="M1020" t="n">
        <v>0</v>
      </c>
      <c r="N1020" t="n">
        <v>0</v>
      </c>
      <c r="O1020" t="n">
        <v>0</v>
      </c>
      <c r="P1020" t="n">
        <v>0</v>
      </c>
      <c r="Q1020" t="n">
        <v>0</v>
      </c>
      <c r="R1020" s="2" t="inlineStr"/>
    </row>
    <row r="1021" ht="15" customHeight="1">
      <c r="A1021" t="inlineStr">
        <is>
          <t>A 20413-2021</t>
        </is>
      </c>
      <c r="B1021" s="1" t="n">
        <v>44312</v>
      </c>
      <c r="C1021" s="1" t="n">
        <v>45343</v>
      </c>
      <c r="D1021" t="inlineStr">
        <is>
          <t>JÄMTLANDS LÄN</t>
        </is>
      </c>
      <c r="E1021" t="inlineStr">
        <is>
          <t>STRÖMSUND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19726-2021</t>
        </is>
      </c>
      <c r="B1022" s="1" t="n">
        <v>44312</v>
      </c>
      <c r="C1022" s="1" t="n">
        <v>45343</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19556-2021</t>
        </is>
      </c>
      <c r="B1023" s="1" t="n">
        <v>44312</v>
      </c>
      <c r="C1023" s="1" t="n">
        <v>45343</v>
      </c>
      <c r="D1023" t="inlineStr">
        <is>
          <t>JÄMTLANDS LÄN</t>
        </is>
      </c>
      <c r="E1023" t="inlineStr">
        <is>
          <t>STRÖMSUND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19572-2021</t>
        </is>
      </c>
      <c r="B1024" s="1" t="n">
        <v>44312</v>
      </c>
      <c r="C1024" s="1" t="n">
        <v>45343</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19567-2021</t>
        </is>
      </c>
      <c r="B1025" s="1" t="n">
        <v>44312</v>
      </c>
      <c r="C1025" s="1" t="n">
        <v>45343</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20295-2021</t>
        </is>
      </c>
      <c r="B1026" s="1" t="n">
        <v>44314</v>
      </c>
      <c r="C1026" s="1" t="n">
        <v>45343</v>
      </c>
      <c r="D1026" t="inlineStr">
        <is>
          <t>JÄMTLANDS LÄN</t>
        </is>
      </c>
      <c r="E1026" t="inlineStr">
        <is>
          <t>STRÖMSUND</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21095-2021</t>
        </is>
      </c>
      <c r="B1027" s="1" t="n">
        <v>44319</v>
      </c>
      <c r="C1027" s="1" t="n">
        <v>45343</v>
      </c>
      <c r="D1027" t="inlineStr">
        <is>
          <t>JÄMTLANDS LÄN</t>
        </is>
      </c>
      <c r="E1027" t="inlineStr">
        <is>
          <t>STRÖMSUND</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21103-2021</t>
        </is>
      </c>
      <c r="B1028" s="1" t="n">
        <v>44320</v>
      </c>
      <c r="C1028" s="1" t="n">
        <v>45343</v>
      </c>
      <c r="D1028" t="inlineStr">
        <is>
          <t>JÄMTLANDS LÄN</t>
        </is>
      </c>
      <c r="E1028" t="inlineStr">
        <is>
          <t>STRÖMSUND</t>
        </is>
      </c>
      <c r="F1028" t="inlineStr">
        <is>
          <t>SCA</t>
        </is>
      </c>
      <c r="G1028" t="n">
        <v>14.8</v>
      </c>
      <c r="H1028" t="n">
        <v>0</v>
      </c>
      <c r="I1028" t="n">
        <v>0</v>
      </c>
      <c r="J1028" t="n">
        <v>0</v>
      </c>
      <c r="K1028" t="n">
        <v>0</v>
      </c>
      <c r="L1028" t="n">
        <v>0</v>
      </c>
      <c r="M1028" t="n">
        <v>0</v>
      </c>
      <c r="N1028" t="n">
        <v>0</v>
      </c>
      <c r="O1028" t="n">
        <v>0</v>
      </c>
      <c r="P1028" t="n">
        <v>0</v>
      </c>
      <c r="Q1028" t="n">
        <v>0</v>
      </c>
      <c r="R1028" s="2" t="inlineStr"/>
    </row>
    <row r="1029" ht="15" customHeight="1">
      <c r="A1029" t="inlineStr">
        <is>
          <t>A 21097-2021</t>
        </is>
      </c>
      <c r="B1029" s="1" t="n">
        <v>44319</v>
      </c>
      <c r="C1029" s="1" t="n">
        <v>45343</v>
      </c>
      <c r="D1029" t="inlineStr">
        <is>
          <t>JÄMTLANDS LÄN</t>
        </is>
      </c>
      <c r="E1029" t="inlineStr">
        <is>
          <t>STRÖMSUND</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21093-2021</t>
        </is>
      </c>
      <c r="B1030" s="1" t="n">
        <v>44319</v>
      </c>
      <c r="C1030" s="1" t="n">
        <v>45343</v>
      </c>
      <c r="D1030" t="inlineStr">
        <is>
          <t>JÄMTLANDS LÄN</t>
        </is>
      </c>
      <c r="E1030" t="inlineStr">
        <is>
          <t>STRÖMSUND</t>
        </is>
      </c>
      <c r="F1030" t="inlineStr">
        <is>
          <t>SCA</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22318-2021</t>
        </is>
      </c>
      <c r="B1031" s="1" t="n">
        <v>44321</v>
      </c>
      <c r="C1031" s="1" t="n">
        <v>45343</v>
      </c>
      <c r="D1031" t="inlineStr">
        <is>
          <t>JÄMTLANDS LÄN</t>
        </is>
      </c>
      <c r="E1031" t="inlineStr">
        <is>
          <t>STRÖMSUND</t>
        </is>
      </c>
      <c r="F1031" t="inlineStr">
        <is>
          <t>Holmen skog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21938-2021</t>
        </is>
      </c>
      <c r="B1032" s="1" t="n">
        <v>44322</v>
      </c>
      <c r="C1032" s="1" t="n">
        <v>45343</v>
      </c>
      <c r="D1032" t="inlineStr">
        <is>
          <t>JÄMTLANDS LÄN</t>
        </is>
      </c>
      <c r="E1032" t="inlineStr">
        <is>
          <t>STRÖMSUND</t>
        </is>
      </c>
      <c r="F1032" t="inlineStr">
        <is>
          <t>SCA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22527-2021</t>
        </is>
      </c>
      <c r="B1033" s="1" t="n">
        <v>44326</v>
      </c>
      <c r="C1033" s="1" t="n">
        <v>45343</v>
      </c>
      <c r="D1033" t="inlineStr">
        <is>
          <t>JÄMTLANDS LÄN</t>
        </is>
      </c>
      <c r="E1033" t="inlineStr">
        <is>
          <t>STRÖMSUND</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22632-2021</t>
        </is>
      </c>
      <c r="B1034" s="1" t="n">
        <v>44327</v>
      </c>
      <c r="C1034" s="1" t="n">
        <v>45343</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22783-2021</t>
        </is>
      </c>
      <c r="B1035" s="1" t="n">
        <v>44327</v>
      </c>
      <c r="C1035" s="1" t="n">
        <v>45343</v>
      </c>
      <c r="D1035" t="inlineStr">
        <is>
          <t>JÄMTLANDS LÄN</t>
        </is>
      </c>
      <c r="E1035" t="inlineStr">
        <is>
          <t>STRÖMSUND</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23103-2021</t>
        </is>
      </c>
      <c r="B1036" s="1" t="n">
        <v>44330</v>
      </c>
      <c r="C1036" s="1" t="n">
        <v>45343</v>
      </c>
      <c r="D1036" t="inlineStr">
        <is>
          <t>JÄMTLANDS LÄN</t>
        </is>
      </c>
      <c r="E1036" t="inlineStr">
        <is>
          <t>STRÖMSUND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23486-2021</t>
        </is>
      </c>
      <c r="B1037" s="1" t="n">
        <v>44333</v>
      </c>
      <c r="C1037" s="1" t="n">
        <v>45343</v>
      </c>
      <c r="D1037" t="inlineStr">
        <is>
          <t>JÄMTLANDS LÄN</t>
        </is>
      </c>
      <c r="E1037" t="inlineStr">
        <is>
          <t>STRÖMSUND</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23498-2021</t>
        </is>
      </c>
      <c r="B1038" s="1" t="n">
        <v>44334</v>
      </c>
      <c r="C1038" s="1" t="n">
        <v>45343</v>
      </c>
      <c r="D1038" t="inlineStr">
        <is>
          <t>JÄMTLANDS LÄN</t>
        </is>
      </c>
      <c r="E1038" t="inlineStr">
        <is>
          <t>STRÖMSUND</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23484-2021</t>
        </is>
      </c>
      <c r="B1039" s="1" t="n">
        <v>44334</v>
      </c>
      <c r="C1039" s="1" t="n">
        <v>45343</v>
      </c>
      <c r="D1039" t="inlineStr">
        <is>
          <t>JÄMTLANDS LÄN</t>
        </is>
      </c>
      <c r="E1039" t="inlineStr">
        <is>
          <t>STRÖMSUND</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23501-2021</t>
        </is>
      </c>
      <c r="B1040" s="1" t="n">
        <v>44333</v>
      </c>
      <c r="C1040" s="1" t="n">
        <v>45343</v>
      </c>
      <c r="D1040" t="inlineStr">
        <is>
          <t>JÄMTLANDS LÄN</t>
        </is>
      </c>
      <c r="E1040" t="inlineStr">
        <is>
          <t>STRÖMSUND</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24197-2021</t>
        </is>
      </c>
      <c r="B1041" s="1" t="n">
        <v>44336</v>
      </c>
      <c r="C1041" s="1" t="n">
        <v>45343</v>
      </c>
      <c r="D1041" t="inlineStr">
        <is>
          <t>JÄMTLANDS LÄN</t>
        </is>
      </c>
      <c r="E1041" t="inlineStr">
        <is>
          <t>STRÖMSUND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24744-2021</t>
        </is>
      </c>
      <c r="B1042" s="1" t="n">
        <v>44340</v>
      </c>
      <c r="C1042" s="1" t="n">
        <v>45343</v>
      </c>
      <c r="D1042" t="inlineStr">
        <is>
          <t>JÄMTLANDS LÄN</t>
        </is>
      </c>
      <c r="E1042" t="inlineStr">
        <is>
          <t>STRÖMSUND</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25510-2021</t>
        </is>
      </c>
      <c r="B1043" s="1" t="n">
        <v>44343</v>
      </c>
      <c r="C1043" s="1" t="n">
        <v>45343</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25888-2021</t>
        </is>
      </c>
      <c r="B1044" s="1" t="n">
        <v>44344</v>
      </c>
      <c r="C1044" s="1" t="n">
        <v>45343</v>
      </c>
      <c r="D1044" t="inlineStr">
        <is>
          <t>JÄMTLANDS LÄN</t>
        </is>
      </c>
      <c r="E1044" t="inlineStr">
        <is>
          <t>STRÖMSUND</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25963-2021</t>
        </is>
      </c>
      <c r="B1045" s="1" t="n">
        <v>44344</v>
      </c>
      <c r="C1045" s="1" t="n">
        <v>45343</v>
      </c>
      <c r="D1045" t="inlineStr">
        <is>
          <t>JÄMTLANDS LÄN</t>
        </is>
      </c>
      <c r="E1045" t="inlineStr">
        <is>
          <t>STRÖMSUND</t>
        </is>
      </c>
      <c r="F1045" t="inlineStr">
        <is>
          <t>Sveaskog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25960-2021</t>
        </is>
      </c>
      <c r="B1046" s="1" t="n">
        <v>44344</v>
      </c>
      <c r="C1046" s="1" t="n">
        <v>45343</v>
      </c>
      <c r="D1046" t="inlineStr">
        <is>
          <t>JÄMTLANDS LÄN</t>
        </is>
      </c>
      <c r="E1046" t="inlineStr">
        <is>
          <t>STRÖMSUND</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26101-2021</t>
        </is>
      </c>
      <c r="B1047" s="1" t="n">
        <v>44344</v>
      </c>
      <c r="C1047" s="1" t="n">
        <v>45343</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26104-2021</t>
        </is>
      </c>
      <c r="B1048" s="1" t="n">
        <v>44344</v>
      </c>
      <c r="C1048" s="1" t="n">
        <v>45343</v>
      </c>
      <c r="D1048" t="inlineStr">
        <is>
          <t>JÄMTLANDS LÄN</t>
        </is>
      </c>
      <c r="E1048" t="inlineStr">
        <is>
          <t>STRÖMSUND</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26127-2021</t>
        </is>
      </c>
      <c r="B1049" s="1" t="n">
        <v>44346</v>
      </c>
      <c r="C1049" s="1" t="n">
        <v>45343</v>
      </c>
      <c r="D1049" t="inlineStr">
        <is>
          <t>JÄMTLANDS LÄN</t>
        </is>
      </c>
      <c r="E1049" t="inlineStr">
        <is>
          <t>STRÖMSUND</t>
        </is>
      </c>
      <c r="F1049" t="inlineStr">
        <is>
          <t>SCA</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26131-2021</t>
        </is>
      </c>
      <c r="B1050" s="1" t="n">
        <v>44346</v>
      </c>
      <c r="C1050" s="1" t="n">
        <v>45343</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26142-2021</t>
        </is>
      </c>
      <c r="B1051" s="1" t="n">
        <v>44346</v>
      </c>
      <c r="C1051" s="1" t="n">
        <v>45343</v>
      </c>
      <c r="D1051" t="inlineStr">
        <is>
          <t>JÄMTLANDS LÄN</t>
        </is>
      </c>
      <c r="E1051" t="inlineStr">
        <is>
          <t>STRÖMSUND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26660-2021</t>
        </is>
      </c>
      <c r="B1052" s="1" t="n">
        <v>44349</v>
      </c>
      <c r="C1052" s="1" t="n">
        <v>45343</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26961-2021</t>
        </is>
      </c>
      <c r="B1053" s="1" t="n">
        <v>44350</v>
      </c>
      <c r="C1053" s="1" t="n">
        <v>45343</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27148-2021</t>
        </is>
      </c>
      <c r="B1054" s="1" t="n">
        <v>44350</v>
      </c>
      <c r="C1054" s="1" t="n">
        <v>45343</v>
      </c>
      <c r="D1054" t="inlineStr">
        <is>
          <t>JÄMTLANDS LÄN</t>
        </is>
      </c>
      <c r="E1054" t="inlineStr">
        <is>
          <t>STRÖMSUND</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27160-2021</t>
        </is>
      </c>
      <c r="B1055" s="1" t="n">
        <v>44350</v>
      </c>
      <c r="C1055" s="1" t="n">
        <v>45343</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27231-2021</t>
        </is>
      </c>
      <c r="B1056" s="1" t="n">
        <v>44350</v>
      </c>
      <c r="C1056" s="1" t="n">
        <v>45343</v>
      </c>
      <c r="D1056" t="inlineStr">
        <is>
          <t>JÄMTLANDS LÄN</t>
        </is>
      </c>
      <c r="E1056" t="inlineStr">
        <is>
          <t>STRÖMSUND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27233-2021</t>
        </is>
      </c>
      <c r="B1057" s="1" t="n">
        <v>44350</v>
      </c>
      <c r="C1057" s="1" t="n">
        <v>45343</v>
      </c>
      <c r="D1057" t="inlineStr">
        <is>
          <t>JÄMTLANDS LÄN</t>
        </is>
      </c>
      <c r="E1057" t="inlineStr">
        <is>
          <t>STRÖMSUND</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27232-2021</t>
        </is>
      </c>
      <c r="B1058" s="1" t="n">
        <v>44350</v>
      </c>
      <c r="C1058" s="1" t="n">
        <v>45343</v>
      </c>
      <c r="D1058" t="inlineStr">
        <is>
          <t>JÄMTLANDS LÄN</t>
        </is>
      </c>
      <c r="E1058" t="inlineStr">
        <is>
          <t>STRÖMSUND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27559-2021</t>
        </is>
      </c>
      <c r="B1059" s="1" t="n">
        <v>44352</v>
      </c>
      <c r="C1059" s="1" t="n">
        <v>45343</v>
      </c>
      <c r="D1059" t="inlineStr">
        <is>
          <t>JÄMTLANDS LÄN</t>
        </is>
      </c>
      <c r="E1059" t="inlineStr">
        <is>
          <t>STRÖMSUND</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27979-2021</t>
        </is>
      </c>
      <c r="B1060" s="1" t="n">
        <v>44354</v>
      </c>
      <c r="C1060" s="1" t="n">
        <v>45343</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27978-2021</t>
        </is>
      </c>
      <c r="B1061" s="1" t="n">
        <v>44354</v>
      </c>
      <c r="C1061" s="1" t="n">
        <v>45343</v>
      </c>
      <c r="D1061" t="inlineStr">
        <is>
          <t>JÄMTLANDS LÄN</t>
        </is>
      </c>
      <c r="E1061" t="inlineStr">
        <is>
          <t>STRÖMSUND</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27980-2021</t>
        </is>
      </c>
      <c r="B1062" s="1" t="n">
        <v>44354</v>
      </c>
      <c r="C1062" s="1" t="n">
        <v>45343</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29552-2021</t>
        </is>
      </c>
      <c r="B1063" s="1" t="n">
        <v>44361</v>
      </c>
      <c r="C1063" s="1" t="n">
        <v>45343</v>
      </c>
      <c r="D1063" t="inlineStr">
        <is>
          <t>JÄMTLANDS LÄN</t>
        </is>
      </c>
      <c r="E1063" t="inlineStr">
        <is>
          <t>STRÖMSUND</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29628-2021</t>
        </is>
      </c>
      <c r="B1064" s="1" t="n">
        <v>44361</v>
      </c>
      <c r="C1064" s="1" t="n">
        <v>45343</v>
      </c>
      <c r="D1064" t="inlineStr">
        <is>
          <t>JÄMTLANDS LÄN</t>
        </is>
      </c>
      <c r="E1064" t="inlineStr">
        <is>
          <t>STRÖMSUND</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29594-2021</t>
        </is>
      </c>
      <c r="B1065" s="1" t="n">
        <v>44361</v>
      </c>
      <c r="C1065" s="1" t="n">
        <v>45343</v>
      </c>
      <c r="D1065" t="inlineStr">
        <is>
          <t>JÄMTLANDS LÄN</t>
        </is>
      </c>
      <c r="E1065" t="inlineStr">
        <is>
          <t>STRÖMSUND</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29601-2021</t>
        </is>
      </c>
      <c r="B1066" s="1" t="n">
        <v>44362</v>
      </c>
      <c r="C1066" s="1" t="n">
        <v>45343</v>
      </c>
      <c r="D1066" t="inlineStr">
        <is>
          <t>JÄMTLANDS LÄN</t>
        </is>
      </c>
      <c r="E1066" t="inlineStr">
        <is>
          <t>STRÖMSUND</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29625-2021</t>
        </is>
      </c>
      <c r="B1067" s="1" t="n">
        <v>44362</v>
      </c>
      <c r="C1067" s="1" t="n">
        <v>45343</v>
      </c>
      <c r="D1067" t="inlineStr">
        <is>
          <t>JÄMTLANDS LÄN</t>
        </is>
      </c>
      <c r="E1067" t="inlineStr">
        <is>
          <t>STRÖMSUND</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29624-2021</t>
        </is>
      </c>
      <c r="B1068" s="1" t="n">
        <v>44362</v>
      </c>
      <c r="C1068" s="1" t="n">
        <v>45343</v>
      </c>
      <c r="D1068" t="inlineStr">
        <is>
          <t>JÄMTLANDS LÄN</t>
        </is>
      </c>
      <c r="E1068" t="inlineStr">
        <is>
          <t>STRÖMSUND</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29637-2021</t>
        </is>
      </c>
      <c r="B1069" s="1" t="n">
        <v>44362</v>
      </c>
      <c r="C1069" s="1" t="n">
        <v>45343</v>
      </c>
      <c r="D1069" t="inlineStr">
        <is>
          <t>JÄMTLANDS LÄN</t>
        </is>
      </c>
      <c r="E1069" t="inlineStr">
        <is>
          <t>STRÖMSUND</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29841-2021</t>
        </is>
      </c>
      <c r="B1070" s="1" t="n">
        <v>44362</v>
      </c>
      <c r="C1070" s="1" t="n">
        <v>45343</v>
      </c>
      <c r="D1070" t="inlineStr">
        <is>
          <t>JÄMTLANDS LÄN</t>
        </is>
      </c>
      <c r="E1070" t="inlineStr">
        <is>
          <t>STRÖMSUND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29903-2021</t>
        </is>
      </c>
      <c r="B1071" s="1" t="n">
        <v>44363</v>
      </c>
      <c r="C1071" s="1" t="n">
        <v>45343</v>
      </c>
      <c r="D1071" t="inlineStr">
        <is>
          <t>JÄMTLANDS LÄN</t>
        </is>
      </c>
      <c r="E1071" t="inlineStr">
        <is>
          <t>STRÖMSUND</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29916-2021</t>
        </is>
      </c>
      <c r="B1072" s="1" t="n">
        <v>44363</v>
      </c>
      <c r="C1072" s="1" t="n">
        <v>45343</v>
      </c>
      <c r="D1072" t="inlineStr">
        <is>
          <t>JÄMTLANDS LÄN</t>
        </is>
      </c>
      <c r="E1072" t="inlineStr">
        <is>
          <t>STRÖMSUND</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29905-2021</t>
        </is>
      </c>
      <c r="B1073" s="1" t="n">
        <v>44363</v>
      </c>
      <c r="C1073" s="1" t="n">
        <v>45343</v>
      </c>
      <c r="D1073" t="inlineStr">
        <is>
          <t>JÄMTLANDS LÄN</t>
        </is>
      </c>
      <c r="E1073" t="inlineStr">
        <is>
          <t>STRÖMSUND</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30580-2021</t>
        </is>
      </c>
      <c r="B1074" s="1" t="n">
        <v>44365</v>
      </c>
      <c r="C1074" s="1" t="n">
        <v>45343</v>
      </c>
      <c r="D1074" t="inlineStr">
        <is>
          <t>JÄMTLANDS LÄN</t>
        </is>
      </c>
      <c r="E1074" t="inlineStr">
        <is>
          <t>STRÖMSUND</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30985-2021</t>
        </is>
      </c>
      <c r="B1075" s="1" t="n">
        <v>44366</v>
      </c>
      <c r="C1075" s="1" t="n">
        <v>45343</v>
      </c>
      <c r="D1075" t="inlineStr">
        <is>
          <t>JÄMTLANDS LÄN</t>
        </is>
      </c>
      <c r="E1075" t="inlineStr">
        <is>
          <t>STRÖMSUND</t>
        </is>
      </c>
      <c r="F1075" t="inlineStr">
        <is>
          <t>SCA</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31077-2021</t>
        </is>
      </c>
      <c r="B1076" s="1" t="n">
        <v>44365</v>
      </c>
      <c r="C1076" s="1" t="n">
        <v>45343</v>
      </c>
      <c r="D1076" t="inlineStr">
        <is>
          <t>JÄMTLANDS LÄN</t>
        </is>
      </c>
      <c r="E1076" t="inlineStr">
        <is>
          <t>STRÖMSUND</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31089-2021</t>
        </is>
      </c>
      <c r="B1077" s="1" t="n">
        <v>44368</v>
      </c>
      <c r="C1077" s="1" t="n">
        <v>45343</v>
      </c>
      <c r="D1077" t="inlineStr">
        <is>
          <t>JÄMTLANDS LÄN</t>
        </is>
      </c>
      <c r="E1077" t="inlineStr">
        <is>
          <t>STRÖMSUND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33787-2021</t>
        </is>
      </c>
      <c r="B1078" s="1" t="n">
        <v>44368</v>
      </c>
      <c r="C1078" s="1" t="n">
        <v>45343</v>
      </c>
      <c r="D1078" t="inlineStr">
        <is>
          <t>JÄMTLANDS LÄN</t>
        </is>
      </c>
      <c r="E1078" t="inlineStr">
        <is>
          <t>STRÖMSUND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31739-2021</t>
        </is>
      </c>
      <c r="B1079" s="1" t="n">
        <v>44369</v>
      </c>
      <c r="C1079" s="1" t="n">
        <v>45343</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31740-2021</t>
        </is>
      </c>
      <c r="B1080" s="1" t="n">
        <v>44370</v>
      </c>
      <c r="C1080" s="1" t="n">
        <v>45343</v>
      </c>
      <c r="D1080" t="inlineStr">
        <is>
          <t>JÄMTLANDS LÄN</t>
        </is>
      </c>
      <c r="E1080" t="inlineStr">
        <is>
          <t>STRÖMSUND</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32359-2021</t>
        </is>
      </c>
      <c r="B1081" s="1" t="n">
        <v>44371</v>
      </c>
      <c r="C1081" s="1" t="n">
        <v>45343</v>
      </c>
      <c r="D1081" t="inlineStr">
        <is>
          <t>JÄMTLANDS LÄN</t>
        </is>
      </c>
      <c r="E1081" t="inlineStr">
        <is>
          <t>STRÖMSUND</t>
        </is>
      </c>
      <c r="F1081" t="inlineStr">
        <is>
          <t>SCA</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32259-2021</t>
        </is>
      </c>
      <c r="B1082" s="1" t="n">
        <v>44371</v>
      </c>
      <c r="C1082" s="1" t="n">
        <v>45343</v>
      </c>
      <c r="D1082" t="inlineStr">
        <is>
          <t>JÄMTLANDS LÄN</t>
        </is>
      </c>
      <c r="E1082" t="inlineStr">
        <is>
          <t>STRÖMSUND</t>
        </is>
      </c>
      <c r="F1082" t="inlineStr">
        <is>
          <t>SCA</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32460-2021</t>
        </is>
      </c>
      <c r="B1083" s="1" t="n">
        <v>44371</v>
      </c>
      <c r="C1083" s="1" t="n">
        <v>45343</v>
      </c>
      <c r="D1083" t="inlineStr">
        <is>
          <t>JÄMTLANDS LÄN</t>
        </is>
      </c>
      <c r="E1083" t="inlineStr">
        <is>
          <t>STRÖMSUND</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32465-2021</t>
        </is>
      </c>
      <c r="B1084" s="1" t="n">
        <v>44371</v>
      </c>
      <c r="C1084" s="1" t="n">
        <v>45343</v>
      </c>
      <c r="D1084" t="inlineStr">
        <is>
          <t>JÄMTLANDS LÄN</t>
        </is>
      </c>
      <c r="E1084" t="inlineStr">
        <is>
          <t>STRÖMSUND</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32536-2021</t>
        </is>
      </c>
      <c r="B1085" s="1" t="n">
        <v>44374</v>
      </c>
      <c r="C1085" s="1" t="n">
        <v>45343</v>
      </c>
      <c r="D1085" t="inlineStr">
        <is>
          <t>JÄMTLANDS LÄN</t>
        </is>
      </c>
      <c r="E1085" t="inlineStr">
        <is>
          <t>STRÖMSUND</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32531-2021</t>
        </is>
      </c>
      <c r="B1086" s="1" t="n">
        <v>44375</v>
      </c>
      <c r="C1086" s="1" t="n">
        <v>45343</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32539-2021</t>
        </is>
      </c>
      <c r="B1087" s="1" t="n">
        <v>44375</v>
      </c>
      <c r="C1087" s="1" t="n">
        <v>45343</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32533-2021</t>
        </is>
      </c>
      <c r="B1088" s="1" t="n">
        <v>44375</v>
      </c>
      <c r="C1088" s="1" t="n">
        <v>45343</v>
      </c>
      <c r="D1088" t="inlineStr">
        <is>
          <t>JÄMTLANDS LÄN</t>
        </is>
      </c>
      <c r="E1088" t="inlineStr">
        <is>
          <t>STRÖMSUND</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32538-2021</t>
        </is>
      </c>
      <c r="B1089" s="1" t="n">
        <v>44374</v>
      </c>
      <c r="C1089" s="1" t="n">
        <v>45343</v>
      </c>
      <c r="D1089" t="inlineStr">
        <is>
          <t>JÄMTLANDS LÄN</t>
        </is>
      </c>
      <c r="E1089" t="inlineStr">
        <is>
          <t>STRÖMSUND</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33104-2021</t>
        </is>
      </c>
      <c r="B1090" s="1" t="n">
        <v>44376</v>
      </c>
      <c r="C1090" s="1" t="n">
        <v>45343</v>
      </c>
      <c r="D1090" t="inlineStr">
        <is>
          <t>JÄMTLANDS LÄN</t>
        </is>
      </c>
      <c r="E1090" t="inlineStr">
        <is>
          <t>STRÖMSUND</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44377</v>
      </c>
      <c r="C1091" s="1" t="n">
        <v>45343</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33225-2021</t>
        </is>
      </c>
      <c r="B1092" s="1" t="n">
        <v>44376</v>
      </c>
      <c r="C1092" s="1" t="n">
        <v>45343</v>
      </c>
      <c r="D1092" t="inlineStr">
        <is>
          <t>JÄMTLANDS LÄN</t>
        </is>
      </c>
      <c r="E1092" t="inlineStr">
        <is>
          <t>STRÖMSUND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33216-2021</t>
        </is>
      </c>
      <c r="B1093" s="1" t="n">
        <v>44376</v>
      </c>
      <c r="C1093" s="1" t="n">
        <v>45343</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33549-2021</t>
        </is>
      </c>
      <c r="B1094" s="1" t="n">
        <v>44377</v>
      </c>
      <c r="C1094" s="1" t="n">
        <v>45343</v>
      </c>
      <c r="D1094" t="inlineStr">
        <is>
          <t>JÄMTLANDS LÄN</t>
        </is>
      </c>
      <c r="E1094" t="inlineStr">
        <is>
          <t>STRÖMSUND</t>
        </is>
      </c>
      <c r="F1094" t="inlineStr">
        <is>
          <t>SCA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33562-2021</t>
        </is>
      </c>
      <c r="B1095" s="1" t="n">
        <v>44377</v>
      </c>
      <c r="C1095" s="1" t="n">
        <v>45343</v>
      </c>
      <c r="D1095" t="inlineStr">
        <is>
          <t>JÄMTLANDS LÄN</t>
        </is>
      </c>
      <c r="E1095" t="inlineStr">
        <is>
          <t>STRÖMSUND</t>
        </is>
      </c>
      <c r="F1095" t="inlineStr">
        <is>
          <t>SCA</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33554-2021</t>
        </is>
      </c>
      <c r="B1096" s="1" t="n">
        <v>44377</v>
      </c>
      <c r="C1096" s="1" t="n">
        <v>45343</v>
      </c>
      <c r="D1096" t="inlineStr">
        <is>
          <t>JÄMTLANDS LÄN</t>
        </is>
      </c>
      <c r="E1096" t="inlineStr">
        <is>
          <t>STRÖMSUND</t>
        </is>
      </c>
      <c r="F1096" t="inlineStr">
        <is>
          <t>SCA</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35061-2021</t>
        </is>
      </c>
      <c r="B1097" s="1" t="n">
        <v>44383</v>
      </c>
      <c r="C1097" s="1" t="n">
        <v>45343</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35044-2021</t>
        </is>
      </c>
      <c r="B1098" s="1" t="n">
        <v>44384</v>
      </c>
      <c r="C1098" s="1" t="n">
        <v>45343</v>
      </c>
      <c r="D1098" t="inlineStr">
        <is>
          <t>JÄMTLANDS LÄN</t>
        </is>
      </c>
      <c r="E1098" t="inlineStr">
        <is>
          <t>STRÖMSUND</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35064-2021</t>
        </is>
      </c>
      <c r="B1099" s="1" t="n">
        <v>44383</v>
      </c>
      <c r="C1099" s="1" t="n">
        <v>45343</v>
      </c>
      <c r="D1099" t="inlineStr">
        <is>
          <t>JÄMTLANDS LÄN</t>
        </is>
      </c>
      <c r="E1099" t="inlineStr">
        <is>
          <t>STRÖMSUND</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35342-2021</t>
        </is>
      </c>
      <c r="B1100" s="1" t="n">
        <v>44385</v>
      </c>
      <c r="C1100" s="1" t="n">
        <v>45343</v>
      </c>
      <c r="D1100" t="inlineStr">
        <is>
          <t>JÄMTLANDS LÄN</t>
        </is>
      </c>
      <c r="E1100" t="inlineStr">
        <is>
          <t>STRÖMSUND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35352-2021</t>
        </is>
      </c>
      <c r="B1101" s="1" t="n">
        <v>44384</v>
      </c>
      <c r="C1101" s="1" t="n">
        <v>45343</v>
      </c>
      <c r="D1101" t="inlineStr">
        <is>
          <t>JÄMTLANDS LÄN</t>
        </is>
      </c>
      <c r="E1101" t="inlineStr">
        <is>
          <t>STRÖMSUND</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35565-2021</t>
        </is>
      </c>
      <c r="B1102" s="1" t="n">
        <v>44386</v>
      </c>
      <c r="C1102" s="1" t="n">
        <v>45343</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35522-2021</t>
        </is>
      </c>
      <c r="B1103" s="1" t="n">
        <v>44385</v>
      </c>
      <c r="C1103" s="1" t="n">
        <v>45343</v>
      </c>
      <c r="D1103" t="inlineStr">
        <is>
          <t>JÄMTLANDS LÄN</t>
        </is>
      </c>
      <c r="E1103" t="inlineStr">
        <is>
          <t>STRÖMSUND</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35916-2021</t>
        </is>
      </c>
      <c r="B1104" s="1" t="n">
        <v>44388</v>
      </c>
      <c r="C1104" s="1" t="n">
        <v>45343</v>
      </c>
      <c r="D1104" t="inlineStr">
        <is>
          <t>JÄMTLANDS LÄN</t>
        </is>
      </c>
      <c r="E1104" t="inlineStr">
        <is>
          <t>STRÖMSUND</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35915-2021</t>
        </is>
      </c>
      <c r="B1105" s="1" t="n">
        <v>44388</v>
      </c>
      <c r="C1105" s="1" t="n">
        <v>45343</v>
      </c>
      <c r="D1105" t="inlineStr">
        <is>
          <t>JÄMTLANDS LÄN</t>
        </is>
      </c>
      <c r="E1105" t="inlineStr">
        <is>
          <t>STRÖMSUND</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35914-2021</t>
        </is>
      </c>
      <c r="B1106" s="1" t="n">
        <v>44388</v>
      </c>
      <c r="C1106" s="1" t="n">
        <v>45343</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35918-2021</t>
        </is>
      </c>
      <c r="B1107" s="1" t="n">
        <v>44388</v>
      </c>
      <c r="C1107" s="1" t="n">
        <v>45343</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36176-2021</t>
        </is>
      </c>
      <c r="B1108" s="1" t="n">
        <v>44389</v>
      </c>
      <c r="C1108" s="1" t="n">
        <v>45343</v>
      </c>
      <c r="D1108" t="inlineStr">
        <is>
          <t>JÄMTLANDS LÄN</t>
        </is>
      </c>
      <c r="E1108" t="inlineStr">
        <is>
          <t>STRÖMSUND</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36453-2021</t>
        </is>
      </c>
      <c r="B1109" s="1" t="n">
        <v>44391</v>
      </c>
      <c r="C1109" s="1" t="n">
        <v>45343</v>
      </c>
      <c r="D1109" t="inlineStr">
        <is>
          <t>JÄMTLANDS LÄN</t>
        </is>
      </c>
      <c r="E1109" t="inlineStr">
        <is>
          <t>STRÖMSUND</t>
        </is>
      </c>
      <c r="F1109" t="inlineStr">
        <is>
          <t>SCA</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36706-2021</t>
        </is>
      </c>
      <c r="B1110" s="1" t="n">
        <v>44392</v>
      </c>
      <c r="C1110" s="1" t="n">
        <v>45343</v>
      </c>
      <c r="D1110" t="inlineStr">
        <is>
          <t>JÄMTLANDS LÄN</t>
        </is>
      </c>
      <c r="E1110" t="inlineStr">
        <is>
          <t>STRÖMSUND</t>
        </is>
      </c>
      <c r="F1110" t="inlineStr">
        <is>
          <t>Holmen skog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37047-2021</t>
        </is>
      </c>
      <c r="B1111" s="1" t="n">
        <v>44393</v>
      </c>
      <c r="C1111" s="1" t="n">
        <v>45343</v>
      </c>
      <c r="D1111" t="inlineStr">
        <is>
          <t>JÄMTLANDS LÄN</t>
        </is>
      </c>
      <c r="E1111" t="inlineStr">
        <is>
          <t>STRÖMSUND</t>
        </is>
      </c>
      <c r="F1111" t="inlineStr">
        <is>
          <t>SCA</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37229-2021</t>
        </is>
      </c>
      <c r="B1112" s="1" t="n">
        <v>44397</v>
      </c>
      <c r="C1112" s="1" t="n">
        <v>45343</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37373-2021</t>
        </is>
      </c>
      <c r="B1113" s="1" t="n">
        <v>44398</v>
      </c>
      <c r="C1113" s="1" t="n">
        <v>45343</v>
      </c>
      <c r="D1113" t="inlineStr">
        <is>
          <t>JÄMTLANDS LÄN</t>
        </is>
      </c>
      <c r="E1113" t="inlineStr">
        <is>
          <t>STRÖMSUND</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37370-2021</t>
        </is>
      </c>
      <c r="B1114" s="1" t="n">
        <v>44397</v>
      </c>
      <c r="C1114" s="1" t="n">
        <v>45343</v>
      </c>
      <c r="D1114" t="inlineStr">
        <is>
          <t>JÄMTLANDS LÄN</t>
        </is>
      </c>
      <c r="E1114" t="inlineStr">
        <is>
          <t>STRÖMSUND</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37371-2021</t>
        </is>
      </c>
      <c r="B1115" s="1" t="n">
        <v>44398</v>
      </c>
      <c r="C1115" s="1" t="n">
        <v>45343</v>
      </c>
      <c r="D1115" t="inlineStr">
        <is>
          <t>JÄMTLANDS LÄN</t>
        </is>
      </c>
      <c r="E1115" t="inlineStr">
        <is>
          <t>STRÖMSUND</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38219-2021</t>
        </is>
      </c>
      <c r="B1116" s="1" t="n">
        <v>44405</v>
      </c>
      <c r="C1116" s="1" t="n">
        <v>45343</v>
      </c>
      <c r="D1116" t="inlineStr">
        <is>
          <t>JÄMTLANDS LÄN</t>
        </is>
      </c>
      <c r="E1116" t="inlineStr">
        <is>
          <t>STRÖMSUND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38583-2021</t>
        </is>
      </c>
      <c r="B1117" s="1" t="n">
        <v>44408</v>
      </c>
      <c r="C1117" s="1" t="n">
        <v>45343</v>
      </c>
      <c r="D1117" t="inlineStr">
        <is>
          <t>JÄMTLANDS LÄN</t>
        </is>
      </c>
      <c r="E1117" t="inlineStr">
        <is>
          <t>STRÖMSUND</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38578-2021</t>
        </is>
      </c>
      <c r="B1118" s="1" t="n">
        <v>44407</v>
      </c>
      <c r="C1118" s="1" t="n">
        <v>45343</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38587-2021</t>
        </is>
      </c>
      <c r="B1119" s="1" t="n">
        <v>44408</v>
      </c>
      <c r="C1119" s="1" t="n">
        <v>45343</v>
      </c>
      <c r="D1119" t="inlineStr">
        <is>
          <t>JÄMTLANDS LÄN</t>
        </is>
      </c>
      <c r="E1119" t="inlineStr">
        <is>
          <t>STRÖMSUND</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38586-2021</t>
        </is>
      </c>
      <c r="B1120" s="1" t="n">
        <v>44407</v>
      </c>
      <c r="C1120" s="1" t="n">
        <v>45343</v>
      </c>
      <c r="D1120" t="inlineStr">
        <is>
          <t>JÄMTLANDS LÄN</t>
        </is>
      </c>
      <c r="E1120" t="inlineStr">
        <is>
          <t>STRÖMSUND</t>
        </is>
      </c>
      <c r="F1120" t="inlineStr">
        <is>
          <t>SCA</t>
        </is>
      </c>
      <c r="G1120" t="n">
        <v>1.4</v>
      </c>
      <c r="H1120" t="n">
        <v>0</v>
      </c>
      <c r="I1120" t="n">
        <v>0</v>
      </c>
      <c r="J1120" t="n">
        <v>0</v>
      </c>
      <c r="K1120" t="n">
        <v>0</v>
      </c>
      <c r="L1120" t="n">
        <v>0</v>
      </c>
      <c r="M1120" t="n">
        <v>0</v>
      </c>
      <c r="N1120" t="n">
        <v>0</v>
      </c>
      <c r="O1120" t="n">
        <v>0</v>
      </c>
      <c r="P1120" t="n">
        <v>0</v>
      </c>
      <c r="Q1120" t="n">
        <v>0</v>
      </c>
      <c r="R1120" s="2" t="inlineStr"/>
      <c r="U1120">
        <f>HYPERLINK("https://klasma.github.io/Logging_2313/knärot/A 38586-2021 karta knärot.png", "A 38586-2021")</f>
        <v/>
      </c>
      <c r="V1120">
        <f>HYPERLINK("https://klasma.github.io/Logging_2313/klagomål/A 38586-2021 FSC-klagomål.docx", "A 38586-2021")</f>
        <v/>
      </c>
      <c r="W1120">
        <f>HYPERLINK("https://klasma.github.io/Logging_2313/klagomålsmail/A 38586-2021 FSC-klagomål mail.docx", "A 38586-2021")</f>
        <v/>
      </c>
      <c r="X1120">
        <f>HYPERLINK("https://klasma.github.io/Logging_2313/tillsyn/A 38586-2021 tillsynsbegäran.docx", "A 38586-2021")</f>
        <v/>
      </c>
      <c r="Y1120">
        <f>HYPERLINK("https://klasma.github.io/Logging_2313/tillsynsmail/A 38586-2021 tillsynsbegäran mail.docx", "A 38586-2021")</f>
        <v/>
      </c>
    </row>
    <row r="1121" ht="15" customHeight="1">
      <c r="A1121" t="inlineStr">
        <is>
          <t>A 38629-2021</t>
        </is>
      </c>
      <c r="B1121" s="1" t="n">
        <v>44410</v>
      </c>
      <c r="C1121" s="1" t="n">
        <v>45343</v>
      </c>
      <c r="D1121" t="inlineStr">
        <is>
          <t>JÄMTLANDS LÄN</t>
        </is>
      </c>
      <c r="E1121" t="inlineStr">
        <is>
          <t>STRÖMSUND</t>
        </is>
      </c>
      <c r="F1121" t="inlineStr">
        <is>
          <t>SCA</t>
        </is>
      </c>
      <c r="G1121" t="n">
        <v>18.3</v>
      </c>
      <c r="H1121" t="n">
        <v>0</v>
      </c>
      <c r="I1121" t="n">
        <v>0</v>
      </c>
      <c r="J1121" t="n">
        <v>0</v>
      </c>
      <c r="K1121" t="n">
        <v>0</v>
      </c>
      <c r="L1121" t="n">
        <v>0</v>
      </c>
      <c r="M1121" t="n">
        <v>0</v>
      </c>
      <c r="N1121" t="n">
        <v>0</v>
      </c>
      <c r="O1121" t="n">
        <v>0</v>
      </c>
      <c r="P1121" t="n">
        <v>0</v>
      </c>
      <c r="Q1121" t="n">
        <v>0</v>
      </c>
      <c r="R1121" s="2" t="inlineStr"/>
    </row>
    <row r="1122" ht="15" customHeight="1">
      <c r="A1122" t="inlineStr">
        <is>
          <t>A 38763-2021</t>
        </is>
      </c>
      <c r="B1122" s="1" t="n">
        <v>44410</v>
      </c>
      <c r="C1122" s="1" t="n">
        <v>45343</v>
      </c>
      <c r="D1122" t="inlineStr">
        <is>
          <t>JÄMTLANDS LÄN</t>
        </is>
      </c>
      <c r="E1122" t="inlineStr">
        <is>
          <t>STRÖMSUND</t>
        </is>
      </c>
      <c r="F1122" t="inlineStr">
        <is>
          <t>Kyrkan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38786-2021</t>
        </is>
      </c>
      <c r="B1123" s="1" t="n">
        <v>44410</v>
      </c>
      <c r="C1123" s="1" t="n">
        <v>45343</v>
      </c>
      <c r="D1123" t="inlineStr">
        <is>
          <t>JÄMTLANDS LÄN</t>
        </is>
      </c>
      <c r="E1123" t="inlineStr">
        <is>
          <t>STRÖMSUND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39331-2021</t>
        </is>
      </c>
      <c r="B1124" s="1" t="n">
        <v>44414</v>
      </c>
      <c r="C1124" s="1" t="n">
        <v>45343</v>
      </c>
      <c r="D1124" t="inlineStr">
        <is>
          <t>JÄMTLANDS LÄN</t>
        </is>
      </c>
      <c r="E1124" t="inlineStr">
        <is>
          <t>STRÖMSUND</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39332-2021</t>
        </is>
      </c>
      <c r="B1125" s="1" t="n">
        <v>44413</v>
      </c>
      <c r="C1125" s="1" t="n">
        <v>45343</v>
      </c>
      <c r="D1125" t="inlineStr">
        <is>
          <t>JÄMTLANDS LÄN</t>
        </is>
      </c>
      <c r="E1125" t="inlineStr">
        <is>
          <t>STRÖMSUND</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39511-2021</t>
        </is>
      </c>
      <c r="B1126" s="1" t="n">
        <v>44414</v>
      </c>
      <c r="C1126" s="1" t="n">
        <v>45343</v>
      </c>
      <c r="D1126" t="inlineStr">
        <is>
          <t>JÄMTLANDS LÄN</t>
        </is>
      </c>
      <c r="E1126" t="inlineStr">
        <is>
          <t>STRÖMSUND</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39510-2021</t>
        </is>
      </c>
      <c r="B1127" s="1" t="n">
        <v>44414</v>
      </c>
      <c r="C1127" s="1" t="n">
        <v>45343</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39945-2021</t>
        </is>
      </c>
      <c r="B1128" s="1" t="n">
        <v>44417</v>
      </c>
      <c r="C1128" s="1" t="n">
        <v>45343</v>
      </c>
      <c r="D1128" t="inlineStr">
        <is>
          <t>JÄMTLANDS LÄN</t>
        </is>
      </c>
      <c r="E1128" t="inlineStr">
        <is>
          <t>STRÖMSUND</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39944-2021</t>
        </is>
      </c>
      <c r="B1129" s="1" t="n">
        <v>44417</v>
      </c>
      <c r="C1129" s="1" t="n">
        <v>45343</v>
      </c>
      <c r="D1129" t="inlineStr">
        <is>
          <t>JÄMTLANDS LÄN</t>
        </is>
      </c>
      <c r="E1129" t="inlineStr">
        <is>
          <t>STRÖMSUND</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40354-2021</t>
        </is>
      </c>
      <c r="B1130" s="1" t="n">
        <v>44419</v>
      </c>
      <c r="C1130" s="1" t="n">
        <v>45343</v>
      </c>
      <c r="D1130" t="inlineStr">
        <is>
          <t>JÄMTLANDS LÄN</t>
        </is>
      </c>
      <c r="E1130" t="inlineStr">
        <is>
          <t>STRÖMSUND</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40657-2021</t>
        </is>
      </c>
      <c r="B1131" s="1" t="n">
        <v>44420</v>
      </c>
      <c r="C1131" s="1" t="n">
        <v>45343</v>
      </c>
      <c r="D1131" t="inlineStr">
        <is>
          <t>JÄMTLANDS LÄN</t>
        </is>
      </c>
      <c r="E1131" t="inlineStr">
        <is>
          <t>STRÖMSUND</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40827-2021</t>
        </is>
      </c>
      <c r="B1132" s="1" t="n">
        <v>44421</v>
      </c>
      <c r="C1132" s="1" t="n">
        <v>45343</v>
      </c>
      <c r="D1132" t="inlineStr">
        <is>
          <t>JÄMTLANDS LÄN</t>
        </is>
      </c>
      <c r="E1132" t="inlineStr">
        <is>
          <t>STRÖMSUND</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40857-2021</t>
        </is>
      </c>
      <c r="B1133" s="1" t="n">
        <v>44421</v>
      </c>
      <c r="C1133" s="1" t="n">
        <v>45343</v>
      </c>
      <c r="D1133" t="inlineStr">
        <is>
          <t>JÄMTLANDS LÄN</t>
        </is>
      </c>
      <c r="E1133" t="inlineStr">
        <is>
          <t>STRÖMSUND</t>
        </is>
      </c>
      <c r="F1133" t="inlineStr">
        <is>
          <t>Holmen skog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40806-2021</t>
        </is>
      </c>
      <c r="B1134" s="1" t="n">
        <v>44421</v>
      </c>
      <c r="C1134" s="1" t="n">
        <v>45343</v>
      </c>
      <c r="D1134" t="inlineStr">
        <is>
          <t>JÄMTLANDS LÄN</t>
        </is>
      </c>
      <c r="E1134" t="inlineStr">
        <is>
          <t>STRÖMSUND</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41059-2021</t>
        </is>
      </c>
      <c r="B1135" s="1" t="n">
        <v>44422</v>
      </c>
      <c r="C1135" s="1" t="n">
        <v>45343</v>
      </c>
      <c r="D1135" t="inlineStr">
        <is>
          <t>JÄMTLANDS LÄN</t>
        </is>
      </c>
      <c r="E1135" t="inlineStr">
        <is>
          <t>STRÖMSUND</t>
        </is>
      </c>
      <c r="F1135" t="inlineStr">
        <is>
          <t>SCA</t>
        </is>
      </c>
      <c r="G1135" t="n">
        <v>17.6</v>
      </c>
      <c r="H1135" t="n">
        <v>0</v>
      </c>
      <c r="I1135" t="n">
        <v>0</v>
      </c>
      <c r="J1135" t="n">
        <v>0</v>
      </c>
      <c r="K1135" t="n">
        <v>0</v>
      </c>
      <c r="L1135" t="n">
        <v>0</v>
      </c>
      <c r="M1135" t="n">
        <v>0</v>
      </c>
      <c r="N1135" t="n">
        <v>0</v>
      </c>
      <c r="O1135" t="n">
        <v>0</v>
      </c>
      <c r="P1135" t="n">
        <v>0</v>
      </c>
      <c r="Q1135" t="n">
        <v>0</v>
      </c>
      <c r="R1135" s="2" t="inlineStr"/>
    </row>
    <row r="1136" ht="15" customHeight="1">
      <c r="A1136" t="inlineStr">
        <is>
          <t>A 41491-2021</t>
        </is>
      </c>
      <c r="B1136" s="1" t="n">
        <v>44424</v>
      </c>
      <c r="C1136" s="1" t="n">
        <v>45343</v>
      </c>
      <c r="D1136" t="inlineStr">
        <is>
          <t>JÄMTLANDS LÄN</t>
        </is>
      </c>
      <c r="E1136" t="inlineStr">
        <is>
          <t>STRÖMSUND</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41490-2021</t>
        </is>
      </c>
      <c r="B1137" s="1" t="n">
        <v>44425</v>
      </c>
      <c r="C1137" s="1" t="n">
        <v>45343</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41639-2021</t>
        </is>
      </c>
      <c r="B1138" s="1" t="n">
        <v>44425</v>
      </c>
      <c r="C1138" s="1" t="n">
        <v>45343</v>
      </c>
      <c r="D1138" t="inlineStr">
        <is>
          <t>JÄMTLANDS LÄN</t>
        </is>
      </c>
      <c r="E1138" t="inlineStr">
        <is>
          <t>STRÖMSUND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42247-2021</t>
        </is>
      </c>
      <c r="B1139" s="1" t="n">
        <v>44426</v>
      </c>
      <c r="C1139" s="1" t="n">
        <v>45343</v>
      </c>
      <c r="D1139" t="inlineStr">
        <is>
          <t>JÄMTLANDS LÄN</t>
        </is>
      </c>
      <c r="E1139" t="inlineStr">
        <is>
          <t>STRÖMSUND</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42549-2021</t>
        </is>
      </c>
      <c r="B1140" s="1" t="n">
        <v>44427</v>
      </c>
      <c r="C1140" s="1" t="n">
        <v>45343</v>
      </c>
      <c r="D1140" t="inlineStr">
        <is>
          <t>JÄMTLANDS LÄN</t>
        </is>
      </c>
      <c r="E1140" t="inlineStr">
        <is>
          <t>STRÖMSUND</t>
        </is>
      </c>
      <c r="F1140" t="inlineStr">
        <is>
          <t>SCA</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42545-2021</t>
        </is>
      </c>
      <c r="B1141" s="1" t="n">
        <v>44428</v>
      </c>
      <c r="C1141" s="1" t="n">
        <v>45343</v>
      </c>
      <c r="D1141" t="inlineStr">
        <is>
          <t>JÄMTLANDS LÄN</t>
        </is>
      </c>
      <c r="E1141" t="inlineStr">
        <is>
          <t>STRÖMSUND</t>
        </is>
      </c>
      <c r="F1141" t="inlineStr">
        <is>
          <t>SCA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42551-2021</t>
        </is>
      </c>
      <c r="B1142" s="1" t="n">
        <v>44427</v>
      </c>
      <c r="C1142" s="1" t="n">
        <v>45343</v>
      </c>
      <c r="D1142" t="inlineStr">
        <is>
          <t>JÄMTLANDS LÄN</t>
        </is>
      </c>
      <c r="E1142" t="inlineStr">
        <is>
          <t>STRÖMSUND</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42794-2021</t>
        </is>
      </c>
      <c r="B1143" s="1" t="n">
        <v>44429</v>
      </c>
      <c r="C1143" s="1" t="n">
        <v>45343</v>
      </c>
      <c r="D1143" t="inlineStr">
        <is>
          <t>JÄMTLANDS LÄN</t>
        </is>
      </c>
      <c r="E1143" t="inlineStr">
        <is>
          <t>STRÖMSUND</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43072-2021</t>
        </is>
      </c>
      <c r="B1144" s="1" t="n">
        <v>44431</v>
      </c>
      <c r="C1144" s="1" t="n">
        <v>45343</v>
      </c>
      <c r="D1144" t="inlineStr">
        <is>
          <t>JÄMTLANDS LÄN</t>
        </is>
      </c>
      <c r="E1144" t="inlineStr">
        <is>
          <t>STRÖMSUND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43839-2021</t>
        </is>
      </c>
      <c r="B1145" s="1" t="n">
        <v>44434</v>
      </c>
      <c r="C1145" s="1" t="n">
        <v>45343</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43754-2021</t>
        </is>
      </c>
      <c r="B1146" s="1" t="n">
        <v>44433</v>
      </c>
      <c r="C1146" s="1" t="n">
        <v>45343</v>
      </c>
      <c r="D1146" t="inlineStr">
        <is>
          <t>JÄMTLANDS LÄN</t>
        </is>
      </c>
      <c r="E1146" t="inlineStr">
        <is>
          <t>STRÖMSUND</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43752-2021</t>
        </is>
      </c>
      <c r="B1147" s="1" t="n">
        <v>44433</v>
      </c>
      <c r="C1147" s="1" t="n">
        <v>45343</v>
      </c>
      <c r="D1147" t="inlineStr">
        <is>
          <t>JÄMTLANDS LÄN</t>
        </is>
      </c>
      <c r="E1147" t="inlineStr">
        <is>
          <t>STRÖMSUND</t>
        </is>
      </c>
      <c r="F1147" t="inlineStr">
        <is>
          <t>Sveaskog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43842-2021</t>
        </is>
      </c>
      <c r="B1148" s="1" t="n">
        <v>44433</v>
      </c>
      <c r="C1148" s="1" t="n">
        <v>45343</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43846-2021</t>
        </is>
      </c>
      <c r="B1149" s="1" t="n">
        <v>44434</v>
      </c>
      <c r="C1149" s="1" t="n">
        <v>45343</v>
      </c>
      <c r="D1149" t="inlineStr">
        <is>
          <t>JÄMTLANDS LÄN</t>
        </is>
      </c>
      <c r="E1149" t="inlineStr">
        <is>
          <t>STRÖMSUND</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43844-2021</t>
        </is>
      </c>
      <c r="B1150" s="1" t="n">
        <v>44433</v>
      </c>
      <c r="C1150" s="1" t="n">
        <v>45343</v>
      </c>
      <c r="D1150" t="inlineStr">
        <is>
          <t>JÄMTLANDS LÄN</t>
        </is>
      </c>
      <c r="E1150" t="inlineStr">
        <is>
          <t>STRÖMSUND</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44025-2021</t>
        </is>
      </c>
      <c r="B1151" s="1" t="n">
        <v>44434</v>
      </c>
      <c r="C1151" s="1" t="n">
        <v>45343</v>
      </c>
      <c r="D1151" t="inlineStr">
        <is>
          <t>JÄMTLANDS LÄN</t>
        </is>
      </c>
      <c r="E1151" t="inlineStr">
        <is>
          <t>STRÖMSUND</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44104-2021</t>
        </is>
      </c>
      <c r="B1152" s="1" t="n">
        <v>44434</v>
      </c>
      <c r="C1152" s="1" t="n">
        <v>45343</v>
      </c>
      <c r="D1152" t="inlineStr">
        <is>
          <t>JÄMTLANDS LÄN</t>
        </is>
      </c>
      <c r="E1152" t="inlineStr">
        <is>
          <t>STRÖMSUND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44229-2021</t>
        </is>
      </c>
      <c r="B1153" s="1" t="n">
        <v>44434</v>
      </c>
      <c r="C1153" s="1" t="n">
        <v>45343</v>
      </c>
      <c r="D1153" t="inlineStr">
        <is>
          <t>JÄMTLANDS LÄN</t>
        </is>
      </c>
      <c r="E1153" t="inlineStr">
        <is>
          <t>STRÖMSUND</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44410-2021</t>
        </is>
      </c>
      <c r="B1154" s="1" t="n">
        <v>44435</v>
      </c>
      <c r="C1154" s="1" t="n">
        <v>45343</v>
      </c>
      <c r="D1154" t="inlineStr">
        <is>
          <t>JÄMTLANDS LÄN</t>
        </is>
      </c>
      <c r="E1154" t="inlineStr">
        <is>
          <t>STRÖMSUND</t>
        </is>
      </c>
      <c r="F1154" t="inlineStr">
        <is>
          <t>Holmen skog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44436-2021</t>
        </is>
      </c>
      <c r="B1155" s="1" t="n">
        <v>44435</v>
      </c>
      <c r="C1155" s="1" t="n">
        <v>45343</v>
      </c>
      <c r="D1155" t="inlineStr">
        <is>
          <t>JÄMTLANDS LÄN</t>
        </is>
      </c>
      <c r="E1155" t="inlineStr">
        <is>
          <t>STRÖMSUND</t>
        </is>
      </c>
      <c r="F1155" t="inlineStr">
        <is>
          <t>Holmen skog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44602-2021</t>
        </is>
      </c>
      <c r="B1156" s="1" t="n">
        <v>44436</v>
      </c>
      <c r="C1156" s="1" t="n">
        <v>45343</v>
      </c>
      <c r="D1156" t="inlineStr">
        <is>
          <t>JÄMTLANDS LÄN</t>
        </is>
      </c>
      <c r="E1156" t="inlineStr">
        <is>
          <t>STRÖMSUND</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44600-2021</t>
        </is>
      </c>
      <c r="B1157" s="1" t="n">
        <v>44436</v>
      </c>
      <c r="C1157" s="1" t="n">
        <v>45343</v>
      </c>
      <c r="D1157" t="inlineStr">
        <is>
          <t>JÄMTLANDS LÄN</t>
        </is>
      </c>
      <c r="E1157" t="inlineStr">
        <is>
          <t>STRÖMSUND</t>
        </is>
      </c>
      <c r="F1157" t="inlineStr">
        <is>
          <t>SCA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44605-2021</t>
        </is>
      </c>
      <c r="B1158" s="1" t="n">
        <v>44436</v>
      </c>
      <c r="C1158" s="1" t="n">
        <v>45343</v>
      </c>
      <c r="D1158" t="inlineStr">
        <is>
          <t>JÄMTLANDS LÄN</t>
        </is>
      </c>
      <c r="E1158" t="inlineStr">
        <is>
          <t>STRÖMSUND</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44606-2021</t>
        </is>
      </c>
      <c r="B1159" s="1" t="n">
        <v>44436</v>
      </c>
      <c r="C1159" s="1" t="n">
        <v>45343</v>
      </c>
      <c r="D1159" t="inlineStr">
        <is>
          <t>JÄMTLANDS LÄN</t>
        </is>
      </c>
      <c r="E1159" t="inlineStr">
        <is>
          <t>STRÖMSUND</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45011-2021</t>
        </is>
      </c>
      <c r="B1160" s="1" t="n">
        <v>44439</v>
      </c>
      <c r="C1160" s="1" t="n">
        <v>45343</v>
      </c>
      <c r="D1160" t="inlineStr">
        <is>
          <t>JÄMTLANDS LÄN</t>
        </is>
      </c>
      <c r="E1160" t="inlineStr">
        <is>
          <t>STRÖMSUND</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45230-2021</t>
        </is>
      </c>
      <c r="B1161" s="1" t="n">
        <v>44439</v>
      </c>
      <c r="C1161" s="1" t="n">
        <v>45343</v>
      </c>
      <c r="D1161" t="inlineStr">
        <is>
          <t>JÄMTLANDS LÄN</t>
        </is>
      </c>
      <c r="E1161" t="inlineStr">
        <is>
          <t>STRÖMSUND</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45351-2021</t>
        </is>
      </c>
      <c r="B1162" s="1" t="n">
        <v>44440</v>
      </c>
      <c r="C1162" s="1" t="n">
        <v>45343</v>
      </c>
      <c r="D1162" t="inlineStr">
        <is>
          <t>JÄMTLANDS LÄN</t>
        </is>
      </c>
      <c r="E1162" t="inlineStr">
        <is>
          <t>STRÖMSUND</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45333-2021</t>
        </is>
      </c>
      <c r="B1163" s="1" t="n">
        <v>44439</v>
      </c>
      <c r="C1163" s="1" t="n">
        <v>45343</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45340-2021</t>
        </is>
      </c>
      <c r="B1164" s="1" t="n">
        <v>44440</v>
      </c>
      <c r="C1164" s="1" t="n">
        <v>45343</v>
      </c>
      <c r="D1164" t="inlineStr">
        <is>
          <t>JÄMTLANDS LÄN</t>
        </is>
      </c>
      <c r="E1164" t="inlineStr">
        <is>
          <t>STRÖMSUND</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45622-2021</t>
        </is>
      </c>
      <c r="B1165" s="1" t="n">
        <v>44441</v>
      </c>
      <c r="C1165" s="1" t="n">
        <v>45343</v>
      </c>
      <c r="D1165" t="inlineStr">
        <is>
          <t>JÄMTLANDS LÄN</t>
        </is>
      </c>
      <c r="E1165" t="inlineStr">
        <is>
          <t>STRÖMSUND</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45640-2021</t>
        </is>
      </c>
      <c r="B1166" s="1" t="n">
        <v>44440</v>
      </c>
      <c r="C1166" s="1" t="n">
        <v>45343</v>
      </c>
      <c r="D1166" t="inlineStr">
        <is>
          <t>JÄMTLANDS LÄN</t>
        </is>
      </c>
      <c r="E1166" t="inlineStr">
        <is>
          <t>STRÖMSUND</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45628-2021</t>
        </is>
      </c>
      <c r="B1167" s="1" t="n">
        <v>44441</v>
      </c>
      <c r="C1167" s="1" t="n">
        <v>45343</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45635-2021</t>
        </is>
      </c>
      <c r="B1168" s="1" t="n">
        <v>44440</v>
      </c>
      <c r="C1168" s="1" t="n">
        <v>45343</v>
      </c>
      <c r="D1168" t="inlineStr">
        <is>
          <t>JÄMTLANDS LÄN</t>
        </is>
      </c>
      <c r="E1168" t="inlineStr">
        <is>
          <t>STRÖMSUND</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45641-2021</t>
        </is>
      </c>
      <c r="B1169" s="1" t="n">
        <v>44440</v>
      </c>
      <c r="C1169" s="1" t="n">
        <v>45343</v>
      </c>
      <c r="D1169" t="inlineStr">
        <is>
          <t>JÄMTLANDS LÄN</t>
        </is>
      </c>
      <c r="E1169" t="inlineStr">
        <is>
          <t>STRÖMSUND</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45630-2021</t>
        </is>
      </c>
      <c r="B1170" s="1" t="n">
        <v>44440</v>
      </c>
      <c r="C1170" s="1" t="n">
        <v>45343</v>
      </c>
      <c r="D1170" t="inlineStr">
        <is>
          <t>JÄMTLANDS LÄN</t>
        </is>
      </c>
      <c r="E1170" t="inlineStr">
        <is>
          <t>STRÖMSUND</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45638-2021</t>
        </is>
      </c>
      <c r="B1171" s="1" t="n">
        <v>44440</v>
      </c>
      <c r="C1171" s="1" t="n">
        <v>45343</v>
      </c>
      <c r="D1171" t="inlineStr">
        <is>
          <t>JÄMTLANDS LÄN</t>
        </is>
      </c>
      <c r="E1171" t="inlineStr">
        <is>
          <t>STRÖMSUND</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45627-2021</t>
        </is>
      </c>
      <c r="B1172" s="1" t="n">
        <v>44441</v>
      </c>
      <c r="C1172" s="1" t="n">
        <v>45343</v>
      </c>
      <c r="D1172" t="inlineStr">
        <is>
          <t>JÄMTLANDS LÄN</t>
        </is>
      </c>
      <c r="E1172" t="inlineStr">
        <is>
          <t>STRÖMSUND</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45626-2021</t>
        </is>
      </c>
      <c r="B1173" s="1" t="n">
        <v>44441</v>
      </c>
      <c r="C1173" s="1" t="n">
        <v>45343</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45639-2021</t>
        </is>
      </c>
      <c r="B1174" s="1" t="n">
        <v>44440</v>
      </c>
      <c r="C1174" s="1" t="n">
        <v>45343</v>
      </c>
      <c r="D1174" t="inlineStr">
        <is>
          <t>JÄMTLANDS LÄN</t>
        </is>
      </c>
      <c r="E1174" t="inlineStr">
        <is>
          <t>STRÖMSUND</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46969-2021</t>
        </is>
      </c>
      <c r="B1175" s="1" t="n">
        <v>44446</v>
      </c>
      <c r="C1175" s="1" t="n">
        <v>45343</v>
      </c>
      <c r="D1175" t="inlineStr">
        <is>
          <t>JÄMTLANDS LÄN</t>
        </is>
      </c>
      <c r="E1175" t="inlineStr">
        <is>
          <t>STRÖMSUND</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47261-2021</t>
        </is>
      </c>
      <c r="B1176" s="1" t="n">
        <v>44447</v>
      </c>
      <c r="C1176" s="1" t="n">
        <v>45343</v>
      </c>
      <c r="D1176" t="inlineStr">
        <is>
          <t>JÄMTLANDS LÄN</t>
        </is>
      </c>
      <c r="E1176" t="inlineStr">
        <is>
          <t>STRÖMSUND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47607-2021</t>
        </is>
      </c>
      <c r="B1177" s="1" t="n">
        <v>44447</v>
      </c>
      <c r="C1177" s="1" t="n">
        <v>45343</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47847-2021</t>
        </is>
      </c>
      <c r="B1178" s="1" t="n">
        <v>44448</v>
      </c>
      <c r="C1178" s="1" t="n">
        <v>45343</v>
      </c>
      <c r="D1178" t="inlineStr">
        <is>
          <t>JÄMTLANDS LÄN</t>
        </is>
      </c>
      <c r="E1178" t="inlineStr">
        <is>
          <t>STRÖMSUND</t>
        </is>
      </c>
      <c r="F1178" t="inlineStr">
        <is>
          <t>Holmen skog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47938-2021</t>
        </is>
      </c>
      <c r="B1179" s="1" t="n">
        <v>44449</v>
      </c>
      <c r="C1179" s="1" t="n">
        <v>45343</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47936-2021</t>
        </is>
      </c>
      <c r="B1180" s="1" t="n">
        <v>44448</v>
      </c>
      <c r="C1180" s="1" t="n">
        <v>45343</v>
      </c>
      <c r="D1180" t="inlineStr">
        <is>
          <t>JÄMTLANDS LÄN</t>
        </is>
      </c>
      <c r="E1180" t="inlineStr">
        <is>
          <t>STRÖMSUND</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47941-2021</t>
        </is>
      </c>
      <c r="B1181" s="1" t="n">
        <v>44449</v>
      </c>
      <c r="C1181" s="1" t="n">
        <v>45343</v>
      </c>
      <c r="D1181" t="inlineStr">
        <is>
          <t>JÄMTLANDS LÄN</t>
        </is>
      </c>
      <c r="E1181" t="inlineStr">
        <is>
          <t>STRÖMSUND</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47943-2021</t>
        </is>
      </c>
      <c r="B1182" s="1" t="n">
        <v>44448</v>
      </c>
      <c r="C1182" s="1" t="n">
        <v>45343</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47934-2021</t>
        </is>
      </c>
      <c r="B1183" s="1" t="n">
        <v>44448</v>
      </c>
      <c r="C1183" s="1" t="n">
        <v>45343</v>
      </c>
      <c r="D1183" t="inlineStr">
        <is>
          <t>JÄMTLANDS LÄN</t>
        </is>
      </c>
      <c r="E1183" t="inlineStr">
        <is>
          <t>STRÖMSUND</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47940-2021</t>
        </is>
      </c>
      <c r="B1184" s="1" t="n">
        <v>44449</v>
      </c>
      <c r="C1184" s="1" t="n">
        <v>45343</v>
      </c>
      <c r="D1184" t="inlineStr">
        <is>
          <t>JÄMTLANDS LÄN</t>
        </is>
      </c>
      <c r="E1184" t="inlineStr">
        <is>
          <t>STRÖMSUND</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48508-2021</t>
        </is>
      </c>
      <c r="B1185" s="1" t="n">
        <v>44451</v>
      </c>
      <c r="C1185" s="1" t="n">
        <v>45343</v>
      </c>
      <c r="D1185" t="inlineStr">
        <is>
          <t>JÄMTLANDS LÄN</t>
        </is>
      </c>
      <c r="E1185" t="inlineStr">
        <is>
          <t>STRÖMSUND</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48863-2021</t>
        </is>
      </c>
      <c r="B1186" s="1" t="n">
        <v>44453</v>
      </c>
      <c r="C1186" s="1" t="n">
        <v>45343</v>
      </c>
      <c r="D1186" t="inlineStr">
        <is>
          <t>JÄMTLANDS LÄN</t>
        </is>
      </c>
      <c r="E1186" t="inlineStr">
        <is>
          <t>STRÖMSUND</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49166-2021</t>
        </is>
      </c>
      <c r="B1187" s="1" t="n">
        <v>44454</v>
      </c>
      <c r="C1187" s="1" t="n">
        <v>45343</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c r="U1187">
        <f>HYPERLINK("https://klasma.github.io/Logging_2313/knärot/A 49166-2021 karta knärot.png", "A 49166-2021")</f>
        <v/>
      </c>
      <c r="V1187">
        <f>HYPERLINK("https://klasma.github.io/Logging_2313/klagomål/A 49166-2021 FSC-klagomål.docx", "A 49166-2021")</f>
        <v/>
      </c>
      <c r="W1187">
        <f>HYPERLINK("https://klasma.github.io/Logging_2313/klagomålsmail/A 49166-2021 FSC-klagomål mail.docx", "A 49166-2021")</f>
        <v/>
      </c>
      <c r="X1187">
        <f>HYPERLINK("https://klasma.github.io/Logging_2313/tillsyn/A 49166-2021 tillsynsbegäran.docx", "A 49166-2021")</f>
        <v/>
      </c>
      <c r="Y1187">
        <f>HYPERLINK("https://klasma.github.io/Logging_2313/tillsynsmail/A 49166-2021 tillsynsbegäran mail.docx", "A 49166-2021")</f>
        <v/>
      </c>
    </row>
    <row r="1188" ht="15" customHeight="1">
      <c r="A1188" t="inlineStr">
        <is>
          <t>A 49204-2021</t>
        </is>
      </c>
      <c r="B1188" s="1" t="n">
        <v>44454</v>
      </c>
      <c r="C1188" s="1" t="n">
        <v>45343</v>
      </c>
      <c r="D1188" t="inlineStr">
        <is>
          <t>JÄMTLANDS LÄN</t>
        </is>
      </c>
      <c r="E1188" t="inlineStr">
        <is>
          <t>STRÖMSUND</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49210-2021</t>
        </is>
      </c>
      <c r="B1189" s="1" t="n">
        <v>44454</v>
      </c>
      <c r="C1189" s="1" t="n">
        <v>45343</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49208-2021</t>
        </is>
      </c>
      <c r="B1190" s="1" t="n">
        <v>44454</v>
      </c>
      <c r="C1190" s="1" t="n">
        <v>45343</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49212-2021</t>
        </is>
      </c>
      <c r="B1191" s="1" t="n">
        <v>44454</v>
      </c>
      <c r="C1191" s="1" t="n">
        <v>45343</v>
      </c>
      <c r="D1191" t="inlineStr">
        <is>
          <t>JÄMTLANDS LÄN</t>
        </is>
      </c>
      <c r="E1191" t="inlineStr">
        <is>
          <t>STRÖMSUND</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49206-2021</t>
        </is>
      </c>
      <c r="B1192" s="1" t="n">
        <v>44454</v>
      </c>
      <c r="C1192" s="1" t="n">
        <v>45343</v>
      </c>
      <c r="D1192" t="inlineStr">
        <is>
          <t>JÄMTLANDS LÄN</t>
        </is>
      </c>
      <c r="E1192" t="inlineStr">
        <is>
          <t>STRÖMSUND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49620-2021</t>
        </is>
      </c>
      <c r="B1193" s="1" t="n">
        <v>44455</v>
      </c>
      <c r="C1193" s="1" t="n">
        <v>45343</v>
      </c>
      <c r="D1193" t="inlineStr">
        <is>
          <t>JÄMTLANDS LÄN</t>
        </is>
      </c>
      <c r="E1193" t="inlineStr">
        <is>
          <t>STRÖMSUND</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49929-2021</t>
        </is>
      </c>
      <c r="B1194" s="1" t="n">
        <v>44456</v>
      </c>
      <c r="C1194" s="1" t="n">
        <v>45343</v>
      </c>
      <c r="D1194" t="inlineStr">
        <is>
          <t>JÄMTLANDS LÄN</t>
        </is>
      </c>
      <c r="E1194" t="inlineStr">
        <is>
          <t>STRÖMSUND</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50020-2021</t>
        </is>
      </c>
      <c r="B1195" s="1" t="n">
        <v>44456</v>
      </c>
      <c r="C1195" s="1" t="n">
        <v>45343</v>
      </c>
      <c r="D1195" t="inlineStr">
        <is>
          <t>JÄMTLANDS LÄN</t>
        </is>
      </c>
      <c r="E1195" t="inlineStr">
        <is>
          <t>STRÖMSUND</t>
        </is>
      </c>
      <c r="F1195" t="inlineStr">
        <is>
          <t>Sveaskog</t>
        </is>
      </c>
      <c r="G1195" t="n">
        <v>18.7</v>
      </c>
      <c r="H1195" t="n">
        <v>0</v>
      </c>
      <c r="I1195" t="n">
        <v>0</v>
      </c>
      <c r="J1195" t="n">
        <v>0</v>
      </c>
      <c r="K1195" t="n">
        <v>0</v>
      </c>
      <c r="L1195" t="n">
        <v>0</v>
      </c>
      <c r="M1195" t="n">
        <v>0</v>
      </c>
      <c r="N1195" t="n">
        <v>0</v>
      </c>
      <c r="O1195" t="n">
        <v>0</v>
      </c>
      <c r="P1195" t="n">
        <v>0</v>
      </c>
      <c r="Q1195" t="n">
        <v>0</v>
      </c>
      <c r="R1195" s="2" t="inlineStr"/>
    </row>
    <row r="1196" ht="15" customHeight="1">
      <c r="A1196" t="inlineStr">
        <is>
          <t>A 50025-2021</t>
        </is>
      </c>
      <c r="B1196" s="1" t="n">
        <v>44456</v>
      </c>
      <c r="C1196" s="1" t="n">
        <v>45343</v>
      </c>
      <c r="D1196" t="inlineStr">
        <is>
          <t>JÄMTLANDS LÄN</t>
        </is>
      </c>
      <c r="E1196" t="inlineStr">
        <is>
          <t>STRÖMSUND</t>
        </is>
      </c>
      <c r="F1196" t="inlineStr">
        <is>
          <t>Sveaskog</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50034-2021</t>
        </is>
      </c>
      <c r="B1197" s="1" t="n">
        <v>44456</v>
      </c>
      <c r="C1197" s="1" t="n">
        <v>45343</v>
      </c>
      <c r="D1197" t="inlineStr">
        <is>
          <t>JÄMTLANDS LÄN</t>
        </is>
      </c>
      <c r="E1197" t="inlineStr">
        <is>
          <t>STRÖMSUND</t>
        </is>
      </c>
      <c r="F1197" t="inlineStr">
        <is>
          <t>Sveaskog</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50029-2021</t>
        </is>
      </c>
      <c r="B1198" s="1" t="n">
        <v>44456</v>
      </c>
      <c r="C1198" s="1" t="n">
        <v>45343</v>
      </c>
      <c r="D1198" t="inlineStr">
        <is>
          <t>JÄMTLANDS LÄN</t>
        </is>
      </c>
      <c r="E1198" t="inlineStr">
        <is>
          <t>STRÖMSUND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50037-2021</t>
        </is>
      </c>
      <c r="B1199" s="1" t="n">
        <v>44456</v>
      </c>
      <c r="C1199" s="1" t="n">
        <v>45343</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50022-2021</t>
        </is>
      </c>
      <c r="B1200" s="1" t="n">
        <v>44456</v>
      </c>
      <c r="C1200" s="1" t="n">
        <v>45343</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50028-2021</t>
        </is>
      </c>
      <c r="B1201" s="1" t="n">
        <v>44456</v>
      </c>
      <c r="C1201" s="1" t="n">
        <v>45343</v>
      </c>
      <c r="D1201" t="inlineStr">
        <is>
          <t>JÄMTLANDS LÄN</t>
        </is>
      </c>
      <c r="E1201" t="inlineStr">
        <is>
          <t>STRÖMSUND</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50176-2021</t>
        </is>
      </c>
      <c r="B1202" s="1" t="n">
        <v>44457</v>
      </c>
      <c r="C1202" s="1" t="n">
        <v>45343</v>
      </c>
      <c r="D1202" t="inlineStr">
        <is>
          <t>JÄMTLANDS LÄN</t>
        </is>
      </c>
      <c r="E1202" t="inlineStr">
        <is>
          <t>STRÖMSUND</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50179-2021</t>
        </is>
      </c>
      <c r="B1203" s="1" t="n">
        <v>44456</v>
      </c>
      <c r="C1203" s="1" t="n">
        <v>45343</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50180-2021</t>
        </is>
      </c>
      <c r="B1204" s="1" t="n">
        <v>44456</v>
      </c>
      <c r="C1204" s="1" t="n">
        <v>45343</v>
      </c>
      <c r="D1204" t="inlineStr">
        <is>
          <t>JÄMTLANDS LÄN</t>
        </is>
      </c>
      <c r="E1204" t="inlineStr">
        <is>
          <t>STRÖMSUND</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50023-2021</t>
        </is>
      </c>
      <c r="B1205" s="1" t="n">
        <v>44456</v>
      </c>
      <c r="C1205" s="1" t="n">
        <v>45343</v>
      </c>
      <c r="D1205" t="inlineStr">
        <is>
          <t>JÄMTLANDS LÄN</t>
        </is>
      </c>
      <c r="E1205" t="inlineStr">
        <is>
          <t>STRÖMSUND</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50890-2021</t>
        </is>
      </c>
      <c r="B1206" s="1" t="n">
        <v>44460</v>
      </c>
      <c r="C1206" s="1" t="n">
        <v>45343</v>
      </c>
      <c r="D1206" t="inlineStr">
        <is>
          <t>JÄMTLANDS LÄN</t>
        </is>
      </c>
      <c r="E1206" t="inlineStr">
        <is>
          <t>STRÖMSUND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51446-2021</t>
        </is>
      </c>
      <c r="B1207" s="1" t="n">
        <v>44461</v>
      </c>
      <c r="C1207" s="1" t="n">
        <v>45343</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51954-2021</t>
        </is>
      </c>
      <c r="B1208" s="1" t="n">
        <v>44463</v>
      </c>
      <c r="C1208" s="1" t="n">
        <v>45343</v>
      </c>
      <c r="D1208" t="inlineStr">
        <is>
          <t>JÄMTLANDS LÄN</t>
        </is>
      </c>
      <c r="E1208" t="inlineStr">
        <is>
          <t>STRÖMSUND</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51953-2021</t>
        </is>
      </c>
      <c r="B1209" s="1" t="n">
        <v>44463</v>
      </c>
      <c r="C1209" s="1" t="n">
        <v>45343</v>
      </c>
      <c r="D1209" t="inlineStr">
        <is>
          <t>JÄMTLANDS LÄN</t>
        </is>
      </c>
      <c r="E1209" t="inlineStr">
        <is>
          <t>STRÖMSUND</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52327-2021</t>
        </is>
      </c>
      <c r="B1210" s="1" t="n">
        <v>44463</v>
      </c>
      <c r="C1210" s="1" t="n">
        <v>45343</v>
      </c>
      <c r="D1210" t="inlineStr">
        <is>
          <t>JÄMTLANDS LÄN</t>
        </is>
      </c>
      <c r="E1210" t="inlineStr">
        <is>
          <t>STRÖMSUND</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52397-2021</t>
        </is>
      </c>
      <c r="B1211" s="1" t="n">
        <v>44463</v>
      </c>
      <c r="C1211" s="1" t="n">
        <v>45343</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52332-2021</t>
        </is>
      </c>
      <c r="B1212" s="1" t="n">
        <v>44463</v>
      </c>
      <c r="C1212" s="1" t="n">
        <v>45343</v>
      </c>
      <c r="D1212" t="inlineStr">
        <is>
          <t>JÄMTLANDS LÄN</t>
        </is>
      </c>
      <c r="E1212" t="inlineStr">
        <is>
          <t>STRÖMSUND</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52399-2021</t>
        </is>
      </c>
      <c r="B1213" s="1" t="n">
        <v>44466</v>
      </c>
      <c r="C1213" s="1" t="n">
        <v>45343</v>
      </c>
      <c r="D1213" t="inlineStr">
        <is>
          <t>JÄMTLANDS LÄN</t>
        </is>
      </c>
      <c r="E1213" t="inlineStr">
        <is>
          <t>STRÖMSUND</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52718-2021</t>
        </is>
      </c>
      <c r="B1214" s="1" t="n">
        <v>44467</v>
      </c>
      <c r="C1214" s="1" t="n">
        <v>45343</v>
      </c>
      <c r="D1214" t="inlineStr">
        <is>
          <t>JÄMTLANDS LÄN</t>
        </is>
      </c>
      <c r="E1214" t="inlineStr">
        <is>
          <t>STRÖMSUND</t>
        </is>
      </c>
      <c r="F1214" t="inlineStr">
        <is>
          <t>SCA</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52707-2021</t>
        </is>
      </c>
      <c r="B1215" s="1" t="n">
        <v>44467</v>
      </c>
      <c r="C1215" s="1" t="n">
        <v>45343</v>
      </c>
      <c r="D1215" t="inlineStr">
        <is>
          <t>JÄMTLANDS LÄN</t>
        </is>
      </c>
      <c r="E1215" t="inlineStr">
        <is>
          <t>STRÖMSUND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52969-2021</t>
        </is>
      </c>
      <c r="B1216" s="1" t="n">
        <v>44466</v>
      </c>
      <c r="C1216" s="1" t="n">
        <v>45343</v>
      </c>
      <c r="D1216" t="inlineStr">
        <is>
          <t>JÄMTLANDS LÄN</t>
        </is>
      </c>
      <c r="E1216" t="inlineStr">
        <is>
          <t>STRÖMSUND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53420-2021</t>
        </is>
      </c>
      <c r="B1217" s="1" t="n">
        <v>44468</v>
      </c>
      <c r="C1217" s="1" t="n">
        <v>45343</v>
      </c>
      <c r="D1217" t="inlineStr">
        <is>
          <t>JÄMTLANDS LÄN</t>
        </is>
      </c>
      <c r="E1217" t="inlineStr">
        <is>
          <t>STRÖMSUND</t>
        </is>
      </c>
      <c r="F1217" t="inlineStr">
        <is>
          <t>Holmen skog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53518-2021</t>
        </is>
      </c>
      <c r="B1218" s="1" t="n">
        <v>44468</v>
      </c>
      <c r="C1218" s="1" t="n">
        <v>45343</v>
      </c>
      <c r="D1218" t="inlineStr">
        <is>
          <t>JÄMTLANDS LÄN</t>
        </is>
      </c>
      <c r="E1218" t="inlineStr">
        <is>
          <t>STRÖMSUND</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53513-2021</t>
        </is>
      </c>
      <c r="B1219" s="1" t="n">
        <v>44468</v>
      </c>
      <c r="C1219" s="1" t="n">
        <v>45343</v>
      </c>
      <c r="D1219" t="inlineStr">
        <is>
          <t>JÄMTLANDS LÄN</t>
        </is>
      </c>
      <c r="E1219" t="inlineStr">
        <is>
          <t>STRÖMSUND</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54050-2021</t>
        </is>
      </c>
      <c r="B1220" s="1" t="n">
        <v>44470</v>
      </c>
      <c r="C1220" s="1" t="n">
        <v>45343</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54117-2021</t>
        </is>
      </c>
      <c r="B1221" s="1" t="n">
        <v>44470</v>
      </c>
      <c r="C1221" s="1" t="n">
        <v>45343</v>
      </c>
      <c r="D1221" t="inlineStr">
        <is>
          <t>JÄMTLANDS LÄN</t>
        </is>
      </c>
      <c r="E1221" t="inlineStr">
        <is>
          <t>STRÖMSUND</t>
        </is>
      </c>
      <c r="F1221" t="inlineStr">
        <is>
          <t>Holmen skog AB</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55608-2021</t>
        </is>
      </c>
      <c r="B1222" s="1" t="n">
        <v>44475</v>
      </c>
      <c r="C1222" s="1" t="n">
        <v>45343</v>
      </c>
      <c r="D1222" t="inlineStr">
        <is>
          <t>JÄMTLANDS LÄN</t>
        </is>
      </c>
      <c r="E1222" t="inlineStr">
        <is>
          <t>STRÖMSUND</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55918-2021</t>
        </is>
      </c>
      <c r="B1223" s="1" t="n">
        <v>44476</v>
      </c>
      <c r="C1223" s="1" t="n">
        <v>45343</v>
      </c>
      <c r="D1223" t="inlineStr">
        <is>
          <t>JÄMTLANDS LÄN</t>
        </is>
      </c>
      <c r="E1223" t="inlineStr">
        <is>
          <t>STRÖMSUND</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55920-2021</t>
        </is>
      </c>
      <c r="B1224" s="1" t="n">
        <v>44476</v>
      </c>
      <c r="C1224" s="1" t="n">
        <v>45343</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55927-2021</t>
        </is>
      </c>
      <c r="B1225" s="1" t="n">
        <v>44476</v>
      </c>
      <c r="C1225" s="1" t="n">
        <v>45343</v>
      </c>
      <c r="D1225" t="inlineStr">
        <is>
          <t>JÄMTLANDS LÄN</t>
        </is>
      </c>
      <c r="E1225" t="inlineStr">
        <is>
          <t>STRÖMSUND</t>
        </is>
      </c>
      <c r="F1225" t="inlineStr">
        <is>
          <t>SCA</t>
        </is>
      </c>
      <c r="G1225" t="n">
        <v>16.9</v>
      </c>
      <c r="H1225" t="n">
        <v>0</v>
      </c>
      <c r="I1225" t="n">
        <v>0</v>
      </c>
      <c r="J1225" t="n">
        <v>0</v>
      </c>
      <c r="K1225" t="n">
        <v>0</v>
      </c>
      <c r="L1225" t="n">
        <v>0</v>
      </c>
      <c r="M1225" t="n">
        <v>0</v>
      </c>
      <c r="N1225" t="n">
        <v>0</v>
      </c>
      <c r="O1225" t="n">
        <v>0</v>
      </c>
      <c r="P1225" t="n">
        <v>0</v>
      </c>
      <c r="Q1225" t="n">
        <v>0</v>
      </c>
      <c r="R1225" s="2" t="inlineStr"/>
    </row>
    <row r="1226" ht="15" customHeight="1">
      <c r="A1226" t="inlineStr">
        <is>
          <t>A 55919-2021</t>
        </is>
      </c>
      <c r="B1226" s="1" t="n">
        <v>44477</v>
      </c>
      <c r="C1226" s="1" t="n">
        <v>45343</v>
      </c>
      <c r="D1226" t="inlineStr">
        <is>
          <t>JÄMTLANDS LÄN</t>
        </is>
      </c>
      <c r="E1226" t="inlineStr">
        <is>
          <t>STRÖMSUND</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55939-2021</t>
        </is>
      </c>
      <c r="B1227" s="1" t="n">
        <v>44476</v>
      </c>
      <c r="C1227" s="1" t="n">
        <v>45343</v>
      </c>
      <c r="D1227" t="inlineStr">
        <is>
          <t>JÄMTLANDS LÄN</t>
        </is>
      </c>
      <c r="E1227" t="inlineStr">
        <is>
          <t>STRÖMSUND</t>
        </is>
      </c>
      <c r="F1227" t="inlineStr">
        <is>
          <t>SCA</t>
        </is>
      </c>
      <c r="G1227" t="n">
        <v>19.3</v>
      </c>
      <c r="H1227" t="n">
        <v>0</v>
      </c>
      <c r="I1227" t="n">
        <v>0</v>
      </c>
      <c r="J1227" t="n">
        <v>0</v>
      </c>
      <c r="K1227" t="n">
        <v>0</v>
      </c>
      <c r="L1227" t="n">
        <v>0</v>
      </c>
      <c r="M1227" t="n">
        <v>0</v>
      </c>
      <c r="N1227" t="n">
        <v>0</v>
      </c>
      <c r="O1227" t="n">
        <v>0</v>
      </c>
      <c r="P1227" t="n">
        <v>0</v>
      </c>
      <c r="Q1227" t="n">
        <v>0</v>
      </c>
      <c r="R1227" s="2" t="inlineStr"/>
    </row>
    <row r="1228" ht="15" customHeight="1">
      <c r="A1228" t="inlineStr">
        <is>
          <t>A 56213-2021</t>
        </is>
      </c>
      <c r="B1228" s="1" t="n">
        <v>44478</v>
      </c>
      <c r="C1228" s="1" t="n">
        <v>45343</v>
      </c>
      <c r="D1228" t="inlineStr">
        <is>
          <t>JÄMTLANDS LÄN</t>
        </is>
      </c>
      <c r="E1228" t="inlineStr">
        <is>
          <t>STRÖMSUND</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56208-2021</t>
        </is>
      </c>
      <c r="B1229" s="1" t="n">
        <v>44477</v>
      </c>
      <c r="C1229" s="1" t="n">
        <v>45343</v>
      </c>
      <c r="D1229" t="inlineStr">
        <is>
          <t>JÄMTLANDS LÄN</t>
        </is>
      </c>
      <c r="E1229" t="inlineStr">
        <is>
          <t>STRÖMSUND</t>
        </is>
      </c>
      <c r="F1229" t="inlineStr">
        <is>
          <t>SCA</t>
        </is>
      </c>
      <c r="G1229" t="n">
        <v>23.9</v>
      </c>
      <c r="H1229" t="n">
        <v>0</v>
      </c>
      <c r="I1229" t="n">
        <v>0</v>
      </c>
      <c r="J1229" t="n">
        <v>0</v>
      </c>
      <c r="K1229" t="n">
        <v>0</v>
      </c>
      <c r="L1229" t="n">
        <v>0</v>
      </c>
      <c r="M1229" t="n">
        <v>0</v>
      </c>
      <c r="N1229" t="n">
        <v>0</v>
      </c>
      <c r="O1229" t="n">
        <v>0</v>
      </c>
      <c r="P1229" t="n">
        <v>0</v>
      </c>
      <c r="Q1229" t="n">
        <v>0</v>
      </c>
      <c r="R1229" s="2" t="inlineStr"/>
    </row>
    <row r="1230" ht="15" customHeight="1">
      <c r="A1230" t="inlineStr">
        <is>
          <t>A 56655-2021</t>
        </is>
      </c>
      <c r="B1230" s="1" t="n">
        <v>44480</v>
      </c>
      <c r="C1230" s="1" t="n">
        <v>45343</v>
      </c>
      <c r="D1230" t="inlineStr">
        <is>
          <t>JÄMTLANDS LÄN</t>
        </is>
      </c>
      <c r="E1230" t="inlineStr">
        <is>
          <t>STRÖMSUND</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56654-2021</t>
        </is>
      </c>
      <c r="B1231" s="1" t="n">
        <v>44480</v>
      </c>
      <c r="C1231" s="1" t="n">
        <v>45343</v>
      </c>
      <c r="D1231" t="inlineStr">
        <is>
          <t>JÄMTLANDS LÄN</t>
        </is>
      </c>
      <c r="E1231" t="inlineStr">
        <is>
          <t>STRÖMSUND</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57433-2021</t>
        </is>
      </c>
      <c r="B1232" s="1" t="n">
        <v>44483</v>
      </c>
      <c r="C1232" s="1" t="n">
        <v>45343</v>
      </c>
      <c r="D1232" t="inlineStr">
        <is>
          <t>JÄMTLANDS LÄN</t>
        </is>
      </c>
      <c r="E1232" t="inlineStr">
        <is>
          <t>STRÖMSUND</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57547-2021</t>
        </is>
      </c>
      <c r="B1233" s="1" t="n">
        <v>44484</v>
      </c>
      <c r="C1233" s="1" t="n">
        <v>45343</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57560-2021</t>
        </is>
      </c>
      <c r="B1234" s="1" t="n">
        <v>44483</v>
      </c>
      <c r="C1234" s="1" t="n">
        <v>45343</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58260-2021</t>
        </is>
      </c>
      <c r="B1235" s="1" t="n">
        <v>44487</v>
      </c>
      <c r="C1235" s="1" t="n">
        <v>45343</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58022-2021</t>
        </is>
      </c>
      <c r="B1236" s="1" t="n">
        <v>44487</v>
      </c>
      <c r="C1236" s="1" t="n">
        <v>45343</v>
      </c>
      <c r="D1236" t="inlineStr">
        <is>
          <t>JÄMTLANDS LÄN</t>
        </is>
      </c>
      <c r="E1236" t="inlineStr">
        <is>
          <t>STRÖMSUND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59126-2021</t>
        </is>
      </c>
      <c r="B1237" s="1" t="n">
        <v>44487</v>
      </c>
      <c r="C1237" s="1" t="n">
        <v>45343</v>
      </c>
      <c r="D1237" t="inlineStr">
        <is>
          <t>JÄMTLANDS LÄN</t>
        </is>
      </c>
      <c r="E1237" t="inlineStr">
        <is>
          <t>STRÖMSUND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58972-2021</t>
        </is>
      </c>
      <c r="B1238" s="1" t="n">
        <v>44490</v>
      </c>
      <c r="C1238" s="1" t="n">
        <v>45343</v>
      </c>
      <c r="D1238" t="inlineStr">
        <is>
          <t>JÄMTLANDS LÄN</t>
        </is>
      </c>
      <c r="E1238" t="inlineStr">
        <is>
          <t>STRÖMSUND</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58973-2021</t>
        </is>
      </c>
      <c r="B1239" s="1" t="n">
        <v>44489</v>
      </c>
      <c r="C1239" s="1" t="n">
        <v>45343</v>
      </c>
      <c r="D1239" t="inlineStr">
        <is>
          <t>JÄMTLANDS LÄN</t>
        </is>
      </c>
      <c r="E1239" t="inlineStr">
        <is>
          <t>STRÖMSUND</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58971-2021</t>
        </is>
      </c>
      <c r="B1240" s="1" t="n">
        <v>44490</v>
      </c>
      <c r="C1240" s="1" t="n">
        <v>45343</v>
      </c>
      <c r="D1240" t="inlineStr">
        <is>
          <t>JÄMTLANDS LÄN</t>
        </is>
      </c>
      <c r="E1240" t="inlineStr">
        <is>
          <t>STRÖMSUND</t>
        </is>
      </c>
      <c r="F1240" t="inlineStr">
        <is>
          <t>SCA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59139-2021</t>
        </is>
      </c>
      <c r="B1241" s="1" t="n">
        <v>44490</v>
      </c>
      <c r="C1241" s="1" t="n">
        <v>45343</v>
      </c>
      <c r="D1241" t="inlineStr">
        <is>
          <t>JÄMTLANDS LÄN</t>
        </is>
      </c>
      <c r="E1241" t="inlineStr">
        <is>
          <t>STRÖMSUND</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59313-2021</t>
        </is>
      </c>
      <c r="B1242" s="1" t="n">
        <v>44491</v>
      </c>
      <c r="C1242" s="1" t="n">
        <v>45343</v>
      </c>
      <c r="D1242" t="inlineStr">
        <is>
          <t>JÄMTLANDS LÄN</t>
        </is>
      </c>
      <c r="E1242" t="inlineStr">
        <is>
          <t>STRÖMSUND</t>
        </is>
      </c>
      <c r="F1242" t="inlineStr">
        <is>
          <t>SCA</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59969-2021</t>
        </is>
      </c>
      <c r="B1243" s="1" t="n">
        <v>44495</v>
      </c>
      <c r="C1243" s="1" t="n">
        <v>45343</v>
      </c>
      <c r="D1243" t="inlineStr">
        <is>
          <t>JÄMTLANDS LÄN</t>
        </is>
      </c>
      <c r="E1243" t="inlineStr">
        <is>
          <t>STRÖMSUND</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60011-2021</t>
        </is>
      </c>
      <c r="B1244" s="1" t="n">
        <v>44495</v>
      </c>
      <c r="C1244" s="1" t="n">
        <v>45343</v>
      </c>
      <c r="D1244" t="inlineStr">
        <is>
          <t>JÄMTLANDS LÄN</t>
        </is>
      </c>
      <c r="E1244" t="inlineStr">
        <is>
          <t>STRÖMSUND</t>
        </is>
      </c>
      <c r="F1244" t="inlineStr">
        <is>
          <t>SCA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60319-2021</t>
        </is>
      </c>
      <c r="B1245" s="1" t="n">
        <v>44495</v>
      </c>
      <c r="C1245" s="1" t="n">
        <v>45343</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60939-2021</t>
        </is>
      </c>
      <c r="B1246" s="1" t="n">
        <v>44496</v>
      </c>
      <c r="C1246" s="1" t="n">
        <v>45343</v>
      </c>
      <c r="D1246" t="inlineStr">
        <is>
          <t>JÄMTLANDS LÄN</t>
        </is>
      </c>
      <c r="E1246" t="inlineStr">
        <is>
          <t>STRÖMSUND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60775-2021</t>
        </is>
      </c>
      <c r="B1247" s="1" t="n">
        <v>44496</v>
      </c>
      <c r="C1247" s="1" t="n">
        <v>45343</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60789-2021</t>
        </is>
      </c>
      <c r="B1248" s="1" t="n">
        <v>44496</v>
      </c>
      <c r="C1248" s="1" t="n">
        <v>45343</v>
      </c>
      <c r="D1248" t="inlineStr">
        <is>
          <t>JÄMTLANDS LÄN</t>
        </is>
      </c>
      <c r="E1248" t="inlineStr">
        <is>
          <t>STRÖMSUND</t>
        </is>
      </c>
      <c r="F1248" t="inlineStr">
        <is>
          <t>SCA</t>
        </is>
      </c>
      <c r="G1248" t="n">
        <v>14.7</v>
      </c>
      <c r="H1248" t="n">
        <v>0</v>
      </c>
      <c r="I1248" t="n">
        <v>0</v>
      </c>
      <c r="J1248" t="n">
        <v>0</v>
      </c>
      <c r="K1248" t="n">
        <v>0</v>
      </c>
      <c r="L1248" t="n">
        <v>0</v>
      </c>
      <c r="M1248" t="n">
        <v>0</v>
      </c>
      <c r="N1248" t="n">
        <v>0</v>
      </c>
      <c r="O1248" t="n">
        <v>0</v>
      </c>
      <c r="P1248" t="n">
        <v>0</v>
      </c>
      <c r="Q1248" t="n">
        <v>0</v>
      </c>
      <c r="R1248" s="2" t="inlineStr"/>
    </row>
    <row r="1249" ht="15" customHeight="1">
      <c r="A1249" t="inlineStr">
        <is>
          <t>A 60801-2021</t>
        </is>
      </c>
      <c r="B1249" s="1" t="n">
        <v>44497</v>
      </c>
      <c r="C1249" s="1" t="n">
        <v>45343</v>
      </c>
      <c r="D1249" t="inlineStr">
        <is>
          <t>JÄMTLANDS LÄN</t>
        </is>
      </c>
      <c r="E1249" t="inlineStr">
        <is>
          <t>STRÖMSUND</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61612-2021</t>
        </is>
      </c>
      <c r="B1250" s="1" t="n">
        <v>44498</v>
      </c>
      <c r="C1250" s="1" t="n">
        <v>45343</v>
      </c>
      <c r="D1250" t="inlineStr">
        <is>
          <t>JÄMTLANDS LÄN</t>
        </is>
      </c>
      <c r="E1250" t="inlineStr">
        <is>
          <t>STRÖMSUND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61439-2021</t>
        </is>
      </c>
      <c r="B1251" s="1" t="n">
        <v>44500</v>
      </c>
      <c r="C1251" s="1" t="n">
        <v>45343</v>
      </c>
      <c r="D1251" t="inlineStr">
        <is>
          <t>JÄMTLANDS LÄN</t>
        </is>
      </c>
      <c r="E1251" t="inlineStr">
        <is>
          <t>STRÖMSUND</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61449-2021</t>
        </is>
      </c>
      <c r="B1252" s="1" t="n">
        <v>44500</v>
      </c>
      <c r="C1252" s="1" t="n">
        <v>45343</v>
      </c>
      <c r="D1252" t="inlineStr">
        <is>
          <t>JÄMTLANDS LÄN</t>
        </is>
      </c>
      <c r="E1252" t="inlineStr">
        <is>
          <t>STRÖMSUND</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61420-2021</t>
        </is>
      </c>
      <c r="B1253" s="1" t="n">
        <v>44500</v>
      </c>
      <c r="C1253" s="1" t="n">
        <v>45343</v>
      </c>
      <c r="D1253" t="inlineStr">
        <is>
          <t>JÄMTLANDS LÄN</t>
        </is>
      </c>
      <c r="E1253" t="inlineStr">
        <is>
          <t>STRÖMSUND</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61434-2021</t>
        </is>
      </c>
      <c r="B1254" s="1" t="n">
        <v>44500</v>
      </c>
      <c r="C1254" s="1" t="n">
        <v>45343</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61455-2021</t>
        </is>
      </c>
      <c r="B1255" s="1" t="n">
        <v>44500</v>
      </c>
      <c r="C1255" s="1" t="n">
        <v>45343</v>
      </c>
      <c r="D1255" t="inlineStr">
        <is>
          <t>JÄMTLANDS LÄN</t>
        </is>
      </c>
      <c r="E1255" t="inlineStr">
        <is>
          <t>STRÖMSUND</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61422-2021</t>
        </is>
      </c>
      <c r="B1256" s="1" t="n">
        <v>44500</v>
      </c>
      <c r="C1256" s="1" t="n">
        <v>45343</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61419-2021</t>
        </is>
      </c>
      <c r="B1257" s="1" t="n">
        <v>44500</v>
      </c>
      <c r="C1257" s="1" t="n">
        <v>45343</v>
      </c>
      <c r="D1257" t="inlineStr">
        <is>
          <t>JÄMTLANDS LÄN</t>
        </is>
      </c>
      <c r="E1257" t="inlineStr">
        <is>
          <t>STRÖMSUND</t>
        </is>
      </c>
      <c r="F1257" t="inlineStr">
        <is>
          <t>SCA</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61433-2021</t>
        </is>
      </c>
      <c r="B1258" s="1" t="n">
        <v>44500</v>
      </c>
      <c r="C1258" s="1" t="n">
        <v>45343</v>
      </c>
      <c r="D1258" t="inlineStr">
        <is>
          <t>JÄMTLANDS LÄN</t>
        </is>
      </c>
      <c r="E1258" t="inlineStr">
        <is>
          <t>STRÖMSUND</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61450-2021</t>
        </is>
      </c>
      <c r="B1259" s="1" t="n">
        <v>44500</v>
      </c>
      <c r="C1259" s="1" t="n">
        <v>45343</v>
      </c>
      <c r="D1259" t="inlineStr">
        <is>
          <t>JÄMTLANDS LÄN</t>
        </is>
      </c>
      <c r="E1259" t="inlineStr">
        <is>
          <t>STRÖMSUND</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61731-2021</t>
        </is>
      </c>
      <c r="B1260" s="1" t="n">
        <v>44501</v>
      </c>
      <c r="C1260" s="1" t="n">
        <v>45343</v>
      </c>
      <c r="D1260" t="inlineStr">
        <is>
          <t>JÄMTLANDS LÄN</t>
        </is>
      </c>
      <c r="E1260" t="inlineStr">
        <is>
          <t>STRÖMSUND</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62203-2021</t>
        </is>
      </c>
      <c r="B1261" s="1" t="n">
        <v>44502</v>
      </c>
      <c r="C1261" s="1" t="n">
        <v>45343</v>
      </c>
      <c r="D1261" t="inlineStr">
        <is>
          <t>JÄMTLANDS LÄN</t>
        </is>
      </c>
      <c r="E1261" t="inlineStr">
        <is>
          <t>STRÖMSUND</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62194-2021</t>
        </is>
      </c>
      <c r="B1262" s="1" t="n">
        <v>44502</v>
      </c>
      <c r="C1262" s="1" t="n">
        <v>45343</v>
      </c>
      <c r="D1262" t="inlineStr">
        <is>
          <t>JÄMTLANDS LÄN</t>
        </is>
      </c>
      <c r="E1262" t="inlineStr">
        <is>
          <t>STRÖMSUND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62234-2021</t>
        </is>
      </c>
      <c r="B1263" s="1" t="n">
        <v>44503</v>
      </c>
      <c r="C1263" s="1" t="n">
        <v>45343</v>
      </c>
      <c r="D1263" t="inlineStr">
        <is>
          <t>JÄMTLANDS LÄN</t>
        </is>
      </c>
      <c r="E1263" t="inlineStr">
        <is>
          <t>STRÖMSUND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62431-2021</t>
        </is>
      </c>
      <c r="B1264" s="1" t="n">
        <v>44503</v>
      </c>
      <c r="C1264" s="1" t="n">
        <v>45343</v>
      </c>
      <c r="D1264" t="inlineStr">
        <is>
          <t>JÄMTLANDS LÄN</t>
        </is>
      </c>
      <c r="E1264" t="inlineStr">
        <is>
          <t>STRÖMSUND</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62667-2021</t>
        </is>
      </c>
      <c r="B1265" s="1" t="n">
        <v>44503</v>
      </c>
      <c r="C1265" s="1" t="n">
        <v>45343</v>
      </c>
      <c r="D1265" t="inlineStr">
        <is>
          <t>JÄMTLANDS LÄN</t>
        </is>
      </c>
      <c r="E1265" t="inlineStr">
        <is>
          <t>STRÖMSUND</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62666-2021</t>
        </is>
      </c>
      <c r="B1266" s="1" t="n">
        <v>44503</v>
      </c>
      <c r="C1266" s="1" t="n">
        <v>45343</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62669-2021</t>
        </is>
      </c>
      <c r="B1267" s="1" t="n">
        <v>44503</v>
      </c>
      <c r="C1267" s="1" t="n">
        <v>45343</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62668-2021</t>
        </is>
      </c>
      <c r="B1268" s="1" t="n">
        <v>44503</v>
      </c>
      <c r="C1268" s="1" t="n">
        <v>45343</v>
      </c>
      <c r="D1268" t="inlineStr">
        <is>
          <t>JÄMTLANDS LÄN</t>
        </is>
      </c>
      <c r="E1268" t="inlineStr">
        <is>
          <t>STRÖMSUND</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64744-2021</t>
        </is>
      </c>
      <c r="B1269" s="1" t="n">
        <v>44503</v>
      </c>
      <c r="C1269" s="1" t="n">
        <v>45343</v>
      </c>
      <c r="D1269" t="inlineStr">
        <is>
          <t>JÄMTLANDS LÄN</t>
        </is>
      </c>
      <c r="E1269" t="inlineStr">
        <is>
          <t>STRÖMSUND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64760-2021</t>
        </is>
      </c>
      <c r="B1270" s="1" t="n">
        <v>44503</v>
      </c>
      <c r="C1270" s="1" t="n">
        <v>45343</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63070-2021</t>
        </is>
      </c>
      <c r="B1271" s="1" t="n">
        <v>44505</v>
      </c>
      <c r="C1271" s="1" t="n">
        <v>45343</v>
      </c>
      <c r="D1271" t="inlineStr">
        <is>
          <t>JÄMTLANDS LÄN</t>
        </is>
      </c>
      <c r="E1271" t="inlineStr">
        <is>
          <t>STRÖMSUND</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63498-2021</t>
        </is>
      </c>
      <c r="B1272" s="1" t="n">
        <v>44508</v>
      </c>
      <c r="C1272" s="1" t="n">
        <v>45343</v>
      </c>
      <c r="D1272" t="inlineStr">
        <is>
          <t>JÄMTLANDS LÄN</t>
        </is>
      </c>
      <c r="E1272" t="inlineStr">
        <is>
          <t>STRÖMSUND</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63875-2021</t>
        </is>
      </c>
      <c r="B1273" s="1" t="n">
        <v>44509</v>
      </c>
      <c r="C1273" s="1" t="n">
        <v>45343</v>
      </c>
      <c r="D1273" t="inlineStr">
        <is>
          <t>JÄMTLANDS LÄN</t>
        </is>
      </c>
      <c r="E1273" t="inlineStr">
        <is>
          <t>STRÖMSUND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64000-2021</t>
        </is>
      </c>
      <c r="B1274" s="1" t="n">
        <v>44510</v>
      </c>
      <c r="C1274" s="1" t="n">
        <v>45343</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63999-2021</t>
        </is>
      </c>
      <c r="B1275" s="1" t="n">
        <v>44510</v>
      </c>
      <c r="C1275" s="1" t="n">
        <v>45343</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63988-2021</t>
        </is>
      </c>
      <c r="B1276" s="1" t="n">
        <v>44509</v>
      </c>
      <c r="C1276" s="1" t="n">
        <v>45343</v>
      </c>
      <c r="D1276" t="inlineStr">
        <is>
          <t>JÄMTLANDS LÄN</t>
        </is>
      </c>
      <c r="E1276" t="inlineStr">
        <is>
          <t>STRÖMSUND</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64001-2021</t>
        </is>
      </c>
      <c r="B1277" s="1" t="n">
        <v>44509</v>
      </c>
      <c r="C1277" s="1" t="n">
        <v>45343</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64200-2021</t>
        </is>
      </c>
      <c r="B1278" s="1" t="n">
        <v>44510</v>
      </c>
      <c r="C1278" s="1" t="n">
        <v>45343</v>
      </c>
      <c r="D1278" t="inlineStr">
        <is>
          <t>JÄMTLANDS LÄN</t>
        </is>
      </c>
      <c r="E1278" t="inlineStr">
        <is>
          <t>STRÖMSUND</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64186-2021</t>
        </is>
      </c>
      <c r="B1279" s="1" t="n">
        <v>44510</v>
      </c>
      <c r="C1279" s="1" t="n">
        <v>45343</v>
      </c>
      <c r="D1279" t="inlineStr">
        <is>
          <t>JÄMTLANDS LÄN</t>
        </is>
      </c>
      <c r="E1279" t="inlineStr">
        <is>
          <t>STRÖMSUND</t>
        </is>
      </c>
      <c r="G1279" t="n">
        <v>18.2</v>
      </c>
      <c r="H1279" t="n">
        <v>0</v>
      </c>
      <c r="I1279" t="n">
        <v>0</v>
      </c>
      <c r="J1279" t="n">
        <v>0</v>
      </c>
      <c r="K1279" t="n">
        <v>0</v>
      </c>
      <c r="L1279" t="n">
        <v>0</v>
      </c>
      <c r="M1279" t="n">
        <v>0</v>
      </c>
      <c r="N1279" t="n">
        <v>0</v>
      </c>
      <c r="O1279" t="n">
        <v>0</v>
      </c>
      <c r="P1279" t="n">
        <v>0</v>
      </c>
      <c r="Q1279" t="n">
        <v>0</v>
      </c>
      <c r="R1279" s="2" t="inlineStr"/>
    </row>
    <row r="1280" ht="15" customHeight="1">
      <c r="A1280" t="inlineStr">
        <is>
          <t>A 64291-2021</t>
        </is>
      </c>
      <c r="B1280" s="1" t="n">
        <v>44510</v>
      </c>
      <c r="C1280" s="1" t="n">
        <v>45343</v>
      </c>
      <c r="D1280" t="inlineStr">
        <is>
          <t>JÄMTLANDS LÄN</t>
        </is>
      </c>
      <c r="E1280" t="inlineStr">
        <is>
          <t>STRÖMSUND</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64310-2021</t>
        </is>
      </c>
      <c r="B1281" s="1" t="n">
        <v>44510</v>
      </c>
      <c r="C1281" s="1" t="n">
        <v>45343</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64309-2021</t>
        </is>
      </c>
      <c r="B1282" s="1" t="n">
        <v>44510</v>
      </c>
      <c r="C1282" s="1" t="n">
        <v>45343</v>
      </c>
      <c r="D1282" t="inlineStr">
        <is>
          <t>JÄMTLANDS LÄN</t>
        </is>
      </c>
      <c r="E1282" t="inlineStr">
        <is>
          <t>STRÖMSUND</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64505-2021</t>
        </is>
      </c>
      <c r="B1283" s="1" t="n">
        <v>44511</v>
      </c>
      <c r="C1283" s="1" t="n">
        <v>45343</v>
      </c>
      <c r="D1283" t="inlineStr">
        <is>
          <t>JÄMTLANDS LÄN</t>
        </is>
      </c>
      <c r="E1283" t="inlineStr">
        <is>
          <t>STRÖMSUND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64655-2021</t>
        </is>
      </c>
      <c r="B1284" s="1" t="n">
        <v>44511</v>
      </c>
      <c r="C1284" s="1" t="n">
        <v>45343</v>
      </c>
      <c r="D1284" t="inlineStr">
        <is>
          <t>JÄMTLANDS LÄN</t>
        </is>
      </c>
      <c r="E1284" t="inlineStr">
        <is>
          <t>STRÖMSUND</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64656-2021</t>
        </is>
      </c>
      <c r="B1285" s="1" t="n">
        <v>44511</v>
      </c>
      <c r="C1285" s="1" t="n">
        <v>45343</v>
      </c>
      <c r="D1285" t="inlineStr">
        <is>
          <t>JÄMTLANDS LÄN</t>
        </is>
      </c>
      <c r="E1285" t="inlineStr">
        <is>
          <t>STRÖMSUND</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64660-2021</t>
        </is>
      </c>
      <c r="B1286" s="1" t="n">
        <v>44511</v>
      </c>
      <c r="C1286" s="1" t="n">
        <v>45343</v>
      </c>
      <c r="D1286" t="inlineStr">
        <is>
          <t>JÄMTLANDS LÄN</t>
        </is>
      </c>
      <c r="E1286" t="inlineStr">
        <is>
          <t>STRÖMSUND</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64657-2021</t>
        </is>
      </c>
      <c r="B1287" s="1" t="n">
        <v>44511</v>
      </c>
      <c r="C1287" s="1" t="n">
        <v>45343</v>
      </c>
      <c r="D1287" t="inlineStr">
        <is>
          <t>JÄMTLANDS LÄN</t>
        </is>
      </c>
      <c r="E1287" t="inlineStr">
        <is>
          <t>STRÖMSUND</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64723-2021</t>
        </is>
      </c>
      <c r="B1288" s="1" t="n">
        <v>44512</v>
      </c>
      <c r="C1288" s="1" t="n">
        <v>45343</v>
      </c>
      <c r="D1288" t="inlineStr">
        <is>
          <t>JÄMTLANDS LÄN</t>
        </is>
      </c>
      <c r="E1288" t="inlineStr">
        <is>
          <t>STRÖMSUND</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64913-2021</t>
        </is>
      </c>
      <c r="B1289" s="1" t="n">
        <v>44512</v>
      </c>
      <c r="C1289" s="1" t="n">
        <v>45343</v>
      </c>
      <c r="D1289" t="inlineStr">
        <is>
          <t>JÄMTLANDS LÄN</t>
        </is>
      </c>
      <c r="E1289" t="inlineStr">
        <is>
          <t>STRÖMSUND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64955-2021</t>
        </is>
      </c>
      <c r="B1290" s="1" t="n">
        <v>44512</v>
      </c>
      <c r="C1290" s="1" t="n">
        <v>45343</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65412-2021</t>
        </is>
      </c>
      <c r="B1291" s="1" t="n">
        <v>44515</v>
      </c>
      <c r="C1291" s="1" t="n">
        <v>45343</v>
      </c>
      <c r="D1291" t="inlineStr">
        <is>
          <t>JÄMTLANDS LÄN</t>
        </is>
      </c>
      <c r="E1291" t="inlineStr">
        <is>
          <t>STRÖMSUND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65430-2021</t>
        </is>
      </c>
      <c r="B1292" s="1" t="n">
        <v>44515</v>
      </c>
      <c r="C1292" s="1" t="n">
        <v>45343</v>
      </c>
      <c r="D1292" t="inlineStr">
        <is>
          <t>JÄMTLANDS LÄN</t>
        </is>
      </c>
      <c r="E1292" t="inlineStr">
        <is>
          <t>STRÖMSUND</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65442-2021</t>
        </is>
      </c>
      <c r="B1293" s="1" t="n">
        <v>44515</v>
      </c>
      <c r="C1293" s="1" t="n">
        <v>45343</v>
      </c>
      <c r="D1293" t="inlineStr">
        <is>
          <t>JÄMTLANDS LÄN</t>
        </is>
      </c>
      <c r="E1293" t="inlineStr">
        <is>
          <t>STRÖMSUND</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65776-2021</t>
        </is>
      </c>
      <c r="B1294" s="1" t="n">
        <v>44516</v>
      </c>
      <c r="C1294" s="1" t="n">
        <v>45343</v>
      </c>
      <c r="D1294" t="inlineStr">
        <is>
          <t>JÄMTLANDS LÄN</t>
        </is>
      </c>
      <c r="E1294" t="inlineStr">
        <is>
          <t>STRÖMSUND</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65787-2021</t>
        </is>
      </c>
      <c r="B1295" s="1" t="n">
        <v>44516</v>
      </c>
      <c r="C1295" s="1" t="n">
        <v>45343</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66088-2021</t>
        </is>
      </c>
      <c r="B1296" s="1" t="n">
        <v>44517</v>
      </c>
      <c r="C1296" s="1" t="n">
        <v>45343</v>
      </c>
      <c r="D1296" t="inlineStr">
        <is>
          <t>JÄMTLANDS LÄN</t>
        </is>
      </c>
      <c r="E1296" t="inlineStr">
        <is>
          <t>STRÖMSUND</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66166-2021</t>
        </is>
      </c>
      <c r="B1297" s="1" t="n">
        <v>44517</v>
      </c>
      <c r="C1297" s="1" t="n">
        <v>45343</v>
      </c>
      <c r="D1297" t="inlineStr">
        <is>
          <t>JÄMTLANDS LÄN</t>
        </is>
      </c>
      <c r="E1297" t="inlineStr">
        <is>
          <t>STRÖMSUND</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66475-2021</t>
        </is>
      </c>
      <c r="B1298" s="1" t="n">
        <v>44518</v>
      </c>
      <c r="C1298" s="1" t="n">
        <v>45343</v>
      </c>
      <c r="D1298" t="inlineStr">
        <is>
          <t>JÄMTLANDS LÄN</t>
        </is>
      </c>
      <c r="E1298" t="inlineStr">
        <is>
          <t>STRÖMSUND</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66485-2021</t>
        </is>
      </c>
      <c r="B1299" s="1" t="n">
        <v>44518</v>
      </c>
      <c r="C1299" s="1" t="n">
        <v>45343</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66488-2021</t>
        </is>
      </c>
      <c r="B1300" s="1" t="n">
        <v>44518</v>
      </c>
      <c r="C1300" s="1" t="n">
        <v>45343</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66486-2021</t>
        </is>
      </c>
      <c r="B1301" s="1" t="n">
        <v>44518</v>
      </c>
      <c r="C1301" s="1" t="n">
        <v>45343</v>
      </c>
      <c r="D1301" t="inlineStr">
        <is>
          <t>JÄMTLANDS LÄN</t>
        </is>
      </c>
      <c r="E1301" t="inlineStr">
        <is>
          <t>STRÖMSUND</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66487-2021</t>
        </is>
      </c>
      <c r="B1302" s="1" t="n">
        <v>44518</v>
      </c>
      <c r="C1302" s="1" t="n">
        <v>45343</v>
      </c>
      <c r="D1302" t="inlineStr">
        <is>
          <t>JÄMTLANDS LÄN</t>
        </is>
      </c>
      <c r="E1302" t="inlineStr">
        <is>
          <t>STRÖMSUND</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66784-2021</t>
        </is>
      </c>
      <c r="B1303" s="1" t="n">
        <v>44519</v>
      </c>
      <c r="C1303" s="1" t="n">
        <v>45343</v>
      </c>
      <c r="D1303" t="inlineStr">
        <is>
          <t>JÄMTLANDS LÄN</t>
        </is>
      </c>
      <c r="E1303" t="inlineStr">
        <is>
          <t>STRÖMSUND</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66742-2021</t>
        </is>
      </c>
      <c r="B1304" s="1" t="n">
        <v>44520</v>
      </c>
      <c r="C1304" s="1" t="n">
        <v>45343</v>
      </c>
      <c r="D1304" t="inlineStr">
        <is>
          <t>JÄMTLANDS LÄN</t>
        </is>
      </c>
      <c r="E1304" t="inlineStr">
        <is>
          <t>STRÖMSUND</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67096-2021</t>
        </is>
      </c>
      <c r="B1305" s="1" t="n">
        <v>44522</v>
      </c>
      <c r="C1305" s="1" t="n">
        <v>45343</v>
      </c>
      <c r="D1305" t="inlineStr">
        <is>
          <t>JÄMTLANDS LÄN</t>
        </is>
      </c>
      <c r="E1305" t="inlineStr">
        <is>
          <t>STRÖMSUND</t>
        </is>
      </c>
      <c r="F1305" t="inlineStr">
        <is>
          <t>SCA</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67099-2021</t>
        </is>
      </c>
      <c r="B1306" s="1" t="n">
        <v>44522</v>
      </c>
      <c r="C1306" s="1" t="n">
        <v>45343</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67097-2021</t>
        </is>
      </c>
      <c r="B1307" s="1" t="n">
        <v>44522</v>
      </c>
      <c r="C1307" s="1" t="n">
        <v>45343</v>
      </c>
      <c r="D1307" t="inlineStr">
        <is>
          <t>JÄMTLANDS LÄN</t>
        </is>
      </c>
      <c r="E1307" t="inlineStr">
        <is>
          <t>STRÖMSUND</t>
        </is>
      </c>
      <c r="F1307" t="inlineStr">
        <is>
          <t>SCA</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67114-2021</t>
        </is>
      </c>
      <c r="B1308" s="1" t="n">
        <v>44523</v>
      </c>
      <c r="C1308" s="1" t="n">
        <v>45343</v>
      </c>
      <c r="D1308" t="inlineStr">
        <is>
          <t>JÄMTLANDS LÄN</t>
        </is>
      </c>
      <c r="E1308" t="inlineStr">
        <is>
          <t>STRÖMSUND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67696-2021</t>
        </is>
      </c>
      <c r="B1309" s="1" t="n">
        <v>44524</v>
      </c>
      <c r="C1309" s="1" t="n">
        <v>45343</v>
      </c>
      <c r="D1309" t="inlineStr">
        <is>
          <t>JÄMTLANDS LÄN</t>
        </is>
      </c>
      <c r="E1309" t="inlineStr">
        <is>
          <t>STRÖMSUND</t>
        </is>
      </c>
      <c r="F1309" t="inlineStr">
        <is>
          <t>SCA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67903-2021</t>
        </is>
      </c>
      <c r="B1310" s="1" t="n">
        <v>44525</v>
      </c>
      <c r="C1310" s="1" t="n">
        <v>45343</v>
      </c>
      <c r="D1310" t="inlineStr">
        <is>
          <t>JÄMTLANDS LÄN</t>
        </is>
      </c>
      <c r="E1310" t="inlineStr">
        <is>
          <t>STRÖMSUND</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67906-2021</t>
        </is>
      </c>
      <c r="B1311" s="1" t="n">
        <v>44525</v>
      </c>
      <c r="C1311" s="1" t="n">
        <v>45343</v>
      </c>
      <c r="D1311" t="inlineStr">
        <is>
          <t>JÄMTLANDS LÄN</t>
        </is>
      </c>
      <c r="E1311" t="inlineStr">
        <is>
          <t>STRÖMSUND</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68646-2021</t>
        </is>
      </c>
      <c r="B1312" s="1" t="n">
        <v>44529</v>
      </c>
      <c r="C1312" s="1" t="n">
        <v>45343</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68675-2021</t>
        </is>
      </c>
      <c r="B1313" s="1" t="n">
        <v>44529</v>
      </c>
      <c r="C1313" s="1" t="n">
        <v>45343</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68424-2021</t>
        </is>
      </c>
      <c r="B1314" s="1" t="n">
        <v>44529</v>
      </c>
      <c r="C1314" s="1" t="n">
        <v>45343</v>
      </c>
      <c r="D1314" t="inlineStr">
        <is>
          <t>JÄMTLANDS LÄN</t>
        </is>
      </c>
      <c r="E1314" t="inlineStr">
        <is>
          <t>STRÖMSUND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68442-2021</t>
        </is>
      </c>
      <c r="B1315" s="1" t="n">
        <v>44529</v>
      </c>
      <c r="C1315" s="1" t="n">
        <v>45343</v>
      </c>
      <c r="D1315" t="inlineStr">
        <is>
          <t>JÄMTLANDS LÄN</t>
        </is>
      </c>
      <c r="E1315" t="inlineStr">
        <is>
          <t>STRÖMSUND</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68776-2021</t>
        </is>
      </c>
      <c r="B1316" s="1" t="n">
        <v>44529</v>
      </c>
      <c r="C1316" s="1" t="n">
        <v>45343</v>
      </c>
      <c r="D1316" t="inlineStr">
        <is>
          <t>JÄMTLANDS LÄN</t>
        </is>
      </c>
      <c r="E1316" t="inlineStr">
        <is>
          <t>STRÖMSUND</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68777-2021</t>
        </is>
      </c>
      <c r="B1317" s="1" t="n">
        <v>44529</v>
      </c>
      <c r="C1317" s="1" t="n">
        <v>45343</v>
      </c>
      <c r="D1317" t="inlineStr">
        <is>
          <t>JÄMTLANDS LÄN</t>
        </is>
      </c>
      <c r="E1317" t="inlineStr">
        <is>
          <t>STRÖMSUND</t>
        </is>
      </c>
      <c r="F1317" t="inlineStr">
        <is>
          <t>SCA</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69139-2021</t>
        </is>
      </c>
      <c r="B1318" s="1" t="n">
        <v>44530</v>
      </c>
      <c r="C1318" s="1" t="n">
        <v>45343</v>
      </c>
      <c r="D1318" t="inlineStr">
        <is>
          <t>JÄMTLANDS LÄN</t>
        </is>
      </c>
      <c r="E1318" t="inlineStr">
        <is>
          <t>STRÖMSUND</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69132-2021</t>
        </is>
      </c>
      <c r="B1319" s="1" t="n">
        <v>44530</v>
      </c>
      <c r="C1319" s="1" t="n">
        <v>45343</v>
      </c>
      <c r="D1319" t="inlineStr">
        <is>
          <t>JÄMTLANDS LÄN</t>
        </is>
      </c>
      <c r="E1319" t="inlineStr">
        <is>
          <t>STRÖMSUND</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69144-2021</t>
        </is>
      </c>
      <c r="B1320" s="1" t="n">
        <v>44530</v>
      </c>
      <c r="C1320" s="1" t="n">
        <v>45343</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69143-2021</t>
        </is>
      </c>
      <c r="B1321" s="1" t="n">
        <v>44530</v>
      </c>
      <c r="C1321" s="1" t="n">
        <v>45343</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70079-2021</t>
        </is>
      </c>
      <c r="B1322" s="1" t="n">
        <v>44533</v>
      </c>
      <c r="C1322" s="1" t="n">
        <v>45343</v>
      </c>
      <c r="D1322" t="inlineStr">
        <is>
          <t>JÄMTLANDS LÄN</t>
        </is>
      </c>
      <c r="E1322" t="inlineStr">
        <is>
          <t>STRÖMSUND</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70530-2021</t>
        </is>
      </c>
      <c r="B1323" s="1" t="n">
        <v>44536</v>
      </c>
      <c r="C1323" s="1" t="n">
        <v>45343</v>
      </c>
      <c r="D1323" t="inlineStr">
        <is>
          <t>JÄMTLANDS LÄN</t>
        </is>
      </c>
      <c r="E1323" t="inlineStr">
        <is>
          <t>STRÖMSUND</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70531-2021</t>
        </is>
      </c>
      <c r="B1324" s="1" t="n">
        <v>44536</v>
      </c>
      <c r="C1324" s="1" t="n">
        <v>45343</v>
      </c>
      <c r="D1324" t="inlineStr">
        <is>
          <t>JÄMTLANDS LÄN</t>
        </is>
      </c>
      <c r="E1324" t="inlineStr">
        <is>
          <t>STRÖMSUND</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70511-2021</t>
        </is>
      </c>
      <c r="B1325" s="1" t="n">
        <v>44536</v>
      </c>
      <c r="C1325" s="1" t="n">
        <v>45343</v>
      </c>
      <c r="D1325" t="inlineStr">
        <is>
          <t>JÄMTLANDS LÄN</t>
        </is>
      </c>
      <c r="E1325" t="inlineStr">
        <is>
          <t>STRÖMSUND</t>
        </is>
      </c>
      <c r="F1325" t="inlineStr">
        <is>
          <t>SCA</t>
        </is>
      </c>
      <c r="G1325" t="n">
        <v>401.6</v>
      </c>
      <c r="H1325" t="n">
        <v>0</v>
      </c>
      <c r="I1325" t="n">
        <v>0</v>
      </c>
      <c r="J1325" t="n">
        <v>0</v>
      </c>
      <c r="K1325" t="n">
        <v>0</v>
      </c>
      <c r="L1325" t="n">
        <v>0</v>
      </c>
      <c r="M1325" t="n">
        <v>0</v>
      </c>
      <c r="N1325" t="n">
        <v>0</v>
      </c>
      <c r="O1325" t="n">
        <v>0</v>
      </c>
      <c r="P1325" t="n">
        <v>0</v>
      </c>
      <c r="Q1325" t="n">
        <v>0</v>
      </c>
      <c r="R1325" s="2" t="inlineStr"/>
    </row>
    <row r="1326" ht="15" customHeight="1">
      <c r="A1326" t="inlineStr">
        <is>
          <t>A 70529-2021</t>
        </is>
      </c>
      <c r="B1326" s="1" t="n">
        <v>44536</v>
      </c>
      <c r="C1326" s="1" t="n">
        <v>45343</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71352-2021</t>
        </is>
      </c>
      <c r="B1327" s="1" t="n">
        <v>44539</v>
      </c>
      <c r="C1327" s="1" t="n">
        <v>45343</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c r="U1327">
        <f>HYPERLINK("https://klasma.github.io/Logging_2313/knärot/A 71352-2021 karta knärot.png", "A 71352-2021")</f>
        <v/>
      </c>
      <c r="V1327">
        <f>HYPERLINK("https://klasma.github.io/Logging_2313/klagomål/A 71352-2021 FSC-klagomål.docx", "A 71352-2021")</f>
        <v/>
      </c>
      <c r="W1327">
        <f>HYPERLINK("https://klasma.github.io/Logging_2313/klagomålsmail/A 71352-2021 FSC-klagomål mail.docx", "A 71352-2021")</f>
        <v/>
      </c>
      <c r="X1327">
        <f>HYPERLINK("https://klasma.github.io/Logging_2313/tillsyn/A 71352-2021 tillsynsbegäran.docx", "A 71352-2021")</f>
        <v/>
      </c>
      <c r="Y1327">
        <f>HYPERLINK("https://klasma.github.io/Logging_2313/tillsynsmail/A 71352-2021 tillsynsbegäran mail.docx", "A 71352-2021")</f>
        <v/>
      </c>
    </row>
    <row r="1328" ht="15" customHeight="1">
      <c r="A1328" t="inlineStr">
        <is>
          <t>A 71353-2021</t>
        </is>
      </c>
      <c r="B1328" s="1" t="n">
        <v>44539</v>
      </c>
      <c r="C1328" s="1" t="n">
        <v>45343</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71376-2021</t>
        </is>
      </c>
      <c r="B1329" s="1" t="n">
        <v>44539</v>
      </c>
      <c r="C1329" s="1" t="n">
        <v>45343</v>
      </c>
      <c r="D1329" t="inlineStr">
        <is>
          <t>JÄMTLANDS LÄN</t>
        </is>
      </c>
      <c r="E1329" t="inlineStr">
        <is>
          <t>STRÖMSUND</t>
        </is>
      </c>
      <c r="F1329" t="inlineStr">
        <is>
          <t>SCA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71377-2021</t>
        </is>
      </c>
      <c r="B1330" s="1" t="n">
        <v>44539</v>
      </c>
      <c r="C1330" s="1" t="n">
        <v>45343</v>
      </c>
      <c r="D1330" t="inlineStr">
        <is>
          <t>JÄMTLANDS LÄN</t>
        </is>
      </c>
      <c r="E1330" t="inlineStr">
        <is>
          <t>STRÖMSUND</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71912-2021</t>
        </is>
      </c>
      <c r="B1331" s="1" t="n">
        <v>44543</v>
      </c>
      <c r="C1331" s="1" t="n">
        <v>45343</v>
      </c>
      <c r="D1331" t="inlineStr">
        <is>
          <t>JÄMTLANDS LÄN</t>
        </is>
      </c>
      <c r="E1331" t="inlineStr">
        <is>
          <t>STRÖMSUND</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71911-2021</t>
        </is>
      </c>
      <c r="B1332" s="1" t="n">
        <v>44543</v>
      </c>
      <c r="C1332" s="1" t="n">
        <v>45343</v>
      </c>
      <c r="D1332" t="inlineStr">
        <is>
          <t>JÄMTLANDS LÄN</t>
        </is>
      </c>
      <c r="E1332" t="inlineStr">
        <is>
          <t>STRÖMSUND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72629-2021</t>
        </is>
      </c>
      <c r="B1333" s="1" t="n">
        <v>44545</v>
      </c>
      <c r="C1333" s="1" t="n">
        <v>45343</v>
      </c>
      <c r="D1333" t="inlineStr">
        <is>
          <t>JÄMTLANDS LÄN</t>
        </is>
      </c>
      <c r="E1333" t="inlineStr">
        <is>
          <t>STRÖMSUND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72497-2021</t>
        </is>
      </c>
      <c r="B1334" s="1" t="n">
        <v>44545</v>
      </c>
      <c r="C1334" s="1" t="n">
        <v>45343</v>
      </c>
      <c r="D1334" t="inlineStr">
        <is>
          <t>JÄMTLANDS LÄN</t>
        </is>
      </c>
      <c r="E1334" t="inlineStr">
        <is>
          <t>STRÖMSUND</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72543-2021</t>
        </is>
      </c>
      <c r="B1335" s="1" t="n">
        <v>44546</v>
      </c>
      <c r="C1335" s="1" t="n">
        <v>45343</v>
      </c>
      <c r="D1335" t="inlineStr">
        <is>
          <t>JÄMTLANDS LÄN</t>
        </is>
      </c>
      <c r="E1335" t="inlineStr">
        <is>
          <t>STRÖMSUND</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72749-2021</t>
        </is>
      </c>
      <c r="B1336" s="1" t="n">
        <v>44546</v>
      </c>
      <c r="C1336" s="1" t="n">
        <v>45343</v>
      </c>
      <c r="D1336" t="inlineStr">
        <is>
          <t>JÄMTLANDS LÄN</t>
        </is>
      </c>
      <c r="E1336" t="inlineStr">
        <is>
          <t>STRÖMSUND</t>
        </is>
      </c>
      <c r="G1336" t="n">
        <v>35.6</v>
      </c>
      <c r="H1336" t="n">
        <v>0</v>
      </c>
      <c r="I1336" t="n">
        <v>0</v>
      </c>
      <c r="J1336" t="n">
        <v>0</v>
      </c>
      <c r="K1336" t="n">
        <v>0</v>
      </c>
      <c r="L1336" t="n">
        <v>0</v>
      </c>
      <c r="M1336" t="n">
        <v>0</v>
      </c>
      <c r="N1336" t="n">
        <v>0</v>
      </c>
      <c r="O1336" t="n">
        <v>0</v>
      </c>
      <c r="P1336" t="n">
        <v>0</v>
      </c>
      <c r="Q1336" t="n">
        <v>0</v>
      </c>
      <c r="R1336" s="2" t="inlineStr"/>
    </row>
    <row r="1337" ht="15" customHeight="1">
      <c r="A1337" t="inlineStr">
        <is>
          <t>A 72753-2021</t>
        </is>
      </c>
      <c r="B1337" s="1" t="n">
        <v>44546</v>
      </c>
      <c r="C1337" s="1" t="n">
        <v>45343</v>
      </c>
      <c r="D1337" t="inlineStr">
        <is>
          <t>JÄMTLANDS LÄN</t>
        </is>
      </c>
      <c r="E1337" t="inlineStr">
        <is>
          <t>STRÖMSUND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72827-2021</t>
        </is>
      </c>
      <c r="B1338" s="1" t="n">
        <v>44547</v>
      </c>
      <c r="C1338" s="1" t="n">
        <v>45343</v>
      </c>
      <c r="D1338" t="inlineStr">
        <is>
          <t>JÄMTLANDS LÄN</t>
        </is>
      </c>
      <c r="E1338" t="inlineStr">
        <is>
          <t>STRÖMSUND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72957-2021</t>
        </is>
      </c>
      <c r="B1339" s="1" t="n">
        <v>44547</v>
      </c>
      <c r="C1339" s="1" t="n">
        <v>45343</v>
      </c>
      <c r="D1339" t="inlineStr">
        <is>
          <t>JÄMTLANDS LÄN</t>
        </is>
      </c>
      <c r="E1339" t="inlineStr">
        <is>
          <t>STRÖMSUND</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72956-2021</t>
        </is>
      </c>
      <c r="B1340" s="1" t="n">
        <v>44547</v>
      </c>
      <c r="C1340" s="1" t="n">
        <v>45343</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73288-2021</t>
        </is>
      </c>
      <c r="B1341" s="1" t="n">
        <v>44550</v>
      </c>
      <c r="C1341" s="1" t="n">
        <v>45343</v>
      </c>
      <c r="D1341" t="inlineStr">
        <is>
          <t>JÄMTLANDS LÄN</t>
        </is>
      </c>
      <c r="E1341" t="inlineStr">
        <is>
          <t>STRÖMSUND</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73291-2021</t>
        </is>
      </c>
      <c r="B1342" s="1" t="n">
        <v>44550</v>
      </c>
      <c r="C1342" s="1" t="n">
        <v>45343</v>
      </c>
      <c r="D1342" t="inlineStr">
        <is>
          <t>JÄMTLANDS LÄN</t>
        </is>
      </c>
      <c r="E1342" t="inlineStr">
        <is>
          <t>STRÖMSUND</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73289-2021</t>
        </is>
      </c>
      <c r="B1343" s="1" t="n">
        <v>44550</v>
      </c>
      <c r="C1343" s="1" t="n">
        <v>45343</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364-2022</t>
        </is>
      </c>
      <c r="B1344" s="1" t="n">
        <v>44565</v>
      </c>
      <c r="C1344" s="1" t="n">
        <v>45343</v>
      </c>
      <c r="D1344" t="inlineStr">
        <is>
          <t>JÄMTLANDS LÄN</t>
        </is>
      </c>
      <c r="E1344" t="inlineStr">
        <is>
          <t>STRÖMSUND</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585-2022</t>
        </is>
      </c>
      <c r="B1345" s="1" t="n">
        <v>44566</v>
      </c>
      <c r="C1345" s="1" t="n">
        <v>45343</v>
      </c>
      <c r="D1345" t="inlineStr">
        <is>
          <t>JÄMTLANDS LÄN</t>
        </is>
      </c>
      <c r="E1345" t="inlineStr">
        <is>
          <t>STRÖMSUND</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583-2022</t>
        </is>
      </c>
      <c r="B1346" s="1" t="n">
        <v>44566</v>
      </c>
      <c r="C1346" s="1" t="n">
        <v>45343</v>
      </c>
      <c r="D1346" t="inlineStr">
        <is>
          <t>JÄMTLANDS LÄN</t>
        </is>
      </c>
      <c r="E1346" t="inlineStr">
        <is>
          <t>STRÖMSUND</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829-2022</t>
        </is>
      </c>
      <c r="B1347" s="1" t="n">
        <v>44568</v>
      </c>
      <c r="C1347" s="1" t="n">
        <v>45343</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1083-2022</t>
        </is>
      </c>
      <c r="B1348" s="1" t="n">
        <v>44571</v>
      </c>
      <c r="C1348" s="1" t="n">
        <v>45343</v>
      </c>
      <c r="D1348" t="inlineStr">
        <is>
          <t>JÄMTLANDS LÄN</t>
        </is>
      </c>
      <c r="E1348" t="inlineStr">
        <is>
          <t>STRÖMSUND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1107-2022</t>
        </is>
      </c>
      <c r="B1349" s="1" t="n">
        <v>44571</v>
      </c>
      <c r="C1349" s="1" t="n">
        <v>45343</v>
      </c>
      <c r="D1349" t="inlineStr">
        <is>
          <t>JÄMTLANDS LÄN</t>
        </is>
      </c>
      <c r="E1349" t="inlineStr">
        <is>
          <t>STRÖMSUND</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1339-2022</t>
        </is>
      </c>
      <c r="B1350" s="1" t="n">
        <v>44572</v>
      </c>
      <c r="C1350" s="1" t="n">
        <v>45343</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2485-2022</t>
        </is>
      </c>
      <c r="B1351" s="1" t="n">
        <v>44579</v>
      </c>
      <c r="C1351" s="1" t="n">
        <v>45343</v>
      </c>
      <c r="D1351" t="inlineStr">
        <is>
          <t>JÄMTLANDS LÄN</t>
        </is>
      </c>
      <c r="E1351" t="inlineStr">
        <is>
          <t>STRÖMSUND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2554-2022</t>
        </is>
      </c>
      <c r="B1352" s="1" t="n">
        <v>44579</v>
      </c>
      <c r="C1352" s="1" t="n">
        <v>45343</v>
      </c>
      <c r="D1352" t="inlineStr">
        <is>
          <t>JÄMTLANDS LÄN</t>
        </is>
      </c>
      <c r="E1352" t="inlineStr">
        <is>
          <t>STRÖMSUND</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2760-2022</t>
        </is>
      </c>
      <c r="B1353" s="1" t="n">
        <v>44580</v>
      </c>
      <c r="C1353" s="1" t="n">
        <v>45343</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2759-2022</t>
        </is>
      </c>
      <c r="B1354" s="1" t="n">
        <v>44580</v>
      </c>
      <c r="C1354" s="1" t="n">
        <v>45343</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3114-2022</t>
        </is>
      </c>
      <c r="B1355" s="1" t="n">
        <v>44582</v>
      </c>
      <c r="C1355" s="1" t="n">
        <v>45343</v>
      </c>
      <c r="D1355" t="inlineStr">
        <is>
          <t>JÄMTLANDS LÄN</t>
        </is>
      </c>
      <c r="E1355" t="inlineStr">
        <is>
          <t>STRÖMSUND</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3165-2022</t>
        </is>
      </c>
      <c r="B1356" s="1" t="n">
        <v>44582</v>
      </c>
      <c r="C1356" s="1" t="n">
        <v>45343</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3230-2022</t>
        </is>
      </c>
      <c r="B1357" s="1" t="n">
        <v>44582</v>
      </c>
      <c r="C1357" s="1" t="n">
        <v>45343</v>
      </c>
      <c r="D1357" t="inlineStr">
        <is>
          <t>JÄMTLANDS LÄN</t>
        </is>
      </c>
      <c r="E1357" t="inlineStr">
        <is>
          <t>STRÖMSUND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3269-2022</t>
        </is>
      </c>
      <c r="B1358" s="1" t="n">
        <v>44583</v>
      </c>
      <c r="C1358" s="1" t="n">
        <v>45343</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3538-2022</t>
        </is>
      </c>
      <c r="B1359" s="1" t="n">
        <v>44585</v>
      </c>
      <c r="C1359" s="1" t="n">
        <v>45343</v>
      </c>
      <c r="D1359" t="inlineStr">
        <is>
          <t>JÄMTLANDS LÄN</t>
        </is>
      </c>
      <c r="E1359" t="inlineStr">
        <is>
          <t>STRÖMSUND</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3539-2022</t>
        </is>
      </c>
      <c r="B1360" s="1" t="n">
        <v>44585</v>
      </c>
      <c r="C1360" s="1" t="n">
        <v>45343</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3719-2022</t>
        </is>
      </c>
      <c r="B1361" s="1" t="n">
        <v>44586</v>
      </c>
      <c r="C1361" s="1" t="n">
        <v>45343</v>
      </c>
      <c r="D1361" t="inlineStr">
        <is>
          <t>JÄMTLANDS LÄN</t>
        </is>
      </c>
      <c r="E1361" t="inlineStr">
        <is>
          <t>STRÖMSUND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3721-2022</t>
        </is>
      </c>
      <c r="B1362" s="1" t="n">
        <v>44586</v>
      </c>
      <c r="C1362" s="1" t="n">
        <v>45343</v>
      </c>
      <c r="D1362" t="inlineStr">
        <is>
          <t>JÄMTLANDS LÄN</t>
        </is>
      </c>
      <c r="E1362" t="inlineStr">
        <is>
          <t>STRÖMSUND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3875-2022</t>
        </is>
      </c>
      <c r="B1363" s="1" t="n">
        <v>44587</v>
      </c>
      <c r="C1363" s="1" t="n">
        <v>45343</v>
      </c>
      <c r="D1363" t="inlineStr">
        <is>
          <t>JÄMTLANDS LÄN</t>
        </is>
      </c>
      <c r="E1363" t="inlineStr">
        <is>
          <t>STRÖMSUND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4024-2022</t>
        </is>
      </c>
      <c r="B1364" s="1" t="n">
        <v>44587</v>
      </c>
      <c r="C1364" s="1" t="n">
        <v>45343</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4460-2022</t>
        </is>
      </c>
      <c r="B1365" s="1" t="n">
        <v>44589</v>
      </c>
      <c r="C1365" s="1" t="n">
        <v>45343</v>
      </c>
      <c r="D1365" t="inlineStr">
        <is>
          <t>JÄMTLANDS LÄN</t>
        </is>
      </c>
      <c r="E1365" t="inlineStr">
        <is>
          <t>STRÖMSUND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4455-2022</t>
        </is>
      </c>
      <c r="B1366" s="1" t="n">
        <v>44589</v>
      </c>
      <c r="C1366" s="1" t="n">
        <v>45343</v>
      </c>
      <c r="D1366" t="inlineStr">
        <is>
          <t>JÄMTLANDS LÄN</t>
        </is>
      </c>
      <c r="E1366" t="inlineStr">
        <is>
          <t>STRÖMSUND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4464-2022</t>
        </is>
      </c>
      <c r="B1367" s="1" t="n">
        <v>44589</v>
      </c>
      <c r="C1367" s="1" t="n">
        <v>45343</v>
      </c>
      <c r="D1367" t="inlineStr">
        <is>
          <t>JÄMTLANDS LÄN</t>
        </is>
      </c>
      <c r="E1367" t="inlineStr">
        <is>
          <t>STRÖMSUND</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4602-2022</t>
        </is>
      </c>
      <c r="B1368" s="1" t="n">
        <v>44589</v>
      </c>
      <c r="C1368" s="1" t="n">
        <v>45343</v>
      </c>
      <c r="D1368" t="inlineStr">
        <is>
          <t>JÄMTLANDS LÄN</t>
        </is>
      </c>
      <c r="E1368" t="inlineStr">
        <is>
          <t>STRÖMSUND</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4858-2022</t>
        </is>
      </c>
      <c r="B1369" s="1" t="n">
        <v>44592</v>
      </c>
      <c r="C1369" s="1" t="n">
        <v>45343</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4931-2022</t>
        </is>
      </c>
      <c r="B1370" s="1" t="n">
        <v>44593</v>
      </c>
      <c r="C1370" s="1" t="n">
        <v>45343</v>
      </c>
      <c r="D1370" t="inlineStr">
        <is>
          <t>JÄMTLANDS LÄN</t>
        </is>
      </c>
      <c r="E1370" t="inlineStr">
        <is>
          <t>STRÖMSUND</t>
        </is>
      </c>
      <c r="G1370" t="n">
        <v>41.9</v>
      </c>
      <c r="H1370" t="n">
        <v>0</v>
      </c>
      <c r="I1370" t="n">
        <v>0</v>
      </c>
      <c r="J1370" t="n">
        <v>0</v>
      </c>
      <c r="K1370" t="n">
        <v>0</v>
      </c>
      <c r="L1370" t="n">
        <v>0</v>
      </c>
      <c r="M1370" t="n">
        <v>0</v>
      </c>
      <c r="N1370" t="n">
        <v>0</v>
      </c>
      <c r="O1370" t="n">
        <v>0</v>
      </c>
      <c r="P1370" t="n">
        <v>0</v>
      </c>
      <c r="Q1370" t="n">
        <v>0</v>
      </c>
      <c r="R1370" s="2" t="inlineStr"/>
    </row>
    <row r="1371" ht="15" customHeight="1">
      <c r="A1371" t="inlineStr">
        <is>
          <t>A 5117-2022</t>
        </is>
      </c>
      <c r="B1371" s="1" t="n">
        <v>44593</v>
      </c>
      <c r="C1371" s="1" t="n">
        <v>45343</v>
      </c>
      <c r="D1371" t="inlineStr">
        <is>
          <t>JÄMTLANDS LÄN</t>
        </is>
      </c>
      <c r="E1371" t="inlineStr">
        <is>
          <t>STRÖMSUND</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5116-2022</t>
        </is>
      </c>
      <c r="B1372" s="1" t="n">
        <v>44593</v>
      </c>
      <c r="C1372" s="1" t="n">
        <v>45343</v>
      </c>
      <c r="D1372" t="inlineStr">
        <is>
          <t>JÄMTLANDS LÄN</t>
        </is>
      </c>
      <c r="E1372" t="inlineStr">
        <is>
          <t>STRÖMSUND</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5416-2022</t>
        </is>
      </c>
      <c r="B1373" s="1" t="n">
        <v>44595</v>
      </c>
      <c r="C1373" s="1" t="n">
        <v>45343</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5642-2022</t>
        </is>
      </c>
      <c r="B1374" s="1" t="n">
        <v>44595</v>
      </c>
      <c r="C1374" s="1" t="n">
        <v>45343</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6055-2022</t>
        </is>
      </c>
      <c r="B1375" s="1" t="n">
        <v>44599</v>
      </c>
      <c r="C1375" s="1" t="n">
        <v>45343</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6150-2022</t>
        </is>
      </c>
      <c r="B1376" s="1" t="n">
        <v>44599</v>
      </c>
      <c r="C1376" s="1" t="n">
        <v>45343</v>
      </c>
      <c r="D1376" t="inlineStr">
        <is>
          <t>JÄMTLANDS LÄN</t>
        </is>
      </c>
      <c r="E1376" t="inlineStr">
        <is>
          <t>STRÖMSUND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6202-2022</t>
        </is>
      </c>
      <c r="B1377" s="1" t="n">
        <v>44600</v>
      </c>
      <c r="C1377" s="1" t="n">
        <v>45343</v>
      </c>
      <c r="D1377" t="inlineStr">
        <is>
          <t>JÄMTLANDS LÄN</t>
        </is>
      </c>
      <c r="E1377" t="inlineStr">
        <is>
          <t>STRÖMSUND</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7023-2022</t>
        </is>
      </c>
      <c r="B1378" s="1" t="n">
        <v>44603</v>
      </c>
      <c r="C1378" s="1" t="n">
        <v>45343</v>
      </c>
      <c r="D1378" t="inlineStr">
        <is>
          <t>JÄMTLANDS LÄN</t>
        </is>
      </c>
      <c r="E1378" t="inlineStr">
        <is>
          <t>STRÖMSUND</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7157-2022</t>
        </is>
      </c>
      <c r="B1379" s="1" t="n">
        <v>44604</v>
      </c>
      <c r="C1379" s="1" t="n">
        <v>45343</v>
      </c>
      <c r="D1379" t="inlineStr">
        <is>
          <t>JÄMTLANDS LÄN</t>
        </is>
      </c>
      <c r="E1379" t="inlineStr">
        <is>
          <t>STRÖMSUND</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7260-2022</t>
        </is>
      </c>
      <c r="B1380" s="1" t="n">
        <v>44606</v>
      </c>
      <c r="C1380" s="1" t="n">
        <v>45343</v>
      </c>
      <c r="D1380" t="inlineStr">
        <is>
          <t>JÄMTLANDS LÄN</t>
        </is>
      </c>
      <c r="E1380" t="inlineStr">
        <is>
          <t>STRÖMSUND</t>
        </is>
      </c>
      <c r="F1380" t="inlineStr">
        <is>
          <t>SCA</t>
        </is>
      </c>
      <c r="G1380" t="n">
        <v>76.40000000000001</v>
      </c>
      <c r="H1380" t="n">
        <v>0</v>
      </c>
      <c r="I1380" t="n">
        <v>0</v>
      </c>
      <c r="J1380" t="n">
        <v>0</v>
      </c>
      <c r="K1380" t="n">
        <v>0</v>
      </c>
      <c r="L1380" t="n">
        <v>0</v>
      </c>
      <c r="M1380" t="n">
        <v>0</v>
      </c>
      <c r="N1380" t="n">
        <v>0</v>
      </c>
      <c r="O1380" t="n">
        <v>0</v>
      </c>
      <c r="P1380" t="n">
        <v>0</v>
      </c>
      <c r="Q1380" t="n">
        <v>0</v>
      </c>
      <c r="R1380" s="2" t="inlineStr"/>
    </row>
    <row r="1381" ht="15" customHeight="1">
      <c r="A1381" t="inlineStr">
        <is>
          <t>A 8066-2022</t>
        </is>
      </c>
      <c r="B1381" s="1" t="n">
        <v>44609</v>
      </c>
      <c r="C1381" s="1" t="n">
        <v>45343</v>
      </c>
      <c r="D1381" t="inlineStr">
        <is>
          <t>JÄMTLANDS LÄN</t>
        </is>
      </c>
      <c r="E1381" t="inlineStr">
        <is>
          <t>STRÖMSUND</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8239-2022</t>
        </is>
      </c>
      <c r="B1382" s="1" t="n">
        <v>44609</v>
      </c>
      <c r="C1382" s="1" t="n">
        <v>45343</v>
      </c>
      <c r="D1382" t="inlineStr">
        <is>
          <t>JÄMTLANDS LÄN</t>
        </is>
      </c>
      <c r="E1382" t="inlineStr">
        <is>
          <t>STRÖMSUND</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8421-2022</t>
        </is>
      </c>
      <c r="B1383" s="1" t="n">
        <v>44610</v>
      </c>
      <c r="C1383" s="1" t="n">
        <v>45343</v>
      </c>
      <c r="D1383" t="inlineStr">
        <is>
          <t>JÄMTLANDS LÄN</t>
        </is>
      </c>
      <c r="E1383" t="inlineStr">
        <is>
          <t>STRÖMSUND</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9370-2022</t>
        </is>
      </c>
      <c r="B1384" s="1" t="n">
        <v>44616</v>
      </c>
      <c r="C1384" s="1" t="n">
        <v>45343</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9379-2022</t>
        </is>
      </c>
      <c r="B1385" s="1" t="n">
        <v>44616</v>
      </c>
      <c r="C1385" s="1" t="n">
        <v>45343</v>
      </c>
      <c r="D1385" t="inlineStr">
        <is>
          <t>JÄMTLANDS LÄN</t>
        </is>
      </c>
      <c r="E1385" t="inlineStr">
        <is>
          <t>STRÖMSUND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9934-2022</t>
        </is>
      </c>
      <c r="B1386" s="1" t="n">
        <v>44620</v>
      </c>
      <c r="C1386" s="1" t="n">
        <v>45343</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9957-2022</t>
        </is>
      </c>
      <c r="B1387" s="1" t="n">
        <v>44620</v>
      </c>
      <c r="C1387" s="1" t="n">
        <v>45343</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10077-2022</t>
        </is>
      </c>
      <c r="B1388" s="1" t="n">
        <v>44621</v>
      </c>
      <c r="C1388" s="1" t="n">
        <v>45343</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10144-2022</t>
        </is>
      </c>
      <c r="B1389" s="1" t="n">
        <v>44621</v>
      </c>
      <c r="C1389" s="1" t="n">
        <v>45343</v>
      </c>
      <c r="D1389" t="inlineStr">
        <is>
          <t>JÄMTLANDS LÄN</t>
        </is>
      </c>
      <c r="E1389" t="inlineStr">
        <is>
          <t>STRÖMSUND</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10136-2022</t>
        </is>
      </c>
      <c r="B1390" s="1" t="n">
        <v>44621</v>
      </c>
      <c r="C1390" s="1" t="n">
        <v>45343</v>
      </c>
      <c r="D1390" t="inlineStr">
        <is>
          <t>JÄMTLANDS LÄN</t>
        </is>
      </c>
      <c r="E1390" t="inlineStr">
        <is>
          <t>STRÖMSUND</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10249-2022</t>
        </is>
      </c>
      <c r="B1391" s="1" t="n">
        <v>44622</v>
      </c>
      <c r="C1391" s="1" t="n">
        <v>45343</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10322-2022</t>
        </is>
      </c>
      <c r="B1392" s="1" t="n">
        <v>44622</v>
      </c>
      <c r="C1392" s="1" t="n">
        <v>45343</v>
      </c>
      <c r="D1392" t="inlineStr">
        <is>
          <t>JÄMTLANDS LÄN</t>
        </is>
      </c>
      <c r="E1392" t="inlineStr">
        <is>
          <t>STRÖMSUND</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10323-2022</t>
        </is>
      </c>
      <c r="B1393" s="1" t="n">
        <v>44622</v>
      </c>
      <c r="C1393" s="1" t="n">
        <v>45343</v>
      </c>
      <c r="D1393" t="inlineStr">
        <is>
          <t>JÄMTLANDS LÄN</t>
        </is>
      </c>
      <c r="E1393" t="inlineStr">
        <is>
          <t>STRÖMSUND</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10319-2022</t>
        </is>
      </c>
      <c r="B1394" s="1" t="n">
        <v>44622</v>
      </c>
      <c r="C1394" s="1" t="n">
        <v>45343</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10527-2022</t>
        </is>
      </c>
      <c r="B1395" s="1" t="n">
        <v>44623</v>
      </c>
      <c r="C1395" s="1" t="n">
        <v>45343</v>
      </c>
      <c r="D1395" t="inlineStr">
        <is>
          <t>JÄMTLANDS LÄN</t>
        </is>
      </c>
      <c r="E1395" t="inlineStr">
        <is>
          <t>STRÖMSUND</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10647-2022</t>
        </is>
      </c>
      <c r="B1396" s="1" t="n">
        <v>44624</v>
      </c>
      <c r="C1396" s="1" t="n">
        <v>45343</v>
      </c>
      <c r="D1396" t="inlineStr">
        <is>
          <t>JÄMTLANDS LÄN</t>
        </is>
      </c>
      <c r="E1396" t="inlineStr">
        <is>
          <t>STRÖMSUND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10656-2022</t>
        </is>
      </c>
      <c r="B1397" s="1" t="n">
        <v>44624</v>
      </c>
      <c r="C1397" s="1" t="n">
        <v>45343</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10698-2022</t>
        </is>
      </c>
      <c r="B1398" s="1" t="n">
        <v>44624</v>
      </c>
      <c r="C1398" s="1" t="n">
        <v>45343</v>
      </c>
      <c r="D1398" t="inlineStr">
        <is>
          <t>JÄMTLANDS LÄN</t>
        </is>
      </c>
      <c r="E1398" t="inlineStr">
        <is>
          <t>STRÖMSUND</t>
        </is>
      </c>
      <c r="F1398" t="inlineStr">
        <is>
          <t>SCA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10904-2022</t>
        </is>
      </c>
      <c r="B1399" s="1" t="n">
        <v>44627</v>
      </c>
      <c r="C1399" s="1" t="n">
        <v>45343</v>
      </c>
      <c r="D1399" t="inlineStr">
        <is>
          <t>JÄMTLANDS LÄN</t>
        </is>
      </c>
      <c r="E1399" t="inlineStr">
        <is>
          <t>STRÖMSUND</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11158-2022</t>
        </is>
      </c>
      <c r="B1400" s="1" t="n">
        <v>44629</v>
      </c>
      <c r="C1400" s="1" t="n">
        <v>45343</v>
      </c>
      <c r="D1400" t="inlineStr">
        <is>
          <t>JÄMTLANDS LÄN</t>
        </is>
      </c>
      <c r="E1400" t="inlineStr">
        <is>
          <t>STRÖMSUND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11578-2022</t>
        </is>
      </c>
      <c r="B1401" s="1" t="n">
        <v>44631</v>
      </c>
      <c r="C1401" s="1" t="n">
        <v>45343</v>
      </c>
      <c r="D1401" t="inlineStr">
        <is>
          <t>JÄMTLANDS LÄN</t>
        </is>
      </c>
      <c r="E1401" t="inlineStr">
        <is>
          <t>STRÖMSUND</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11856-2022</t>
        </is>
      </c>
      <c r="B1402" s="1" t="n">
        <v>44635</v>
      </c>
      <c r="C1402" s="1" t="n">
        <v>45343</v>
      </c>
      <c r="D1402" t="inlineStr">
        <is>
          <t>JÄMTLANDS LÄN</t>
        </is>
      </c>
      <c r="E1402" t="inlineStr">
        <is>
          <t>STRÖMSUND</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12018-2022</t>
        </is>
      </c>
      <c r="B1403" s="1" t="n">
        <v>44635</v>
      </c>
      <c r="C1403" s="1" t="n">
        <v>45343</v>
      </c>
      <c r="D1403" t="inlineStr">
        <is>
          <t>JÄMTLANDS LÄN</t>
        </is>
      </c>
      <c r="E1403" t="inlineStr">
        <is>
          <t>STRÖMSUND</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12198-2022</t>
        </is>
      </c>
      <c r="B1404" s="1" t="n">
        <v>44636</v>
      </c>
      <c r="C1404" s="1" t="n">
        <v>45343</v>
      </c>
      <c r="D1404" t="inlineStr">
        <is>
          <t>JÄMTLANDS LÄN</t>
        </is>
      </c>
      <c r="E1404" t="inlineStr">
        <is>
          <t>STRÖMSUND</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12405-2022</t>
        </is>
      </c>
      <c r="B1405" s="1" t="n">
        <v>44637</v>
      </c>
      <c r="C1405" s="1" t="n">
        <v>45343</v>
      </c>
      <c r="D1405" t="inlineStr">
        <is>
          <t>JÄMTLANDS LÄN</t>
        </is>
      </c>
      <c r="E1405" t="inlineStr">
        <is>
          <t>STRÖMSUND</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12404-2022</t>
        </is>
      </c>
      <c r="B1406" s="1" t="n">
        <v>44637</v>
      </c>
      <c r="C1406" s="1" t="n">
        <v>45343</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12762-2022</t>
        </is>
      </c>
      <c r="B1407" s="1" t="n">
        <v>44641</v>
      </c>
      <c r="C1407" s="1" t="n">
        <v>45343</v>
      </c>
      <c r="D1407" t="inlineStr">
        <is>
          <t>JÄMTLANDS LÄN</t>
        </is>
      </c>
      <c r="E1407" t="inlineStr">
        <is>
          <t>STRÖMSUND</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12822-2022</t>
        </is>
      </c>
      <c r="B1408" s="1" t="n">
        <v>44642</v>
      </c>
      <c r="C1408" s="1" t="n">
        <v>45343</v>
      </c>
      <c r="D1408" t="inlineStr">
        <is>
          <t>JÄMTLANDS LÄN</t>
        </is>
      </c>
      <c r="E1408" t="inlineStr">
        <is>
          <t>STRÖMSUND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13098-2022</t>
        </is>
      </c>
      <c r="B1409" s="1" t="n">
        <v>44643</v>
      </c>
      <c r="C1409" s="1" t="n">
        <v>45343</v>
      </c>
      <c r="D1409" t="inlineStr">
        <is>
          <t>JÄMTLANDS LÄN</t>
        </is>
      </c>
      <c r="E1409" t="inlineStr">
        <is>
          <t>STRÖMSUND</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13099-2022</t>
        </is>
      </c>
      <c r="B1410" s="1" t="n">
        <v>44643</v>
      </c>
      <c r="C1410" s="1" t="n">
        <v>45343</v>
      </c>
      <c r="D1410" t="inlineStr">
        <is>
          <t>JÄMTLANDS LÄN</t>
        </is>
      </c>
      <c r="E1410" t="inlineStr">
        <is>
          <t>STRÖMSUND</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13513-2022</t>
        </is>
      </c>
      <c r="B1411" s="1" t="n">
        <v>44648</v>
      </c>
      <c r="C1411" s="1" t="n">
        <v>45343</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14043-2022</t>
        </is>
      </c>
      <c r="B1412" s="1" t="n">
        <v>44650</v>
      </c>
      <c r="C1412" s="1" t="n">
        <v>45343</v>
      </c>
      <c r="D1412" t="inlineStr">
        <is>
          <t>JÄMTLANDS LÄN</t>
        </is>
      </c>
      <c r="E1412" t="inlineStr">
        <is>
          <t>STRÖMSUND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14283-2022</t>
        </is>
      </c>
      <c r="B1413" s="1" t="n">
        <v>44651</v>
      </c>
      <c r="C1413" s="1" t="n">
        <v>45343</v>
      </c>
      <c r="D1413" t="inlineStr">
        <is>
          <t>JÄMTLANDS LÄN</t>
        </is>
      </c>
      <c r="E1413" t="inlineStr">
        <is>
          <t>STRÖMSUND</t>
        </is>
      </c>
      <c r="F1413" t="inlineStr">
        <is>
          <t>SCA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14288-2022</t>
        </is>
      </c>
      <c r="B1414" s="1" t="n">
        <v>44651</v>
      </c>
      <c r="C1414" s="1" t="n">
        <v>45343</v>
      </c>
      <c r="D1414" t="inlineStr">
        <is>
          <t>JÄMTLANDS LÄN</t>
        </is>
      </c>
      <c r="E1414" t="inlineStr">
        <is>
          <t>STRÖMSUND</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14292-2022</t>
        </is>
      </c>
      <c r="B1415" s="1" t="n">
        <v>44651</v>
      </c>
      <c r="C1415" s="1" t="n">
        <v>45343</v>
      </c>
      <c r="D1415" t="inlineStr">
        <is>
          <t>JÄMTLANDS LÄN</t>
        </is>
      </c>
      <c r="E1415" t="inlineStr">
        <is>
          <t>STRÖMSUND</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14294-2022</t>
        </is>
      </c>
      <c r="B1416" s="1" t="n">
        <v>44652</v>
      </c>
      <c r="C1416" s="1" t="n">
        <v>45343</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14281-2022</t>
        </is>
      </c>
      <c r="B1417" s="1" t="n">
        <v>44651</v>
      </c>
      <c r="C1417" s="1" t="n">
        <v>45343</v>
      </c>
      <c r="D1417" t="inlineStr">
        <is>
          <t>JÄMTLANDS LÄN</t>
        </is>
      </c>
      <c r="E1417" t="inlineStr">
        <is>
          <t>STRÖMSUND</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14289-2022</t>
        </is>
      </c>
      <c r="B1418" s="1" t="n">
        <v>44651</v>
      </c>
      <c r="C1418" s="1" t="n">
        <v>45343</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14441-2022</t>
        </is>
      </c>
      <c r="B1419" s="1" t="n">
        <v>44652</v>
      </c>
      <c r="C1419" s="1" t="n">
        <v>45343</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14443-2022</t>
        </is>
      </c>
      <c r="B1420" s="1" t="n">
        <v>44653</v>
      </c>
      <c r="C1420" s="1" t="n">
        <v>45343</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14445-2022</t>
        </is>
      </c>
      <c r="B1421" s="1" t="n">
        <v>44653</v>
      </c>
      <c r="C1421" s="1" t="n">
        <v>45343</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14442-2022</t>
        </is>
      </c>
      <c r="B1422" s="1" t="n">
        <v>44653</v>
      </c>
      <c r="C1422" s="1" t="n">
        <v>45343</v>
      </c>
      <c r="D1422" t="inlineStr">
        <is>
          <t>JÄMTLANDS LÄN</t>
        </is>
      </c>
      <c r="E1422" t="inlineStr">
        <is>
          <t>STRÖMSUND</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14460-2022</t>
        </is>
      </c>
      <c r="B1423" s="1" t="n">
        <v>44654</v>
      </c>
      <c r="C1423" s="1" t="n">
        <v>45343</v>
      </c>
      <c r="D1423" t="inlineStr">
        <is>
          <t>JÄMTLANDS LÄN</t>
        </is>
      </c>
      <c r="E1423" t="inlineStr">
        <is>
          <t>STRÖMSUND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14550-2022</t>
        </is>
      </c>
      <c r="B1424" s="1" t="n">
        <v>44655</v>
      </c>
      <c r="C1424" s="1" t="n">
        <v>45343</v>
      </c>
      <c r="D1424" t="inlineStr">
        <is>
          <t>JÄMTLANDS LÄN</t>
        </is>
      </c>
      <c r="E1424" t="inlineStr">
        <is>
          <t>STRÖMSUND</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14557-2022</t>
        </is>
      </c>
      <c r="B1425" s="1" t="n">
        <v>44655</v>
      </c>
      <c r="C1425" s="1" t="n">
        <v>45343</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14703-2022</t>
        </is>
      </c>
      <c r="B1426" s="1" t="n">
        <v>44655</v>
      </c>
      <c r="C1426" s="1" t="n">
        <v>45343</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14894-2022</t>
        </is>
      </c>
      <c r="B1427" s="1" t="n">
        <v>44657</v>
      </c>
      <c r="C1427" s="1" t="n">
        <v>45343</v>
      </c>
      <c r="D1427" t="inlineStr">
        <is>
          <t>JÄMTLANDS LÄN</t>
        </is>
      </c>
      <c r="E1427" t="inlineStr">
        <is>
          <t>STRÖMSUND</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15149-2022</t>
        </is>
      </c>
      <c r="B1428" s="1" t="n">
        <v>44658</v>
      </c>
      <c r="C1428" s="1" t="n">
        <v>45343</v>
      </c>
      <c r="D1428" t="inlineStr">
        <is>
          <t>JÄMTLANDS LÄN</t>
        </is>
      </c>
      <c r="E1428" t="inlineStr">
        <is>
          <t>STRÖMSUND</t>
        </is>
      </c>
      <c r="G1428" t="n">
        <v>10.6</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45343</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45343</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45343</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45343</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45343</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45343</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45343</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45343</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45343</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45343</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45343</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45343</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45343</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45343</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45343</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45343</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45343</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45343</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45343</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45343</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45343</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45343</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45343</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45343</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45343</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45343</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45343</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45343</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45343</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45343</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45343</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45343</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45343</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45343</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45343</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45343</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45343</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45343</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45343</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45343</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45343</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45343</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45343</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45343</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45343</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45343</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45343</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45343</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45343</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45343</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45343</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45343</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45343</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45343</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45343</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45343</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45343</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45343</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45343</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45343</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45343</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45343</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45343</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45343</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45343</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45343</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45343</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45343</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45343</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45343</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45343</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45343</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45343</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45343</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45343</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45343</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45343</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45343</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45343</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45343</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45343</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45343</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45343</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45343</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45343</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45343</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45343</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45343</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45343</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45343</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45343</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45343</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45343</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45343</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45343</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45343</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45343</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45343</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45343</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45343</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45343</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45343</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45343</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45343</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45343</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45343</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45343</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45343</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45343</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45343</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45343</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45343</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45343</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45343</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45343</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45343</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45343</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45343</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45343</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45343</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45343</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45343</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45343</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45343</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45343</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45343</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45343</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45343</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45343</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45343</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45343</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45343</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45343</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45343</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45343</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45343</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45343</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45343</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45343</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45343</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45343</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45343</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45343</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45343</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45343</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45343</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45343</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45343</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45343</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45343</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45343</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45343</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45343</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45343</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45343</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45343</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45343</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45343</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45343</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45343</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45343</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45343</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45343</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45343</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45343</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45343</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45343</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45343</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45343</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45343</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45343</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45343</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45343</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45343</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45343</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45343</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45343</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45343</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45343</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45343</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45343</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45343</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45343</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45343</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45343</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45343</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45343</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45343</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45343</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45343</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45343</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45343</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45343</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45343</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45343</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45343</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45343</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45343</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45343</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45343</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45343</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45343</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45343</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45343</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45343</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45343</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45343</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45343</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45343</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45343</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45343</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45343</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45343</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45343</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45343</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45343</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45343</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45343</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45343</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45343</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45343</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45343</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45343</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45343</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45343</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45343</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45343</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45343</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45343</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45343</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45343</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45343</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45343</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45343</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45343</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45343</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45343</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45343</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45343</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45343</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45343</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45343</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45343</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45343</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45343</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45343</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45343</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45343</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45343</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45343</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45343</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45343</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45343</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45343</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45343</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45343</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45343</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45343</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45343</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45343</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45343</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45343</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45343</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45343</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45343</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45343</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45343</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45343</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45343</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45343</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45343</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45343</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45343</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45343</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45343</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45343</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45343</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45343</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45343</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45343</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45343</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45343</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45343</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45343</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45343</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45343</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45343</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45343</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45343</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45343</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45343</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45343</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45343</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45343</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45343</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45343</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45343</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45343</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45343</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45343</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45343</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45343</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45343</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45343</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45343</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45343</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45343</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45343</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45343</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45343</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45343</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45343</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45343</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45343</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45343</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45343</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45343</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45343</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45343</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45343</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45343</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45343</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45343</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45343</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45343</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45343</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45343</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45343</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45343</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45343</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45343</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45343</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45343</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45343</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45343</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45343</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45343</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45343</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45343</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45343</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45343</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45343</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45343</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45343</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45343</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45343</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45343</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45343</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45343</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45343</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45343</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45343</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45343</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45343</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45343</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45343</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45343</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45343</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45343</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45343</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45343</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45343</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45343</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45343</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45343</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45343</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45343</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45343</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45343</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45343</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45343</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45343</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45343</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45343</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45343</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45343</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45343</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45343</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45343</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45343</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45343</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45343</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45343</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45343</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45343</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45343</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45343</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45343</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45343</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45343</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45343</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45343</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45343</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45343</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45343</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45343</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45343</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45343</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45343</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45343</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45343</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45343</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45343</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45343</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45343</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45343</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45343</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45343</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45343</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45343</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45343</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45343</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45343</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45343</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45343</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45343</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45343</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45343</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45343</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45343</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45343</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45343</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45343</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45343</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45343</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45343</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45343</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45343</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45343</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45343</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45343</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45343</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45343</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45343</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45343</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45343</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45343</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45343</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45343</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45343</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45343</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45343</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45343</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45343</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45343</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45343</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45343</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45343</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45343</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45343</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45343</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45343</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45343</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45343</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45343</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45343</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45343</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45343</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45343</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45343</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45343</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45343</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45343</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45343</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45343</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45343</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45343</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45343</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45343</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45343</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45343</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45343</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45343</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45343</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45343</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45343</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45343</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45343</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45343</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45343</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45343</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45343</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45343</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45343</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45343</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45343</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45343</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45343</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45343</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45343</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45343</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45343</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45343</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45343</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45343</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45343</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45343</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45343</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45343</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45343</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45343</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45343</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45343</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45343</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45343</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45343</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45343</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45343</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45343</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45343</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45343</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45343</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45343</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45343</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45343</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45343</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45343</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45343</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45343</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45343</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45343</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45343</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45343</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45343</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45343</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45343</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45343</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45343</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45343</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45343</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45343</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45343</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45343</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45343</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45343</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45343</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45343</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45343</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45343</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45343</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45343</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45343</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45343</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45343</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45343</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45343</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45343</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45343</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45343</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45343</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45343</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45343</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45343</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45343</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45343</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45343</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45343</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45343</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45343</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45343</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45343</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45343</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45343</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45343</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45343</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45343</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45343</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45343</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45343</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45343</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45343</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45343</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45343</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45343</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45343</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45343</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45343</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45343</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45343</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45343</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45343</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45343</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45343</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45343</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45343</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45343</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45343</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45343</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45343</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45343</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45343</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45343</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45343</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45343</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45343</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45343</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45343</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45343</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45343</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45343</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45343</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45343</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45343</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45343</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45343</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45343</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45343</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45343</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45343</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45343</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45343</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45343</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45343</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45343</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45343</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45343</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45343</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45343</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45343</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45343</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45343</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45343</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45343</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45343</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45343</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45343</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45343</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45343</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45343</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45343</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45343</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45343</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45343</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45343</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45343</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45343</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45343</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45343</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45343</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45343</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45343</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45343</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45343</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45343</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45343</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45343</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45343</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45343</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45343</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45343</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45343</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45343</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45343</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45343</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45343</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45343</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45343</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45343</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45343</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45343</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45343</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45343</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45343</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45343</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45343</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45343</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45343</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45343</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45343</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45343</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45343</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45343</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45343</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45343</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45343</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45343</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45343</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45343</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45343</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45343</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45343</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45343</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45343</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45343</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45343</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45343</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45343</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45343</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45343</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45343</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45343</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45343</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45343</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45343</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45343</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45343</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45343</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45343</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45343</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45343</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45343</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45343</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45343</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45343</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45343</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45343</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45343</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45343</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45343</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45343</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45343</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45343</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45343</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45343</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45343</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45343</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45343</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45343</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45343</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45343</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45343</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45343</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45343</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45343</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45343</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45343</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45343</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45343</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45343</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45343</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45343</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45343</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45343</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45343</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45343</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45343</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45343</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45343</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45343</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45343</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45343</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45343</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45343</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45343</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45343</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45343</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45343</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45343</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45343</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45343</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45343</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45343</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45343</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45343</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45343</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45343</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45343</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45343</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45343</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45343</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45343</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45343</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45343</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45343</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45343</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45343</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45343</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45343</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45343</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45343</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45343</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45343</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45343</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45343</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45343</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45343</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45343</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45343</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45343</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45343</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45343</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45343</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45343</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45343</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45343</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45343</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45343</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45343</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45343</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45343</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45343</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45343</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45343</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45343</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45343</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45343</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45343</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45343</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45343</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45343</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45343</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45343</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45343</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45343</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45343</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45343</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45343</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45343</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45343</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45343</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45343</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45343</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45343</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45343</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45343</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45343</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45343</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45343</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45343</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45343</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45343</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45343</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45343</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45343</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45343</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45343</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45343</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45343</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45343</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45343</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45343</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45343</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45343</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45343</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45343</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45343</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45343</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45343</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45343</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45343</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45343</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45343</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45343</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45343</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45343</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45343</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45343</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45343</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45343</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45343</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45343</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45343</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45343</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45343</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45343</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45343</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45343</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45343</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45343</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45343</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45343</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45343</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45343</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45343</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45343</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45343</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45343</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45343</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45343</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45343</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45343</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45343</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45343</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45343</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45343</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45343</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45343</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45343</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45343</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45343</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45343</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45343</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45343</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45343</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45343</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45343</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45343</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45343</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45343</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45343</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45343</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45343</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45343</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45343</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45343</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45343</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45343</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45343</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45343</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45343</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45343</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45343</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45343</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45343</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45343</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45343</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45343</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45343</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45343</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45343</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45343</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45343</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45343</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45343</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45343</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45343</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45343</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45343</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45343</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45343</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45343</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45343</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45343</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45343</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45343</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45343</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45343</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45343</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45343</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45343</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45343</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45343</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45343</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45343</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45343</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45343</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45343</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45343</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45343</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45343</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45343</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45343</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45343</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45343</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45343</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45343</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45343</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45343</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45343</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45343</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45343</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45343</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45343</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45343</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45343</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45343</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45343</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45343</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45343</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45343</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45343</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45343</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45343</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45343</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45343</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45343</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45343</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45343</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45343</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45343</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45343</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45343</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45343</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45343</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45343</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45343</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45343</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45343</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45343</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45343</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45343</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45343</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45343</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45343</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45343</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45343</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45343</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45343</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45343</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45343</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45343</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45343</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45343</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45343</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45343</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45343</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45343</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45343</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45343</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45343</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45343</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45343</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45343</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45343</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45343</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45343</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45343</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45343</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45343</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45343</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45343</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45343</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45343</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45343</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45343</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45343</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45343</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45343</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45343</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45343</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45343</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45343</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45343</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45343</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45343</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45343</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45343</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45343</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45343</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45343</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45343</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45343</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45343</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45343</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45343</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45343</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45343</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45343</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45343</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45343</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45343</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45343</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45343</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45343</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45343</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45343</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45343</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45343</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45343</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45343</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45343</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45343</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45343</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45343</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45343</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45343</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45343</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45343</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45343</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45343</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45343</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45343</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45343</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45343</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45343</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45343</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45343</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45343</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45343</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45343</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45343</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45343</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45343</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45343</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45343</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45343</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45343</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45343</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45343</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45343</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45343</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45343</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45343</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45343</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45343</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45343</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45343</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45343</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45343</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45343</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45343</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45343</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45343</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45343</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45343</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45343</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45343</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45343</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45343</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45343</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45343</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45343</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45343</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45343</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45343</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45343</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45343</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45343</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45343</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45343</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45343</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45343</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45343</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45343</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45343</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45343</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45343</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45343</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45343</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45343</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45343</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45343</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45343</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45343</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45343</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45343</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45343</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45343</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45343</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45343</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45343</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45343</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45343</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45343</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45343</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45343</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45343</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45343</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45343</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45343</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45343</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45343</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45343</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45343</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45343</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45343</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45343</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45343</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45343</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45343</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45343</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45343</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45343</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45343</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45343</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45343</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45343</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45343</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45343</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45343</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45343</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45343</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45343</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45343</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45343</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45343</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45343</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45343</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45343</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45343</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45343</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45343</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45343</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45343</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45343</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45343</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45343</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45343</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45343</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45343</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45343</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45343</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45343</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45343</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45343</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45343</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45343</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45343</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45343</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45343</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45343</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45343</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45343</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45343</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45343</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45343</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45343</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45343</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45343</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45343</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45343</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45343</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45343</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45343</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45343</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45343</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45343</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45343</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45343</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45343</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45343</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45343</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45343</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45343</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45343</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45343</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45343</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45343</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45343</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45343</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45343</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45343</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45343</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45343</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45343</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45343</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45343</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45343</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45343</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45343</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45343</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45343</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45343</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45343</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45343</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45343</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45343</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45343</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45343</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45343</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45343</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45343</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45343</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45343</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45343</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45343</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45343</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45343</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45343</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45343</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45343</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45343</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45343</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45343</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45343</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45343</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45343</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45343</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45343</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45343</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45343</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45343</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45343</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45343</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45343</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45343</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45343</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45343</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45343</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45343</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45343</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45343</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45343</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45343</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45343</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45343</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45343</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45343</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45343</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45343</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45343</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45343</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45343</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45343</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45343</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45343</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45343</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45343</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45343</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45343</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45343</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45343</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45343</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45343</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45343</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45343</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45343</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45343</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45343</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45343</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45343</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45343</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45343</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45343</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45343</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45343</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45343</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45343</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45343</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45343</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45343</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45343</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45343</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45343</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45343</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45343</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45343</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45343</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45343</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45343</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45343</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45343</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45343</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45343</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45343</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45343</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45343</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45343</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45343</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45343</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45343</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45343</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45343</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45343</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45343</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45343</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45343</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45343</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45343</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45343</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45343</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45343</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45343</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45343</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45343</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45343</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45343</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45343</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45343</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45343</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2625-2024</t>
        </is>
      </c>
      <c r="B2779" s="1" t="n">
        <v>45313</v>
      </c>
      <c r="C2779" s="1" t="n">
        <v>45343</v>
      </c>
      <c r="D2779" t="inlineStr">
        <is>
          <t>JÄMTLANDS LÄN</t>
        </is>
      </c>
      <c r="E2779" t="inlineStr">
        <is>
          <t>STRÖMSUND</t>
        </is>
      </c>
      <c r="F2779" t="inlineStr">
        <is>
          <t>SCA</t>
        </is>
      </c>
      <c r="G2779" t="n">
        <v>32.2</v>
      </c>
      <c r="H2779" t="n">
        <v>0</v>
      </c>
      <c r="I2779" t="n">
        <v>0</v>
      </c>
      <c r="J2779" t="n">
        <v>0</v>
      </c>
      <c r="K2779" t="n">
        <v>0</v>
      </c>
      <c r="L2779" t="n">
        <v>0</v>
      </c>
      <c r="M2779" t="n">
        <v>0</v>
      </c>
      <c r="N2779" t="n">
        <v>0</v>
      </c>
      <c r="O2779" t="n">
        <v>0</v>
      </c>
      <c r="P2779" t="n">
        <v>0</v>
      </c>
      <c r="Q2779" t="n">
        <v>0</v>
      </c>
      <c r="R2779" s="2" t="inlineStr"/>
    </row>
    <row r="2780" ht="15" customHeight="1">
      <c r="A2780" t="inlineStr">
        <is>
          <t>A 2626-2024</t>
        </is>
      </c>
      <c r="B2780" s="1" t="n">
        <v>45313</v>
      </c>
      <c r="C2780" s="1" t="n">
        <v>45343</v>
      </c>
      <c r="D2780" t="inlineStr">
        <is>
          <t>JÄMTLANDS LÄN</t>
        </is>
      </c>
      <c r="E2780" t="inlineStr">
        <is>
          <t>STRÖMSUND</t>
        </is>
      </c>
      <c r="F2780" t="inlineStr">
        <is>
          <t>SCA</t>
        </is>
      </c>
      <c r="G2780" t="n">
        <v>22.4</v>
      </c>
      <c r="H2780" t="n">
        <v>0</v>
      </c>
      <c r="I2780" t="n">
        <v>0</v>
      </c>
      <c r="J2780" t="n">
        <v>0</v>
      </c>
      <c r="K2780" t="n">
        <v>0</v>
      </c>
      <c r="L2780" t="n">
        <v>0</v>
      </c>
      <c r="M2780" t="n">
        <v>0</v>
      </c>
      <c r="N2780" t="n">
        <v>0</v>
      </c>
      <c r="O2780" t="n">
        <v>0</v>
      </c>
      <c r="P2780" t="n">
        <v>0</v>
      </c>
      <c r="Q2780" t="n">
        <v>0</v>
      </c>
      <c r="R2780" s="2" t="inlineStr"/>
    </row>
    <row r="2781" ht="15" customHeight="1">
      <c r="A2781" t="inlineStr">
        <is>
          <t>A 2624-2024</t>
        </is>
      </c>
      <c r="B2781" s="1" t="n">
        <v>45313</v>
      </c>
      <c r="C2781" s="1" t="n">
        <v>45343</v>
      </c>
      <c r="D2781" t="inlineStr">
        <is>
          <t>JÄMTLANDS LÄN</t>
        </is>
      </c>
      <c r="E2781" t="inlineStr">
        <is>
          <t>STRÖMSUND</t>
        </is>
      </c>
      <c r="F2781" t="inlineStr">
        <is>
          <t>SCA</t>
        </is>
      </c>
      <c r="G2781" t="n">
        <v>41.4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45343</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45343</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2643-2024</t>
        </is>
      </c>
      <c r="B2784" s="1" t="n">
        <v>45314</v>
      </c>
      <c r="C2784" s="1" t="n">
        <v>45343</v>
      </c>
      <c r="D2784" t="inlineStr">
        <is>
          <t>JÄMTLANDS LÄN</t>
        </is>
      </c>
      <c r="E2784" t="inlineStr">
        <is>
          <t>STRÖMSUND</t>
        </is>
      </c>
      <c r="G2784" t="n">
        <v>12.5</v>
      </c>
      <c r="H2784" t="n">
        <v>0</v>
      </c>
      <c r="I2784" t="n">
        <v>0</v>
      </c>
      <c r="J2784" t="n">
        <v>0</v>
      </c>
      <c r="K2784" t="n">
        <v>0</v>
      </c>
      <c r="L2784" t="n">
        <v>0</v>
      </c>
      <c r="M2784" t="n">
        <v>0</v>
      </c>
      <c r="N2784" t="n">
        <v>0</v>
      </c>
      <c r="O2784" t="n">
        <v>0</v>
      </c>
      <c r="P2784" t="n">
        <v>0</v>
      </c>
      <c r="Q2784" t="n">
        <v>0</v>
      </c>
      <c r="R2784" s="2" t="inlineStr"/>
    </row>
    <row r="2785" ht="15" customHeight="1">
      <c r="A2785" t="inlineStr">
        <is>
          <t>A 2666-2024</t>
        </is>
      </c>
      <c r="B2785" s="1" t="n">
        <v>45314</v>
      </c>
      <c r="C2785" s="1" t="n">
        <v>45343</v>
      </c>
      <c r="D2785" t="inlineStr">
        <is>
          <t>JÄMTLANDS LÄN</t>
        </is>
      </c>
      <c r="E2785" t="inlineStr">
        <is>
          <t>STRÖMSUND</t>
        </is>
      </c>
      <c r="G2785" t="n">
        <v>17.1</v>
      </c>
      <c r="H2785" t="n">
        <v>0</v>
      </c>
      <c r="I2785" t="n">
        <v>0</v>
      </c>
      <c r="J2785" t="n">
        <v>0</v>
      </c>
      <c r="K2785" t="n">
        <v>0</v>
      </c>
      <c r="L2785" t="n">
        <v>0</v>
      </c>
      <c r="M2785" t="n">
        <v>0</v>
      </c>
      <c r="N2785" t="n">
        <v>0</v>
      </c>
      <c r="O2785" t="n">
        <v>0</v>
      </c>
      <c r="P2785" t="n">
        <v>0</v>
      </c>
      <c r="Q2785" t="n">
        <v>0</v>
      </c>
      <c r="R2785" s="2" t="inlineStr"/>
    </row>
    <row r="2786" ht="15" customHeight="1">
      <c r="A2786" t="inlineStr">
        <is>
          <t>A 2663-2024</t>
        </is>
      </c>
      <c r="B2786" s="1" t="n">
        <v>45314</v>
      </c>
      <c r="C2786" s="1" t="n">
        <v>45343</v>
      </c>
      <c r="D2786" t="inlineStr">
        <is>
          <t>JÄMTLANDS LÄN</t>
        </is>
      </c>
      <c r="E2786" t="inlineStr">
        <is>
          <t>STRÖMSUND</t>
        </is>
      </c>
      <c r="G2786" t="n">
        <v>10.3</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45343</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45343</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45343</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3628-2024</t>
        </is>
      </c>
      <c r="B2790" s="1" t="n">
        <v>45320</v>
      </c>
      <c r="C2790" s="1" t="n">
        <v>45343</v>
      </c>
      <c r="D2790" t="inlineStr">
        <is>
          <t>JÄMTLANDS LÄN</t>
        </is>
      </c>
      <c r="E2790" t="inlineStr">
        <is>
          <t>STRÖMSUND</t>
        </is>
      </c>
      <c r="F2790" t="inlineStr">
        <is>
          <t>SCA</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3623-2024</t>
        </is>
      </c>
      <c r="B2791" s="1" t="n">
        <v>45320</v>
      </c>
      <c r="C2791" s="1" t="n">
        <v>45343</v>
      </c>
      <c r="D2791" t="inlineStr">
        <is>
          <t>JÄMTLANDS LÄN</t>
        </is>
      </c>
      <c r="E2791" t="inlineStr">
        <is>
          <t>STRÖMSUND</t>
        </is>
      </c>
      <c r="F2791" t="inlineStr">
        <is>
          <t>SCA</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3622-2024</t>
        </is>
      </c>
      <c r="B2792" s="1" t="n">
        <v>45320</v>
      </c>
      <c r="C2792" s="1" t="n">
        <v>45343</v>
      </c>
      <c r="D2792" t="inlineStr">
        <is>
          <t>JÄMTLANDS LÄN</t>
        </is>
      </c>
      <c r="E2792" t="inlineStr">
        <is>
          <t>STRÖMSUND</t>
        </is>
      </c>
      <c r="F2792" t="inlineStr">
        <is>
          <t>SCA</t>
        </is>
      </c>
      <c r="G2792" t="n">
        <v>14.5</v>
      </c>
      <c r="H2792" t="n">
        <v>0</v>
      </c>
      <c r="I2792" t="n">
        <v>0</v>
      </c>
      <c r="J2792" t="n">
        <v>0</v>
      </c>
      <c r="K2792" t="n">
        <v>0</v>
      </c>
      <c r="L2792" t="n">
        <v>0</v>
      </c>
      <c r="M2792" t="n">
        <v>0</v>
      </c>
      <c r="N2792" t="n">
        <v>0</v>
      </c>
      <c r="O2792" t="n">
        <v>0</v>
      </c>
      <c r="P2792" t="n">
        <v>0</v>
      </c>
      <c r="Q2792" t="n">
        <v>0</v>
      </c>
      <c r="R2792" s="2" t="inlineStr"/>
    </row>
    <row r="2793" ht="15" customHeight="1">
      <c r="A2793" t="inlineStr">
        <is>
          <t>A 3629-2024</t>
        </is>
      </c>
      <c r="B2793" s="1" t="n">
        <v>45320</v>
      </c>
      <c r="C2793" s="1" t="n">
        <v>45343</v>
      </c>
      <c r="D2793" t="inlineStr">
        <is>
          <t>JÄMTLANDS LÄN</t>
        </is>
      </c>
      <c r="E2793" t="inlineStr">
        <is>
          <t>STRÖMSUND</t>
        </is>
      </c>
      <c r="F2793" t="inlineStr">
        <is>
          <t>SCA</t>
        </is>
      </c>
      <c r="G2793" t="n">
        <v>29.9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45343</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3834-2024</t>
        </is>
      </c>
      <c r="B2795" s="1" t="n">
        <v>45321</v>
      </c>
      <c r="C2795" s="1" t="n">
        <v>45343</v>
      </c>
      <c r="D2795" t="inlineStr">
        <is>
          <t>JÄMTLANDS LÄN</t>
        </is>
      </c>
      <c r="E2795" t="inlineStr">
        <is>
          <t>STRÖMSUND</t>
        </is>
      </c>
      <c r="F2795" t="inlineStr">
        <is>
          <t>SCA</t>
        </is>
      </c>
      <c r="G2795" t="n">
        <v>30.9</v>
      </c>
      <c r="H2795" t="n">
        <v>0</v>
      </c>
      <c r="I2795" t="n">
        <v>0</v>
      </c>
      <c r="J2795" t="n">
        <v>0</v>
      </c>
      <c r="K2795" t="n">
        <v>0</v>
      </c>
      <c r="L2795" t="n">
        <v>0</v>
      </c>
      <c r="M2795" t="n">
        <v>0</v>
      </c>
      <c r="N2795" t="n">
        <v>0</v>
      </c>
      <c r="O2795" t="n">
        <v>0</v>
      </c>
      <c r="P2795" t="n">
        <v>0</v>
      </c>
      <c r="Q2795" t="n">
        <v>0</v>
      </c>
      <c r="R2795" s="2" t="inlineStr"/>
    </row>
    <row r="2796" ht="15" customHeight="1">
      <c r="A2796" t="inlineStr">
        <is>
          <t>A 3835-2024</t>
        </is>
      </c>
      <c r="B2796" s="1" t="n">
        <v>45321</v>
      </c>
      <c r="C2796" s="1" t="n">
        <v>45343</v>
      </c>
      <c r="D2796" t="inlineStr">
        <is>
          <t>JÄMTLANDS LÄN</t>
        </is>
      </c>
      <c r="E2796" t="inlineStr">
        <is>
          <t>STRÖMSUND</t>
        </is>
      </c>
      <c r="F2796" t="inlineStr">
        <is>
          <t>SCA</t>
        </is>
      </c>
      <c r="G2796" t="n">
        <v>28.5</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45343</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3994-2024</t>
        </is>
      </c>
      <c r="B2798" s="1" t="n">
        <v>45322</v>
      </c>
      <c r="C2798" s="1" t="n">
        <v>45343</v>
      </c>
      <c r="D2798" t="inlineStr">
        <is>
          <t>JÄMTLANDS LÄN</t>
        </is>
      </c>
      <c r="E2798" t="inlineStr">
        <is>
          <t>STRÖMSUND</t>
        </is>
      </c>
      <c r="F2798" t="inlineStr">
        <is>
          <t>SCA</t>
        </is>
      </c>
      <c r="G2798" t="n">
        <v>40.8</v>
      </c>
      <c r="H2798" t="n">
        <v>0</v>
      </c>
      <c r="I2798" t="n">
        <v>0</v>
      </c>
      <c r="J2798" t="n">
        <v>0</v>
      </c>
      <c r="K2798" t="n">
        <v>0</v>
      </c>
      <c r="L2798" t="n">
        <v>0</v>
      </c>
      <c r="M2798" t="n">
        <v>0</v>
      </c>
      <c r="N2798" t="n">
        <v>0</v>
      </c>
      <c r="O2798" t="n">
        <v>0</v>
      </c>
      <c r="P2798" t="n">
        <v>0</v>
      </c>
      <c r="Q2798" t="n">
        <v>0</v>
      </c>
      <c r="R2798" s="2" t="inlineStr"/>
    </row>
    <row r="2799" ht="15" customHeight="1">
      <c r="A2799" t="inlineStr">
        <is>
          <t>A 3997-2024</t>
        </is>
      </c>
      <c r="B2799" s="1" t="n">
        <v>45322</v>
      </c>
      <c r="C2799" s="1" t="n">
        <v>45343</v>
      </c>
      <c r="D2799" t="inlineStr">
        <is>
          <t>JÄMTLANDS LÄN</t>
        </is>
      </c>
      <c r="E2799" t="inlineStr">
        <is>
          <t>STRÖMSUND</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4178-2024</t>
        </is>
      </c>
      <c r="B2800" s="1" t="n">
        <v>45323</v>
      </c>
      <c r="C2800" s="1" t="n">
        <v>45343</v>
      </c>
      <c r="D2800" t="inlineStr">
        <is>
          <t>JÄMTLANDS LÄN</t>
        </is>
      </c>
      <c r="E2800" t="inlineStr">
        <is>
          <t>STRÖMSUND</t>
        </is>
      </c>
      <c r="F2800" t="inlineStr">
        <is>
          <t>SCA</t>
        </is>
      </c>
      <c r="G2800" t="n">
        <v>36.4</v>
      </c>
      <c r="H2800" t="n">
        <v>0</v>
      </c>
      <c r="I2800" t="n">
        <v>0</v>
      </c>
      <c r="J2800" t="n">
        <v>0</v>
      </c>
      <c r="K2800" t="n">
        <v>0</v>
      </c>
      <c r="L2800" t="n">
        <v>0</v>
      </c>
      <c r="M2800" t="n">
        <v>0</v>
      </c>
      <c r="N2800" t="n">
        <v>0</v>
      </c>
      <c r="O2800" t="n">
        <v>0</v>
      </c>
      <c r="P2800" t="n">
        <v>0</v>
      </c>
      <c r="Q2800" t="n">
        <v>0</v>
      </c>
      <c r="R2800" s="2" t="inlineStr"/>
    </row>
    <row r="2801" ht="15" customHeight="1">
      <c r="A2801" t="inlineStr">
        <is>
          <t>A 4179-2024</t>
        </is>
      </c>
      <c r="B2801" s="1" t="n">
        <v>45323</v>
      </c>
      <c r="C2801" s="1" t="n">
        <v>45343</v>
      </c>
      <c r="D2801" t="inlineStr">
        <is>
          <t>JÄMTLANDS LÄN</t>
        </is>
      </c>
      <c r="E2801" t="inlineStr">
        <is>
          <t>STRÖMSUND</t>
        </is>
      </c>
      <c r="F2801" t="inlineStr">
        <is>
          <t>SCA</t>
        </is>
      </c>
      <c r="G2801" t="n">
        <v>19.9</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45343</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45343</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4378-2024</t>
        </is>
      </c>
      <c r="B2804" s="1" t="n">
        <v>45326</v>
      </c>
      <c r="C2804" s="1" t="n">
        <v>45343</v>
      </c>
      <c r="D2804" t="inlineStr">
        <is>
          <t>JÄMTLANDS LÄN</t>
        </is>
      </c>
      <c r="E2804" t="inlineStr">
        <is>
          <t>STRÖMSUND</t>
        </is>
      </c>
      <c r="F2804" t="inlineStr">
        <is>
          <t>SCA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4377-2024</t>
        </is>
      </c>
      <c r="B2805" s="1" t="n">
        <v>45326</v>
      </c>
      <c r="C2805" s="1" t="n">
        <v>45343</v>
      </c>
      <c r="D2805" t="inlineStr">
        <is>
          <t>JÄMTLANDS LÄN</t>
        </is>
      </c>
      <c r="E2805" t="inlineStr">
        <is>
          <t>STRÖMSUND</t>
        </is>
      </c>
      <c r="F2805" t="inlineStr">
        <is>
          <t>SCA</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45343</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4514-2024</t>
        </is>
      </c>
      <c r="B2807" s="1" t="n">
        <v>45327</v>
      </c>
      <c r="C2807" s="1" t="n">
        <v>45343</v>
      </c>
      <c r="D2807" t="inlineStr">
        <is>
          <t>JÄMTLANDS LÄN</t>
        </is>
      </c>
      <c r="E2807" t="inlineStr">
        <is>
          <t>STRÖMSUND</t>
        </is>
      </c>
      <c r="F2807" t="inlineStr">
        <is>
          <t>Kyrkan</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4579-2024</t>
        </is>
      </c>
      <c r="B2808" s="1" t="n">
        <v>45327</v>
      </c>
      <c r="C2808" s="1" t="n">
        <v>45343</v>
      </c>
      <c r="D2808" t="inlineStr">
        <is>
          <t>JÄMTLANDS LÄN</t>
        </is>
      </c>
      <c r="E2808" t="inlineStr">
        <is>
          <t>STRÖMSUND</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4507-2024</t>
        </is>
      </c>
      <c r="B2809" s="1" t="n">
        <v>45327</v>
      </c>
      <c r="C2809" s="1" t="n">
        <v>45343</v>
      </c>
      <c r="D2809" t="inlineStr">
        <is>
          <t>JÄMTLANDS LÄN</t>
        </is>
      </c>
      <c r="E2809" t="inlineStr">
        <is>
          <t>STRÖMSUND</t>
        </is>
      </c>
      <c r="F2809" t="inlineStr">
        <is>
          <t>Kyrkan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4588-2024</t>
        </is>
      </c>
      <c r="B2810" s="1" t="n">
        <v>45327</v>
      </c>
      <c r="C2810" s="1" t="n">
        <v>45343</v>
      </c>
      <c r="D2810" t="inlineStr">
        <is>
          <t>JÄMTLANDS LÄN</t>
        </is>
      </c>
      <c r="E2810" t="inlineStr">
        <is>
          <t>STRÖMSUND</t>
        </is>
      </c>
      <c r="F2810" t="inlineStr">
        <is>
          <t>SCA</t>
        </is>
      </c>
      <c r="G2810" t="n">
        <v>23.9</v>
      </c>
      <c r="H2810" t="n">
        <v>0</v>
      </c>
      <c r="I2810" t="n">
        <v>0</v>
      </c>
      <c r="J2810" t="n">
        <v>0</v>
      </c>
      <c r="K2810" t="n">
        <v>0</v>
      </c>
      <c r="L2810" t="n">
        <v>0</v>
      </c>
      <c r="M2810" t="n">
        <v>0</v>
      </c>
      <c r="N2810" t="n">
        <v>0</v>
      </c>
      <c r="O2810" t="n">
        <v>0</v>
      </c>
      <c r="P2810" t="n">
        <v>0</v>
      </c>
      <c r="Q2810" t="n">
        <v>0</v>
      </c>
      <c r="R2810" s="2" t="inlineStr"/>
    </row>
    <row r="2811" ht="15" customHeight="1">
      <c r="A2811" t="inlineStr">
        <is>
          <t>A 4586-2024</t>
        </is>
      </c>
      <c r="B2811" s="1" t="n">
        <v>45327</v>
      </c>
      <c r="C2811" s="1" t="n">
        <v>45343</v>
      </c>
      <c r="D2811" t="inlineStr">
        <is>
          <t>JÄMTLANDS LÄN</t>
        </is>
      </c>
      <c r="E2811" t="inlineStr">
        <is>
          <t>STRÖMSUND</t>
        </is>
      </c>
      <c r="F2811" t="inlineStr">
        <is>
          <t>SCA</t>
        </is>
      </c>
      <c r="G2811" t="n">
        <v>28.8</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45343</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4823-2024</t>
        </is>
      </c>
      <c r="B2813" s="1" t="n">
        <v>45328</v>
      </c>
      <c r="C2813" s="1" t="n">
        <v>45343</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4825-2024</t>
        </is>
      </c>
      <c r="B2814" s="1" t="n">
        <v>45328</v>
      </c>
      <c r="C2814" s="1" t="n">
        <v>45343</v>
      </c>
      <c r="D2814" t="inlineStr">
        <is>
          <t>JÄMTLANDS LÄN</t>
        </is>
      </c>
      <c r="E2814" t="inlineStr">
        <is>
          <t>STRÖMSUND</t>
        </is>
      </c>
      <c r="F2814" t="inlineStr">
        <is>
          <t>SCA</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45343</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45343</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45343</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5261-2024</t>
        </is>
      </c>
      <c r="B2818" s="1" t="n">
        <v>45331</v>
      </c>
      <c r="C2818" s="1" t="n">
        <v>45343</v>
      </c>
      <c r="D2818" t="inlineStr">
        <is>
          <t>JÄMTLANDS LÄN</t>
        </is>
      </c>
      <c r="E2818" t="inlineStr">
        <is>
          <t>STRÖMSUND</t>
        </is>
      </c>
      <c r="F2818" t="inlineStr">
        <is>
          <t>SCA</t>
        </is>
      </c>
      <c r="G2818" t="n">
        <v>29.7</v>
      </c>
      <c r="H2818" t="n">
        <v>0</v>
      </c>
      <c r="I2818" t="n">
        <v>0</v>
      </c>
      <c r="J2818" t="n">
        <v>0</v>
      </c>
      <c r="K2818" t="n">
        <v>0</v>
      </c>
      <c r="L2818" t="n">
        <v>0</v>
      </c>
      <c r="M2818" t="n">
        <v>0</v>
      </c>
      <c r="N2818" t="n">
        <v>0</v>
      </c>
      <c r="O2818" t="n">
        <v>0</v>
      </c>
      <c r="P2818" t="n">
        <v>0</v>
      </c>
      <c r="Q2818" t="n">
        <v>0</v>
      </c>
      <c r="R2818" s="2" t="inlineStr"/>
    </row>
    <row r="2819" ht="15" customHeight="1">
      <c r="A2819" t="inlineStr">
        <is>
          <t>A 5259-2024</t>
        </is>
      </c>
      <c r="B2819" s="1" t="n">
        <v>45330</v>
      </c>
      <c r="C2819" s="1" t="n">
        <v>45343</v>
      </c>
      <c r="D2819" t="inlineStr">
        <is>
          <t>JÄMTLANDS LÄN</t>
        </is>
      </c>
      <c r="E2819" t="inlineStr">
        <is>
          <t>STRÖMSUND</t>
        </is>
      </c>
      <c r="F2819" t="inlineStr">
        <is>
          <t>SCA</t>
        </is>
      </c>
      <c r="G2819" t="n">
        <v>25.8</v>
      </c>
      <c r="H2819" t="n">
        <v>0</v>
      </c>
      <c r="I2819" t="n">
        <v>0</v>
      </c>
      <c r="J2819" t="n">
        <v>0</v>
      </c>
      <c r="K2819" t="n">
        <v>0</v>
      </c>
      <c r="L2819" t="n">
        <v>0</v>
      </c>
      <c r="M2819" t="n">
        <v>0</v>
      </c>
      <c r="N2819" t="n">
        <v>0</v>
      </c>
      <c r="O2819" t="n">
        <v>0</v>
      </c>
      <c r="P2819" t="n">
        <v>0</v>
      </c>
      <c r="Q2819" t="n">
        <v>0</v>
      </c>
      <c r="R2819" s="2" t="inlineStr"/>
    </row>
    <row r="2820" ht="15" customHeight="1">
      <c r="A2820" t="inlineStr">
        <is>
          <t>A 5267-2024</t>
        </is>
      </c>
      <c r="B2820" s="1" t="n">
        <v>45331</v>
      </c>
      <c r="C2820" s="1" t="n">
        <v>45343</v>
      </c>
      <c r="D2820" t="inlineStr">
        <is>
          <t>JÄMTLANDS LÄN</t>
        </is>
      </c>
      <c r="E2820" t="inlineStr">
        <is>
          <t>STRÖMSUND</t>
        </is>
      </c>
      <c r="F2820" t="inlineStr">
        <is>
          <t>SCA</t>
        </is>
      </c>
      <c r="G2820" t="n">
        <v>29.1</v>
      </c>
      <c r="H2820" t="n">
        <v>0</v>
      </c>
      <c r="I2820" t="n">
        <v>0</v>
      </c>
      <c r="J2820" t="n">
        <v>0</v>
      </c>
      <c r="K2820" t="n">
        <v>0</v>
      </c>
      <c r="L2820" t="n">
        <v>0</v>
      </c>
      <c r="M2820" t="n">
        <v>0</v>
      </c>
      <c r="N2820" t="n">
        <v>0</v>
      </c>
      <c r="O2820" t="n">
        <v>0</v>
      </c>
      <c r="P2820" t="n">
        <v>0</v>
      </c>
      <c r="Q2820" t="n">
        <v>0</v>
      </c>
      <c r="R2820" s="2" t="inlineStr"/>
    </row>
    <row r="2821" ht="15" customHeight="1">
      <c r="A2821" t="inlineStr">
        <is>
          <t>A 5260-2024</t>
        </is>
      </c>
      <c r="B2821" s="1" t="n">
        <v>45331</v>
      </c>
      <c r="C2821" s="1" t="n">
        <v>45343</v>
      </c>
      <c r="D2821" t="inlineStr">
        <is>
          <t>JÄMTLANDS LÄN</t>
        </is>
      </c>
      <c r="E2821" t="inlineStr">
        <is>
          <t>STRÖMSUND</t>
        </is>
      </c>
      <c r="F2821" t="inlineStr">
        <is>
          <t>SCA</t>
        </is>
      </c>
      <c r="G2821" t="n">
        <v>22.6</v>
      </c>
      <c r="H2821" t="n">
        <v>0</v>
      </c>
      <c r="I2821" t="n">
        <v>0</v>
      </c>
      <c r="J2821" t="n">
        <v>0</v>
      </c>
      <c r="K2821" t="n">
        <v>0</v>
      </c>
      <c r="L2821" t="n">
        <v>0</v>
      </c>
      <c r="M2821" t="n">
        <v>0</v>
      </c>
      <c r="N2821" t="n">
        <v>0</v>
      </c>
      <c r="O2821" t="n">
        <v>0</v>
      </c>
      <c r="P2821" t="n">
        <v>0</v>
      </c>
      <c r="Q2821" t="n">
        <v>0</v>
      </c>
      <c r="R2821" s="2" t="inlineStr"/>
    </row>
    <row r="2822" ht="15" customHeight="1">
      <c r="A2822" t="inlineStr">
        <is>
          <t>A 5262-2024</t>
        </is>
      </c>
      <c r="B2822" s="1" t="n">
        <v>45330</v>
      </c>
      <c r="C2822" s="1" t="n">
        <v>45343</v>
      </c>
      <c r="D2822" t="inlineStr">
        <is>
          <t>JÄMTLANDS LÄN</t>
        </is>
      </c>
      <c r="E2822" t="inlineStr">
        <is>
          <t>STRÖMSUND</t>
        </is>
      </c>
      <c r="F2822" t="inlineStr">
        <is>
          <t>SCA</t>
        </is>
      </c>
      <c r="G2822" t="n">
        <v>19.7</v>
      </c>
      <c r="H2822" t="n">
        <v>0</v>
      </c>
      <c r="I2822" t="n">
        <v>0</v>
      </c>
      <c r="J2822" t="n">
        <v>0</v>
      </c>
      <c r="K2822" t="n">
        <v>0</v>
      </c>
      <c r="L2822" t="n">
        <v>0</v>
      </c>
      <c r="M2822" t="n">
        <v>0</v>
      </c>
      <c r="N2822" t="n">
        <v>0</v>
      </c>
      <c r="O2822" t="n">
        <v>0</v>
      </c>
      <c r="P2822" t="n">
        <v>0</v>
      </c>
      <c r="Q2822" t="n">
        <v>0</v>
      </c>
      <c r="R2822" s="2" t="inlineStr"/>
    </row>
    <row r="2823" ht="15" customHeight="1">
      <c r="A2823" t="inlineStr">
        <is>
          <t>A 5327-2024</t>
        </is>
      </c>
      <c r="B2823" s="1" t="n">
        <v>45331</v>
      </c>
      <c r="C2823" s="1" t="n">
        <v>45343</v>
      </c>
      <c r="D2823" t="inlineStr">
        <is>
          <t>JÄMTLANDS LÄN</t>
        </is>
      </c>
      <c r="E2823" t="inlineStr">
        <is>
          <t>STRÖMSUND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5333-2024</t>
        </is>
      </c>
      <c r="B2824" s="1" t="n">
        <v>45331</v>
      </c>
      <c r="C2824" s="1" t="n">
        <v>45343</v>
      </c>
      <c r="D2824" t="inlineStr">
        <is>
          <t>JÄMTLANDS LÄN</t>
        </is>
      </c>
      <c r="E2824" t="inlineStr">
        <is>
          <t>STRÖMSUND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5350-2024</t>
        </is>
      </c>
      <c r="B2825" s="1" t="n">
        <v>45331</v>
      </c>
      <c r="C2825" s="1" t="n">
        <v>45343</v>
      </c>
      <c r="D2825" t="inlineStr">
        <is>
          <t>JÄMTLANDS LÄN</t>
        </is>
      </c>
      <c r="E2825" t="inlineStr">
        <is>
          <t>STRÖMSUND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5443-2024</t>
        </is>
      </c>
      <c r="B2826" s="1" t="n">
        <v>45331</v>
      </c>
      <c r="C2826" s="1" t="n">
        <v>45343</v>
      </c>
      <c r="D2826" t="inlineStr">
        <is>
          <t>JÄMTLANDS LÄN</t>
        </is>
      </c>
      <c r="E2826" t="inlineStr">
        <is>
          <t>STRÖMSUND</t>
        </is>
      </c>
      <c r="F2826" t="inlineStr">
        <is>
          <t>SCA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5451-2024</t>
        </is>
      </c>
      <c r="B2827" s="1" t="n">
        <v>45331</v>
      </c>
      <c r="C2827" s="1" t="n">
        <v>45343</v>
      </c>
      <c r="D2827" t="inlineStr">
        <is>
          <t>JÄMTLANDS LÄN</t>
        </is>
      </c>
      <c r="E2827" t="inlineStr">
        <is>
          <t>STRÖMSUND</t>
        </is>
      </c>
      <c r="F2827" t="inlineStr">
        <is>
          <t>SCA</t>
        </is>
      </c>
      <c r="G2827" t="n">
        <v>13.5</v>
      </c>
      <c r="H2827" t="n">
        <v>0</v>
      </c>
      <c r="I2827" t="n">
        <v>0</v>
      </c>
      <c r="J2827" t="n">
        <v>0</v>
      </c>
      <c r="K2827" t="n">
        <v>0</v>
      </c>
      <c r="L2827" t="n">
        <v>0</v>
      </c>
      <c r="M2827" t="n">
        <v>0</v>
      </c>
      <c r="N2827" t="n">
        <v>0</v>
      </c>
      <c r="O2827" t="n">
        <v>0</v>
      </c>
      <c r="P2827" t="n">
        <v>0</v>
      </c>
      <c r="Q2827" t="n">
        <v>0</v>
      </c>
      <c r="R2827" s="2" t="inlineStr"/>
    </row>
    <row r="2828" ht="15" customHeight="1">
      <c r="A2828" t="inlineStr">
        <is>
          <t>A 5449-2024</t>
        </is>
      </c>
      <c r="B2828" s="1" t="n">
        <v>45331</v>
      </c>
      <c r="C2828" s="1" t="n">
        <v>45343</v>
      </c>
      <c r="D2828" t="inlineStr">
        <is>
          <t>JÄMTLANDS LÄN</t>
        </is>
      </c>
      <c r="E2828" t="inlineStr">
        <is>
          <t>STRÖMSUND</t>
        </is>
      </c>
      <c r="F2828" t="inlineStr">
        <is>
          <t>SCA</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5453-2024</t>
        </is>
      </c>
      <c r="B2829" s="1" t="n">
        <v>45331</v>
      </c>
      <c r="C2829" s="1" t="n">
        <v>45343</v>
      </c>
      <c r="D2829" t="inlineStr">
        <is>
          <t>JÄMTLANDS LÄN</t>
        </is>
      </c>
      <c r="E2829" t="inlineStr">
        <is>
          <t>STRÖMSUND</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5444-2024</t>
        </is>
      </c>
      <c r="B2830" s="1" t="n">
        <v>45331</v>
      </c>
      <c r="C2830" s="1" t="n">
        <v>45343</v>
      </c>
      <c r="D2830" t="inlineStr">
        <is>
          <t>JÄMTLANDS LÄN</t>
        </is>
      </c>
      <c r="E2830" t="inlineStr">
        <is>
          <t>STRÖMSUND</t>
        </is>
      </c>
      <c r="F2830" t="inlineStr">
        <is>
          <t>SCA</t>
        </is>
      </c>
      <c r="G2830" t="n">
        <v>25.5</v>
      </c>
      <c r="H2830" t="n">
        <v>0</v>
      </c>
      <c r="I2830" t="n">
        <v>0</v>
      </c>
      <c r="J2830" t="n">
        <v>0</v>
      </c>
      <c r="K2830" t="n">
        <v>0</v>
      </c>
      <c r="L2830" t="n">
        <v>0</v>
      </c>
      <c r="M2830" t="n">
        <v>0</v>
      </c>
      <c r="N2830" t="n">
        <v>0</v>
      </c>
      <c r="O2830" t="n">
        <v>0</v>
      </c>
      <c r="P2830" t="n">
        <v>0</v>
      </c>
      <c r="Q2830" t="n">
        <v>0</v>
      </c>
      <c r="R2830" s="2" t="inlineStr"/>
    </row>
    <row r="2831" ht="15" customHeight="1">
      <c r="A2831" t="inlineStr">
        <is>
          <t>A 5450-2024</t>
        </is>
      </c>
      <c r="B2831" s="1" t="n">
        <v>45331</v>
      </c>
      <c r="C2831" s="1" t="n">
        <v>45343</v>
      </c>
      <c r="D2831" t="inlineStr">
        <is>
          <t>JÄMTLANDS LÄN</t>
        </is>
      </c>
      <c r="E2831" t="inlineStr">
        <is>
          <t>STRÖMSUND</t>
        </is>
      </c>
      <c r="F2831" t="inlineStr">
        <is>
          <t>SCA</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5454-2024</t>
        </is>
      </c>
      <c r="B2832" s="1" t="n">
        <v>45331</v>
      </c>
      <c r="C2832" s="1" t="n">
        <v>45343</v>
      </c>
      <c r="D2832" t="inlineStr">
        <is>
          <t>JÄMTLANDS LÄN</t>
        </is>
      </c>
      <c r="E2832" t="inlineStr">
        <is>
          <t>STRÖMSUND</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45343</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45343</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6083-2024</t>
        </is>
      </c>
      <c r="B2835" s="1" t="n">
        <v>45337</v>
      </c>
      <c r="C2835" s="1" t="n">
        <v>45343</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45343</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45343</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45343</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45343</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6475-2024</t>
        </is>
      </c>
      <c r="B2840" s="1" t="n">
        <v>45338</v>
      </c>
      <c r="C2840" s="1" t="n">
        <v>45343</v>
      </c>
      <c r="D2840" t="inlineStr">
        <is>
          <t>JÄMTLANDS LÄN</t>
        </is>
      </c>
      <c r="E2840" t="inlineStr">
        <is>
          <t>STRÖMSUND</t>
        </is>
      </c>
      <c r="F2840" t="inlineStr">
        <is>
          <t>SCA</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6479-2024</t>
        </is>
      </c>
      <c r="B2841" s="1" t="n">
        <v>45338</v>
      </c>
      <c r="C2841" s="1" t="n">
        <v>45343</v>
      </c>
      <c r="D2841" t="inlineStr">
        <is>
          <t>JÄMTLANDS LÄN</t>
        </is>
      </c>
      <c r="E2841" t="inlineStr">
        <is>
          <t>STRÖMSUND</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6476-2024</t>
        </is>
      </c>
      <c r="B2842" s="1" t="n">
        <v>45338</v>
      </c>
      <c r="C2842" s="1" t="n">
        <v>45343</v>
      </c>
      <c r="D2842" t="inlineStr">
        <is>
          <t>JÄMTLANDS LÄN</t>
        </is>
      </c>
      <c r="E2842" t="inlineStr">
        <is>
          <t>STRÖMSUND</t>
        </is>
      </c>
      <c r="F2842" t="inlineStr">
        <is>
          <t>SCA</t>
        </is>
      </c>
      <c r="G2842" t="n">
        <v>9.9</v>
      </c>
      <c r="H2842" t="n">
        <v>0</v>
      </c>
      <c r="I2842" t="n">
        <v>0</v>
      </c>
      <c r="J2842" t="n">
        <v>0</v>
      </c>
      <c r="K2842" t="n">
        <v>0</v>
      </c>
      <c r="L2842" t="n">
        <v>0</v>
      </c>
      <c r="M2842" t="n">
        <v>0</v>
      </c>
      <c r="N2842" t="n">
        <v>0</v>
      </c>
      <c r="O2842" t="n">
        <v>0</v>
      </c>
      <c r="P2842" t="n">
        <v>0</v>
      </c>
      <c r="Q2842" t="n">
        <v>0</v>
      </c>
      <c r="R2842" s="2" t="inlineStr"/>
    </row>
    <row r="2843" ht="15" customHeight="1">
      <c r="A2843" t="inlineStr">
        <is>
          <t>A 6478-2024</t>
        </is>
      </c>
      <c r="B2843" s="1" t="n">
        <v>45338</v>
      </c>
      <c r="C2843" s="1" t="n">
        <v>45343</v>
      </c>
      <c r="D2843" t="inlineStr">
        <is>
          <t>JÄMTLANDS LÄN</t>
        </is>
      </c>
      <c r="E2843" t="inlineStr">
        <is>
          <t>STRÖMSUND</t>
        </is>
      </c>
      <c r="F2843" t="inlineStr">
        <is>
          <t>SCA</t>
        </is>
      </c>
      <c r="G2843" t="n">
        <v>17.6</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45343</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45343</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6696-2024</t>
        </is>
      </c>
      <c r="B2846" s="1" t="n">
        <v>45341</v>
      </c>
      <c r="C2846" s="1" t="n">
        <v>45343</v>
      </c>
      <c r="D2846" t="inlineStr">
        <is>
          <t>JÄMTLANDS LÄN</t>
        </is>
      </c>
      <c r="E2846" t="inlineStr">
        <is>
          <t>STRÖMSUND</t>
        </is>
      </c>
      <c r="F2846" t="inlineStr">
        <is>
          <t>SCA</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6693-2024</t>
        </is>
      </c>
      <c r="B2847" s="1" t="n">
        <v>45341</v>
      </c>
      <c r="C2847" s="1" t="n">
        <v>45343</v>
      </c>
      <c r="D2847" t="inlineStr">
        <is>
          <t>JÄMTLANDS LÄN</t>
        </is>
      </c>
      <c r="E2847" t="inlineStr">
        <is>
          <t>STRÖMSUND</t>
        </is>
      </c>
      <c r="F2847" t="inlineStr">
        <is>
          <t>SCA</t>
        </is>
      </c>
      <c r="G2847" t="n">
        <v>14.2</v>
      </c>
      <c r="H2847" t="n">
        <v>0</v>
      </c>
      <c r="I2847" t="n">
        <v>0</v>
      </c>
      <c r="J2847" t="n">
        <v>0</v>
      </c>
      <c r="K2847" t="n">
        <v>0</v>
      </c>
      <c r="L2847" t="n">
        <v>0</v>
      </c>
      <c r="M2847" t="n">
        <v>0</v>
      </c>
      <c r="N2847" t="n">
        <v>0</v>
      </c>
      <c r="O2847" t="n">
        <v>0</v>
      </c>
      <c r="P2847" t="n">
        <v>0</v>
      </c>
      <c r="Q2847" t="n">
        <v>0</v>
      </c>
      <c r="R2847" s="2" t="inlineStr"/>
    </row>
    <row r="2848">
      <c r="A2848" t="inlineStr">
        <is>
          <t>A 6695-2024</t>
        </is>
      </c>
      <c r="B2848" s="1" t="n">
        <v>45341</v>
      </c>
      <c r="C2848" s="1" t="n">
        <v>45343</v>
      </c>
      <c r="D2848" t="inlineStr">
        <is>
          <t>JÄMTLANDS LÄN</t>
        </is>
      </c>
      <c r="E2848" t="inlineStr">
        <is>
          <t>STRÖMSUND</t>
        </is>
      </c>
      <c r="F2848" t="inlineStr">
        <is>
          <t>SCA</t>
        </is>
      </c>
      <c r="G2848" t="n">
        <v>19.5</v>
      </c>
      <c r="H2848" t="n">
        <v>0</v>
      </c>
      <c r="I2848" t="n">
        <v>0</v>
      </c>
      <c r="J2848" t="n">
        <v>0</v>
      </c>
      <c r="K2848" t="n">
        <v>0</v>
      </c>
      <c r="L2848" t="n">
        <v>0</v>
      </c>
      <c r="M2848" t="n">
        <v>0</v>
      </c>
      <c r="N2848" t="n">
        <v>0</v>
      </c>
      <c r="O2848" t="n">
        <v>0</v>
      </c>
      <c r="P2848" t="n">
        <v>0</v>
      </c>
      <c r="Q2848" t="n">
        <v>0</v>
      </c>
      <c r="R28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2024-02-21T07:00:42Z</dcterms:created>
  <dcterms:modified xmlns:dcterms="http://purl.org/dc/terms/" xmlns:xsi="http://www.w3.org/2001/XMLSchema-instance" xsi:type="dcterms:W3CDTF">2024-02-21T07:00:44Z</dcterms:modified>
</cp:coreProperties>
</file>