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45718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45718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45718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45718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45718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45718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45718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45718</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45718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45718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45718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45718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45718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45718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45718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45718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45718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45718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45718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45718</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45718</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45718</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45718</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45718</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45718</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45718</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45718</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45718</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45718</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45718</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45718</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45718</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45718</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45718</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45718</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45718</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45718</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45718</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45718</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45718</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45718</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45718</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45718</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45718</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45718</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45718</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45718</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45718</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45718</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45718</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45718</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45718</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45718</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45718</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45718</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45718</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45718</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45718</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45718</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45718</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45718</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45718</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45718</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45718</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25855-2019</t>
        </is>
      </c>
      <c r="B66" s="1" t="n">
        <v>43608</v>
      </c>
      <c r="C66" s="1" t="n">
        <v>45718</v>
      </c>
      <c r="D66" t="inlineStr">
        <is>
          <t>JÄMTLANDS LÄN</t>
        </is>
      </c>
      <c r="E66" t="inlineStr">
        <is>
          <t>STRÖMSUND</t>
        </is>
      </c>
      <c r="G66" t="n">
        <v>66.09999999999999</v>
      </c>
      <c r="H66" t="n">
        <v>0</v>
      </c>
      <c r="I66" t="n">
        <v>7</v>
      </c>
      <c r="J66" t="n">
        <v>3</v>
      </c>
      <c r="K66" t="n">
        <v>0</v>
      </c>
      <c r="L66" t="n">
        <v>0</v>
      </c>
      <c r="M66" t="n">
        <v>0</v>
      </c>
      <c r="N66" t="n">
        <v>0</v>
      </c>
      <c r="O66" t="n">
        <v>3</v>
      </c>
      <c r="P66" t="n">
        <v>0</v>
      </c>
      <c r="Q66" t="n">
        <v>10</v>
      </c>
      <c r="R66" s="2" t="inlineStr">
        <is>
          <t>Garnlav
Lunglav
Skrovellav
Granriska
Kransrams
Stuplav
Svart trolldruva
Svavelriska
Tibast
Ögonpyrola</t>
        </is>
      </c>
      <c r="S66">
        <f>HYPERLINK("https://klasma.github.io/Logging_2313/artfynd/A 25855-2019 artfynd.xlsx", "A 25855-2019")</f>
        <v/>
      </c>
      <c r="T66">
        <f>HYPERLINK("https://klasma.github.io/Logging_2313/kartor/A 25855-2019 karta.png", "A 25855-2019")</f>
        <v/>
      </c>
      <c r="V66">
        <f>HYPERLINK("https://klasma.github.io/Logging_2313/klagomål/A 25855-2019 FSC-klagomål.docx", "A 25855-2019")</f>
        <v/>
      </c>
      <c r="W66">
        <f>HYPERLINK("https://klasma.github.io/Logging_2313/klagomålsmail/A 25855-2019 FSC-klagomål mail.docx", "A 25855-2019")</f>
        <v/>
      </c>
      <c r="X66">
        <f>HYPERLINK("https://klasma.github.io/Logging_2313/tillsyn/A 25855-2019 tillsynsbegäran.docx", "A 25855-2019")</f>
        <v/>
      </c>
      <c r="Y66">
        <f>HYPERLINK("https://klasma.github.io/Logging_2313/tillsynsmail/A 25855-2019 tillsynsbegäran mail.docx", "A 25855-2019")</f>
        <v/>
      </c>
    </row>
    <row r="67" ht="15" customHeight="1">
      <c r="A67" t="inlineStr">
        <is>
          <t>A 39276-2019</t>
        </is>
      </c>
      <c r="B67" s="1" t="n">
        <v>43690</v>
      </c>
      <c r="C67" s="1" t="n">
        <v>45718</v>
      </c>
      <c r="D67" t="inlineStr">
        <is>
          <t>JÄMTLANDS LÄN</t>
        </is>
      </c>
      <c r="E67" t="inlineStr">
        <is>
          <t>STRÖMSUND</t>
        </is>
      </c>
      <c r="F67" t="inlineStr">
        <is>
          <t>Holmen skog AB</t>
        </is>
      </c>
      <c r="G67" t="n">
        <v>28.8</v>
      </c>
      <c r="H67" t="n">
        <v>2</v>
      </c>
      <c r="I67" t="n">
        <v>2</v>
      </c>
      <c r="J67" t="n">
        <v>7</v>
      </c>
      <c r="K67" t="n">
        <v>0</v>
      </c>
      <c r="L67" t="n">
        <v>0</v>
      </c>
      <c r="M67" t="n">
        <v>0</v>
      </c>
      <c r="N67" t="n">
        <v>0</v>
      </c>
      <c r="O67" t="n">
        <v>7</v>
      </c>
      <c r="P67" t="n">
        <v>0</v>
      </c>
      <c r="Q67" t="n">
        <v>10</v>
      </c>
      <c r="R67" s="2" t="inlineStr">
        <is>
          <t>Brunpudrad nållav
Garnlav
Gränsticka
Rödbrun blekspik
Skrovellav
Tretåig hackspett
Ullticka
Gulnål
Stuplav
Fläcknycklar</t>
        </is>
      </c>
      <c r="S67">
        <f>HYPERLINK("https://klasma.github.io/Logging_2313/artfynd/A 39276-2019 artfynd.xlsx", "A 39276-2019")</f>
        <v/>
      </c>
      <c r="T67">
        <f>HYPERLINK("https://klasma.github.io/Logging_2313/kartor/A 39276-2019 karta.png", "A 39276-2019")</f>
        <v/>
      </c>
      <c r="V67">
        <f>HYPERLINK("https://klasma.github.io/Logging_2313/klagomål/A 39276-2019 FSC-klagomål.docx", "A 39276-2019")</f>
        <v/>
      </c>
      <c r="W67">
        <f>HYPERLINK("https://klasma.github.io/Logging_2313/klagomålsmail/A 39276-2019 FSC-klagomål mail.docx", "A 39276-2019")</f>
        <v/>
      </c>
      <c r="X67">
        <f>HYPERLINK("https://klasma.github.io/Logging_2313/tillsyn/A 39276-2019 tillsynsbegäran.docx", "A 39276-2019")</f>
        <v/>
      </c>
      <c r="Y67">
        <f>HYPERLINK("https://klasma.github.io/Logging_2313/tillsynsmail/A 39276-2019 tillsynsbegäran mail.docx", "A 39276-2019")</f>
        <v/>
      </c>
      <c r="Z67">
        <f>HYPERLINK("https://klasma.github.io/Logging_2313/fåglar/A 39276-2019 prioriterade fågelarter.docx", "A 39276-2019")</f>
        <v/>
      </c>
    </row>
    <row r="68" ht="15" customHeight="1">
      <c r="A68" t="inlineStr">
        <is>
          <t>A 26141-2022</t>
        </is>
      </c>
      <c r="B68" s="1" t="n">
        <v>44734</v>
      </c>
      <c r="C68" s="1" t="n">
        <v>45718</v>
      </c>
      <c r="D68" t="inlineStr">
        <is>
          <t>JÄMTLANDS LÄN</t>
        </is>
      </c>
      <c r="E68" t="inlineStr">
        <is>
          <t>STRÖMSUND</t>
        </is>
      </c>
      <c r="F68" t="inlineStr">
        <is>
          <t>SCA</t>
        </is>
      </c>
      <c r="G68" t="n">
        <v>7.5</v>
      </c>
      <c r="H68" t="n">
        <v>2</v>
      </c>
      <c r="I68" t="n">
        <v>1</v>
      </c>
      <c r="J68" t="n">
        <v>9</v>
      </c>
      <c r="K68" t="n">
        <v>0</v>
      </c>
      <c r="L68" t="n">
        <v>0</v>
      </c>
      <c r="M68" t="n">
        <v>0</v>
      </c>
      <c r="N68" t="n">
        <v>0</v>
      </c>
      <c r="O68" t="n">
        <v>9</v>
      </c>
      <c r="P68" t="n">
        <v>0</v>
      </c>
      <c r="Q68" t="n">
        <v>10</v>
      </c>
      <c r="R68" s="2" t="inlineStr">
        <is>
          <t>Doftskinn
Gammelgransskål
Garnlav
Granticka
Gränsticka
Talltita
Tretåig hackspett
Ullticka
Vitgrynig nållav
Vedticka</t>
        </is>
      </c>
      <c r="S68">
        <f>HYPERLINK("https://klasma.github.io/Logging_2313/artfynd/A 26141-2022 artfynd.xlsx", "A 26141-2022")</f>
        <v/>
      </c>
      <c r="T68">
        <f>HYPERLINK("https://klasma.github.io/Logging_2313/kartor/A 26141-2022 karta.png", "A 26141-2022")</f>
        <v/>
      </c>
      <c r="V68">
        <f>HYPERLINK("https://klasma.github.io/Logging_2313/klagomål/A 26141-2022 FSC-klagomål.docx", "A 26141-2022")</f>
        <v/>
      </c>
      <c r="W68">
        <f>HYPERLINK("https://klasma.github.io/Logging_2313/klagomålsmail/A 26141-2022 FSC-klagomål mail.docx", "A 26141-2022")</f>
        <v/>
      </c>
      <c r="X68">
        <f>HYPERLINK("https://klasma.github.io/Logging_2313/tillsyn/A 26141-2022 tillsynsbegäran.docx", "A 26141-2022")</f>
        <v/>
      </c>
      <c r="Y68">
        <f>HYPERLINK("https://klasma.github.io/Logging_2313/tillsynsmail/A 26141-2022 tillsynsbegäran mail.docx", "A 26141-2022")</f>
        <v/>
      </c>
      <c r="Z68">
        <f>HYPERLINK("https://klasma.github.io/Logging_2313/fåglar/A 26141-2022 prioriterade fågelarter.docx", "A 26141-2022")</f>
        <v/>
      </c>
    </row>
    <row r="69" ht="15" customHeight="1">
      <c r="A69" t="inlineStr">
        <is>
          <t>A 1470-2023</t>
        </is>
      </c>
      <c r="B69" s="1" t="n">
        <v>44931</v>
      </c>
      <c r="C69" s="1" t="n">
        <v>45718</v>
      </c>
      <c r="D69" t="inlineStr">
        <is>
          <t>JÄMTLANDS LÄN</t>
        </is>
      </c>
      <c r="E69" t="inlineStr">
        <is>
          <t>STRÖMSUND</t>
        </is>
      </c>
      <c r="G69" t="n">
        <v>39.8</v>
      </c>
      <c r="H69" t="n">
        <v>3</v>
      </c>
      <c r="I69" t="n">
        <v>3</v>
      </c>
      <c r="J69" t="n">
        <v>6</v>
      </c>
      <c r="K69" t="n">
        <v>0</v>
      </c>
      <c r="L69" t="n">
        <v>0</v>
      </c>
      <c r="M69" t="n">
        <v>0</v>
      </c>
      <c r="N69" t="n">
        <v>0</v>
      </c>
      <c r="O69" t="n">
        <v>6</v>
      </c>
      <c r="P69" t="n">
        <v>0</v>
      </c>
      <c r="Q69" t="n">
        <v>10</v>
      </c>
      <c r="R69" s="2" t="inlineStr">
        <is>
          <t>Doftskinn
Garnlav
Granticka
Harticka
Talltita
Tretåig hackspett
Kransrams
Stuplav
Ögonpyrola
Fläcknycklar</t>
        </is>
      </c>
      <c r="S69">
        <f>HYPERLINK("https://klasma.github.io/Logging_2313/artfynd/A 1470-2023 artfynd.xlsx", "A 1470-2023")</f>
        <v/>
      </c>
      <c r="T69">
        <f>HYPERLINK("https://klasma.github.io/Logging_2313/kartor/A 1470-2023 karta.png", "A 1470-2023")</f>
        <v/>
      </c>
      <c r="V69">
        <f>HYPERLINK("https://klasma.github.io/Logging_2313/klagomål/A 1470-2023 FSC-klagomål.docx", "A 1470-2023")</f>
        <v/>
      </c>
      <c r="W69">
        <f>HYPERLINK("https://klasma.github.io/Logging_2313/klagomålsmail/A 1470-2023 FSC-klagomål mail.docx", "A 1470-2023")</f>
        <v/>
      </c>
      <c r="X69">
        <f>HYPERLINK("https://klasma.github.io/Logging_2313/tillsyn/A 1470-2023 tillsynsbegäran.docx", "A 1470-2023")</f>
        <v/>
      </c>
      <c r="Y69">
        <f>HYPERLINK("https://klasma.github.io/Logging_2313/tillsynsmail/A 1470-2023 tillsynsbegäran mail.docx", "A 1470-2023")</f>
        <v/>
      </c>
      <c r="Z69">
        <f>HYPERLINK("https://klasma.github.io/Logging_2313/fåglar/A 1470-2023 prioriterade fågelarter.docx", "A 1470-2023")</f>
        <v/>
      </c>
    </row>
    <row r="70" ht="15" customHeight="1">
      <c r="A70" t="inlineStr">
        <is>
          <t>A 43417-2023</t>
        </is>
      </c>
      <c r="B70" s="1" t="n">
        <v>45184</v>
      </c>
      <c r="C70" s="1" t="n">
        <v>45718</v>
      </c>
      <c r="D70" t="inlineStr">
        <is>
          <t>JÄMTLANDS LÄN</t>
        </is>
      </c>
      <c r="E70" t="inlineStr">
        <is>
          <t>STRÖMSUND</t>
        </is>
      </c>
      <c r="F70" t="inlineStr">
        <is>
          <t>SCA</t>
        </is>
      </c>
      <c r="G70" t="n">
        <v>8.199999999999999</v>
      </c>
      <c r="H70" t="n">
        <v>2</v>
      </c>
      <c r="I70" t="n">
        <v>4</v>
      </c>
      <c r="J70" t="n">
        <v>5</v>
      </c>
      <c r="K70" t="n">
        <v>1</v>
      </c>
      <c r="L70" t="n">
        <v>0</v>
      </c>
      <c r="M70" t="n">
        <v>0</v>
      </c>
      <c r="N70" t="n">
        <v>0</v>
      </c>
      <c r="O70" t="n">
        <v>6</v>
      </c>
      <c r="P70" t="n">
        <v>1</v>
      </c>
      <c r="Q70" t="n">
        <v>10</v>
      </c>
      <c r="R70" s="2" t="inlineStr">
        <is>
          <t>Doftticka
Doftskinn
Garnlav
Järpe
Lunglav
Mörk kolflarnlav
Bårdlav
Luddlav
Skinnlav
Stuplav</t>
        </is>
      </c>
      <c r="S70">
        <f>HYPERLINK("https://klasma.github.io/Logging_2313/artfynd/A 43417-2023 artfynd.xlsx", "A 43417-2023")</f>
        <v/>
      </c>
      <c r="T70">
        <f>HYPERLINK("https://klasma.github.io/Logging_2313/kartor/A 43417-2023 karta.png", "A 43417-2023")</f>
        <v/>
      </c>
      <c r="V70">
        <f>HYPERLINK("https://klasma.github.io/Logging_2313/klagomål/A 43417-2023 FSC-klagomål.docx", "A 43417-2023")</f>
        <v/>
      </c>
      <c r="W70">
        <f>HYPERLINK("https://klasma.github.io/Logging_2313/klagomålsmail/A 43417-2023 FSC-klagomål mail.docx", "A 43417-2023")</f>
        <v/>
      </c>
      <c r="X70">
        <f>HYPERLINK("https://klasma.github.io/Logging_2313/tillsyn/A 43417-2023 tillsynsbegäran.docx", "A 43417-2023")</f>
        <v/>
      </c>
      <c r="Y70">
        <f>HYPERLINK("https://klasma.github.io/Logging_2313/tillsynsmail/A 43417-2023 tillsynsbegäran mail.docx", "A 43417-2023")</f>
        <v/>
      </c>
      <c r="Z70">
        <f>HYPERLINK("https://klasma.github.io/Logging_2313/fåglar/A 43417-2023 prioriterade fågelarter.docx", "A 43417-2023")</f>
        <v/>
      </c>
    </row>
    <row r="71" ht="15" customHeight="1">
      <c r="A71" t="inlineStr">
        <is>
          <t>A 54229-2024</t>
        </is>
      </c>
      <c r="B71" s="1" t="n">
        <v>45616</v>
      </c>
      <c r="C71" s="1" t="n">
        <v>45718</v>
      </c>
      <c r="D71" t="inlineStr">
        <is>
          <t>JÄMTLANDS LÄN</t>
        </is>
      </c>
      <c r="E71" t="inlineStr">
        <is>
          <t>STRÖMSUND</t>
        </is>
      </c>
      <c r="G71" t="n">
        <v>66.2</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54229-2024 artfynd.xlsx", "A 54229-2024")</f>
        <v/>
      </c>
      <c r="T71">
        <f>HYPERLINK("https://klasma.github.io/Logging_2313/kartor/A 54229-2024 karta.png", "A 54229-2024")</f>
        <v/>
      </c>
      <c r="V71">
        <f>HYPERLINK("https://klasma.github.io/Logging_2313/klagomål/A 54229-2024 FSC-klagomål.docx", "A 54229-2024")</f>
        <v/>
      </c>
      <c r="W71">
        <f>HYPERLINK("https://klasma.github.io/Logging_2313/klagomålsmail/A 54229-2024 FSC-klagomål mail.docx", "A 54229-2024")</f>
        <v/>
      </c>
      <c r="X71">
        <f>HYPERLINK("https://klasma.github.io/Logging_2313/tillsyn/A 54229-2024 tillsynsbegäran.docx", "A 54229-2024")</f>
        <v/>
      </c>
      <c r="Y71">
        <f>HYPERLINK("https://klasma.github.io/Logging_2313/tillsynsmail/A 54229-2024 tillsynsbegäran mail.docx", "A 54229-2024")</f>
        <v/>
      </c>
    </row>
    <row r="72" ht="15" customHeight="1">
      <c r="A72" t="inlineStr">
        <is>
          <t>A 6776-2020</t>
        </is>
      </c>
      <c r="B72" s="1" t="n">
        <v>43867</v>
      </c>
      <c r="C72" s="1" t="n">
        <v>45718</v>
      </c>
      <c r="D72" t="inlineStr">
        <is>
          <t>JÄMTLANDS LÄN</t>
        </is>
      </c>
      <c r="E72" t="inlineStr">
        <is>
          <t>STRÖMSUND</t>
        </is>
      </c>
      <c r="G72" t="n">
        <v>10.7</v>
      </c>
      <c r="H72" t="n">
        <v>0</v>
      </c>
      <c r="I72" t="n">
        <v>4</v>
      </c>
      <c r="J72" t="n">
        <v>5</v>
      </c>
      <c r="K72" t="n">
        <v>0</v>
      </c>
      <c r="L72" t="n">
        <v>0</v>
      </c>
      <c r="M72" t="n">
        <v>0</v>
      </c>
      <c r="N72" t="n">
        <v>0</v>
      </c>
      <c r="O72" t="n">
        <v>5</v>
      </c>
      <c r="P72" t="n">
        <v>0</v>
      </c>
      <c r="Q72" t="n">
        <v>9</v>
      </c>
      <c r="R72" s="2" t="inlineStr">
        <is>
          <t>Granticka
Harticka
Lunglav
Skrovellav
Vedflikmossa
Bårdlav
Kransrams
Stuplav
Trådticka</t>
        </is>
      </c>
      <c r="S72">
        <f>HYPERLINK("https://klasma.github.io/Logging_2313/artfynd/A 6776-2020 artfynd.xlsx", "A 6776-2020")</f>
        <v/>
      </c>
      <c r="T72">
        <f>HYPERLINK("https://klasma.github.io/Logging_2313/kartor/A 6776-2020 karta.png", "A 6776-2020")</f>
        <v/>
      </c>
      <c r="V72">
        <f>HYPERLINK("https://klasma.github.io/Logging_2313/klagomål/A 6776-2020 FSC-klagomål.docx", "A 6776-2020")</f>
        <v/>
      </c>
      <c r="W72">
        <f>HYPERLINK("https://klasma.github.io/Logging_2313/klagomålsmail/A 6776-2020 FSC-klagomål mail.docx", "A 6776-2020")</f>
        <v/>
      </c>
      <c r="X72">
        <f>HYPERLINK("https://klasma.github.io/Logging_2313/tillsyn/A 6776-2020 tillsynsbegäran.docx", "A 6776-2020")</f>
        <v/>
      </c>
      <c r="Y72">
        <f>HYPERLINK("https://klasma.github.io/Logging_2313/tillsynsmail/A 6776-2020 tillsynsbegäran mail.docx", "A 6776-2020")</f>
        <v/>
      </c>
    </row>
    <row r="73" ht="15" customHeight="1">
      <c r="A73" t="inlineStr">
        <is>
          <t>A 44983-2020</t>
        </is>
      </c>
      <c r="B73" s="1" t="n">
        <v>44083</v>
      </c>
      <c r="C73" s="1" t="n">
        <v>45718</v>
      </c>
      <c r="D73" t="inlineStr">
        <is>
          <t>JÄMTLANDS LÄN</t>
        </is>
      </c>
      <c r="E73" t="inlineStr">
        <is>
          <t>STRÖMSUND</t>
        </is>
      </c>
      <c r="G73" t="n">
        <v>8.5</v>
      </c>
      <c r="H73" t="n">
        <v>1</v>
      </c>
      <c r="I73" t="n">
        <v>4</v>
      </c>
      <c r="J73" t="n">
        <v>3</v>
      </c>
      <c r="K73" t="n">
        <v>1</v>
      </c>
      <c r="L73" t="n">
        <v>0</v>
      </c>
      <c r="M73" t="n">
        <v>0</v>
      </c>
      <c r="N73" t="n">
        <v>0</v>
      </c>
      <c r="O73" t="n">
        <v>4</v>
      </c>
      <c r="P73" t="n">
        <v>1</v>
      </c>
      <c r="Q73" t="n">
        <v>9</v>
      </c>
      <c r="R73" s="2" t="inlineStr">
        <is>
          <t>Norsk näverlav
Brunpudrad nållav
Garnlav
Skrovellav
Bårdlav
Gytterlav
Norrlandslav
Stuplav
Revlummer</t>
        </is>
      </c>
      <c r="S73">
        <f>HYPERLINK("https://klasma.github.io/Logging_2313/artfynd/A 44983-2020 artfynd.xlsx", "A 44983-2020")</f>
        <v/>
      </c>
      <c r="T73">
        <f>HYPERLINK("https://klasma.github.io/Logging_2313/kartor/A 44983-2020 karta.png", "A 44983-2020")</f>
        <v/>
      </c>
      <c r="V73">
        <f>HYPERLINK("https://klasma.github.io/Logging_2313/klagomål/A 44983-2020 FSC-klagomål.docx", "A 44983-2020")</f>
        <v/>
      </c>
      <c r="W73">
        <f>HYPERLINK("https://klasma.github.io/Logging_2313/klagomålsmail/A 44983-2020 FSC-klagomål mail.docx", "A 44983-2020")</f>
        <v/>
      </c>
      <c r="X73">
        <f>HYPERLINK("https://klasma.github.io/Logging_2313/tillsyn/A 44983-2020 tillsynsbegäran.docx", "A 44983-2020")</f>
        <v/>
      </c>
      <c r="Y73">
        <f>HYPERLINK("https://klasma.github.io/Logging_2313/tillsynsmail/A 44983-2020 tillsynsbegäran mail.docx", "A 44983-2020")</f>
        <v/>
      </c>
    </row>
    <row r="74" ht="15" customHeight="1">
      <c r="A74" t="inlineStr">
        <is>
          <t>A 66118-2020</t>
        </is>
      </c>
      <c r="B74" s="1" t="n">
        <v>44175</v>
      </c>
      <c r="C74" s="1" t="n">
        <v>45718</v>
      </c>
      <c r="D74" t="inlineStr">
        <is>
          <t>JÄMTLANDS LÄN</t>
        </is>
      </c>
      <c r="E74" t="inlineStr">
        <is>
          <t>STRÖMSUND</t>
        </is>
      </c>
      <c r="F74" t="inlineStr">
        <is>
          <t>Holmen skog AB</t>
        </is>
      </c>
      <c r="G74" t="n">
        <v>24.6</v>
      </c>
      <c r="H74" t="n">
        <v>1</v>
      </c>
      <c r="I74" t="n">
        <v>1</v>
      </c>
      <c r="J74" t="n">
        <v>6</v>
      </c>
      <c r="K74" t="n">
        <v>2</v>
      </c>
      <c r="L74" t="n">
        <v>0</v>
      </c>
      <c r="M74" t="n">
        <v>0</v>
      </c>
      <c r="N74" t="n">
        <v>0</v>
      </c>
      <c r="O74" t="n">
        <v>8</v>
      </c>
      <c r="P74" t="n">
        <v>2</v>
      </c>
      <c r="Q74" t="n">
        <v>9</v>
      </c>
      <c r="R74" s="2" t="inlineStr">
        <is>
          <t>Liten sotlav
Norsk näverlav
Brunpudrad nållav
Garnlav
Granticka
Rödbrun blekspik
Skrovellav
Tretåig hackspett
Luddlav</t>
        </is>
      </c>
      <c r="S74">
        <f>HYPERLINK("https://klasma.github.io/Logging_2313/artfynd/A 66118-2020 artfynd.xlsx", "A 66118-2020")</f>
        <v/>
      </c>
      <c r="T74">
        <f>HYPERLINK("https://klasma.github.io/Logging_2313/kartor/A 66118-2020 karta.png", "A 66118-2020")</f>
        <v/>
      </c>
      <c r="V74">
        <f>HYPERLINK("https://klasma.github.io/Logging_2313/klagomål/A 66118-2020 FSC-klagomål.docx", "A 66118-2020")</f>
        <v/>
      </c>
      <c r="W74">
        <f>HYPERLINK("https://klasma.github.io/Logging_2313/klagomålsmail/A 66118-2020 FSC-klagomål mail.docx", "A 66118-2020")</f>
        <v/>
      </c>
      <c r="X74">
        <f>HYPERLINK("https://klasma.github.io/Logging_2313/tillsyn/A 66118-2020 tillsynsbegäran.docx", "A 66118-2020")</f>
        <v/>
      </c>
      <c r="Y74">
        <f>HYPERLINK("https://klasma.github.io/Logging_2313/tillsynsmail/A 66118-2020 tillsynsbegäran mail.docx", "A 66118-2020")</f>
        <v/>
      </c>
      <c r="Z74">
        <f>HYPERLINK("https://klasma.github.io/Logging_2313/fåglar/A 66118-2020 prioriterade fågelarter.docx", "A 66118-2020")</f>
        <v/>
      </c>
    </row>
    <row r="75" ht="15" customHeight="1">
      <c r="A75" t="inlineStr">
        <is>
          <t>A 69641-2020</t>
        </is>
      </c>
      <c r="B75" s="1" t="n">
        <v>44195</v>
      </c>
      <c r="C75" s="1" t="n">
        <v>45718</v>
      </c>
      <c r="D75" t="inlineStr">
        <is>
          <t>JÄMTLANDS LÄN</t>
        </is>
      </c>
      <c r="E75" t="inlineStr">
        <is>
          <t>STRÖMSUND</t>
        </is>
      </c>
      <c r="G75" t="n">
        <v>15.8</v>
      </c>
      <c r="H75" t="n">
        <v>3</v>
      </c>
      <c r="I75" t="n">
        <v>3</v>
      </c>
      <c r="J75" t="n">
        <v>5</v>
      </c>
      <c r="K75" t="n">
        <v>0</v>
      </c>
      <c r="L75" t="n">
        <v>0</v>
      </c>
      <c r="M75" t="n">
        <v>0</v>
      </c>
      <c r="N75" t="n">
        <v>0</v>
      </c>
      <c r="O75" t="n">
        <v>5</v>
      </c>
      <c r="P75" t="n">
        <v>0</v>
      </c>
      <c r="Q75" t="n">
        <v>9</v>
      </c>
      <c r="R75" s="2" t="inlineStr">
        <is>
          <t>Garnlav
Granticka
Lunglav
Spillkråka
Tretåig hackspett
Finbräken
Kransrams
Stuplav
Blåsippa</t>
        </is>
      </c>
      <c r="S75">
        <f>HYPERLINK("https://klasma.github.io/Logging_2313/artfynd/A 69641-2020 artfynd.xlsx", "A 69641-2020")</f>
        <v/>
      </c>
      <c r="T75">
        <f>HYPERLINK("https://klasma.github.io/Logging_2313/kartor/A 69641-2020 karta.png", "A 69641-2020")</f>
        <v/>
      </c>
      <c r="V75">
        <f>HYPERLINK("https://klasma.github.io/Logging_2313/klagomål/A 69641-2020 FSC-klagomål.docx", "A 69641-2020")</f>
        <v/>
      </c>
      <c r="W75">
        <f>HYPERLINK("https://klasma.github.io/Logging_2313/klagomålsmail/A 69641-2020 FSC-klagomål mail.docx", "A 69641-2020")</f>
        <v/>
      </c>
      <c r="X75">
        <f>HYPERLINK("https://klasma.github.io/Logging_2313/tillsyn/A 69641-2020 tillsynsbegäran.docx", "A 69641-2020")</f>
        <v/>
      </c>
      <c r="Y75">
        <f>HYPERLINK("https://klasma.github.io/Logging_2313/tillsynsmail/A 69641-2020 tillsynsbegäran mail.docx", "A 69641-2020")</f>
        <v/>
      </c>
      <c r="Z75">
        <f>HYPERLINK("https://klasma.github.io/Logging_2313/fåglar/A 69641-2020 prioriterade fågelarter.docx", "A 69641-2020")</f>
        <v/>
      </c>
    </row>
    <row r="76" ht="15" customHeight="1">
      <c r="A76" t="inlineStr">
        <is>
          <t>A 718-2021</t>
        </is>
      </c>
      <c r="B76" s="1" t="n">
        <v>44204</v>
      </c>
      <c r="C76" s="1" t="n">
        <v>45718</v>
      </c>
      <c r="D76" t="inlineStr">
        <is>
          <t>JÄMTLANDS LÄN</t>
        </is>
      </c>
      <c r="E76" t="inlineStr">
        <is>
          <t>STRÖMSUND</t>
        </is>
      </c>
      <c r="F76" t="inlineStr">
        <is>
          <t>SCA</t>
        </is>
      </c>
      <c r="G76" t="n">
        <v>50.1</v>
      </c>
      <c r="H76" t="n">
        <v>1</v>
      </c>
      <c r="I76" t="n">
        <v>2</v>
      </c>
      <c r="J76" t="n">
        <v>5</v>
      </c>
      <c r="K76" t="n">
        <v>2</v>
      </c>
      <c r="L76" t="n">
        <v>0</v>
      </c>
      <c r="M76" t="n">
        <v>0</v>
      </c>
      <c r="N76" t="n">
        <v>0</v>
      </c>
      <c r="O76" t="n">
        <v>7</v>
      </c>
      <c r="P76" t="n">
        <v>2</v>
      </c>
      <c r="Q76" t="n">
        <v>9</v>
      </c>
      <c r="R76" s="2" t="inlineStr">
        <is>
          <t>Liten sotlav
Norsk näverlav
Gammelgransskål
Garnlav
Granticka
Tretåig hackspett
Vitgrynig nållav
Bårdlav
Luddlav</t>
        </is>
      </c>
      <c r="S76">
        <f>HYPERLINK("https://klasma.github.io/Logging_2313/artfynd/A 718-2021 artfynd.xlsx", "A 718-2021")</f>
        <v/>
      </c>
      <c r="T76">
        <f>HYPERLINK("https://klasma.github.io/Logging_2313/kartor/A 718-2021 karta.png", "A 718-2021")</f>
        <v/>
      </c>
      <c r="V76">
        <f>HYPERLINK("https://klasma.github.io/Logging_2313/klagomål/A 718-2021 FSC-klagomål.docx", "A 718-2021")</f>
        <v/>
      </c>
      <c r="W76">
        <f>HYPERLINK("https://klasma.github.io/Logging_2313/klagomålsmail/A 718-2021 FSC-klagomål mail.docx", "A 718-2021")</f>
        <v/>
      </c>
      <c r="X76">
        <f>HYPERLINK("https://klasma.github.io/Logging_2313/tillsyn/A 718-2021 tillsynsbegäran.docx", "A 718-2021")</f>
        <v/>
      </c>
      <c r="Y76">
        <f>HYPERLINK("https://klasma.github.io/Logging_2313/tillsynsmail/A 718-2021 tillsynsbegäran mail.docx", "A 718-2021")</f>
        <v/>
      </c>
      <c r="Z76">
        <f>HYPERLINK("https://klasma.github.io/Logging_2313/fåglar/A 718-2021 prioriterade fågelarter.docx", "A 718-2021")</f>
        <v/>
      </c>
    </row>
    <row r="77" ht="15" customHeight="1">
      <c r="A77" t="inlineStr">
        <is>
          <t>A 33542-2021</t>
        </is>
      </c>
      <c r="B77" s="1" t="n">
        <v>44378</v>
      </c>
      <c r="C77" s="1" t="n">
        <v>45718</v>
      </c>
      <c r="D77" t="inlineStr">
        <is>
          <t>JÄMTLANDS LÄN</t>
        </is>
      </c>
      <c r="E77" t="inlineStr">
        <is>
          <t>STRÖMSUND</t>
        </is>
      </c>
      <c r="G77" t="n">
        <v>18.3</v>
      </c>
      <c r="H77" t="n">
        <v>2</v>
      </c>
      <c r="I77" t="n">
        <v>5</v>
      </c>
      <c r="J77" t="n">
        <v>4</v>
      </c>
      <c r="K77" t="n">
        <v>0</v>
      </c>
      <c r="L77" t="n">
        <v>0</v>
      </c>
      <c r="M77" t="n">
        <v>0</v>
      </c>
      <c r="N77" t="n">
        <v>0</v>
      </c>
      <c r="O77" t="n">
        <v>4</v>
      </c>
      <c r="P77" t="n">
        <v>0</v>
      </c>
      <c r="Q77" t="n">
        <v>9</v>
      </c>
      <c r="R77" s="2" t="inlineStr">
        <is>
          <t>Garnlav
Järpe
Lunglav
Skrovellav
Bollvitmossa
Dvärgtufs
Luddlav
Spindelblomster
Stuplav</t>
        </is>
      </c>
      <c r="S77">
        <f>HYPERLINK("https://klasma.github.io/Logging_2313/artfynd/A 33542-2021 artfynd.xlsx", "A 33542-2021")</f>
        <v/>
      </c>
      <c r="T77">
        <f>HYPERLINK("https://klasma.github.io/Logging_2313/kartor/A 33542-2021 karta.png", "A 33542-2021")</f>
        <v/>
      </c>
      <c r="V77">
        <f>HYPERLINK("https://klasma.github.io/Logging_2313/klagomål/A 33542-2021 FSC-klagomål.docx", "A 33542-2021")</f>
        <v/>
      </c>
      <c r="W77">
        <f>HYPERLINK("https://klasma.github.io/Logging_2313/klagomålsmail/A 33542-2021 FSC-klagomål mail.docx", "A 33542-2021")</f>
        <v/>
      </c>
      <c r="X77">
        <f>HYPERLINK("https://klasma.github.io/Logging_2313/tillsyn/A 33542-2021 tillsynsbegäran.docx", "A 33542-2021")</f>
        <v/>
      </c>
      <c r="Y77">
        <f>HYPERLINK("https://klasma.github.io/Logging_2313/tillsynsmail/A 33542-2021 tillsynsbegäran mail.docx", "A 33542-2021")</f>
        <v/>
      </c>
      <c r="Z77">
        <f>HYPERLINK("https://klasma.github.io/Logging_2313/fåglar/A 33542-2021 prioriterade fågelarter.docx", "A 33542-2021")</f>
        <v/>
      </c>
    </row>
    <row r="78" ht="15" customHeight="1">
      <c r="A78" t="inlineStr">
        <is>
          <t>A 69914-2021</t>
        </is>
      </c>
      <c r="B78" s="1" t="n">
        <v>44532</v>
      </c>
      <c r="C78" s="1" t="n">
        <v>45718</v>
      </c>
      <c r="D78" t="inlineStr">
        <is>
          <t>JÄMTLANDS LÄN</t>
        </is>
      </c>
      <c r="E78" t="inlineStr">
        <is>
          <t>STRÖMSUND</t>
        </is>
      </c>
      <c r="F78" t="inlineStr">
        <is>
          <t>SCA</t>
        </is>
      </c>
      <c r="G78" t="n">
        <v>4.9</v>
      </c>
      <c r="H78" t="n">
        <v>1</v>
      </c>
      <c r="I78" t="n">
        <v>4</v>
      </c>
      <c r="J78" t="n">
        <v>3</v>
      </c>
      <c r="K78" t="n">
        <v>2</v>
      </c>
      <c r="L78" t="n">
        <v>0</v>
      </c>
      <c r="M78" t="n">
        <v>0</v>
      </c>
      <c r="N78" t="n">
        <v>0</v>
      </c>
      <c r="O78" t="n">
        <v>5</v>
      </c>
      <c r="P78" t="n">
        <v>2</v>
      </c>
      <c r="Q78" t="n">
        <v>9</v>
      </c>
      <c r="R78" s="2" t="inlineStr">
        <is>
          <t>Knärot
Violettrandad spindling
Blå taggsvamp
Puderspindling
Rosenticka
Barrfagerspindling
Diskvaxskivling
Strimspindling
Zontaggsvamp</t>
        </is>
      </c>
      <c r="S78">
        <f>HYPERLINK("https://klasma.github.io/Logging_2313/artfynd/A 69914-2021 artfynd.xlsx", "A 69914-2021")</f>
        <v/>
      </c>
      <c r="T78">
        <f>HYPERLINK("https://klasma.github.io/Logging_2313/kartor/A 69914-2021 karta.png", "A 69914-2021")</f>
        <v/>
      </c>
      <c r="U78">
        <f>HYPERLINK("https://klasma.github.io/Logging_2313/knärot/A 69914-2021 karta knärot.png", "A 69914-2021")</f>
        <v/>
      </c>
      <c r="V78">
        <f>HYPERLINK("https://klasma.github.io/Logging_2313/klagomål/A 69914-2021 FSC-klagomål.docx", "A 69914-2021")</f>
        <v/>
      </c>
      <c r="W78">
        <f>HYPERLINK("https://klasma.github.io/Logging_2313/klagomålsmail/A 69914-2021 FSC-klagomål mail.docx", "A 69914-2021")</f>
        <v/>
      </c>
      <c r="X78">
        <f>HYPERLINK("https://klasma.github.io/Logging_2313/tillsyn/A 69914-2021 tillsynsbegäran.docx", "A 69914-2021")</f>
        <v/>
      </c>
      <c r="Y78">
        <f>HYPERLINK("https://klasma.github.io/Logging_2313/tillsynsmail/A 69914-2021 tillsynsbegäran mail.docx", "A 69914-2021")</f>
        <v/>
      </c>
    </row>
    <row r="79" ht="15" customHeight="1">
      <c r="A79" t="inlineStr">
        <is>
          <t>A 11485-2022</t>
        </is>
      </c>
      <c r="B79" s="1" t="n">
        <v>44630</v>
      </c>
      <c r="C79" s="1" t="n">
        <v>45718</v>
      </c>
      <c r="D79" t="inlineStr">
        <is>
          <t>JÄMTLANDS LÄN</t>
        </is>
      </c>
      <c r="E79" t="inlineStr">
        <is>
          <t>STRÖMSUND</t>
        </is>
      </c>
      <c r="F79" t="inlineStr">
        <is>
          <t>SCA</t>
        </is>
      </c>
      <c r="G79" t="n">
        <v>9.4</v>
      </c>
      <c r="H79" t="n">
        <v>0</v>
      </c>
      <c r="I79" t="n">
        <v>5</v>
      </c>
      <c r="J79" t="n">
        <v>4</v>
      </c>
      <c r="K79" t="n">
        <v>0</v>
      </c>
      <c r="L79" t="n">
        <v>0</v>
      </c>
      <c r="M79" t="n">
        <v>0</v>
      </c>
      <c r="N79" t="n">
        <v>0</v>
      </c>
      <c r="O79" t="n">
        <v>4</v>
      </c>
      <c r="P79" t="n">
        <v>0</v>
      </c>
      <c r="Q79" t="n">
        <v>9</v>
      </c>
      <c r="R79" s="2" t="inlineStr">
        <is>
          <t>Garnlav
Granticka
Lunglav
Ullticka
Bårdlav
Källmossa
Källmossor
Stuplav
Vedticka</t>
        </is>
      </c>
      <c r="S79">
        <f>HYPERLINK("https://klasma.github.io/Logging_2313/artfynd/A 11485-2022 artfynd.xlsx", "A 11485-2022")</f>
        <v/>
      </c>
      <c r="T79">
        <f>HYPERLINK("https://klasma.github.io/Logging_2313/kartor/A 11485-2022 karta.png", "A 11485-2022")</f>
        <v/>
      </c>
      <c r="V79">
        <f>HYPERLINK("https://klasma.github.io/Logging_2313/klagomål/A 11485-2022 FSC-klagomål.docx", "A 11485-2022")</f>
        <v/>
      </c>
      <c r="W79">
        <f>HYPERLINK("https://klasma.github.io/Logging_2313/klagomålsmail/A 11485-2022 FSC-klagomål mail.docx", "A 11485-2022")</f>
        <v/>
      </c>
      <c r="X79">
        <f>HYPERLINK("https://klasma.github.io/Logging_2313/tillsyn/A 11485-2022 tillsynsbegäran.docx", "A 11485-2022")</f>
        <v/>
      </c>
      <c r="Y79">
        <f>HYPERLINK("https://klasma.github.io/Logging_2313/tillsynsmail/A 11485-2022 tillsynsbegäran mail.docx", "A 11485-2022")</f>
        <v/>
      </c>
    </row>
    <row r="80" ht="15" customHeight="1">
      <c r="A80" t="inlineStr">
        <is>
          <t>A 11604-2022</t>
        </is>
      </c>
      <c r="B80" s="1" t="n">
        <v>44631</v>
      </c>
      <c r="C80" s="1" t="n">
        <v>45718</v>
      </c>
      <c r="D80" t="inlineStr">
        <is>
          <t>JÄMTLANDS LÄN</t>
        </is>
      </c>
      <c r="E80" t="inlineStr">
        <is>
          <t>STRÖMSUND</t>
        </is>
      </c>
      <c r="G80" t="n">
        <v>6.9</v>
      </c>
      <c r="H80" t="n">
        <v>1</v>
      </c>
      <c r="I80" t="n">
        <v>2</v>
      </c>
      <c r="J80" t="n">
        <v>6</v>
      </c>
      <c r="K80" t="n">
        <v>1</v>
      </c>
      <c r="L80" t="n">
        <v>0</v>
      </c>
      <c r="M80" t="n">
        <v>0</v>
      </c>
      <c r="N80" t="n">
        <v>0</v>
      </c>
      <c r="O80" t="n">
        <v>7</v>
      </c>
      <c r="P80" t="n">
        <v>1</v>
      </c>
      <c r="Q80" t="n">
        <v>9</v>
      </c>
      <c r="R80" s="2" t="inlineStr">
        <is>
          <t>Smalskaftslav
Granticka
Lunglav
Tretåig hackspett
Vedtrappmossa
Vitgrynig nållav
Äggvaxskivling
Korallblylav
Svavelriska</t>
        </is>
      </c>
      <c r="S80">
        <f>HYPERLINK("https://klasma.github.io/Logging_2313/artfynd/A 11604-2022 artfynd.xlsx", "A 11604-2022")</f>
        <v/>
      </c>
      <c r="T80">
        <f>HYPERLINK("https://klasma.github.io/Logging_2313/kartor/A 11604-2022 karta.png", "A 11604-2022")</f>
        <v/>
      </c>
      <c r="V80">
        <f>HYPERLINK("https://klasma.github.io/Logging_2313/klagomål/A 11604-2022 FSC-klagomål.docx", "A 11604-2022")</f>
        <v/>
      </c>
      <c r="W80">
        <f>HYPERLINK("https://klasma.github.io/Logging_2313/klagomålsmail/A 11604-2022 FSC-klagomål mail.docx", "A 11604-2022")</f>
        <v/>
      </c>
      <c r="X80">
        <f>HYPERLINK("https://klasma.github.io/Logging_2313/tillsyn/A 11604-2022 tillsynsbegäran.docx", "A 11604-2022")</f>
        <v/>
      </c>
      <c r="Y80">
        <f>HYPERLINK("https://klasma.github.io/Logging_2313/tillsynsmail/A 11604-2022 tillsynsbegäran mail.docx", "A 11604-2022")</f>
        <v/>
      </c>
      <c r="Z80">
        <f>HYPERLINK("https://klasma.github.io/Logging_2313/fåglar/A 11604-2022 prioriterade fågelarter.docx", "A 11604-2022")</f>
        <v/>
      </c>
    </row>
    <row r="81" ht="15" customHeight="1">
      <c r="A81" t="inlineStr">
        <is>
          <t>A 58174-2022</t>
        </is>
      </c>
      <c r="B81" s="1" t="n">
        <v>44900</v>
      </c>
      <c r="C81" s="1" t="n">
        <v>45718</v>
      </c>
      <c r="D81" t="inlineStr">
        <is>
          <t>JÄMTLANDS LÄN</t>
        </is>
      </c>
      <c r="E81" t="inlineStr">
        <is>
          <t>STRÖMSUND</t>
        </is>
      </c>
      <c r="G81" t="n">
        <v>0.3</v>
      </c>
      <c r="H81" t="n">
        <v>8</v>
      </c>
      <c r="I81" t="n">
        <v>0</v>
      </c>
      <c r="J81" t="n">
        <v>9</v>
      </c>
      <c r="K81" t="n">
        <v>0</v>
      </c>
      <c r="L81" t="n">
        <v>0</v>
      </c>
      <c r="M81" t="n">
        <v>0</v>
      </c>
      <c r="N81" t="n">
        <v>0</v>
      </c>
      <c r="O81" t="n">
        <v>9</v>
      </c>
      <c r="P81" t="n">
        <v>0</v>
      </c>
      <c r="Q81" t="n">
        <v>9</v>
      </c>
      <c r="R81" s="2" t="inlineStr">
        <is>
          <t>Björktrast
Drillsnäppa
Fiskmås
Järpe
Rödvingetrast
Skogshare
Svartvit flugsnappare
Talltita
Tretåig hackspett</t>
        </is>
      </c>
      <c r="S81">
        <f>HYPERLINK("https://klasma.github.io/Logging_2313/artfynd/A 58174-2022 artfynd.xlsx", "A 58174-2022")</f>
        <v/>
      </c>
      <c r="T81">
        <f>HYPERLINK("https://klasma.github.io/Logging_2313/kartor/A 58174-2022 karta.png", "A 58174-2022")</f>
        <v/>
      </c>
      <c r="V81">
        <f>HYPERLINK("https://klasma.github.io/Logging_2313/klagomål/A 58174-2022 FSC-klagomål.docx", "A 58174-2022")</f>
        <v/>
      </c>
      <c r="W81">
        <f>HYPERLINK("https://klasma.github.io/Logging_2313/klagomålsmail/A 58174-2022 FSC-klagomål mail.docx", "A 58174-2022")</f>
        <v/>
      </c>
      <c r="X81">
        <f>HYPERLINK("https://klasma.github.io/Logging_2313/tillsyn/A 58174-2022 tillsynsbegäran.docx", "A 58174-2022")</f>
        <v/>
      </c>
      <c r="Y81">
        <f>HYPERLINK("https://klasma.github.io/Logging_2313/tillsynsmail/A 58174-2022 tillsynsbegäran mail.docx", "A 58174-2022")</f>
        <v/>
      </c>
      <c r="Z81">
        <f>HYPERLINK("https://klasma.github.io/Logging_2313/fåglar/A 58174-2022 prioriterade fågelarter.docx", "A 58174-2022")</f>
        <v/>
      </c>
    </row>
    <row r="82" ht="15" customHeight="1">
      <c r="A82" t="inlineStr">
        <is>
          <t>A 18948-2023</t>
        </is>
      </c>
      <c r="B82" s="1" t="n">
        <v>45043</v>
      </c>
      <c r="C82" s="1" t="n">
        <v>45718</v>
      </c>
      <c r="D82" t="inlineStr">
        <is>
          <t>JÄMTLANDS LÄN</t>
        </is>
      </c>
      <c r="E82" t="inlineStr">
        <is>
          <t>STRÖMSUND</t>
        </is>
      </c>
      <c r="G82" t="n">
        <v>27.6</v>
      </c>
      <c r="H82" t="n">
        <v>2</v>
      </c>
      <c r="I82" t="n">
        <v>2</v>
      </c>
      <c r="J82" t="n">
        <v>5</v>
      </c>
      <c r="K82" t="n">
        <v>1</v>
      </c>
      <c r="L82" t="n">
        <v>0</v>
      </c>
      <c r="M82" t="n">
        <v>0</v>
      </c>
      <c r="N82" t="n">
        <v>0</v>
      </c>
      <c r="O82" t="n">
        <v>6</v>
      </c>
      <c r="P82" t="n">
        <v>1</v>
      </c>
      <c r="Q82" t="n">
        <v>9</v>
      </c>
      <c r="R82" s="2" t="inlineStr">
        <is>
          <t>Gräddticka
Grantaggsvamp
Granticka
Harticka
Svartvit taggsvamp
Tretåig hackspett
Fjällig taggsvamp s.str.
Skarp dropptaggsvamp
Tjäder</t>
        </is>
      </c>
      <c r="S82">
        <f>HYPERLINK("https://klasma.github.io/Logging_2313/artfynd/A 18948-2023 artfynd.xlsx", "A 18948-2023")</f>
        <v/>
      </c>
      <c r="T82">
        <f>HYPERLINK("https://klasma.github.io/Logging_2313/kartor/A 18948-2023 karta.png", "A 18948-2023")</f>
        <v/>
      </c>
      <c r="V82">
        <f>HYPERLINK("https://klasma.github.io/Logging_2313/klagomål/A 18948-2023 FSC-klagomål.docx", "A 18948-2023")</f>
        <v/>
      </c>
      <c r="W82">
        <f>HYPERLINK("https://klasma.github.io/Logging_2313/klagomålsmail/A 18948-2023 FSC-klagomål mail.docx", "A 18948-2023")</f>
        <v/>
      </c>
      <c r="X82">
        <f>HYPERLINK("https://klasma.github.io/Logging_2313/tillsyn/A 18948-2023 tillsynsbegäran.docx", "A 18948-2023")</f>
        <v/>
      </c>
      <c r="Y82">
        <f>HYPERLINK("https://klasma.github.io/Logging_2313/tillsynsmail/A 18948-2023 tillsynsbegäran mail.docx", "A 18948-2023")</f>
        <v/>
      </c>
      <c r="Z82">
        <f>HYPERLINK("https://klasma.github.io/Logging_2313/fåglar/A 18948-2023 prioriterade fågelarter.docx", "A 18948-2023")</f>
        <v/>
      </c>
    </row>
    <row r="83" ht="15" customHeight="1">
      <c r="A83" t="inlineStr">
        <is>
          <t>A 17513-2024</t>
        </is>
      </c>
      <c r="B83" s="1" t="n">
        <v>45415</v>
      </c>
      <c r="C83" s="1" t="n">
        <v>45718</v>
      </c>
      <c r="D83" t="inlineStr">
        <is>
          <t>JÄMTLANDS LÄN</t>
        </is>
      </c>
      <c r="E83" t="inlineStr">
        <is>
          <t>STRÖMSUND</t>
        </is>
      </c>
      <c r="F83" t="inlineStr">
        <is>
          <t>Holmen skog AB</t>
        </is>
      </c>
      <c r="G83" t="n">
        <v>3.4</v>
      </c>
      <c r="H83" t="n">
        <v>2</v>
      </c>
      <c r="I83" t="n">
        <v>3</v>
      </c>
      <c r="J83" t="n">
        <v>5</v>
      </c>
      <c r="K83" t="n">
        <v>1</v>
      </c>
      <c r="L83" t="n">
        <v>0</v>
      </c>
      <c r="M83" t="n">
        <v>0</v>
      </c>
      <c r="N83" t="n">
        <v>0</v>
      </c>
      <c r="O83" t="n">
        <v>6</v>
      </c>
      <c r="P83" t="n">
        <v>1</v>
      </c>
      <c r="Q83" t="n">
        <v>9</v>
      </c>
      <c r="R83" s="2" t="inlineStr">
        <is>
          <t>Knärot
Kolflarnlav
Orange taggsvamp
Skrovellav
Tretåig hackspett
Äggvaxskivling
Bårdlav
Dropptaggsvamp
Stuplav</t>
        </is>
      </c>
      <c r="S83">
        <f>HYPERLINK("https://klasma.github.io/Logging_2313/artfynd/A 17513-2024 artfynd.xlsx", "A 17513-2024")</f>
        <v/>
      </c>
      <c r="T83">
        <f>HYPERLINK("https://klasma.github.io/Logging_2313/kartor/A 17513-2024 karta.png", "A 17513-2024")</f>
        <v/>
      </c>
      <c r="U83">
        <f>HYPERLINK("https://klasma.github.io/Logging_2313/knärot/A 17513-2024 karta knärot.png", "A 17513-2024")</f>
        <v/>
      </c>
      <c r="V83">
        <f>HYPERLINK("https://klasma.github.io/Logging_2313/klagomål/A 17513-2024 FSC-klagomål.docx", "A 17513-2024")</f>
        <v/>
      </c>
      <c r="W83">
        <f>HYPERLINK("https://klasma.github.io/Logging_2313/klagomålsmail/A 17513-2024 FSC-klagomål mail.docx", "A 17513-2024")</f>
        <v/>
      </c>
      <c r="X83">
        <f>HYPERLINK("https://klasma.github.io/Logging_2313/tillsyn/A 17513-2024 tillsynsbegäran.docx", "A 17513-2024")</f>
        <v/>
      </c>
      <c r="Y83">
        <f>HYPERLINK("https://klasma.github.io/Logging_2313/tillsynsmail/A 17513-2024 tillsynsbegäran mail.docx", "A 17513-2024")</f>
        <v/>
      </c>
      <c r="Z83">
        <f>HYPERLINK("https://klasma.github.io/Logging_2313/fåglar/A 17513-2024 prioriterade fågelarter.docx", "A 17513-2024")</f>
        <v/>
      </c>
    </row>
    <row r="84" ht="15" customHeight="1">
      <c r="A84" t="inlineStr">
        <is>
          <t>A 33121-2024</t>
        </is>
      </c>
      <c r="B84" s="1" t="n">
        <v>45518</v>
      </c>
      <c r="C84" s="1" t="n">
        <v>45718</v>
      </c>
      <c r="D84" t="inlineStr">
        <is>
          <t>JÄMTLANDS LÄN</t>
        </is>
      </c>
      <c r="E84" t="inlineStr">
        <is>
          <t>STRÖMSUND</t>
        </is>
      </c>
      <c r="F84" t="inlineStr">
        <is>
          <t>SCA</t>
        </is>
      </c>
      <c r="G84" t="n">
        <v>2.6</v>
      </c>
      <c r="H84" t="n">
        <v>2</v>
      </c>
      <c r="I84" t="n">
        <v>1</v>
      </c>
      <c r="J84" t="n">
        <v>8</v>
      </c>
      <c r="K84" t="n">
        <v>0</v>
      </c>
      <c r="L84" t="n">
        <v>0</v>
      </c>
      <c r="M84" t="n">
        <v>0</v>
      </c>
      <c r="N84" t="n">
        <v>0</v>
      </c>
      <c r="O84" t="n">
        <v>8</v>
      </c>
      <c r="P84" t="n">
        <v>0</v>
      </c>
      <c r="Q84" t="n">
        <v>9</v>
      </c>
      <c r="R84" s="2" t="inlineStr">
        <is>
          <t>Gammelgransskål
Harticka
Lunglav
Orange taggsvamp
Svart taggsvamp
Talltita
Tretåig hackspett
Vitgrynig nållav
Dropptaggsvamp</t>
        </is>
      </c>
      <c r="S84">
        <f>HYPERLINK("https://klasma.github.io/Logging_2313/artfynd/A 33121-2024 artfynd.xlsx", "A 33121-2024")</f>
        <v/>
      </c>
      <c r="T84">
        <f>HYPERLINK("https://klasma.github.io/Logging_2313/kartor/A 33121-2024 karta.png", "A 33121-2024")</f>
        <v/>
      </c>
      <c r="V84">
        <f>HYPERLINK("https://klasma.github.io/Logging_2313/klagomål/A 33121-2024 FSC-klagomål.docx", "A 33121-2024")</f>
        <v/>
      </c>
      <c r="W84">
        <f>HYPERLINK("https://klasma.github.io/Logging_2313/klagomålsmail/A 33121-2024 FSC-klagomål mail.docx", "A 33121-2024")</f>
        <v/>
      </c>
      <c r="X84">
        <f>HYPERLINK("https://klasma.github.io/Logging_2313/tillsyn/A 33121-2024 tillsynsbegäran.docx", "A 33121-2024")</f>
        <v/>
      </c>
      <c r="Y84">
        <f>HYPERLINK("https://klasma.github.io/Logging_2313/tillsynsmail/A 33121-2024 tillsynsbegäran mail.docx", "A 33121-2024")</f>
        <v/>
      </c>
      <c r="Z84">
        <f>HYPERLINK("https://klasma.github.io/Logging_2313/fåglar/A 33121-2024 prioriterade fågelarter.docx", "A 33121-2024")</f>
        <v/>
      </c>
    </row>
    <row r="85" ht="15" customHeight="1">
      <c r="A85" t="inlineStr">
        <is>
          <t>A 1625-2025</t>
        </is>
      </c>
      <c r="B85" s="1" t="n">
        <v>45670</v>
      </c>
      <c r="C85" s="1" t="n">
        <v>45718</v>
      </c>
      <c r="D85" t="inlineStr">
        <is>
          <t>JÄMTLANDS LÄN</t>
        </is>
      </c>
      <c r="E85" t="inlineStr">
        <is>
          <t>STRÖMSUND</t>
        </is>
      </c>
      <c r="G85" t="n">
        <v>11.5</v>
      </c>
      <c r="H85" t="n">
        <v>4</v>
      </c>
      <c r="I85" t="n">
        <v>2</v>
      </c>
      <c r="J85" t="n">
        <v>7</v>
      </c>
      <c r="K85" t="n">
        <v>0</v>
      </c>
      <c r="L85" t="n">
        <v>0</v>
      </c>
      <c r="M85" t="n">
        <v>0</v>
      </c>
      <c r="N85" t="n">
        <v>0</v>
      </c>
      <c r="O85" t="n">
        <v>7</v>
      </c>
      <c r="P85" t="n">
        <v>0</v>
      </c>
      <c r="Q85" t="n">
        <v>9</v>
      </c>
      <c r="R85" s="2" t="inlineStr">
        <is>
          <t>Garnlav
Granticka
Lunglav
Skrovellav
Spillkråka
Talltita
Tretåig hackspett
Guckusko
Stuplav</t>
        </is>
      </c>
      <c r="S85">
        <f>HYPERLINK("https://klasma.github.io/Logging_2313/artfynd/A 1625-2025 artfynd.xlsx", "A 1625-2025")</f>
        <v/>
      </c>
      <c r="T85">
        <f>HYPERLINK("https://klasma.github.io/Logging_2313/kartor/A 1625-2025 karta.png", "A 1625-2025")</f>
        <v/>
      </c>
      <c r="V85">
        <f>HYPERLINK("https://klasma.github.io/Logging_2313/klagomål/A 1625-2025 FSC-klagomål.docx", "A 1625-2025")</f>
        <v/>
      </c>
      <c r="W85">
        <f>HYPERLINK("https://klasma.github.io/Logging_2313/klagomålsmail/A 1625-2025 FSC-klagomål mail.docx", "A 1625-2025")</f>
        <v/>
      </c>
      <c r="X85">
        <f>HYPERLINK("https://klasma.github.io/Logging_2313/tillsyn/A 1625-2025 tillsynsbegäran.docx", "A 1625-2025")</f>
        <v/>
      </c>
      <c r="Y85">
        <f>HYPERLINK("https://klasma.github.io/Logging_2313/tillsynsmail/A 1625-2025 tillsynsbegäran mail.docx", "A 1625-2025")</f>
        <v/>
      </c>
      <c r="Z85">
        <f>HYPERLINK("https://klasma.github.io/Logging_2313/fåglar/A 1625-2025 prioriterade fågelarter.docx", "A 1625-2025")</f>
        <v/>
      </c>
    </row>
    <row r="86" ht="15" customHeight="1">
      <c r="A86" t="inlineStr">
        <is>
          <t>A 35623-2019</t>
        </is>
      </c>
      <c r="B86" s="1" t="n">
        <v>43664</v>
      </c>
      <c r="C86" s="1" t="n">
        <v>45718</v>
      </c>
      <c r="D86" t="inlineStr">
        <is>
          <t>JÄMTLANDS LÄN</t>
        </is>
      </c>
      <c r="E86" t="inlineStr">
        <is>
          <t>STRÖMSUND</t>
        </is>
      </c>
      <c r="G86" t="n">
        <v>38.1</v>
      </c>
      <c r="H86" t="n">
        <v>2</v>
      </c>
      <c r="I86" t="n">
        <v>2</v>
      </c>
      <c r="J86" t="n">
        <v>5</v>
      </c>
      <c r="K86" t="n">
        <v>1</v>
      </c>
      <c r="L86" t="n">
        <v>0</v>
      </c>
      <c r="M86" t="n">
        <v>0</v>
      </c>
      <c r="N86" t="n">
        <v>0</v>
      </c>
      <c r="O86" t="n">
        <v>6</v>
      </c>
      <c r="P86" t="n">
        <v>1</v>
      </c>
      <c r="Q86" t="n">
        <v>8</v>
      </c>
      <c r="R86" s="2" t="inlineStr">
        <is>
          <t>Norna
Gammelgransskål
Garnlav
Granticka
Tretåig hackspett
Ullticka
Korallblylav
Stuplav</t>
        </is>
      </c>
      <c r="S86">
        <f>HYPERLINK("https://klasma.github.io/Logging_2313/artfynd/A 35623-2019 artfynd.xlsx", "A 35623-2019")</f>
        <v/>
      </c>
      <c r="T86">
        <f>HYPERLINK("https://klasma.github.io/Logging_2313/kartor/A 35623-2019 karta.png", "A 35623-2019")</f>
        <v/>
      </c>
      <c r="V86">
        <f>HYPERLINK("https://klasma.github.io/Logging_2313/klagomål/A 35623-2019 FSC-klagomål.docx", "A 35623-2019")</f>
        <v/>
      </c>
      <c r="W86">
        <f>HYPERLINK("https://klasma.github.io/Logging_2313/klagomålsmail/A 35623-2019 FSC-klagomål mail.docx", "A 35623-2019")</f>
        <v/>
      </c>
      <c r="X86">
        <f>HYPERLINK("https://klasma.github.io/Logging_2313/tillsyn/A 35623-2019 tillsynsbegäran.docx", "A 35623-2019")</f>
        <v/>
      </c>
      <c r="Y86">
        <f>HYPERLINK("https://klasma.github.io/Logging_2313/tillsynsmail/A 35623-2019 tillsynsbegäran mail.docx", "A 35623-2019")</f>
        <v/>
      </c>
      <c r="Z86">
        <f>HYPERLINK("https://klasma.github.io/Logging_2313/fåglar/A 35623-2019 prioriterade fågelarter.docx", "A 35623-2019")</f>
        <v/>
      </c>
    </row>
    <row r="87" ht="15" customHeight="1">
      <c r="A87" t="inlineStr">
        <is>
          <t>A 51678-2019</t>
        </is>
      </c>
      <c r="B87" s="1" t="n">
        <v>43740</v>
      </c>
      <c r="C87" s="1" t="n">
        <v>45718</v>
      </c>
      <c r="D87" t="inlineStr">
        <is>
          <t>JÄMTLANDS LÄN</t>
        </is>
      </c>
      <c r="E87" t="inlineStr">
        <is>
          <t>STRÖMSUND</t>
        </is>
      </c>
      <c r="F87" t="inlineStr">
        <is>
          <t>SCA</t>
        </is>
      </c>
      <c r="G87" t="n">
        <v>2.7</v>
      </c>
      <c r="H87" t="n">
        <v>3</v>
      </c>
      <c r="I87" t="n">
        <v>1</v>
      </c>
      <c r="J87" t="n">
        <v>4</v>
      </c>
      <c r="K87" t="n">
        <v>2</v>
      </c>
      <c r="L87" t="n">
        <v>0</v>
      </c>
      <c r="M87" t="n">
        <v>0</v>
      </c>
      <c r="N87" t="n">
        <v>0</v>
      </c>
      <c r="O87" t="n">
        <v>6</v>
      </c>
      <c r="P87" t="n">
        <v>2</v>
      </c>
      <c r="Q87" t="n">
        <v>8</v>
      </c>
      <c r="R87" s="2" t="inlineStr">
        <is>
          <t>Knärot
Ulltickeporing
Blå taggsvamp
Garnlav
Nordtagging
Tretåig hackspett
Vedticka
Tjäder</t>
        </is>
      </c>
      <c r="S87">
        <f>HYPERLINK("https://klasma.github.io/Logging_2313/artfynd/A 51678-2019 artfynd.xlsx", "A 51678-2019")</f>
        <v/>
      </c>
      <c r="T87">
        <f>HYPERLINK("https://klasma.github.io/Logging_2313/kartor/A 51678-2019 karta.png", "A 51678-2019")</f>
        <v/>
      </c>
      <c r="U87">
        <f>HYPERLINK("https://klasma.github.io/Logging_2313/knärot/A 51678-2019 karta knärot.png", "A 51678-2019")</f>
        <v/>
      </c>
      <c r="V87">
        <f>HYPERLINK("https://klasma.github.io/Logging_2313/klagomål/A 51678-2019 FSC-klagomål.docx", "A 51678-2019")</f>
        <v/>
      </c>
      <c r="W87">
        <f>HYPERLINK("https://klasma.github.io/Logging_2313/klagomålsmail/A 51678-2019 FSC-klagomål mail.docx", "A 51678-2019")</f>
        <v/>
      </c>
      <c r="X87">
        <f>HYPERLINK("https://klasma.github.io/Logging_2313/tillsyn/A 51678-2019 tillsynsbegäran.docx", "A 51678-2019")</f>
        <v/>
      </c>
      <c r="Y87">
        <f>HYPERLINK("https://klasma.github.io/Logging_2313/tillsynsmail/A 51678-2019 tillsynsbegäran mail.docx", "A 51678-2019")</f>
        <v/>
      </c>
      <c r="Z87">
        <f>HYPERLINK("https://klasma.github.io/Logging_2313/fåglar/A 51678-2019 prioriterade fågelarter.docx", "A 51678-2019")</f>
        <v/>
      </c>
    </row>
    <row r="88" ht="15" customHeight="1">
      <c r="A88" t="inlineStr">
        <is>
          <t>A 42236-2021</t>
        </is>
      </c>
      <c r="B88" s="1" t="n">
        <v>44426</v>
      </c>
      <c r="C88" s="1" t="n">
        <v>45718</v>
      </c>
      <c r="D88" t="inlineStr">
        <is>
          <t>JÄMTLANDS LÄN</t>
        </is>
      </c>
      <c r="E88" t="inlineStr">
        <is>
          <t>STRÖMSUND</t>
        </is>
      </c>
      <c r="F88" t="inlineStr">
        <is>
          <t>SCA</t>
        </is>
      </c>
      <c r="G88" t="n">
        <v>9.1</v>
      </c>
      <c r="H88" t="n">
        <v>0</v>
      </c>
      <c r="I88" t="n">
        <v>5</v>
      </c>
      <c r="J88" t="n">
        <v>3</v>
      </c>
      <c r="K88" t="n">
        <v>0</v>
      </c>
      <c r="L88" t="n">
        <v>0</v>
      </c>
      <c r="M88" t="n">
        <v>0</v>
      </c>
      <c r="N88" t="n">
        <v>0</v>
      </c>
      <c r="O88" t="n">
        <v>3</v>
      </c>
      <c r="P88" t="n">
        <v>0</v>
      </c>
      <c r="Q88" t="n">
        <v>8</v>
      </c>
      <c r="R88" s="2" t="inlineStr">
        <is>
          <t>Granticka
Lunglav
Skrovellav
Bårdlav
Källmossa
Stor aspticka
Stuplav
Ögonpyrola</t>
        </is>
      </c>
      <c r="S88">
        <f>HYPERLINK("https://klasma.github.io/Logging_2313/artfynd/A 42236-2021 artfynd.xlsx", "A 42236-2021")</f>
        <v/>
      </c>
      <c r="T88">
        <f>HYPERLINK("https://klasma.github.io/Logging_2313/kartor/A 42236-2021 karta.png", "A 42236-2021")</f>
        <v/>
      </c>
      <c r="V88">
        <f>HYPERLINK("https://klasma.github.io/Logging_2313/klagomål/A 42236-2021 FSC-klagomål.docx", "A 42236-2021")</f>
        <v/>
      </c>
      <c r="W88">
        <f>HYPERLINK("https://klasma.github.io/Logging_2313/klagomålsmail/A 42236-2021 FSC-klagomål mail.docx", "A 42236-2021")</f>
        <v/>
      </c>
      <c r="X88">
        <f>HYPERLINK("https://klasma.github.io/Logging_2313/tillsyn/A 42236-2021 tillsynsbegäran.docx", "A 42236-2021")</f>
        <v/>
      </c>
      <c r="Y88">
        <f>HYPERLINK("https://klasma.github.io/Logging_2313/tillsynsmail/A 42236-2021 tillsynsbegäran mail.docx", "A 42236-2021")</f>
        <v/>
      </c>
    </row>
    <row r="89" ht="15" customHeight="1">
      <c r="A89" t="inlineStr">
        <is>
          <t>A 34679-2022</t>
        </is>
      </c>
      <c r="B89" s="1" t="n">
        <v>44795</v>
      </c>
      <c r="C89" s="1" t="n">
        <v>45718</v>
      </c>
      <c r="D89" t="inlineStr">
        <is>
          <t>JÄMTLANDS LÄN</t>
        </is>
      </c>
      <c r="E89" t="inlineStr">
        <is>
          <t>STRÖMSUND</t>
        </is>
      </c>
      <c r="G89" t="n">
        <v>4.7</v>
      </c>
      <c r="H89" t="n">
        <v>2</v>
      </c>
      <c r="I89" t="n">
        <v>2</v>
      </c>
      <c r="J89" t="n">
        <v>4</v>
      </c>
      <c r="K89" t="n">
        <v>1</v>
      </c>
      <c r="L89" t="n">
        <v>0</v>
      </c>
      <c r="M89" t="n">
        <v>0</v>
      </c>
      <c r="N89" t="n">
        <v>0</v>
      </c>
      <c r="O89" t="n">
        <v>5</v>
      </c>
      <c r="P89" t="n">
        <v>1</v>
      </c>
      <c r="Q89" t="n">
        <v>8</v>
      </c>
      <c r="R89" s="2" t="inlineStr">
        <is>
          <t>Svartfjällig musseron
Gultoppig fingersvamp
Tretåig hackspett
Vedflikmossa
Vitgrynig nållav
Fjällig taggsvamp s.str.
Svavelriska
Skogsrör</t>
        </is>
      </c>
      <c r="S89">
        <f>HYPERLINK("https://klasma.github.io/Logging_2313/artfynd/A 34679-2022 artfynd.xlsx", "A 34679-2022")</f>
        <v/>
      </c>
      <c r="T89">
        <f>HYPERLINK("https://klasma.github.io/Logging_2313/kartor/A 34679-2022 karta.png", "A 34679-2022")</f>
        <v/>
      </c>
      <c r="V89">
        <f>HYPERLINK("https://klasma.github.io/Logging_2313/klagomål/A 34679-2022 FSC-klagomål.docx", "A 34679-2022")</f>
        <v/>
      </c>
      <c r="W89">
        <f>HYPERLINK("https://klasma.github.io/Logging_2313/klagomålsmail/A 34679-2022 FSC-klagomål mail.docx", "A 34679-2022")</f>
        <v/>
      </c>
      <c r="X89">
        <f>HYPERLINK("https://klasma.github.io/Logging_2313/tillsyn/A 34679-2022 tillsynsbegäran.docx", "A 34679-2022")</f>
        <v/>
      </c>
      <c r="Y89">
        <f>HYPERLINK("https://klasma.github.io/Logging_2313/tillsynsmail/A 34679-2022 tillsynsbegäran mail.docx", "A 34679-2022")</f>
        <v/>
      </c>
      <c r="Z89">
        <f>HYPERLINK("https://klasma.github.io/Logging_2313/fåglar/A 34679-2022 prioriterade fågelarter.docx", "A 34679-2022")</f>
        <v/>
      </c>
    </row>
    <row r="90" ht="15" customHeight="1">
      <c r="A90" t="inlineStr">
        <is>
          <t>A 36252-2022</t>
        </is>
      </c>
      <c r="B90" s="1" t="n">
        <v>44803</v>
      </c>
      <c r="C90" s="1" t="n">
        <v>45718</v>
      </c>
      <c r="D90" t="inlineStr">
        <is>
          <t>JÄMTLANDS LÄN</t>
        </is>
      </c>
      <c r="E90" t="inlineStr">
        <is>
          <t>STRÖMSUND</t>
        </is>
      </c>
      <c r="F90" t="inlineStr">
        <is>
          <t>Holmen skog AB</t>
        </is>
      </c>
      <c r="G90" t="n">
        <v>5.4</v>
      </c>
      <c r="H90" t="n">
        <v>3</v>
      </c>
      <c r="I90" t="n">
        <v>1</v>
      </c>
      <c r="J90" t="n">
        <v>6</v>
      </c>
      <c r="K90" t="n">
        <v>1</v>
      </c>
      <c r="L90" t="n">
        <v>0</v>
      </c>
      <c r="M90" t="n">
        <v>0</v>
      </c>
      <c r="N90" t="n">
        <v>0</v>
      </c>
      <c r="O90" t="n">
        <v>7</v>
      </c>
      <c r="P90" t="n">
        <v>1</v>
      </c>
      <c r="Q90" t="n">
        <v>8</v>
      </c>
      <c r="R90" s="2" t="inlineStr">
        <is>
          <t>Knärot
Gammelgransskål
Garnlav
Kolflarnlav
Talltita
Tretåig hackspett
Ullticka
Svavelriska</t>
        </is>
      </c>
      <c r="S90">
        <f>HYPERLINK("https://klasma.github.io/Logging_2313/artfynd/A 36252-2022 artfynd.xlsx", "A 36252-2022")</f>
        <v/>
      </c>
      <c r="T90">
        <f>HYPERLINK("https://klasma.github.io/Logging_2313/kartor/A 36252-2022 karta.png", "A 36252-2022")</f>
        <v/>
      </c>
      <c r="U90">
        <f>HYPERLINK("https://klasma.github.io/Logging_2313/knärot/A 36252-2022 karta knärot.png", "A 36252-2022")</f>
        <v/>
      </c>
      <c r="V90">
        <f>HYPERLINK("https://klasma.github.io/Logging_2313/klagomål/A 36252-2022 FSC-klagomål.docx", "A 36252-2022")</f>
        <v/>
      </c>
      <c r="W90">
        <f>HYPERLINK("https://klasma.github.io/Logging_2313/klagomålsmail/A 36252-2022 FSC-klagomål mail.docx", "A 36252-2022")</f>
        <v/>
      </c>
      <c r="X90">
        <f>HYPERLINK("https://klasma.github.io/Logging_2313/tillsyn/A 36252-2022 tillsynsbegäran.docx", "A 36252-2022")</f>
        <v/>
      </c>
      <c r="Y90">
        <f>HYPERLINK("https://klasma.github.io/Logging_2313/tillsynsmail/A 36252-2022 tillsynsbegäran mail.docx", "A 36252-2022")</f>
        <v/>
      </c>
      <c r="Z90">
        <f>HYPERLINK("https://klasma.github.io/Logging_2313/fåglar/A 36252-2022 prioriterade fågelarter.docx", "A 36252-2022")</f>
        <v/>
      </c>
    </row>
    <row r="91" ht="15" customHeight="1">
      <c r="A91" t="inlineStr">
        <is>
          <t>A 56883-2022</t>
        </is>
      </c>
      <c r="B91" s="1" t="n">
        <v>44894</v>
      </c>
      <c r="C91" s="1" t="n">
        <v>45718</v>
      </c>
      <c r="D91" t="inlineStr">
        <is>
          <t>JÄMTLANDS LÄN</t>
        </is>
      </c>
      <c r="E91" t="inlineStr">
        <is>
          <t>STRÖMSUND</t>
        </is>
      </c>
      <c r="F91" t="inlineStr">
        <is>
          <t>Holmen skog AB</t>
        </is>
      </c>
      <c r="G91" t="n">
        <v>3.1</v>
      </c>
      <c r="H91" t="n">
        <v>2</v>
      </c>
      <c r="I91" t="n">
        <v>0</v>
      </c>
      <c r="J91" t="n">
        <v>6</v>
      </c>
      <c r="K91" t="n">
        <v>2</v>
      </c>
      <c r="L91" t="n">
        <v>0</v>
      </c>
      <c r="M91" t="n">
        <v>0</v>
      </c>
      <c r="N91" t="n">
        <v>0</v>
      </c>
      <c r="O91" t="n">
        <v>8</v>
      </c>
      <c r="P91" t="n">
        <v>2</v>
      </c>
      <c r="Q91" t="n">
        <v>8</v>
      </c>
      <c r="R91" s="2" t="inlineStr">
        <is>
          <t>Knärot
Sprickporing
Dvärgbägarlav
Garnlav
Harticka
Skrovellav
Tretåig hackspett
Vedskivlav</t>
        </is>
      </c>
      <c r="S91">
        <f>HYPERLINK("https://klasma.github.io/Logging_2313/artfynd/A 56883-2022 artfynd.xlsx", "A 56883-2022")</f>
        <v/>
      </c>
      <c r="T91">
        <f>HYPERLINK("https://klasma.github.io/Logging_2313/kartor/A 56883-2022 karta.png", "A 56883-2022")</f>
        <v/>
      </c>
      <c r="U91">
        <f>HYPERLINK("https://klasma.github.io/Logging_2313/knärot/A 56883-2022 karta knärot.png", "A 56883-2022")</f>
        <v/>
      </c>
      <c r="V91">
        <f>HYPERLINK("https://klasma.github.io/Logging_2313/klagomål/A 56883-2022 FSC-klagomål.docx", "A 56883-2022")</f>
        <v/>
      </c>
      <c r="W91">
        <f>HYPERLINK("https://klasma.github.io/Logging_2313/klagomålsmail/A 56883-2022 FSC-klagomål mail.docx", "A 56883-2022")</f>
        <v/>
      </c>
      <c r="X91">
        <f>HYPERLINK("https://klasma.github.io/Logging_2313/tillsyn/A 56883-2022 tillsynsbegäran.docx", "A 56883-2022")</f>
        <v/>
      </c>
      <c r="Y91">
        <f>HYPERLINK("https://klasma.github.io/Logging_2313/tillsynsmail/A 56883-2022 tillsynsbegäran mail.docx", "A 56883-2022")</f>
        <v/>
      </c>
      <c r="Z91">
        <f>HYPERLINK("https://klasma.github.io/Logging_2313/fåglar/A 56883-2022 prioriterade fågelarter.docx", "A 56883-2022")</f>
        <v/>
      </c>
    </row>
    <row r="92" ht="15" customHeight="1">
      <c r="A92" t="inlineStr">
        <is>
          <t>A 14256-2023</t>
        </is>
      </c>
      <c r="B92" s="1" t="n">
        <v>45009</v>
      </c>
      <c r="C92" s="1" t="n">
        <v>45718</v>
      </c>
      <c r="D92" t="inlineStr">
        <is>
          <t>JÄMTLANDS LÄN</t>
        </is>
      </c>
      <c r="E92" t="inlineStr">
        <is>
          <t>STRÖMSUND</t>
        </is>
      </c>
      <c r="G92" t="n">
        <v>20.7</v>
      </c>
      <c r="H92" t="n">
        <v>1</v>
      </c>
      <c r="I92" t="n">
        <v>6</v>
      </c>
      <c r="J92" t="n">
        <v>2</v>
      </c>
      <c r="K92" t="n">
        <v>0</v>
      </c>
      <c r="L92" t="n">
        <v>0</v>
      </c>
      <c r="M92" t="n">
        <v>0</v>
      </c>
      <c r="N92" t="n">
        <v>0</v>
      </c>
      <c r="O92" t="n">
        <v>2</v>
      </c>
      <c r="P92" t="n">
        <v>0</v>
      </c>
      <c r="Q92" t="n">
        <v>8</v>
      </c>
      <c r="R92" s="2" t="inlineStr">
        <is>
          <t>Lunglav
Skrovellav
Finbräken
Kransrams
Stuplav
Svart trolldruva
Tvåblad
Vedticka</t>
        </is>
      </c>
      <c r="S92">
        <f>HYPERLINK("https://klasma.github.io/Logging_2313/artfynd/A 14256-2023 artfynd.xlsx", "A 14256-2023")</f>
        <v/>
      </c>
      <c r="T92">
        <f>HYPERLINK("https://klasma.github.io/Logging_2313/kartor/A 14256-2023 karta.png", "A 14256-2023")</f>
        <v/>
      </c>
      <c r="V92">
        <f>HYPERLINK("https://klasma.github.io/Logging_2313/klagomål/A 14256-2023 FSC-klagomål.docx", "A 14256-2023")</f>
        <v/>
      </c>
      <c r="W92">
        <f>HYPERLINK("https://klasma.github.io/Logging_2313/klagomålsmail/A 14256-2023 FSC-klagomål mail.docx", "A 14256-2023")</f>
        <v/>
      </c>
      <c r="X92">
        <f>HYPERLINK("https://klasma.github.io/Logging_2313/tillsyn/A 14256-2023 tillsynsbegäran.docx", "A 14256-2023")</f>
        <v/>
      </c>
      <c r="Y92">
        <f>HYPERLINK("https://klasma.github.io/Logging_2313/tillsynsmail/A 14256-2023 tillsynsbegäran mail.docx", "A 14256-2023")</f>
        <v/>
      </c>
    </row>
    <row r="93" ht="15" customHeight="1">
      <c r="A93" t="inlineStr">
        <is>
          <t>A 57076-2023</t>
        </is>
      </c>
      <c r="B93" s="1" t="n">
        <v>45245</v>
      </c>
      <c r="C93" s="1" t="n">
        <v>45718</v>
      </c>
      <c r="D93" t="inlineStr">
        <is>
          <t>JÄMTLANDS LÄN</t>
        </is>
      </c>
      <c r="E93" t="inlineStr">
        <is>
          <t>STRÖMSUND</t>
        </is>
      </c>
      <c r="F93" t="inlineStr">
        <is>
          <t>SCA</t>
        </is>
      </c>
      <c r="G93" t="n">
        <v>3.3</v>
      </c>
      <c r="H93" t="n">
        <v>2</v>
      </c>
      <c r="I93" t="n">
        <v>1</v>
      </c>
      <c r="J93" t="n">
        <v>6</v>
      </c>
      <c r="K93" t="n">
        <v>1</v>
      </c>
      <c r="L93" t="n">
        <v>0</v>
      </c>
      <c r="M93" t="n">
        <v>0</v>
      </c>
      <c r="N93" t="n">
        <v>0</v>
      </c>
      <c r="O93" t="n">
        <v>7</v>
      </c>
      <c r="P93" t="n">
        <v>1</v>
      </c>
      <c r="Q93" t="n">
        <v>8</v>
      </c>
      <c r="R93" s="2" t="inlineStr">
        <is>
          <t>Knärot
Garnlav
Granticka
Lunglav
Skrovellav
Tretåig hackspett
Ullticka
Stuplav</t>
        </is>
      </c>
      <c r="S93">
        <f>HYPERLINK("https://klasma.github.io/Logging_2313/artfynd/A 57076-2023 artfynd.xlsx", "A 57076-2023")</f>
        <v/>
      </c>
      <c r="T93">
        <f>HYPERLINK("https://klasma.github.io/Logging_2313/kartor/A 57076-2023 karta.png", "A 57076-2023")</f>
        <v/>
      </c>
      <c r="U93">
        <f>HYPERLINK("https://klasma.github.io/Logging_2313/knärot/A 57076-2023 karta knärot.png", "A 57076-2023")</f>
        <v/>
      </c>
      <c r="V93">
        <f>HYPERLINK("https://klasma.github.io/Logging_2313/klagomål/A 57076-2023 FSC-klagomål.docx", "A 57076-2023")</f>
        <v/>
      </c>
      <c r="W93">
        <f>HYPERLINK("https://klasma.github.io/Logging_2313/klagomålsmail/A 57076-2023 FSC-klagomål mail.docx", "A 57076-2023")</f>
        <v/>
      </c>
      <c r="X93">
        <f>HYPERLINK("https://klasma.github.io/Logging_2313/tillsyn/A 57076-2023 tillsynsbegäran.docx", "A 57076-2023")</f>
        <v/>
      </c>
      <c r="Y93">
        <f>HYPERLINK("https://klasma.github.io/Logging_2313/tillsynsmail/A 57076-2023 tillsynsbegäran mail.docx", "A 57076-2023")</f>
        <v/>
      </c>
      <c r="Z93">
        <f>HYPERLINK("https://klasma.github.io/Logging_2313/fåglar/A 57076-2023 prioriterade fågelarter.docx", "A 57076-2023")</f>
        <v/>
      </c>
    </row>
    <row r="94" ht="15" customHeight="1">
      <c r="A94" t="inlineStr">
        <is>
          <t>A 18000-2024</t>
        </is>
      </c>
      <c r="B94" s="1" t="n">
        <v>45420</v>
      </c>
      <c r="C94" s="1" t="n">
        <v>45718</v>
      </c>
      <c r="D94" t="inlineStr">
        <is>
          <t>JÄMTLANDS LÄN</t>
        </is>
      </c>
      <c r="E94" t="inlineStr">
        <is>
          <t>STRÖMSUND</t>
        </is>
      </c>
      <c r="F94" t="inlineStr">
        <is>
          <t>SCA</t>
        </is>
      </c>
      <c r="G94" t="n">
        <v>2.7</v>
      </c>
      <c r="H94" t="n">
        <v>3</v>
      </c>
      <c r="I94" t="n">
        <v>1</v>
      </c>
      <c r="J94" t="n">
        <v>4</v>
      </c>
      <c r="K94" t="n">
        <v>2</v>
      </c>
      <c r="L94" t="n">
        <v>0</v>
      </c>
      <c r="M94" t="n">
        <v>0</v>
      </c>
      <c r="N94" t="n">
        <v>0</v>
      </c>
      <c r="O94" t="n">
        <v>6</v>
      </c>
      <c r="P94" t="n">
        <v>2</v>
      </c>
      <c r="Q94" t="n">
        <v>8</v>
      </c>
      <c r="R94" s="2" t="inlineStr">
        <is>
          <t>Knärot
Ulltickeporing
Blå taggsvamp
Garnlav
Nordtagging
Tretåig hackspett
Vedticka
Tjäder</t>
        </is>
      </c>
      <c r="S94">
        <f>HYPERLINK("https://klasma.github.io/Logging_2313/artfynd/A 18000-2024 artfynd.xlsx", "A 18000-2024")</f>
        <v/>
      </c>
      <c r="T94">
        <f>HYPERLINK("https://klasma.github.io/Logging_2313/kartor/A 18000-2024 karta.png", "A 18000-2024")</f>
        <v/>
      </c>
      <c r="U94">
        <f>HYPERLINK("https://klasma.github.io/Logging_2313/knärot/A 18000-2024 karta knärot.png", "A 18000-2024")</f>
        <v/>
      </c>
      <c r="V94">
        <f>HYPERLINK("https://klasma.github.io/Logging_2313/klagomål/A 18000-2024 FSC-klagomål.docx", "A 18000-2024")</f>
        <v/>
      </c>
      <c r="W94">
        <f>HYPERLINK("https://klasma.github.io/Logging_2313/klagomålsmail/A 18000-2024 FSC-klagomål mail.docx", "A 18000-2024")</f>
        <v/>
      </c>
      <c r="X94">
        <f>HYPERLINK("https://klasma.github.io/Logging_2313/tillsyn/A 18000-2024 tillsynsbegäran.docx", "A 18000-2024")</f>
        <v/>
      </c>
      <c r="Y94">
        <f>HYPERLINK("https://klasma.github.io/Logging_2313/tillsynsmail/A 18000-2024 tillsynsbegäran mail.docx", "A 18000-2024")</f>
        <v/>
      </c>
      <c r="Z94">
        <f>HYPERLINK("https://klasma.github.io/Logging_2313/fåglar/A 18000-2024 prioriterade fågelarter.docx", "A 18000-2024")</f>
        <v/>
      </c>
    </row>
    <row r="95" ht="15" customHeight="1">
      <c r="A95" t="inlineStr">
        <is>
          <t>A 37171-2024</t>
        </is>
      </c>
      <c r="B95" s="1" t="n">
        <v>45539</v>
      </c>
      <c r="C95" s="1" t="n">
        <v>45718</v>
      </c>
      <c r="D95" t="inlineStr">
        <is>
          <t>JÄMTLANDS LÄN</t>
        </is>
      </c>
      <c r="E95" t="inlineStr">
        <is>
          <t>STRÖMSUND</t>
        </is>
      </c>
      <c r="F95" t="inlineStr">
        <is>
          <t>SCA</t>
        </is>
      </c>
      <c r="G95" t="n">
        <v>4</v>
      </c>
      <c r="H95" t="n">
        <v>3</v>
      </c>
      <c r="I95" t="n">
        <v>1</v>
      </c>
      <c r="J95" t="n">
        <v>6</v>
      </c>
      <c r="K95" t="n">
        <v>1</v>
      </c>
      <c r="L95" t="n">
        <v>0</v>
      </c>
      <c r="M95" t="n">
        <v>0</v>
      </c>
      <c r="N95" t="n">
        <v>0</v>
      </c>
      <c r="O95" t="n">
        <v>7</v>
      </c>
      <c r="P95" t="n">
        <v>1</v>
      </c>
      <c r="Q95" t="n">
        <v>8</v>
      </c>
      <c r="R95" s="2" t="inlineStr">
        <is>
          <t>Knärot
Garnlav
Kolflarnlav
Lunglav
Talltita
Tretåig hackspett
Ullticka
Granbarkgnagare</t>
        </is>
      </c>
      <c r="S95">
        <f>HYPERLINK("https://klasma.github.io/Logging_2313/artfynd/A 37171-2024 artfynd.xlsx", "A 37171-2024")</f>
        <v/>
      </c>
      <c r="T95">
        <f>HYPERLINK("https://klasma.github.io/Logging_2313/kartor/A 37171-2024 karta.png", "A 37171-2024")</f>
        <v/>
      </c>
      <c r="U95">
        <f>HYPERLINK("https://klasma.github.io/Logging_2313/knärot/A 37171-2024 karta knärot.png", "A 37171-2024")</f>
        <v/>
      </c>
      <c r="V95">
        <f>HYPERLINK("https://klasma.github.io/Logging_2313/klagomål/A 37171-2024 FSC-klagomål.docx", "A 37171-2024")</f>
        <v/>
      </c>
      <c r="W95">
        <f>HYPERLINK("https://klasma.github.io/Logging_2313/klagomålsmail/A 37171-2024 FSC-klagomål mail.docx", "A 37171-2024")</f>
        <v/>
      </c>
      <c r="X95">
        <f>HYPERLINK("https://klasma.github.io/Logging_2313/tillsyn/A 37171-2024 tillsynsbegäran.docx", "A 37171-2024")</f>
        <v/>
      </c>
      <c r="Y95">
        <f>HYPERLINK("https://klasma.github.io/Logging_2313/tillsynsmail/A 37171-2024 tillsynsbegäran mail.docx", "A 37171-2024")</f>
        <v/>
      </c>
      <c r="Z95">
        <f>HYPERLINK("https://klasma.github.io/Logging_2313/fåglar/A 37171-2024 prioriterade fågelarter.docx", "A 37171-2024")</f>
        <v/>
      </c>
    </row>
    <row r="96" ht="15" customHeight="1">
      <c r="A96" t="inlineStr">
        <is>
          <t>A 52563-2024</t>
        </is>
      </c>
      <c r="B96" s="1" t="n">
        <v>45609</v>
      </c>
      <c r="C96" s="1" t="n">
        <v>45718</v>
      </c>
      <c r="D96" t="inlineStr">
        <is>
          <t>JÄMTLANDS LÄN</t>
        </is>
      </c>
      <c r="E96" t="inlineStr">
        <is>
          <t>STRÖMSUND</t>
        </is>
      </c>
      <c r="F96" t="inlineStr">
        <is>
          <t>SCA</t>
        </is>
      </c>
      <c r="G96" t="n">
        <v>11.9</v>
      </c>
      <c r="H96" t="n">
        <v>1</v>
      </c>
      <c r="I96" t="n">
        <v>2</v>
      </c>
      <c r="J96" t="n">
        <v>6</v>
      </c>
      <c r="K96" t="n">
        <v>0</v>
      </c>
      <c r="L96" t="n">
        <v>0</v>
      </c>
      <c r="M96" t="n">
        <v>0</v>
      </c>
      <c r="N96" t="n">
        <v>0</v>
      </c>
      <c r="O96" t="n">
        <v>6</v>
      </c>
      <c r="P96" t="n">
        <v>0</v>
      </c>
      <c r="Q96" t="n">
        <v>8</v>
      </c>
      <c r="R96" s="2" t="inlineStr">
        <is>
          <t>Garnlav
Granticka
Lunglav
Skrovellav
Tretåig hackspett
Ullticka
Luddlav
Stuplav</t>
        </is>
      </c>
      <c r="S96">
        <f>HYPERLINK("https://klasma.github.io/Logging_2313/artfynd/A 52563-2024 artfynd.xlsx", "A 52563-2024")</f>
        <v/>
      </c>
      <c r="T96">
        <f>HYPERLINK("https://klasma.github.io/Logging_2313/kartor/A 52563-2024 karta.png", "A 52563-2024")</f>
        <v/>
      </c>
      <c r="V96">
        <f>HYPERLINK("https://klasma.github.io/Logging_2313/klagomål/A 52563-2024 FSC-klagomål.docx", "A 52563-2024")</f>
        <v/>
      </c>
      <c r="W96">
        <f>HYPERLINK("https://klasma.github.io/Logging_2313/klagomålsmail/A 52563-2024 FSC-klagomål mail.docx", "A 52563-2024")</f>
        <v/>
      </c>
      <c r="X96">
        <f>HYPERLINK("https://klasma.github.io/Logging_2313/tillsyn/A 52563-2024 tillsynsbegäran.docx", "A 52563-2024")</f>
        <v/>
      </c>
      <c r="Y96">
        <f>HYPERLINK("https://klasma.github.io/Logging_2313/tillsynsmail/A 52563-2024 tillsynsbegäran mail.docx", "A 52563-2024")</f>
        <v/>
      </c>
      <c r="Z96">
        <f>HYPERLINK("https://klasma.github.io/Logging_2313/fåglar/A 52563-2024 prioriterade fågelarter.docx", "A 52563-2024")</f>
        <v/>
      </c>
    </row>
    <row r="97" ht="15" customHeight="1">
      <c r="A97" t="inlineStr">
        <is>
          <t>A 58337-2024</t>
        </is>
      </c>
      <c r="B97" s="1" t="n">
        <v>45632</v>
      </c>
      <c r="C97" s="1" t="n">
        <v>45718</v>
      </c>
      <c r="D97" t="inlineStr">
        <is>
          <t>JÄMTLANDS LÄN</t>
        </is>
      </c>
      <c r="E97" t="inlineStr">
        <is>
          <t>STRÖMSUND</t>
        </is>
      </c>
      <c r="F97" t="inlineStr">
        <is>
          <t>SCA</t>
        </is>
      </c>
      <c r="G97" t="n">
        <v>3.2</v>
      </c>
      <c r="H97" t="n">
        <v>4</v>
      </c>
      <c r="I97" t="n">
        <v>0</v>
      </c>
      <c r="J97" t="n">
        <v>8</v>
      </c>
      <c r="K97" t="n">
        <v>0</v>
      </c>
      <c r="L97" t="n">
        <v>0</v>
      </c>
      <c r="M97" t="n">
        <v>0</v>
      </c>
      <c r="N97" t="n">
        <v>0</v>
      </c>
      <c r="O97" t="n">
        <v>8</v>
      </c>
      <c r="P97" t="n">
        <v>0</v>
      </c>
      <c r="Q97" t="n">
        <v>8</v>
      </c>
      <c r="R97" s="2" t="inlineStr">
        <is>
          <t>Garnlav
Granticka
Harticka
Järpe
Lunglav
Spillkråka
Talltita
Tretåig hackspett</t>
        </is>
      </c>
      <c r="S97">
        <f>HYPERLINK("https://klasma.github.io/Logging_2313/artfynd/A 58337-2024 artfynd.xlsx", "A 58337-2024")</f>
        <v/>
      </c>
      <c r="T97">
        <f>HYPERLINK("https://klasma.github.io/Logging_2313/kartor/A 58337-2024 karta.png", "A 58337-2024")</f>
        <v/>
      </c>
      <c r="V97">
        <f>HYPERLINK("https://klasma.github.io/Logging_2313/klagomål/A 58337-2024 FSC-klagomål.docx", "A 58337-2024")</f>
        <v/>
      </c>
      <c r="W97">
        <f>HYPERLINK("https://klasma.github.io/Logging_2313/klagomålsmail/A 58337-2024 FSC-klagomål mail.docx", "A 58337-2024")</f>
        <v/>
      </c>
      <c r="X97">
        <f>HYPERLINK("https://klasma.github.io/Logging_2313/tillsyn/A 58337-2024 tillsynsbegäran.docx", "A 58337-2024")</f>
        <v/>
      </c>
      <c r="Y97">
        <f>HYPERLINK("https://klasma.github.io/Logging_2313/tillsynsmail/A 58337-2024 tillsynsbegäran mail.docx", "A 58337-2024")</f>
        <v/>
      </c>
      <c r="Z97">
        <f>HYPERLINK("https://klasma.github.io/Logging_2313/fåglar/A 58337-2024 prioriterade fågelarter.docx", "A 58337-2024")</f>
        <v/>
      </c>
    </row>
    <row r="98" ht="15" customHeight="1">
      <c r="A98" t="inlineStr">
        <is>
          <t>A 6870-2020</t>
        </is>
      </c>
      <c r="B98" s="1" t="n">
        <v>43867</v>
      </c>
      <c r="C98" s="1" t="n">
        <v>45718</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45718</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45718</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45718</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45718</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45718</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45718</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45718</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45718</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45718</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45718</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45718</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45718</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45718</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45718</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45718</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45718</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45718</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45718</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45718</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45718</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45718</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45718</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45718</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45718</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45718</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45718</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45718</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45718</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45718</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45718</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45718</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45718</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45718</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45718</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45718</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45718</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45718</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45718</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45718</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45718</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45718</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45718</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45718</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45718</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45718</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45718</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45718</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45718</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45718</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45718</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45718</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45718</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45718</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45718</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45718</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45718</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45718</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45718</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45718</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45718</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45718</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45718</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45718</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45718</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45718</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45718</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45718</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45718</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45718</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45718</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45718</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45718</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45718</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45718</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45718</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45718</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45718</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45718</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45718</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45718</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45718</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45718</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45718</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45718</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45718</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45718</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45718</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45718</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45718</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45718</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45718</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45718</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45718</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45718</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45718</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45718</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45718</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45718</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45718</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45718</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45718</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45718</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45718</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45718</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45718</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45718</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45718</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45718</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45718</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45718</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45718</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45718</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45718</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45718</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45718</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45718</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45718</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45718</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45718</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45718</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45718</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45718</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45718</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45718</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45718</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45718</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45718</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45718</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45718</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45718</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45718</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45718</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45718</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45718</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45718</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45718</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45718</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45718</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45718</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45718</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45718</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45718</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45718</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45718</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45718</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45718</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45718</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45718</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45718</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45718</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45718</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45718</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45718</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45718</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45718</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45718</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45718</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45718</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45718</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45718</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45718</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45718</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45718</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45718</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45718</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45718</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45718</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45718</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45718</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45718</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45718</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45718</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45718</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45718</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45718</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45718</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45718</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45718</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45718</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45718</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45718</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45718</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45718</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45718</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45718</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45718</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45718</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45718</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45718</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45718</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45718</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45718</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45718</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45718</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45718</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45718</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45718</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45718</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45718</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45718</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45718</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45718</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45718</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45718</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45718</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45718</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45718</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45718</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45718</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45718</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45718</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45718</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45718</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45718</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45718</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45718</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45718</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45718</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45718</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45718</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45718</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45718</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45718</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45718</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45718</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45718</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45718</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45718</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45718</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45718</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45718</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45718</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45718</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45718</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45718</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45718</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45718</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45718</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45718</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45718</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45718</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45718</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45718</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45718</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45718</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45718</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45718</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45718</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45718</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45718</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45718</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45718</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45718</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45718</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45718</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45718</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45718</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45718</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45718</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45718</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45718</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45718</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45718</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45718</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45718</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45718</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45718</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45718</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45718</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45718</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45718</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45718</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45718</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45718</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45718</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45718</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45718</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45718</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45718</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45718</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45718</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45718</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45718</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45718</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45718</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45718</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45718</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45718</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45718</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45718</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45718</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45718</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45718</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45718</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45718</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45718</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45718</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45718</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45718</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45718</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45718</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45718</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45718</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45718</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45718</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45718</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45718</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45718</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45718</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45718</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45718</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45718</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45718</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45718</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45718</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45718</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45718</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45718</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45718</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45718</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45718</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45718</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45718</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45718</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45718</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45718</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45718</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45718</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45718</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45718</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45718</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45718</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45718</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45718</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45718</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45718</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45718</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45718</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45718</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45718</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45718</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45718</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45718</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45718</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45718</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45718</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45718</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45718</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45718</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45718</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45718</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45718</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45718</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45718</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45718</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45718</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45718</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45718</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45718</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45718</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45718</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45718</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45718</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45718</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45718</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45718</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45718</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45718</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45718</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45718</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45718</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45718</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45718</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45718</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45718</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45718</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45718</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45718</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45718</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45718</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45718</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45718</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45718</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45718</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45718</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45718</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45718</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45718</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45718</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45718</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45718</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45718</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45718</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45718</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45718</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18058-2019</t>
        </is>
      </c>
      <c r="B494" s="1" t="n">
        <v>43557</v>
      </c>
      <c r="C494" s="1" t="n">
        <v>45718</v>
      </c>
      <c r="D494" t="inlineStr">
        <is>
          <t>JÄMTLANDS LÄN</t>
        </is>
      </c>
      <c r="E494" t="inlineStr">
        <is>
          <t>STRÖMSUND</t>
        </is>
      </c>
      <c r="G494" t="n">
        <v>0.7</v>
      </c>
      <c r="H494" t="n">
        <v>0</v>
      </c>
      <c r="I494" t="n">
        <v>0</v>
      </c>
      <c r="J494" t="n">
        <v>0</v>
      </c>
      <c r="K494" t="n">
        <v>0</v>
      </c>
      <c r="L494" t="n">
        <v>0</v>
      </c>
      <c r="M494" t="n">
        <v>0</v>
      </c>
      <c r="N494" t="n">
        <v>0</v>
      </c>
      <c r="O494" t="n">
        <v>0</v>
      </c>
      <c r="P494" t="n">
        <v>0</v>
      </c>
      <c r="Q494" t="n">
        <v>0</v>
      </c>
      <c r="R494" s="2" t="inlineStr"/>
    </row>
    <row r="495" ht="15" customHeight="1">
      <c r="A495" t="inlineStr">
        <is>
          <t>A 18057-2019</t>
        </is>
      </c>
      <c r="B495" s="1" t="n">
        <v>43557</v>
      </c>
      <c r="C495" s="1" t="n">
        <v>45718</v>
      </c>
      <c r="D495" t="inlineStr">
        <is>
          <t>JÄMTLANDS LÄN</t>
        </is>
      </c>
      <c r="E495" t="inlineStr">
        <is>
          <t>STRÖMSUND</t>
        </is>
      </c>
      <c r="G495" t="n">
        <v>1.3</v>
      </c>
      <c r="H495" t="n">
        <v>0</v>
      </c>
      <c r="I495" t="n">
        <v>0</v>
      </c>
      <c r="J495" t="n">
        <v>0</v>
      </c>
      <c r="K495" t="n">
        <v>0</v>
      </c>
      <c r="L495" t="n">
        <v>0</v>
      </c>
      <c r="M495" t="n">
        <v>0</v>
      </c>
      <c r="N495" t="n">
        <v>0</v>
      </c>
      <c r="O495" t="n">
        <v>0</v>
      </c>
      <c r="P495" t="n">
        <v>0</v>
      </c>
      <c r="Q495" t="n">
        <v>0</v>
      </c>
      <c r="R495" s="2" t="inlineStr"/>
    </row>
    <row r="496" ht="15" customHeight="1">
      <c r="A496" t="inlineStr">
        <is>
          <t>A 20569-2019</t>
        </is>
      </c>
      <c r="B496" s="1" t="n">
        <v>43572</v>
      </c>
      <c r="C496" s="1" t="n">
        <v>45718</v>
      </c>
      <c r="D496" t="inlineStr">
        <is>
          <t>JÄMTLANDS LÄN</t>
        </is>
      </c>
      <c r="E496" t="inlineStr">
        <is>
          <t>STRÖMSUND</t>
        </is>
      </c>
      <c r="G496" t="n">
        <v>1.2</v>
      </c>
      <c r="H496" t="n">
        <v>0</v>
      </c>
      <c r="I496" t="n">
        <v>0</v>
      </c>
      <c r="J496" t="n">
        <v>0</v>
      </c>
      <c r="K496" t="n">
        <v>0</v>
      </c>
      <c r="L496" t="n">
        <v>0</v>
      </c>
      <c r="M496" t="n">
        <v>0</v>
      </c>
      <c r="N496" t="n">
        <v>0</v>
      </c>
      <c r="O496" t="n">
        <v>0</v>
      </c>
      <c r="P496" t="n">
        <v>0</v>
      </c>
      <c r="Q496" t="n">
        <v>0</v>
      </c>
      <c r="R496" s="2" t="inlineStr"/>
    </row>
    <row r="497" ht="15" customHeight="1">
      <c r="A497" t="inlineStr">
        <is>
          <t>A 21702-2019</t>
        </is>
      </c>
      <c r="B497" s="1" t="n">
        <v>43581</v>
      </c>
      <c r="C497" s="1" t="n">
        <v>45718</v>
      </c>
      <c r="D497" t="inlineStr">
        <is>
          <t>JÄMTLANDS LÄN</t>
        </is>
      </c>
      <c r="E497" t="inlineStr">
        <is>
          <t>STRÖMSUND</t>
        </is>
      </c>
      <c r="G497" t="n">
        <v>1.6</v>
      </c>
      <c r="H497" t="n">
        <v>0</v>
      </c>
      <c r="I497" t="n">
        <v>0</v>
      </c>
      <c r="J497" t="n">
        <v>0</v>
      </c>
      <c r="K497" t="n">
        <v>0</v>
      </c>
      <c r="L497" t="n">
        <v>0</v>
      </c>
      <c r="M497" t="n">
        <v>0</v>
      </c>
      <c r="N497" t="n">
        <v>0</v>
      </c>
      <c r="O497" t="n">
        <v>0</v>
      </c>
      <c r="P497" t="n">
        <v>0</v>
      </c>
      <c r="Q497" t="n">
        <v>0</v>
      </c>
      <c r="R497" s="2" t="inlineStr"/>
    </row>
    <row r="498" ht="15" customHeight="1">
      <c r="A498" t="inlineStr">
        <is>
          <t>A 21676-2019</t>
        </is>
      </c>
      <c r="B498" s="1" t="n">
        <v>43581</v>
      </c>
      <c r="C498" s="1" t="n">
        <v>45718</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21696-2019</t>
        </is>
      </c>
      <c r="B499" s="1" t="n">
        <v>43581</v>
      </c>
      <c r="C499" s="1" t="n">
        <v>45718</v>
      </c>
      <c r="D499" t="inlineStr">
        <is>
          <t>JÄMTLANDS LÄN</t>
        </is>
      </c>
      <c r="E499" t="inlineStr">
        <is>
          <t>STRÖMSUND</t>
        </is>
      </c>
      <c r="G499" t="n">
        <v>1.5</v>
      </c>
      <c r="H499" t="n">
        <v>0</v>
      </c>
      <c r="I499" t="n">
        <v>0</v>
      </c>
      <c r="J499" t="n">
        <v>0</v>
      </c>
      <c r="K499" t="n">
        <v>0</v>
      </c>
      <c r="L499" t="n">
        <v>0</v>
      </c>
      <c r="M499" t="n">
        <v>0</v>
      </c>
      <c r="N499" t="n">
        <v>0</v>
      </c>
      <c r="O499" t="n">
        <v>0</v>
      </c>
      <c r="P499" t="n">
        <v>0</v>
      </c>
      <c r="Q499" t="n">
        <v>0</v>
      </c>
      <c r="R499" s="2" t="inlineStr"/>
    </row>
    <row r="500" ht="15" customHeight="1">
      <c r="A500" t="inlineStr">
        <is>
          <t>A 21763-2019</t>
        </is>
      </c>
      <c r="B500" s="1" t="n">
        <v>43581</v>
      </c>
      <c r="C500" s="1" t="n">
        <v>45718</v>
      </c>
      <c r="D500" t="inlineStr">
        <is>
          <t>JÄMTLANDS LÄN</t>
        </is>
      </c>
      <c r="E500" t="inlineStr">
        <is>
          <t>STRÖMSUND</t>
        </is>
      </c>
      <c r="G500" t="n">
        <v>12.7</v>
      </c>
      <c r="H500" t="n">
        <v>0</v>
      </c>
      <c r="I500" t="n">
        <v>0</v>
      </c>
      <c r="J500" t="n">
        <v>0</v>
      </c>
      <c r="K500" t="n">
        <v>0</v>
      </c>
      <c r="L500" t="n">
        <v>0</v>
      </c>
      <c r="M500" t="n">
        <v>0</v>
      </c>
      <c r="N500" t="n">
        <v>0</v>
      </c>
      <c r="O500" t="n">
        <v>0</v>
      </c>
      <c r="P500" t="n">
        <v>0</v>
      </c>
      <c r="Q500" t="n">
        <v>0</v>
      </c>
      <c r="R500" s="2" t="inlineStr"/>
    </row>
    <row r="501" ht="15" customHeight="1">
      <c r="A501" t="inlineStr">
        <is>
          <t>A 22113-2019</t>
        </is>
      </c>
      <c r="B501" s="1" t="n">
        <v>43584</v>
      </c>
      <c r="C501" s="1" t="n">
        <v>45718</v>
      </c>
      <c r="D501" t="inlineStr">
        <is>
          <t>JÄMTLANDS LÄN</t>
        </is>
      </c>
      <c r="E501" t="inlineStr">
        <is>
          <t>STRÖMSUND</t>
        </is>
      </c>
      <c r="G501" t="n">
        <v>3.3</v>
      </c>
      <c r="H501" t="n">
        <v>0</v>
      </c>
      <c r="I501" t="n">
        <v>0</v>
      </c>
      <c r="J501" t="n">
        <v>0</v>
      </c>
      <c r="K501" t="n">
        <v>0</v>
      </c>
      <c r="L501" t="n">
        <v>0</v>
      </c>
      <c r="M501" t="n">
        <v>0</v>
      </c>
      <c r="N501" t="n">
        <v>0</v>
      </c>
      <c r="O501" t="n">
        <v>0</v>
      </c>
      <c r="P501" t="n">
        <v>0</v>
      </c>
      <c r="Q501" t="n">
        <v>0</v>
      </c>
      <c r="R501" s="2" t="inlineStr"/>
      <c r="U501">
        <f>HYPERLINK("https://klasma.github.io/Logging_2313/knärot/A 22113-2019 karta knärot.png", "A 22113-2019")</f>
        <v/>
      </c>
      <c r="V501">
        <f>HYPERLINK("https://klasma.github.io/Logging_2313/klagomål/A 22113-2019 FSC-klagomål.docx", "A 22113-2019")</f>
        <v/>
      </c>
      <c r="W501">
        <f>HYPERLINK("https://klasma.github.io/Logging_2313/klagomålsmail/A 22113-2019 FSC-klagomål mail.docx", "A 22113-2019")</f>
        <v/>
      </c>
      <c r="X501">
        <f>HYPERLINK("https://klasma.github.io/Logging_2313/tillsyn/A 22113-2019 tillsynsbegäran.docx", "A 22113-2019")</f>
        <v/>
      </c>
      <c r="Y501">
        <f>HYPERLINK("https://klasma.github.io/Logging_2313/tillsynsmail/A 22113-2019 tillsynsbegäran mail.docx", "A 22113-2019")</f>
        <v/>
      </c>
    </row>
    <row r="502" ht="15" customHeight="1">
      <c r="A502" t="inlineStr">
        <is>
          <t>A 22293-2019</t>
        </is>
      </c>
      <c r="B502" s="1" t="n">
        <v>43585</v>
      </c>
      <c r="C502" s="1" t="n">
        <v>45718</v>
      </c>
      <c r="D502" t="inlineStr">
        <is>
          <t>JÄMTLANDS LÄN</t>
        </is>
      </c>
      <c r="E502" t="inlineStr">
        <is>
          <t>STRÖMSUND</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22305-2019</t>
        </is>
      </c>
      <c r="B503" s="1" t="n">
        <v>43585</v>
      </c>
      <c r="C503" s="1" t="n">
        <v>45718</v>
      </c>
      <c r="D503" t="inlineStr">
        <is>
          <t>JÄMTLANDS LÄN</t>
        </is>
      </c>
      <c r="E503" t="inlineStr">
        <is>
          <t>STRÖMSUND</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22291-2019</t>
        </is>
      </c>
      <c r="B504" s="1" t="n">
        <v>43585</v>
      </c>
      <c r="C504" s="1" t="n">
        <v>45718</v>
      </c>
      <c r="D504" t="inlineStr">
        <is>
          <t>JÄMTLANDS LÄN</t>
        </is>
      </c>
      <c r="E504" t="inlineStr">
        <is>
          <t>STRÖMSUND</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22777-2019</t>
        </is>
      </c>
      <c r="B505" s="1" t="n">
        <v>43589</v>
      </c>
      <c r="C505" s="1" t="n">
        <v>45718</v>
      </c>
      <c r="D505" t="inlineStr">
        <is>
          <t>JÄMTLANDS LÄN</t>
        </is>
      </c>
      <c r="E505" t="inlineStr">
        <is>
          <t>STRÖMSUND</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23040-2019</t>
        </is>
      </c>
      <c r="B506" s="1" t="n">
        <v>43591</v>
      </c>
      <c r="C506" s="1" t="n">
        <v>45718</v>
      </c>
      <c r="D506" t="inlineStr">
        <is>
          <t>JÄMTLANDS LÄN</t>
        </is>
      </c>
      <c r="E506" t="inlineStr">
        <is>
          <t>STRÖMSUND</t>
        </is>
      </c>
      <c r="G506" t="n">
        <v>30.4</v>
      </c>
      <c r="H506" t="n">
        <v>0</v>
      </c>
      <c r="I506" t="n">
        <v>0</v>
      </c>
      <c r="J506" t="n">
        <v>0</v>
      </c>
      <c r="K506" t="n">
        <v>0</v>
      </c>
      <c r="L506" t="n">
        <v>0</v>
      </c>
      <c r="M506" t="n">
        <v>0</v>
      </c>
      <c r="N506" t="n">
        <v>0</v>
      </c>
      <c r="O506" t="n">
        <v>0</v>
      </c>
      <c r="P506" t="n">
        <v>0</v>
      </c>
      <c r="Q506" t="n">
        <v>0</v>
      </c>
      <c r="R506" s="2" t="inlineStr"/>
    </row>
    <row r="507" ht="15" customHeight="1">
      <c r="A507" t="inlineStr">
        <is>
          <t>A 23481-2019</t>
        </is>
      </c>
      <c r="B507" s="1" t="n">
        <v>43593</v>
      </c>
      <c r="C507" s="1" t="n">
        <v>45718</v>
      </c>
      <c r="D507" t="inlineStr">
        <is>
          <t>JÄMTLANDS LÄN</t>
        </is>
      </c>
      <c r="E507" t="inlineStr">
        <is>
          <t>STRÖMSUND</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23941-2019</t>
        </is>
      </c>
      <c r="B508" s="1" t="n">
        <v>43595</v>
      </c>
      <c r="C508" s="1" t="n">
        <v>45718</v>
      </c>
      <c r="D508" t="inlineStr">
        <is>
          <t>JÄMTLANDS LÄN</t>
        </is>
      </c>
      <c r="E508" t="inlineStr">
        <is>
          <t>STRÖMSUND</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23945-2019</t>
        </is>
      </c>
      <c r="B509" s="1" t="n">
        <v>43596</v>
      </c>
      <c r="C509" s="1" t="n">
        <v>45718</v>
      </c>
      <c r="D509" t="inlineStr">
        <is>
          <t>JÄMTLANDS LÄN</t>
        </is>
      </c>
      <c r="E509" t="inlineStr">
        <is>
          <t>STRÖMSUND</t>
        </is>
      </c>
      <c r="G509" t="n">
        <v>0.4</v>
      </c>
      <c r="H509" t="n">
        <v>0</v>
      </c>
      <c r="I509" t="n">
        <v>0</v>
      </c>
      <c r="J509" t="n">
        <v>0</v>
      </c>
      <c r="K509" t="n">
        <v>0</v>
      </c>
      <c r="L509" t="n">
        <v>0</v>
      </c>
      <c r="M509" t="n">
        <v>0</v>
      </c>
      <c r="N509" t="n">
        <v>0</v>
      </c>
      <c r="O509" t="n">
        <v>0</v>
      </c>
      <c r="P509" t="n">
        <v>0</v>
      </c>
      <c r="Q509" t="n">
        <v>0</v>
      </c>
      <c r="R509" s="2" t="inlineStr"/>
    </row>
    <row r="510" ht="15" customHeight="1">
      <c r="A510" t="inlineStr">
        <is>
          <t>A 23958-2019</t>
        </is>
      </c>
      <c r="B510" s="1" t="n">
        <v>43597</v>
      </c>
      <c r="C510" s="1" t="n">
        <v>45718</v>
      </c>
      <c r="D510" t="inlineStr">
        <is>
          <t>JÄMTLANDS LÄN</t>
        </is>
      </c>
      <c r="E510" t="inlineStr">
        <is>
          <t>STRÖMSUND</t>
        </is>
      </c>
      <c r="G510" t="n">
        <v>20.7</v>
      </c>
      <c r="H510" t="n">
        <v>0</v>
      </c>
      <c r="I510" t="n">
        <v>0</v>
      </c>
      <c r="J510" t="n">
        <v>0</v>
      </c>
      <c r="K510" t="n">
        <v>0</v>
      </c>
      <c r="L510" t="n">
        <v>0</v>
      </c>
      <c r="M510" t="n">
        <v>0</v>
      </c>
      <c r="N510" t="n">
        <v>0</v>
      </c>
      <c r="O510" t="n">
        <v>0</v>
      </c>
      <c r="P510" t="n">
        <v>0</v>
      </c>
      <c r="Q510" t="n">
        <v>0</v>
      </c>
      <c r="R510" s="2" t="inlineStr"/>
    </row>
    <row r="511" ht="15" customHeight="1">
      <c r="A511" t="inlineStr">
        <is>
          <t>A 24525-2019</t>
        </is>
      </c>
      <c r="B511" s="1" t="n">
        <v>43598</v>
      </c>
      <c r="C511" s="1" t="n">
        <v>45718</v>
      </c>
      <c r="D511" t="inlineStr">
        <is>
          <t>JÄMTLANDS LÄN</t>
        </is>
      </c>
      <c r="E511" t="inlineStr">
        <is>
          <t>STRÖMSUND</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24162-2019</t>
        </is>
      </c>
      <c r="B512" s="1" t="n">
        <v>43598</v>
      </c>
      <c r="C512" s="1" t="n">
        <v>45718</v>
      </c>
      <c r="D512" t="inlineStr">
        <is>
          <t>JÄMTLANDS LÄN</t>
        </is>
      </c>
      <c r="E512" t="inlineStr">
        <is>
          <t>STRÖMSUND</t>
        </is>
      </c>
      <c r="F512" t="inlineStr">
        <is>
          <t>SCA</t>
        </is>
      </c>
      <c r="G512" t="n">
        <v>18.9</v>
      </c>
      <c r="H512" t="n">
        <v>0</v>
      </c>
      <c r="I512" t="n">
        <v>0</v>
      </c>
      <c r="J512" t="n">
        <v>0</v>
      </c>
      <c r="K512" t="n">
        <v>0</v>
      </c>
      <c r="L512" t="n">
        <v>0</v>
      </c>
      <c r="M512" t="n">
        <v>0</v>
      </c>
      <c r="N512" t="n">
        <v>0</v>
      </c>
      <c r="O512" t="n">
        <v>0</v>
      </c>
      <c r="P512" t="n">
        <v>0</v>
      </c>
      <c r="Q512" t="n">
        <v>0</v>
      </c>
      <c r="R512" s="2" t="inlineStr"/>
    </row>
    <row r="513" ht="15" customHeight="1">
      <c r="A513" t="inlineStr">
        <is>
          <t>A 24787-2019</t>
        </is>
      </c>
      <c r="B513" s="1" t="n">
        <v>43601</v>
      </c>
      <c r="C513" s="1" t="n">
        <v>45718</v>
      </c>
      <c r="D513" t="inlineStr">
        <is>
          <t>JÄMTLANDS LÄN</t>
        </is>
      </c>
      <c r="E513" t="inlineStr">
        <is>
          <t>STRÖMSUND</t>
        </is>
      </c>
      <c r="F513" t="inlineStr">
        <is>
          <t>SCA</t>
        </is>
      </c>
      <c r="G513" t="n">
        <v>6.5</v>
      </c>
      <c r="H513" t="n">
        <v>0</v>
      </c>
      <c r="I513" t="n">
        <v>0</v>
      </c>
      <c r="J513" t="n">
        <v>0</v>
      </c>
      <c r="K513" t="n">
        <v>0</v>
      </c>
      <c r="L513" t="n">
        <v>0</v>
      </c>
      <c r="M513" t="n">
        <v>0</v>
      </c>
      <c r="N513" t="n">
        <v>0</v>
      </c>
      <c r="O513" t="n">
        <v>0</v>
      </c>
      <c r="P513" t="n">
        <v>0</v>
      </c>
      <c r="Q513" t="n">
        <v>0</v>
      </c>
      <c r="R513" s="2" t="inlineStr"/>
    </row>
    <row r="514" ht="15" customHeight="1">
      <c r="A514" t="inlineStr">
        <is>
          <t>A 25923-2019</t>
        </is>
      </c>
      <c r="B514" s="1" t="n">
        <v>43608</v>
      </c>
      <c r="C514" s="1" t="n">
        <v>45718</v>
      </c>
      <c r="D514" t="inlineStr">
        <is>
          <t>JÄMTLANDS LÄN</t>
        </is>
      </c>
      <c r="E514" t="inlineStr">
        <is>
          <t>STRÖMSUND</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25915-2019</t>
        </is>
      </c>
      <c r="B515" s="1" t="n">
        <v>43608</v>
      </c>
      <c r="C515" s="1" t="n">
        <v>45718</v>
      </c>
      <c r="D515" t="inlineStr">
        <is>
          <t>JÄMTLANDS LÄN</t>
        </is>
      </c>
      <c r="E515" t="inlineStr">
        <is>
          <t>STRÖMSUND</t>
        </is>
      </c>
      <c r="F515" t="inlineStr">
        <is>
          <t>Kommuner</t>
        </is>
      </c>
      <c r="G515" t="n">
        <v>5.7</v>
      </c>
      <c r="H515" t="n">
        <v>0</v>
      </c>
      <c r="I515" t="n">
        <v>0</v>
      </c>
      <c r="J515" t="n">
        <v>0</v>
      </c>
      <c r="K515" t="n">
        <v>0</v>
      </c>
      <c r="L515" t="n">
        <v>0</v>
      </c>
      <c r="M515" t="n">
        <v>0</v>
      </c>
      <c r="N515" t="n">
        <v>0</v>
      </c>
      <c r="O515" t="n">
        <v>0</v>
      </c>
      <c r="P515" t="n">
        <v>0</v>
      </c>
      <c r="Q515" t="n">
        <v>0</v>
      </c>
      <c r="R515" s="2" t="inlineStr"/>
    </row>
    <row r="516" ht="15" customHeight="1">
      <c r="A516" t="inlineStr">
        <is>
          <t>A 25925-2019</t>
        </is>
      </c>
      <c r="B516" s="1" t="n">
        <v>43608</v>
      </c>
      <c r="C516" s="1" t="n">
        <v>45718</v>
      </c>
      <c r="D516" t="inlineStr">
        <is>
          <t>JÄMTLANDS LÄN</t>
        </is>
      </c>
      <c r="E516" t="inlineStr">
        <is>
          <t>STRÖMSUND</t>
        </is>
      </c>
      <c r="F516" t="inlineStr">
        <is>
          <t>Kommuner</t>
        </is>
      </c>
      <c r="G516" t="n">
        <v>12.6</v>
      </c>
      <c r="H516" t="n">
        <v>0</v>
      </c>
      <c r="I516" t="n">
        <v>0</v>
      </c>
      <c r="J516" t="n">
        <v>0</v>
      </c>
      <c r="K516" t="n">
        <v>0</v>
      </c>
      <c r="L516" t="n">
        <v>0</v>
      </c>
      <c r="M516" t="n">
        <v>0</v>
      </c>
      <c r="N516" t="n">
        <v>0</v>
      </c>
      <c r="O516" t="n">
        <v>0</v>
      </c>
      <c r="P516" t="n">
        <v>0</v>
      </c>
      <c r="Q516" t="n">
        <v>0</v>
      </c>
      <c r="R516" s="2" t="inlineStr"/>
    </row>
    <row r="517" ht="15" customHeight="1">
      <c r="A517" t="inlineStr">
        <is>
          <t>A 25910-2019</t>
        </is>
      </c>
      <c r="B517" s="1" t="n">
        <v>43608</v>
      </c>
      <c r="C517" s="1" t="n">
        <v>45718</v>
      </c>
      <c r="D517" t="inlineStr">
        <is>
          <t>JÄMTLANDS LÄN</t>
        </is>
      </c>
      <c r="E517" t="inlineStr">
        <is>
          <t>STRÖMSUND</t>
        </is>
      </c>
      <c r="F517" t="inlineStr">
        <is>
          <t>Kommuner</t>
        </is>
      </c>
      <c r="G517" t="n">
        <v>7</v>
      </c>
      <c r="H517" t="n">
        <v>0</v>
      </c>
      <c r="I517" t="n">
        <v>0</v>
      </c>
      <c r="J517" t="n">
        <v>0</v>
      </c>
      <c r="K517" t="n">
        <v>0</v>
      </c>
      <c r="L517" t="n">
        <v>0</v>
      </c>
      <c r="M517" t="n">
        <v>0</v>
      </c>
      <c r="N517" t="n">
        <v>0</v>
      </c>
      <c r="O517" t="n">
        <v>0</v>
      </c>
      <c r="P517" t="n">
        <v>0</v>
      </c>
      <c r="Q517" t="n">
        <v>0</v>
      </c>
      <c r="R517" s="2" t="inlineStr"/>
    </row>
    <row r="518" ht="15" customHeight="1">
      <c r="A518" t="inlineStr">
        <is>
          <t>A 25918-2019</t>
        </is>
      </c>
      <c r="B518" s="1" t="n">
        <v>43608</v>
      </c>
      <c r="C518" s="1" t="n">
        <v>45718</v>
      </c>
      <c r="D518" t="inlineStr">
        <is>
          <t>JÄMTLANDS LÄN</t>
        </is>
      </c>
      <c r="E518" t="inlineStr">
        <is>
          <t>STRÖMSUND</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25950-2019</t>
        </is>
      </c>
      <c r="B519" s="1" t="n">
        <v>43608</v>
      </c>
      <c r="C519" s="1" t="n">
        <v>45718</v>
      </c>
      <c r="D519" t="inlineStr">
        <is>
          <t>JÄMTLANDS LÄN</t>
        </is>
      </c>
      <c r="E519" t="inlineStr">
        <is>
          <t>STRÖMSUND</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26012-2019</t>
        </is>
      </c>
      <c r="B520" s="1" t="n">
        <v>43608</v>
      </c>
      <c r="C520" s="1" t="n">
        <v>45718</v>
      </c>
      <c r="D520" t="inlineStr">
        <is>
          <t>JÄMTLANDS LÄN</t>
        </is>
      </c>
      <c r="E520" t="inlineStr">
        <is>
          <t>STRÖMSUND</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25921-2019</t>
        </is>
      </c>
      <c r="B521" s="1" t="n">
        <v>43608</v>
      </c>
      <c r="C521" s="1" t="n">
        <v>45718</v>
      </c>
      <c r="D521" t="inlineStr">
        <is>
          <t>JÄMTLANDS LÄN</t>
        </is>
      </c>
      <c r="E521" t="inlineStr">
        <is>
          <t>STRÖMSUND</t>
        </is>
      </c>
      <c r="F521" t="inlineStr">
        <is>
          <t>Kommuner</t>
        </is>
      </c>
      <c r="G521" t="n">
        <v>23.9</v>
      </c>
      <c r="H521" t="n">
        <v>0</v>
      </c>
      <c r="I521" t="n">
        <v>0</v>
      </c>
      <c r="J521" t="n">
        <v>0</v>
      </c>
      <c r="K521" t="n">
        <v>0</v>
      </c>
      <c r="L521" t="n">
        <v>0</v>
      </c>
      <c r="M521" t="n">
        <v>0</v>
      </c>
      <c r="N521" t="n">
        <v>0</v>
      </c>
      <c r="O521" t="n">
        <v>0</v>
      </c>
      <c r="P521" t="n">
        <v>0</v>
      </c>
      <c r="Q521" t="n">
        <v>0</v>
      </c>
      <c r="R521" s="2" t="inlineStr"/>
    </row>
    <row r="522" ht="15" customHeight="1">
      <c r="A522" t="inlineStr">
        <is>
          <t>A 25984-2019</t>
        </is>
      </c>
      <c r="B522" s="1" t="n">
        <v>43608</v>
      </c>
      <c r="C522" s="1" t="n">
        <v>45718</v>
      </c>
      <c r="D522" t="inlineStr">
        <is>
          <t>JÄMTLANDS LÄN</t>
        </is>
      </c>
      <c r="E522" t="inlineStr">
        <is>
          <t>STRÖMSUND</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26252-2019</t>
        </is>
      </c>
      <c r="B523" s="1" t="n">
        <v>43609</v>
      </c>
      <c r="C523" s="1" t="n">
        <v>45718</v>
      </c>
      <c r="D523" t="inlineStr">
        <is>
          <t>JÄMTLANDS LÄN</t>
        </is>
      </c>
      <c r="E523" t="inlineStr">
        <is>
          <t>STRÖMSUND</t>
        </is>
      </c>
      <c r="F523" t="inlineStr">
        <is>
          <t>SCA</t>
        </is>
      </c>
      <c r="G523" t="n">
        <v>10.5</v>
      </c>
      <c r="H523" t="n">
        <v>0</v>
      </c>
      <c r="I523" t="n">
        <v>0</v>
      </c>
      <c r="J523" t="n">
        <v>0</v>
      </c>
      <c r="K523" t="n">
        <v>0</v>
      </c>
      <c r="L523" t="n">
        <v>0</v>
      </c>
      <c r="M523" t="n">
        <v>0</v>
      </c>
      <c r="N523" t="n">
        <v>0</v>
      </c>
      <c r="O523" t="n">
        <v>0</v>
      </c>
      <c r="P523" t="n">
        <v>0</v>
      </c>
      <c r="Q523" t="n">
        <v>0</v>
      </c>
      <c r="R523" s="2" t="inlineStr"/>
    </row>
    <row r="524" ht="15" customHeight="1">
      <c r="A524" t="inlineStr">
        <is>
          <t>A 26251-2019</t>
        </is>
      </c>
      <c r="B524" s="1" t="n">
        <v>43609</v>
      </c>
      <c r="C524" s="1" t="n">
        <v>45718</v>
      </c>
      <c r="D524" t="inlineStr">
        <is>
          <t>JÄMTLANDS LÄN</t>
        </is>
      </c>
      <c r="E524" t="inlineStr">
        <is>
          <t>STRÖMSUND</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27536-2019</t>
        </is>
      </c>
      <c r="B525" s="1" t="n">
        <v>43612</v>
      </c>
      <c r="C525" s="1" t="n">
        <v>45718</v>
      </c>
      <c r="D525" t="inlineStr">
        <is>
          <t>JÄMTLANDS LÄN</t>
        </is>
      </c>
      <c r="E525" t="inlineStr">
        <is>
          <t>STRÖMSUND</t>
        </is>
      </c>
      <c r="G525" t="n">
        <v>1.3</v>
      </c>
      <c r="H525" t="n">
        <v>0</v>
      </c>
      <c r="I525" t="n">
        <v>0</v>
      </c>
      <c r="J525" t="n">
        <v>0</v>
      </c>
      <c r="K525" t="n">
        <v>0</v>
      </c>
      <c r="L525" t="n">
        <v>0</v>
      </c>
      <c r="M525" t="n">
        <v>0</v>
      </c>
      <c r="N525" t="n">
        <v>0</v>
      </c>
      <c r="O525" t="n">
        <v>0</v>
      </c>
      <c r="P525" t="n">
        <v>0</v>
      </c>
      <c r="Q525" t="n">
        <v>0</v>
      </c>
      <c r="R525" s="2" t="inlineStr"/>
    </row>
    <row r="526" ht="15" customHeight="1">
      <c r="A526" t="inlineStr">
        <is>
          <t>A 26937-2019</t>
        </is>
      </c>
      <c r="B526" s="1" t="n">
        <v>43613</v>
      </c>
      <c r="C526" s="1" t="n">
        <v>45718</v>
      </c>
      <c r="D526" t="inlineStr">
        <is>
          <t>JÄMTLANDS LÄN</t>
        </is>
      </c>
      <c r="E526" t="inlineStr">
        <is>
          <t>STRÖMSUND</t>
        </is>
      </c>
      <c r="G526" t="n">
        <v>0.8</v>
      </c>
      <c r="H526" t="n">
        <v>0</v>
      </c>
      <c r="I526" t="n">
        <v>0</v>
      </c>
      <c r="J526" t="n">
        <v>0</v>
      </c>
      <c r="K526" t="n">
        <v>0</v>
      </c>
      <c r="L526" t="n">
        <v>0</v>
      </c>
      <c r="M526" t="n">
        <v>0</v>
      </c>
      <c r="N526" t="n">
        <v>0</v>
      </c>
      <c r="O526" t="n">
        <v>0</v>
      </c>
      <c r="P526" t="n">
        <v>0</v>
      </c>
      <c r="Q526" t="n">
        <v>0</v>
      </c>
      <c r="R526" s="2" t="inlineStr"/>
    </row>
    <row r="527" ht="15" customHeight="1">
      <c r="A527" t="inlineStr">
        <is>
          <t>A 27249-2019</t>
        </is>
      </c>
      <c r="B527" s="1" t="n">
        <v>43614</v>
      </c>
      <c r="C527" s="1" t="n">
        <v>45718</v>
      </c>
      <c r="D527" t="inlineStr">
        <is>
          <t>JÄMTLANDS LÄN</t>
        </is>
      </c>
      <c r="E527" t="inlineStr">
        <is>
          <t>STRÖMSUND</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27367-2019</t>
        </is>
      </c>
      <c r="B528" s="1" t="n">
        <v>43616</v>
      </c>
      <c r="C528" s="1" t="n">
        <v>45718</v>
      </c>
      <c r="D528" t="inlineStr">
        <is>
          <t>JÄMTLANDS LÄN</t>
        </is>
      </c>
      <c r="E528" t="inlineStr">
        <is>
          <t>STRÖMSUND</t>
        </is>
      </c>
      <c r="G528" t="n">
        <v>0.2</v>
      </c>
      <c r="H528" t="n">
        <v>0</v>
      </c>
      <c r="I528" t="n">
        <v>0</v>
      </c>
      <c r="J528" t="n">
        <v>0</v>
      </c>
      <c r="K528" t="n">
        <v>0</v>
      </c>
      <c r="L528" t="n">
        <v>0</v>
      </c>
      <c r="M528" t="n">
        <v>0</v>
      </c>
      <c r="N528" t="n">
        <v>0</v>
      </c>
      <c r="O528" t="n">
        <v>0</v>
      </c>
      <c r="P528" t="n">
        <v>0</v>
      </c>
      <c r="Q528" t="n">
        <v>0</v>
      </c>
      <c r="R528" s="2" t="inlineStr"/>
    </row>
    <row r="529" ht="15" customHeight="1">
      <c r="A529" t="inlineStr">
        <is>
          <t>A 27514-2019</t>
        </is>
      </c>
      <c r="B529" s="1" t="n">
        <v>43619</v>
      </c>
      <c r="C529" s="1" t="n">
        <v>45718</v>
      </c>
      <c r="D529" t="inlineStr">
        <is>
          <t>JÄMTLANDS LÄN</t>
        </is>
      </c>
      <c r="E529" t="inlineStr">
        <is>
          <t>STRÖMSUND</t>
        </is>
      </c>
      <c r="G529" t="n">
        <v>3.6</v>
      </c>
      <c r="H529" t="n">
        <v>0</v>
      </c>
      <c r="I529" t="n">
        <v>0</v>
      </c>
      <c r="J529" t="n">
        <v>0</v>
      </c>
      <c r="K529" t="n">
        <v>0</v>
      </c>
      <c r="L529" t="n">
        <v>0</v>
      </c>
      <c r="M529" t="n">
        <v>0</v>
      </c>
      <c r="N529" t="n">
        <v>0</v>
      </c>
      <c r="O529" t="n">
        <v>0</v>
      </c>
      <c r="P529" t="n">
        <v>0</v>
      </c>
      <c r="Q529" t="n">
        <v>0</v>
      </c>
      <c r="R529" s="2" t="inlineStr"/>
    </row>
    <row r="530" ht="15" customHeight="1">
      <c r="A530" t="inlineStr">
        <is>
          <t>A 27817-2019</t>
        </is>
      </c>
      <c r="B530" s="1" t="n">
        <v>43620</v>
      </c>
      <c r="C530" s="1" t="n">
        <v>45718</v>
      </c>
      <c r="D530" t="inlineStr">
        <is>
          <t>JÄMTLANDS LÄN</t>
        </is>
      </c>
      <c r="E530" t="inlineStr">
        <is>
          <t>STRÖMSUND</t>
        </is>
      </c>
      <c r="G530" t="n">
        <v>0.7</v>
      </c>
      <c r="H530" t="n">
        <v>0</v>
      </c>
      <c r="I530" t="n">
        <v>0</v>
      </c>
      <c r="J530" t="n">
        <v>0</v>
      </c>
      <c r="K530" t="n">
        <v>0</v>
      </c>
      <c r="L530" t="n">
        <v>0</v>
      </c>
      <c r="M530" t="n">
        <v>0</v>
      </c>
      <c r="N530" t="n">
        <v>0</v>
      </c>
      <c r="O530" t="n">
        <v>0</v>
      </c>
      <c r="P530" t="n">
        <v>0</v>
      </c>
      <c r="Q530" t="n">
        <v>0</v>
      </c>
      <c r="R530" s="2" t="inlineStr"/>
    </row>
    <row r="531" ht="15" customHeight="1">
      <c r="A531" t="inlineStr">
        <is>
          <t>A 28215-2019</t>
        </is>
      </c>
      <c r="B531" s="1" t="n">
        <v>43622</v>
      </c>
      <c r="C531" s="1" t="n">
        <v>45718</v>
      </c>
      <c r="D531" t="inlineStr">
        <is>
          <t>JÄMTLANDS LÄN</t>
        </is>
      </c>
      <c r="E531" t="inlineStr">
        <is>
          <t>STRÖMSUND</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28766-2019</t>
        </is>
      </c>
      <c r="B532" s="1" t="n">
        <v>43627</v>
      </c>
      <c r="C532" s="1" t="n">
        <v>45718</v>
      </c>
      <c r="D532" t="inlineStr">
        <is>
          <t>JÄMTLANDS LÄN</t>
        </is>
      </c>
      <c r="E532" t="inlineStr">
        <is>
          <t>STRÖMSUND</t>
        </is>
      </c>
      <c r="G532" t="n">
        <v>19.8</v>
      </c>
      <c r="H532" t="n">
        <v>0</v>
      </c>
      <c r="I532" t="n">
        <v>0</v>
      </c>
      <c r="J532" t="n">
        <v>0</v>
      </c>
      <c r="K532" t="n">
        <v>0</v>
      </c>
      <c r="L532" t="n">
        <v>0</v>
      </c>
      <c r="M532" t="n">
        <v>0</v>
      </c>
      <c r="N532" t="n">
        <v>0</v>
      </c>
      <c r="O532" t="n">
        <v>0</v>
      </c>
      <c r="P532" t="n">
        <v>0</v>
      </c>
      <c r="Q532" t="n">
        <v>0</v>
      </c>
      <c r="R532" s="2" t="inlineStr"/>
    </row>
    <row r="533" ht="15" customHeight="1">
      <c r="A533" t="inlineStr">
        <is>
          <t>A 28671-2019</t>
        </is>
      </c>
      <c r="B533" s="1" t="n">
        <v>43627</v>
      </c>
      <c r="C533" s="1" t="n">
        <v>45718</v>
      </c>
      <c r="D533" t="inlineStr">
        <is>
          <t>JÄMTLANDS LÄN</t>
        </is>
      </c>
      <c r="E533" t="inlineStr">
        <is>
          <t>STRÖMSUND</t>
        </is>
      </c>
      <c r="G533" t="n">
        <v>21.3</v>
      </c>
      <c r="H533" t="n">
        <v>0</v>
      </c>
      <c r="I533" t="n">
        <v>0</v>
      </c>
      <c r="J533" t="n">
        <v>0</v>
      </c>
      <c r="K533" t="n">
        <v>0</v>
      </c>
      <c r="L533" t="n">
        <v>0</v>
      </c>
      <c r="M533" t="n">
        <v>0</v>
      </c>
      <c r="N533" t="n">
        <v>0</v>
      </c>
      <c r="O533" t="n">
        <v>0</v>
      </c>
      <c r="P533" t="n">
        <v>0</v>
      </c>
      <c r="Q533" t="n">
        <v>0</v>
      </c>
      <c r="R533" s="2" t="inlineStr"/>
    </row>
    <row r="534" ht="15" customHeight="1">
      <c r="A534" t="inlineStr">
        <is>
          <t>A 29166-2019</t>
        </is>
      </c>
      <c r="B534" s="1" t="n">
        <v>43628</v>
      </c>
      <c r="C534" s="1" t="n">
        <v>45718</v>
      </c>
      <c r="D534" t="inlineStr">
        <is>
          <t>JÄMTLANDS LÄN</t>
        </is>
      </c>
      <c r="E534" t="inlineStr">
        <is>
          <t>STRÖMSUND</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29359-2019</t>
        </is>
      </c>
      <c r="B535" s="1" t="n">
        <v>43629</v>
      </c>
      <c r="C535" s="1" t="n">
        <v>45718</v>
      </c>
      <c r="D535" t="inlineStr">
        <is>
          <t>JÄMTLANDS LÄN</t>
        </is>
      </c>
      <c r="E535" t="inlineStr">
        <is>
          <t>STRÖMSUND</t>
        </is>
      </c>
      <c r="G535" t="n">
        <v>3</v>
      </c>
      <c r="H535" t="n">
        <v>0</v>
      </c>
      <c r="I535" t="n">
        <v>0</v>
      </c>
      <c r="J535" t="n">
        <v>0</v>
      </c>
      <c r="K535" t="n">
        <v>0</v>
      </c>
      <c r="L535" t="n">
        <v>0</v>
      </c>
      <c r="M535" t="n">
        <v>0</v>
      </c>
      <c r="N535" t="n">
        <v>0</v>
      </c>
      <c r="O535" t="n">
        <v>0</v>
      </c>
      <c r="P535" t="n">
        <v>0</v>
      </c>
      <c r="Q535" t="n">
        <v>0</v>
      </c>
      <c r="R535" s="2" t="inlineStr"/>
    </row>
    <row r="536" ht="15" customHeight="1">
      <c r="A536" t="inlineStr">
        <is>
          <t>A 29378-2019</t>
        </is>
      </c>
      <c r="B536" s="1" t="n">
        <v>43629</v>
      </c>
      <c r="C536" s="1" t="n">
        <v>45718</v>
      </c>
      <c r="D536" t="inlineStr">
        <is>
          <t>JÄMTLANDS LÄN</t>
        </is>
      </c>
      <c r="E536" t="inlineStr">
        <is>
          <t>STRÖMSUND</t>
        </is>
      </c>
      <c r="G536" t="n">
        <v>33.5</v>
      </c>
      <c r="H536" t="n">
        <v>0</v>
      </c>
      <c r="I536" t="n">
        <v>0</v>
      </c>
      <c r="J536" t="n">
        <v>0</v>
      </c>
      <c r="K536" t="n">
        <v>0</v>
      </c>
      <c r="L536" t="n">
        <v>0</v>
      </c>
      <c r="M536" t="n">
        <v>0</v>
      </c>
      <c r="N536" t="n">
        <v>0</v>
      </c>
      <c r="O536" t="n">
        <v>0</v>
      </c>
      <c r="P536" t="n">
        <v>0</v>
      </c>
      <c r="Q536" t="n">
        <v>0</v>
      </c>
      <c r="R536" s="2" t="inlineStr"/>
    </row>
    <row r="537" ht="15" customHeight="1">
      <c r="A537" t="inlineStr">
        <is>
          <t>A 29740-2019</t>
        </is>
      </c>
      <c r="B537" s="1" t="n">
        <v>43630</v>
      </c>
      <c r="C537" s="1" t="n">
        <v>45718</v>
      </c>
      <c r="D537" t="inlineStr">
        <is>
          <t>JÄMTLANDS LÄN</t>
        </is>
      </c>
      <c r="E537" t="inlineStr">
        <is>
          <t>STRÖMSUND</t>
        </is>
      </c>
      <c r="F537" t="inlineStr">
        <is>
          <t>SCA</t>
        </is>
      </c>
      <c r="G537" t="n">
        <v>62.8</v>
      </c>
      <c r="H537" t="n">
        <v>0</v>
      </c>
      <c r="I537" t="n">
        <v>0</v>
      </c>
      <c r="J537" t="n">
        <v>0</v>
      </c>
      <c r="K537" t="n">
        <v>0</v>
      </c>
      <c r="L537" t="n">
        <v>0</v>
      </c>
      <c r="M537" t="n">
        <v>0</v>
      </c>
      <c r="N537" t="n">
        <v>0</v>
      </c>
      <c r="O537" t="n">
        <v>0</v>
      </c>
      <c r="P537" t="n">
        <v>0</v>
      </c>
      <c r="Q537" t="n">
        <v>0</v>
      </c>
      <c r="R537" s="2" t="inlineStr"/>
    </row>
    <row r="538" ht="15" customHeight="1">
      <c r="A538" t="inlineStr">
        <is>
          <t>A 30136-2019</t>
        </is>
      </c>
      <c r="B538" s="1" t="n">
        <v>43634</v>
      </c>
      <c r="C538" s="1" t="n">
        <v>45718</v>
      </c>
      <c r="D538" t="inlineStr">
        <is>
          <t>JÄMTLANDS LÄN</t>
        </is>
      </c>
      <c r="E538" t="inlineStr">
        <is>
          <t>STRÖMSUND</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30378-2019</t>
        </is>
      </c>
      <c r="B539" s="1" t="n">
        <v>43634</v>
      </c>
      <c r="C539" s="1" t="n">
        <v>45718</v>
      </c>
      <c r="D539" t="inlineStr">
        <is>
          <t>JÄMTLANDS LÄN</t>
        </is>
      </c>
      <c r="E539" t="inlineStr">
        <is>
          <t>STRÖMSUND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30139-2019</t>
        </is>
      </c>
      <c r="B540" s="1" t="n">
        <v>43634</v>
      </c>
      <c r="C540" s="1" t="n">
        <v>45718</v>
      </c>
      <c r="D540" t="inlineStr">
        <is>
          <t>JÄMTLANDS LÄN</t>
        </is>
      </c>
      <c r="E540" t="inlineStr">
        <is>
          <t>STRÖMSUND</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30915-2019</t>
        </is>
      </c>
      <c r="B541" s="1" t="n">
        <v>43636</v>
      </c>
      <c r="C541" s="1" t="n">
        <v>45718</v>
      </c>
      <c r="D541" t="inlineStr">
        <is>
          <t>JÄMTLANDS LÄN</t>
        </is>
      </c>
      <c r="E541" t="inlineStr">
        <is>
          <t>STRÖMSUND</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32482-2019</t>
        </is>
      </c>
      <c r="B542" s="1" t="n">
        <v>43644</v>
      </c>
      <c r="C542" s="1" t="n">
        <v>45718</v>
      </c>
      <c r="D542" t="inlineStr">
        <is>
          <t>JÄMTLANDS LÄN</t>
        </is>
      </c>
      <c r="E542" t="inlineStr">
        <is>
          <t>STRÖMSUND</t>
        </is>
      </c>
      <c r="F542" t="inlineStr">
        <is>
          <t>SCA</t>
        </is>
      </c>
      <c r="G542" t="n">
        <v>8.4</v>
      </c>
      <c r="H542" t="n">
        <v>0</v>
      </c>
      <c r="I542" t="n">
        <v>0</v>
      </c>
      <c r="J542" t="n">
        <v>0</v>
      </c>
      <c r="K542" t="n">
        <v>0</v>
      </c>
      <c r="L542" t="n">
        <v>0</v>
      </c>
      <c r="M542" t="n">
        <v>0</v>
      </c>
      <c r="N542" t="n">
        <v>0</v>
      </c>
      <c r="O542" t="n">
        <v>0</v>
      </c>
      <c r="P542" t="n">
        <v>0</v>
      </c>
      <c r="Q542" t="n">
        <v>0</v>
      </c>
      <c r="R542" s="2" t="inlineStr"/>
    </row>
    <row r="543" ht="15" customHeight="1">
      <c r="A543" t="inlineStr">
        <is>
          <t>A 32739-2019</t>
        </is>
      </c>
      <c r="B543" s="1" t="n">
        <v>43647</v>
      </c>
      <c r="C543" s="1" t="n">
        <v>45718</v>
      </c>
      <c r="D543" t="inlineStr">
        <is>
          <t>JÄMTLANDS LÄN</t>
        </is>
      </c>
      <c r="E543" t="inlineStr">
        <is>
          <t>STRÖMSUND</t>
        </is>
      </c>
      <c r="F543" t="inlineStr">
        <is>
          <t>SCA</t>
        </is>
      </c>
      <c r="G543" t="n">
        <v>174.6</v>
      </c>
      <c r="H543" t="n">
        <v>0</v>
      </c>
      <c r="I543" t="n">
        <v>0</v>
      </c>
      <c r="J543" t="n">
        <v>0</v>
      </c>
      <c r="K543" t="n">
        <v>0</v>
      </c>
      <c r="L543" t="n">
        <v>0</v>
      </c>
      <c r="M543" t="n">
        <v>0</v>
      </c>
      <c r="N543" t="n">
        <v>0</v>
      </c>
      <c r="O543" t="n">
        <v>0</v>
      </c>
      <c r="P543" t="n">
        <v>0</v>
      </c>
      <c r="Q543" t="n">
        <v>0</v>
      </c>
      <c r="R543" s="2" t="inlineStr"/>
    </row>
    <row r="544" ht="15" customHeight="1">
      <c r="A544" t="inlineStr">
        <is>
          <t>A 32748-2019</t>
        </is>
      </c>
      <c r="B544" s="1" t="n">
        <v>43647</v>
      </c>
      <c r="C544" s="1" t="n">
        <v>45718</v>
      </c>
      <c r="D544" t="inlineStr">
        <is>
          <t>JÄMTLANDS LÄN</t>
        </is>
      </c>
      <c r="E544" t="inlineStr">
        <is>
          <t>STRÖMSUND</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32974-2019</t>
        </is>
      </c>
      <c r="B545" s="1" t="n">
        <v>43648</v>
      </c>
      <c r="C545" s="1" t="n">
        <v>45718</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32973-2019</t>
        </is>
      </c>
      <c r="B546" s="1" t="n">
        <v>43648</v>
      </c>
      <c r="C546" s="1" t="n">
        <v>45718</v>
      </c>
      <c r="D546" t="inlineStr">
        <is>
          <t>JÄMTLANDS LÄN</t>
        </is>
      </c>
      <c r="E546" t="inlineStr">
        <is>
          <t>STRÖMSUND</t>
        </is>
      </c>
      <c r="G546" t="n">
        <v>3.5</v>
      </c>
      <c r="H546" t="n">
        <v>0</v>
      </c>
      <c r="I546" t="n">
        <v>0</v>
      </c>
      <c r="J546" t="n">
        <v>0</v>
      </c>
      <c r="K546" t="n">
        <v>0</v>
      </c>
      <c r="L546" t="n">
        <v>0</v>
      </c>
      <c r="M546" t="n">
        <v>0</v>
      </c>
      <c r="N546" t="n">
        <v>0</v>
      </c>
      <c r="O546" t="n">
        <v>0</v>
      </c>
      <c r="P546" t="n">
        <v>0</v>
      </c>
      <c r="Q546" t="n">
        <v>0</v>
      </c>
      <c r="R546" s="2" t="inlineStr"/>
    </row>
    <row r="547" ht="15" customHeight="1">
      <c r="A547" t="inlineStr">
        <is>
          <t>A 32971-2019</t>
        </is>
      </c>
      <c r="B547" s="1" t="n">
        <v>43648</v>
      </c>
      <c r="C547" s="1" t="n">
        <v>45718</v>
      </c>
      <c r="D547" t="inlineStr">
        <is>
          <t>JÄMTLANDS LÄN</t>
        </is>
      </c>
      <c r="E547" t="inlineStr">
        <is>
          <t>STRÖMSUND</t>
        </is>
      </c>
      <c r="G547" t="n">
        <v>0.9</v>
      </c>
      <c r="H547" t="n">
        <v>0</v>
      </c>
      <c r="I547" t="n">
        <v>0</v>
      </c>
      <c r="J547" t="n">
        <v>0</v>
      </c>
      <c r="K547" t="n">
        <v>0</v>
      </c>
      <c r="L547" t="n">
        <v>0</v>
      </c>
      <c r="M547" t="n">
        <v>0</v>
      </c>
      <c r="N547" t="n">
        <v>0</v>
      </c>
      <c r="O547" t="n">
        <v>0</v>
      </c>
      <c r="P547" t="n">
        <v>0</v>
      </c>
      <c r="Q547" t="n">
        <v>0</v>
      </c>
      <c r="R547" s="2" t="inlineStr"/>
    </row>
    <row r="548" ht="15" customHeight="1">
      <c r="A548" t="inlineStr">
        <is>
          <t>A 32975-2019</t>
        </is>
      </c>
      <c r="B548" s="1" t="n">
        <v>43648</v>
      </c>
      <c r="C548" s="1" t="n">
        <v>45718</v>
      </c>
      <c r="D548" t="inlineStr">
        <is>
          <t>JÄMTLANDS LÄN</t>
        </is>
      </c>
      <c r="E548" t="inlineStr">
        <is>
          <t>STRÖMSUND</t>
        </is>
      </c>
      <c r="G548" t="n">
        <v>2.3</v>
      </c>
      <c r="H548" t="n">
        <v>0</v>
      </c>
      <c r="I548" t="n">
        <v>0</v>
      </c>
      <c r="J548" t="n">
        <v>0</v>
      </c>
      <c r="K548" t="n">
        <v>0</v>
      </c>
      <c r="L548" t="n">
        <v>0</v>
      </c>
      <c r="M548" t="n">
        <v>0</v>
      </c>
      <c r="N548" t="n">
        <v>0</v>
      </c>
      <c r="O548" t="n">
        <v>0</v>
      </c>
      <c r="P548" t="n">
        <v>0</v>
      </c>
      <c r="Q548" t="n">
        <v>0</v>
      </c>
      <c r="R548" s="2" t="inlineStr"/>
    </row>
    <row r="549" ht="15" customHeight="1">
      <c r="A549" t="inlineStr">
        <is>
          <t>A 34758-2019</t>
        </is>
      </c>
      <c r="B549" s="1" t="n">
        <v>43649</v>
      </c>
      <c r="C549" s="1" t="n">
        <v>45718</v>
      </c>
      <c r="D549" t="inlineStr">
        <is>
          <t>JÄMTLANDS LÄN</t>
        </is>
      </c>
      <c r="E549" t="inlineStr">
        <is>
          <t>STRÖMSUND</t>
        </is>
      </c>
      <c r="G549" t="n">
        <v>2.2</v>
      </c>
      <c r="H549" t="n">
        <v>0</v>
      </c>
      <c r="I549" t="n">
        <v>0</v>
      </c>
      <c r="J549" t="n">
        <v>0</v>
      </c>
      <c r="K549" t="n">
        <v>0</v>
      </c>
      <c r="L549" t="n">
        <v>0</v>
      </c>
      <c r="M549" t="n">
        <v>0</v>
      </c>
      <c r="N549" t="n">
        <v>0</v>
      </c>
      <c r="O549" t="n">
        <v>0</v>
      </c>
      <c r="P549" t="n">
        <v>0</v>
      </c>
      <c r="Q549" t="n">
        <v>0</v>
      </c>
      <c r="R549" s="2" t="inlineStr"/>
    </row>
    <row r="550" ht="15" customHeight="1">
      <c r="A550" t="inlineStr">
        <is>
          <t>A 33538-2019</t>
        </is>
      </c>
      <c r="B550" s="1" t="n">
        <v>43651</v>
      </c>
      <c r="C550" s="1" t="n">
        <v>45718</v>
      </c>
      <c r="D550" t="inlineStr">
        <is>
          <t>JÄMTLANDS LÄN</t>
        </is>
      </c>
      <c r="E550" t="inlineStr">
        <is>
          <t>STRÖMSUND</t>
        </is>
      </c>
      <c r="F550" t="inlineStr">
        <is>
          <t>Holmen skog AB</t>
        </is>
      </c>
      <c r="G550" t="n">
        <v>15.6</v>
      </c>
      <c r="H550" t="n">
        <v>0</v>
      </c>
      <c r="I550" t="n">
        <v>0</v>
      </c>
      <c r="J550" t="n">
        <v>0</v>
      </c>
      <c r="K550" t="n">
        <v>0</v>
      </c>
      <c r="L550" t="n">
        <v>0</v>
      </c>
      <c r="M550" t="n">
        <v>0</v>
      </c>
      <c r="N550" t="n">
        <v>0</v>
      </c>
      <c r="O550" t="n">
        <v>0</v>
      </c>
      <c r="P550" t="n">
        <v>0</v>
      </c>
      <c r="Q550" t="n">
        <v>0</v>
      </c>
      <c r="R550" s="2" t="inlineStr"/>
    </row>
    <row r="551" ht="15" customHeight="1">
      <c r="A551" t="inlineStr">
        <is>
          <t>A 33701-2019</t>
        </is>
      </c>
      <c r="B551" s="1" t="n">
        <v>43651</v>
      </c>
      <c r="C551" s="1" t="n">
        <v>45718</v>
      </c>
      <c r="D551" t="inlineStr">
        <is>
          <t>JÄMTLANDS LÄN</t>
        </is>
      </c>
      <c r="E551" t="inlineStr">
        <is>
          <t>STRÖMSUND</t>
        </is>
      </c>
      <c r="F551" t="inlineStr">
        <is>
          <t>Holmen skog AB</t>
        </is>
      </c>
      <c r="G551" t="n">
        <v>21.7</v>
      </c>
      <c r="H551" t="n">
        <v>0</v>
      </c>
      <c r="I551" t="n">
        <v>0</v>
      </c>
      <c r="J551" t="n">
        <v>0</v>
      </c>
      <c r="K551" t="n">
        <v>0</v>
      </c>
      <c r="L551" t="n">
        <v>0</v>
      </c>
      <c r="M551" t="n">
        <v>0</v>
      </c>
      <c r="N551" t="n">
        <v>0</v>
      </c>
      <c r="O551" t="n">
        <v>0</v>
      </c>
      <c r="P551" t="n">
        <v>0</v>
      </c>
      <c r="Q551" t="n">
        <v>0</v>
      </c>
      <c r="R551" s="2" t="inlineStr"/>
    </row>
    <row r="552" ht="15" customHeight="1">
      <c r="A552" t="inlineStr">
        <is>
          <t>A 33825-2019</t>
        </is>
      </c>
      <c r="B552" s="1" t="n">
        <v>43651</v>
      </c>
      <c r="C552" s="1" t="n">
        <v>45718</v>
      </c>
      <c r="D552" t="inlineStr">
        <is>
          <t>JÄMTLANDS LÄN</t>
        </is>
      </c>
      <c r="E552" t="inlineStr">
        <is>
          <t>STRÖMSUND</t>
        </is>
      </c>
      <c r="F552" t="inlineStr">
        <is>
          <t>SCA</t>
        </is>
      </c>
      <c r="G552" t="n">
        <v>15.6</v>
      </c>
      <c r="H552" t="n">
        <v>0</v>
      </c>
      <c r="I552" t="n">
        <v>0</v>
      </c>
      <c r="J552" t="n">
        <v>0</v>
      </c>
      <c r="K552" t="n">
        <v>0</v>
      </c>
      <c r="L552" t="n">
        <v>0</v>
      </c>
      <c r="M552" t="n">
        <v>0</v>
      </c>
      <c r="N552" t="n">
        <v>0</v>
      </c>
      <c r="O552" t="n">
        <v>0</v>
      </c>
      <c r="P552" t="n">
        <v>0</v>
      </c>
      <c r="Q552" t="n">
        <v>0</v>
      </c>
      <c r="R552" s="2" t="inlineStr"/>
    </row>
    <row r="553" ht="15" customHeight="1">
      <c r="A553" t="inlineStr">
        <is>
          <t>A 33552-2019</t>
        </is>
      </c>
      <c r="B553" s="1" t="n">
        <v>43651</v>
      </c>
      <c r="C553" s="1" t="n">
        <v>45718</v>
      </c>
      <c r="D553" t="inlineStr">
        <is>
          <t>JÄMTLANDS LÄN</t>
        </is>
      </c>
      <c r="E553" t="inlineStr">
        <is>
          <t>STRÖMSUND</t>
        </is>
      </c>
      <c r="F553" t="inlineStr">
        <is>
          <t>Holmen skog AB</t>
        </is>
      </c>
      <c r="G553" t="n">
        <v>15.9</v>
      </c>
      <c r="H553" t="n">
        <v>0</v>
      </c>
      <c r="I553" t="n">
        <v>0</v>
      </c>
      <c r="J553" t="n">
        <v>0</v>
      </c>
      <c r="K553" t="n">
        <v>0</v>
      </c>
      <c r="L553" t="n">
        <v>0</v>
      </c>
      <c r="M553" t="n">
        <v>0</v>
      </c>
      <c r="N553" t="n">
        <v>0</v>
      </c>
      <c r="O553" t="n">
        <v>0</v>
      </c>
      <c r="P553" t="n">
        <v>0</v>
      </c>
      <c r="Q553" t="n">
        <v>0</v>
      </c>
      <c r="R553" s="2" t="inlineStr"/>
    </row>
    <row r="554" ht="15" customHeight="1">
      <c r="A554" t="inlineStr">
        <is>
          <t>A 34125-2019</t>
        </is>
      </c>
      <c r="B554" s="1" t="n">
        <v>43654</v>
      </c>
      <c r="C554" s="1" t="n">
        <v>45718</v>
      </c>
      <c r="D554" t="inlineStr">
        <is>
          <t>JÄMTLANDS LÄN</t>
        </is>
      </c>
      <c r="E554" t="inlineStr">
        <is>
          <t>STRÖMSUND</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34144-2019</t>
        </is>
      </c>
      <c r="B555" s="1" t="n">
        <v>43655</v>
      </c>
      <c r="C555" s="1" t="n">
        <v>45718</v>
      </c>
      <c r="D555" t="inlineStr">
        <is>
          <t>JÄMTLANDS LÄN</t>
        </is>
      </c>
      <c r="E555" t="inlineStr">
        <is>
          <t>STRÖMSUND</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34156-2019</t>
        </is>
      </c>
      <c r="B556" s="1" t="n">
        <v>43655</v>
      </c>
      <c r="C556" s="1" t="n">
        <v>45718</v>
      </c>
      <c r="D556" t="inlineStr">
        <is>
          <t>JÄMTLANDS LÄN</t>
        </is>
      </c>
      <c r="E556" t="inlineStr">
        <is>
          <t>STRÖMSUND</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34152-2019</t>
        </is>
      </c>
      <c r="B557" s="1" t="n">
        <v>43655</v>
      </c>
      <c r="C557" s="1" t="n">
        <v>45718</v>
      </c>
      <c r="D557" t="inlineStr">
        <is>
          <t>JÄMTLANDS LÄN</t>
        </is>
      </c>
      <c r="E557" t="inlineStr">
        <is>
          <t>STRÖMSUND</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34233-2019</t>
        </is>
      </c>
      <c r="B558" s="1" t="n">
        <v>43655</v>
      </c>
      <c r="C558" s="1" t="n">
        <v>45718</v>
      </c>
      <c r="D558" t="inlineStr">
        <is>
          <t>JÄMTLANDS LÄN</t>
        </is>
      </c>
      <c r="E558" t="inlineStr">
        <is>
          <t>STRÖMSUND</t>
        </is>
      </c>
      <c r="G558" t="n">
        <v>3.1</v>
      </c>
      <c r="H558" t="n">
        <v>0</v>
      </c>
      <c r="I558" t="n">
        <v>0</v>
      </c>
      <c r="J558" t="n">
        <v>0</v>
      </c>
      <c r="K558" t="n">
        <v>0</v>
      </c>
      <c r="L558" t="n">
        <v>0</v>
      </c>
      <c r="M558" t="n">
        <v>0</v>
      </c>
      <c r="N558" t="n">
        <v>0</v>
      </c>
      <c r="O558" t="n">
        <v>0</v>
      </c>
      <c r="P558" t="n">
        <v>0</v>
      </c>
      <c r="Q558" t="n">
        <v>0</v>
      </c>
      <c r="R558" s="2" t="inlineStr"/>
    </row>
    <row r="559" ht="15" customHeight="1">
      <c r="A559" t="inlineStr">
        <is>
          <t>A 34146-2019</t>
        </is>
      </c>
      <c r="B559" s="1" t="n">
        <v>43655</v>
      </c>
      <c r="C559" s="1" t="n">
        <v>45718</v>
      </c>
      <c r="D559" t="inlineStr">
        <is>
          <t>JÄMTLANDS LÄN</t>
        </is>
      </c>
      <c r="E559" t="inlineStr">
        <is>
          <t>STRÖMSUND</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35674-2019</t>
        </is>
      </c>
      <c r="B560" s="1" t="n">
        <v>43655</v>
      </c>
      <c r="C560" s="1" t="n">
        <v>45718</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34219-2019</t>
        </is>
      </c>
      <c r="B561" s="1" t="n">
        <v>43655</v>
      </c>
      <c r="C561" s="1" t="n">
        <v>45718</v>
      </c>
      <c r="D561" t="inlineStr">
        <is>
          <t>JÄMTLANDS LÄN</t>
        </is>
      </c>
      <c r="E561" t="inlineStr">
        <is>
          <t>STRÖMSUND</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34741-2019</t>
        </is>
      </c>
      <c r="B562" s="1" t="n">
        <v>43657</v>
      </c>
      <c r="C562" s="1" t="n">
        <v>45718</v>
      </c>
      <c r="D562" t="inlineStr">
        <is>
          <t>JÄMTLANDS LÄN</t>
        </is>
      </c>
      <c r="E562" t="inlineStr">
        <is>
          <t>STRÖMSUND</t>
        </is>
      </c>
      <c r="F562" t="inlineStr">
        <is>
          <t>SCA</t>
        </is>
      </c>
      <c r="G562" t="n">
        <v>11.3</v>
      </c>
      <c r="H562" t="n">
        <v>0</v>
      </c>
      <c r="I562" t="n">
        <v>0</v>
      </c>
      <c r="J562" t="n">
        <v>0</v>
      </c>
      <c r="K562" t="n">
        <v>0</v>
      </c>
      <c r="L562" t="n">
        <v>0</v>
      </c>
      <c r="M562" t="n">
        <v>0</v>
      </c>
      <c r="N562" t="n">
        <v>0</v>
      </c>
      <c r="O562" t="n">
        <v>0</v>
      </c>
      <c r="P562" t="n">
        <v>0</v>
      </c>
      <c r="Q562" t="n">
        <v>0</v>
      </c>
      <c r="R562" s="2" t="inlineStr"/>
    </row>
    <row r="563" ht="15" customHeight="1">
      <c r="A563" t="inlineStr">
        <is>
          <t>A 36193-2019</t>
        </is>
      </c>
      <c r="B563" s="1" t="n">
        <v>43657</v>
      </c>
      <c r="C563" s="1" t="n">
        <v>45718</v>
      </c>
      <c r="D563" t="inlineStr">
        <is>
          <t>JÄMTLANDS LÄN</t>
        </is>
      </c>
      <c r="E563" t="inlineStr">
        <is>
          <t>STRÖMSUND</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34794-2019</t>
        </is>
      </c>
      <c r="B564" s="1" t="n">
        <v>43658</v>
      </c>
      <c r="C564" s="1" t="n">
        <v>45718</v>
      </c>
      <c r="D564" t="inlineStr">
        <is>
          <t>JÄMTLANDS LÄN</t>
        </is>
      </c>
      <c r="E564" t="inlineStr">
        <is>
          <t>STRÖMSUND</t>
        </is>
      </c>
      <c r="F564" t="inlineStr">
        <is>
          <t>Sveaskog</t>
        </is>
      </c>
      <c r="G564" t="n">
        <v>9.5</v>
      </c>
      <c r="H564" t="n">
        <v>0</v>
      </c>
      <c r="I564" t="n">
        <v>0</v>
      </c>
      <c r="J564" t="n">
        <v>0</v>
      </c>
      <c r="K564" t="n">
        <v>0</v>
      </c>
      <c r="L564" t="n">
        <v>0</v>
      </c>
      <c r="M564" t="n">
        <v>0</v>
      </c>
      <c r="N564" t="n">
        <v>0</v>
      </c>
      <c r="O564" t="n">
        <v>0</v>
      </c>
      <c r="P564" t="n">
        <v>0</v>
      </c>
      <c r="Q564" t="n">
        <v>0</v>
      </c>
      <c r="R564" s="2" t="inlineStr"/>
    </row>
    <row r="565" ht="15" customHeight="1">
      <c r="A565" t="inlineStr">
        <is>
          <t>A 35323-2019</t>
        </is>
      </c>
      <c r="B565" s="1" t="n">
        <v>43662</v>
      </c>
      <c r="C565" s="1" t="n">
        <v>45718</v>
      </c>
      <c r="D565" t="inlineStr">
        <is>
          <t>JÄMTLANDS LÄN</t>
        </is>
      </c>
      <c r="E565" t="inlineStr">
        <is>
          <t>STRÖMSUND</t>
        </is>
      </c>
      <c r="F565" t="inlineStr">
        <is>
          <t>SCA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35472-2019</t>
        </is>
      </c>
      <c r="B566" s="1" t="n">
        <v>43663</v>
      </c>
      <c r="C566" s="1" t="n">
        <v>45718</v>
      </c>
      <c r="D566" t="inlineStr">
        <is>
          <t>JÄMTLANDS LÄN</t>
        </is>
      </c>
      <c r="E566" t="inlineStr">
        <is>
          <t>STRÖMSUND</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35442-2019</t>
        </is>
      </c>
      <c r="B567" s="1" t="n">
        <v>43663</v>
      </c>
      <c r="C567" s="1" t="n">
        <v>45718</v>
      </c>
      <c r="D567" t="inlineStr">
        <is>
          <t>JÄMTLANDS LÄN</t>
        </is>
      </c>
      <c r="E567" t="inlineStr">
        <is>
          <t>STRÖMSUND</t>
        </is>
      </c>
      <c r="F567" t="inlineStr">
        <is>
          <t>Holmen skog AB</t>
        </is>
      </c>
      <c r="G567" t="n">
        <v>5</v>
      </c>
      <c r="H567" t="n">
        <v>0</v>
      </c>
      <c r="I567" t="n">
        <v>0</v>
      </c>
      <c r="J567" t="n">
        <v>0</v>
      </c>
      <c r="K567" t="n">
        <v>0</v>
      </c>
      <c r="L567" t="n">
        <v>0</v>
      </c>
      <c r="M567" t="n">
        <v>0</v>
      </c>
      <c r="N567" t="n">
        <v>0</v>
      </c>
      <c r="O567" t="n">
        <v>0</v>
      </c>
      <c r="P567" t="n">
        <v>0</v>
      </c>
      <c r="Q567" t="n">
        <v>0</v>
      </c>
      <c r="R567" s="2" t="inlineStr"/>
    </row>
    <row r="568" ht="15" customHeight="1">
      <c r="A568" t="inlineStr">
        <is>
          <t>A 35621-2019</t>
        </is>
      </c>
      <c r="B568" s="1" t="n">
        <v>43664</v>
      </c>
      <c r="C568" s="1" t="n">
        <v>45718</v>
      </c>
      <c r="D568" t="inlineStr">
        <is>
          <t>JÄMTLANDS LÄN</t>
        </is>
      </c>
      <c r="E568" t="inlineStr">
        <is>
          <t>STRÖMSUND</t>
        </is>
      </c>
      <c r="G568" t="n">
        <v>35.5</v>
      </c>
      <c r="H568" t="n">
        <v>0</v>
      </c>
      <c r="I568" t="n">
        <v>0</v>
      </c>
      <c r="J568" t="n">
        <v>0</v>
      </c>
      <c r="K568" t="n">
        <v>0</v>
      </c>
      <c r="L568" t="n">
        <v>0</v>
      </c>
      <c r="M568" t="n">
        <v>0</v>
      </c>
      <c r="N568" t="n">
        <v>0</v>
      </c>
      <c r="O568" t="n">
        <v>0</v>
      </c>
      <c r="P568" t="n">
        <v>0</v>
      </c>
      <c r="Q568" t="n">
        <v>0</v>
      </c>
      <c r="R568" s="2" t="inlineStr"/>
    </row>
    <row r="569" ht="15" customHeight="1">
      <c r="A569" t="inlineStr">
        <is>
          <t>A 37879-2019</t>
        </is>
      </c>
      <c r="B569" s="1" t="n">
        <v>43682</v>
      </c>
      <c r="C569" s="1" t="n">
        <v>45718</v>
      </c>
      <c r="D569" t="inlineStr">
        <is>
          <t>JÄMTLANDS LÄN</t>
        </is>
      </c>
      <c r="E569" t="inlineStr">
        <is>
          <t>STRÖMSUND</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37880-2019</t>
        </is>
      </c>
      <c r="B570" s="1" t="n">
        <v>43682</v>
      </c>
      <c r="C570" s="1" t="n">
        <v>45718</v>
      </c>
      <c r="D570" t="inlineStr">
        <is>
          <t>JÄMTLANDS LÄN</t>
        </is>
      </c>
      <c r="E570" t="inlineStr">
        <is>
          <t>STRÖMSUND</t>
        </is>
      </c>
      <c r="G570" t="n">
        <v>3.9</v>
      </c>
      <c r="H570" t="n">
        <v>0</v>
      </c>
      <c r="I570" t="n">
        <v>0</v>
      </c>
      <c r="J570" t="n">
        <v>0</v>
      </c>
      <c r="K570" t="n">
        <v>0</v>
      </c>
      <c r="L570" t="n">
        <v>0</v>
      </c>
      <c r="M570" t="n">
        <v>0</v>
      </c>
      <c r="N570" t="n">
        <v>0</v>
      </c>
      <c r="O570" t="n">
        <v>0</v>
      </c>
      <c r="P570" t="n">
        <v>0</v>
      </c>
      <c r="Q570" t="n">
        <v>0</v>
      </c>
      <c r="R570" s="2" t="inlineStr"/>
    </row>
    <row r="571" ht="15" customHeight="1">
      <c r="A571" t="inlineStr">
        <is>
          <t>A 38122-2019</t>
        </is>
      </c>
      <c r="B571" s="1" t="n">
        <v>43683</v>
      </c>
      <c r="C571" s="1" t="n">
        <v>45718</v>
      </c>
      <c r="D571" t="inlineStr">
        <is>
          <t>JÄMTLANDS LÄN</t>
        </is>
      </c>
      <c r="E571" t="inlineStr">
        <is>
          <t>STRÖMSUND</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38312-2019</t>
        </is>
      </c>
      <c r="B572" s="1" t="n">
        <v>43684</v>
      </c>
      <c r="C572" s="1" t="n">
        <v>45718</v>
      </c>
      <c r="D572" t="inlineStr">
        <is>
          <t>JÄMTLANDS LÄN</t>
        </is>
      </c>
      <c r="E572" t="inlineStr">
        <is>
          <t>STRÖMSUND</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38578-2019</t>
        </is>
      </c>
      <c r="B573" s="1" t="n">
        <v>43685</v>
      </c>
      <c r="C573" s="1" t="n">
        <v>45718</v>
      </c>
      <c r="D573" t="inlineStr">
        <is>
          <t>JÄMTLANDS LÄN</t>
        </is>
      </c>
      <c r="E573" t="inlineStr">
        <is>
          <t>STRÖMSUND</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38577-2019</t>
        </is>
      </c>
      <c r="B574" s="1" t="n">
        <v>43685</v>
      </c>
      <c r="C574" s="1" t="n">
        <v>45718</v>
      </c>
      <c r="D574" t="inlineStr">
        <is>
          <t>JÄMTLANDS LÄN</t>
        </is>
      </c>
      <c r="E574" t="inlineStr">
        <is>
          <t>STRÖMSUND</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39129-2019</t>
        </is>
      </c>
      <c r="B575" s="1" t="n">
        <v>43689</v>
      </c>
      <c r="C575" s="1" t="n">
        <v>45718</v>
      </c>
      <c r="D575" t="inlineStr">
        <is>
          <t>JÄMTLANDS LÄN</t>
        </is>
      </c>
      <c r="E575" t="inlineStr">
        <is>
          <t>STRÖMSUND</t>
        </is>
      </c>
      <c r="F575" t="inlineStr">
        <is>
          <t>SCA</t>
        </is>
      </c>
      <c r="G575" t="n">
        <v>67.2</v>
      </c>
      <c r="H575" t="n">
        <v>0</v>
      </c>
      <c r="I575" t="n">
        <v>0</v>
      </c>
      <c r="J575" t="n">
        <v>0</v>
      </c>
      <c r="K575" t="n">
        <v>0</v>
      </c>
      <c r="L575" t="n">
        <v>0</v>
      </c>
      <c r="M575" t="n">
        <v>0</v>
      </c>
      <c r="N575" t="n">
        <v>0</v>
      </c>
      <c r="O575" t="n">
        <v>0</v>
      </c>
      <c r="P575" t="n">
        <v>0</v>
      </c>
      <c r="Q575" t="n">
        <v>0</v>
      </c>
      <c r="R575" s="2" t="inlineStr"/>
    </row>
    <row r="576" ht="15" customHeight="1">
      <c r="A576" t="inlineStr">
        <is>
          <t>A 39226-2019</t>
        </is>
      </c>
      <c r="B576" s="1" t="n">
        <v>43690</v>
      </c>
      <c r="C576" s="1" t="n">
        <v>45718</v>
      </c>
      <c r="D576" t="inlineStr">
        <is>
          <t>JÄMTLANDS LÄN</t>
        </is>
      </c>
      <c r="E576" t="inlineStr">
        <is>
          <t>STRÖMSUND</t>
        </is>
      </c>
      <c r="G576" t="n">
        <v>3.3</v>
      </c>
      <c r="H576" t="n">
        <v>0</v>
      </c>
      <c r="I576" t="n">
        <v>0</v>
      </c>
      <c r="J576" t="n">
        <v>0</v>
      </c>
      <c r="K576" t="n">
        <v>0</v>
      </c>
      <c r="L576" t="n">
        <v>0</v>
      </c>
      <c r="M576" t="n">
        <v>0</v>
      </c>
      <c r="N576" t="n">
        <v>0</v>
      </c>
      <c r="O576" t="n">
        <v>0</v>
      </c>
      <c r="P576" t="n">
        <v>0</v>
      </c>
      <c r="Q576" t="n">
        <v>0</v>
      </c>
      <c r="R576" s="2" t="inlineStr"/>
    </row>
    <row r="577" ht="15" customHeight="1">
      <c r="A577" t="inlineStr">
        <is>
          <t>A 39282-2019</t>
        </is>
      </c>
      <c r="B577" s="1" t="n">
        <v>43690</v>
      </c>
      <c r="C577" s="1" t="n">
        <v>45718</v>
      </c>
      <c r="D577" t="inlineStr">
        <is>
          <t>JÄMTLANDS LÄN</t>
        </is>
      </c>
      <c r="E577" t="inlineStr">
        <is>
          <t>STRÖMSUND</t>
        </is>
      </c>
      <c r="F577" t="inlineStr">
        <is>
          <t>Holmen skog AB</t>
        </is>
      </c>
      <c r="G577" t="n">
        <v>21.2</v>
      </c>
      <c r="H577" t="n">
        <v>0</v>
      </c>
      <c r="I577" t="n">
        <v>0</v>
      </c>
      <c r="J577" t="n">
        <v>0</v>
      </c>
      <c r="K577" t="n">
        <v>0</v>
      </c>
      <c r="L577" t="n">
        <v>0</v>
      </c>
      <c r="M577" t="n">
        <v>0</v>
      </c>
      <c r="N577" t="n">
        <v>0</v>
      </c>
      <c r="O577" t="n">
        <v>0</v>
      </c>
      <c r="P577" t="n">
        <v>0</v>
      </c>
      <c r="Q577" t="n">
        <v>0</v>
      </c>
      <c r="R577" s="2" t="inlineStr"/>
    </row>
    <row r="578" ht="15" customHeight="1">
      <c r="A578" t="inlineStr">
        <is>
          <t>A 40509-2019</t>
        </is>
      </c>
      <c r="B578" s="1" t="n">
        <v>43696</v>
      </c>
      <c r="C578" s="1" t="n">
        <v>45718</v>
      </c>
      <c r="D578" t="inlineStr">
        <is>
          <t>JÄMTLANDS LÄN</t>
        </is>
      </c>
      <c r="E578" t="inlineStr">
        <is>
          <t>STRÖMSUND</t>
        </is>
      </c>
      <c r="G578" t="n">
        <v>16.4</v>
      </c>
      <c r="H578" t="n">
        <v>0</v>
      </c>
      <c r="I578" t="n">
        <v>0</v>
      </c>
      <c r="J578" t="n">
        <v>0</v>
      </c>
      <c r="K578" t="n">
        <v>0</v>
      </c>
      <c r="L578" t="n">
        <v>0</v>
      </c>
      <c r="M578" t="n">
        <v>0</v>
      </c>
      <c r="N578" t="n">
        <v>0</v>
      </c>
      <c r="O578" t="n">
        <v>0</v>
      </c>
      <c r="P578" t="n">
        <v>0</v>
      </c>
      <c r="Q578" t="n">
        <v>0</v>
      </c>
      <c r="R578" s="2" t="inlineStr"/>
    </row>
    <row r="579" ht="15" customHeight="1">
      <c r="A579" t="inlineStr">
        <is>
          <t>A 40661-2019</t>
        </is>
      </c>
      <c r="B579" s="1" t="n">
        <v>43696</v>
      </c>
      <c r="C579" s="1" t="n">
        <v>45718</v>
      </c>
      <c r="D579" t="inlineStr">
        <is>
          <t>JÄMTLANDS LÄN</t>
        </is>
      </c>
      <c r="E579" t="inlineStr">
        <is>
          <t>STRÖMSUND</t>
        </is>
      </c>
      <c r="G579" t="n">
        <v>2.9</v>
      </c>
      <c r="H579" t="n">
        <v>0</v>
      </c>
      <c r="I579" t="n">
        <v>0</v>
      </c>
      <c r="J579" t="n">
        <v>0</v>
      </c>
      <c r="K579" t="n">
        <v>0</v>
      </c>
      <c r="L579" t="n">
        <v>0</v>
      </c>
      <c r="M579" t="n">
        <v>0</v>
      </c>
      <c r="N579" t="n">
        <v>0</v>
      </c>
      <c r="O579" t="n">
        <v>0</v>
      </c>
      <c r="P579" t="n">
        <v>0</v>
      </c>
      <c r="Q579" t="n">
        <v>0</v>
      </c>
      <c r="R579" s="2" t="inlineStr"/>
    </row>
    <row r="580" ht="15" customHeight="1">
      <c r="A580" t="inlineStr">
        <is>
          <t>A 40670-2019</t>
        </is>
      </c>
      <c r="B580" s="1" t="n">
        <v>43696</v>
      </c>
      <c r="C580" s="1" t="n">
        <v>45718</v>
      </c>
      <c r="D580" t="inlineStr">
        <is>
          <t>JÄMTLANDS LÄN</t>
        </is>
      </c>
      <c r="E580" t="inlineStr">
        <is>
          <t>STRÖMSUND</t>
        </is>
      </c>
      <c r="F580" t="inlineStr">
        <is>
          <t>SCA</t>
        </is>
      </c>
      <c r="G580" t="n">
        <v>8.9</v>
      </c>
      <c r="H580" t="n">
        <v>0</v>
      </c>
      <c r="I580" t="n">
        <v>0</v>
      </c>
      <c r="J580" t="n">
        <v>0</v>
      </c>
      <c r="K580" t="n">
        <v>0</v>
      </c>
      <c r="L580" t="n">
        <v>0</v>
      </c>
      <c r="M580" t="n">
        <v>0</v>
      </c>
      <c r="N580" t="n">
        <v>0</v>
      </c>
      <c r="O580" t="n">
        <v>0</v>
      </c>
      <c r="P580" t="n">
        <v>0</v>
      </c>
      <c r="Q580" t="n">
        <v>0</v>
      </c>
      <c r="R580" s="2" t="inlineStr"/>
    </row>
    <row r="581" ht="15" customHeight="1">
      <c r="A581" t="inlineStr">
        <is>
          <t>A 40508-2019</t>
        </is>
      </c>
      <c r="B581" s="1" t="n">
        <v>43696</v>
      </c>
      <c r="C581" s="1" t="n">
        <v>45718</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41007-2019</t>
        </is>
      </c>
      <c r="B582" s="1" t="n">
        <v>43697</v>
      </c>
      <c r="C582" s="1" t="n">
        <v>45718</v>
      </c>
      <c r="D582" t="inlineStr">
        <is>
          <t>JÄMTLANDS LÄN</t>
        </is>
      </c>
      <c r="E582" t="inlineStr">
        <is>
          <t>STRÖMSUND</t>
        </is>
      </c>
      <c r="G582" t="n">
        <v>7.2</v>
      </c>
      <c r="H582" t="n">
        <v>0</v>
      </c>
      <c r="I582" t="n">
        <v>0</v>
      </c>
      <c r="J582" t="n">
        <v>0</v>
      </c>
      <c r="K582" t="n">
        <v>0</v>
      </c>
      <c r="L582" t="n">
        <v>0</v>
      </c>
      <c r="M582" t="n">
        <v>0</v>
      </c>
      <c r="N582" t="n">
        <v>0</v>
      </c>
      <c r="O582" t="n">
        <v>0</v>
      </c>
      <c r="P582" t="n">
        <v>0</v>
      </c>
      <c r="Q582" t="n">
        <v>0</v>
      </c>
      <c r="R582" s="2" t="inlineStr"/>
    </row>
    <row r="583" ht="15" customHeight="1">
      <c r="A583" t="inlineStr">
        <is>
          <t>A 41042-2019</t>
        </is>
      </c>
      <c r="B583" s="1" t="n">
        <v>43697</v>
      </c>
      <c r="C583" s="1" t="n">
        <v>45718</v>
      </c>
      <c r="D583" t="inlineStr">
        <is>
          <t>JÄMTLANDS LÄN</t>
        </is>
      </c>
      <c r="E583" t="inlineStr">
        <is>
          <t>STRÖMSUND</t>
        </is>
      </c>
      <c r="F583" t="inlineStr">
        <is>
          <t>SCA</t>
        </is>
      </c>
      <c r="G583" t="n">
        <v>58.2</v>
      </c>
      <c r="H583" t="n">
        <v>0</v>
      </c>
      <c r="I583" t="n">
        <v>0</v>
      </c>
      <c r="J583" t="n">
        <v>0</v>
      </c>
      <c r="K583" t="n">
        <v>0</v>
      </c>
      <c r="L583" t="n">
        <v>0</v>
      </c>
      <c r="M583" t="n">
        <v>0</v>
      </c>
      <c r="N583" t="n">
        <v>0</v>
      </c>
      <c r="O583" t="n">
        <v>0</v>
      </c>
      <c r="P583" t="n">
        <v>0</v>
      </c>
      <c r="Q583" t="n">
        <v>0</v>
      </c>
      <c r="R583" s="2" t="inlineStr"/>
    </row>
    <row r="584" ht="15" customHeight="1">
      <c r="A584" t="inlineStr">
        <is>
          <t>A 42420-2019</t>
        </is>
      </c>
      <c r="B584" s="1" t="n">
        <v>43703</v>
      </c>
      <c r="C584" s="1" t="n">
        <v>45718</v>
      </c>
      <c r="D584" t="inlineStr">
        <is>
          <t>JÄMTLANDS LÄN</t>
        </is>
      </c>
      <c r="E584" t="inlineStr">
        <is>
          <t>STRÖMSUND</t>
        </is>
      </c>
      <c r="G584" t="n">
        <v>8.4</v>
      </c>
      <c r="H584" t="n">
        <v>0</v>
      </c>
      <c r="I584" t="n">
        <v>0</v>
      </c>
      <c r="J584" t="n">
        <v>0</v>
      </c>
      <c r="K584" t="n">
        <v>0</v>
      </c>
      <c r="L584" t="n">
        <v>0</v>
      </c>
      <c r="M584" t="n">
        <v>0</v>
      </c>
      <c r="N584" t="n">
        <v>0</v>
      </c>
      <c r="O584" t="n">
        <v>0</v>
      </c>
      <c r="P584" t="n">
        <v>0</v>
      </c>
      <c r="Q584" t="n">
        <v>0</v>
      </c>
      <c r="R584" s="2" t="inlineStr"/>
    </row>
    <row r="585" ht="15" customHeight="1">
      <c r="A585" t="inlineStr">
        <is>
          <t>A 43180-2019</t>
        </is>
      </c>
      <c r="B585" s="1" t="n">
        <v>43705</v>
      </c>
      <c r="C585" s="1" t="n">
        <v>45718</v>
      </c>
      <c r="D585" t="inlineStr">
        <is>
          <t>JÄMTLANDS LÄN</t>
        </is>
      </c>
      <c r="E585" t="inlineStr">
        <is>
          <t>STRÖMSUND</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43707-2019</t>
        </is>
      </c>
      <c r="B586" s="1" t="n">
        <v>43707</v>
      </c>
      <c r="C586" s="1" t="n">
        <v>45718</v>
      </c>
      <c r="D586" t="inlineStr">
        <is>
          <t>JÄMTLANDS LÄN</t>
        </is>
      </c>
      <c r="E586" t="inlineStr">
        <is>
          <t>STRÖMSUND</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43943-2019</t>
        </is>
      </c>
      <c r="B587" s="1" t="n">
        <v>43707</v>
      </c>
      <c r="C587" s="1" t="n">
        <v>45718</v>
      </c>
      <c r="D587" t="inlineStr">
        <is>
          <t>JÄMTLANDS LÄN</t>
        </is>
      </c>
      <c r="E587" t="inlineStr">
        <is>
          <t>STRÖMSUND</t>
        </is>
      </c>
      <c r="F587" t="inlineStr">
        <is>
          <t>SCA</t>
        </is>
      </c>
      <c r="G587" t="n">
        <v>11.9</v>
      </c>
      <c r="H587" t="n">
        <v>0</v>
      </c>
      <c r="I587" t="n">
        <v>0</v>
      </c>
      <c r="J587" t="n">
        <v>0</v>
      </c>
      <c r="K587" t="n">
        <v>0</v>
      </c>
      <c r="L587" t="n">
        <v>0</v>
      </c>
      <c r="M587" t="n">
        <v>0</v>
      </c>
      <c r="N587" t="n">
        <v>0</v>
      </c>
      <c r="O587" t="n">
        <v>0</v>
      </c>
      <c r="P587" t="n">
        <v>0</v>
      </c>
      <c r="Q587" t="n">
        <v>0</v>
      </c>
      <c r="R587" s="2" t="inlineStr"/>
    </row>
    <row r="588" ht="15" customHeight="1">
      <c r="A588" t="inlineStr">
        <is>
          <t>A 43793-2019</t>
        </is>
      </c>
      <c r="B588" s="1" t="n">
        <v>43707</v>
      </c>
      <c r="C588" s="1" t="n">
        <v>45718</v>
      </c>
      <c r="D588" t="inlineStr">
        <is>
          <t>JÄMTLANDS LÄN</t>
        </is>
      </c>
      <c r="E588" t="inlineStr">
        <is>
          <t>STRÖMSUND</t>
        </is>
      </c>
      <c r="F588" t="inlineStr">
        <is>
          <t>Sveaskog</t>
        </is>
      </c>
      <c r="G588" t="n">
        <v>3.1</v>
      </c>
      <c r="H588" t="n">
        <v>0</v>
      </c>
      <c r="I588" t="n">
        <v>0</v>
      </c>
      <c r="J588" t="n">
        <v>0</v>
      </c>
      <c r="K588" t="n">
        <v>0</v>
      </c>
      <c r="L588" t="n">
        <v>0</v>
      </c>
      <c r="M588" t="n">
        <v>0</v>
      </c>
      <c r="N588" t="n">
        <v>0</v>
      </c>
      <c r="O588" t="n">
        <v>0</v>
      </c>
      <c r="P588" t="n">
        <v>0</v>
      </c>
      <c r="Q588" t="n">
        <v>0</v>
      </c>
      <c r="R588" s="2" t="inlineStr"/>
    </row>
    <row r="589" ht="15" customHeight="1">
      <c r="A589" t="inlineStr">
        <is>
          <t>A 45171-2019</t>
        </is>
      </c>
      <c r="B589" s="1" t="n">
        <v>43707</v>
      </c>
      <c r="C589" s="1" t="n">
        <v>45718</v>
      </c>
      <c r="D589" t="inlineStr">
        <is>
          <t>JÄMTLANDS LÄN</t>
        </is>
      </c>
      <c r="E589" t="inlineStr">
        <is>
          <t>STRÖMSUND</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44010-2019</t>
        </is>
      </c>
      <c r="B590" s="1" t="n">
        <v>43709</v>
      </c>
      <c r="C590" s="1" t="n">
        <v>45718</v>
      </c>
      <c r="D590" t="inlineStr">
        <is>
          <t>JÄMTLANDS LÄN</t>
        </is>
      </c>
      <c r="E590" t="inlineStr">
        <is>
          <t>STRÖMSUND</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44535-2019</t>
        </is>
      </c>
      <c r="B591" s="1" t="n">
        <v>43711</v>
      </c>
      <c r="C591" s="1" t="n">
        <v>45718</v>
      </c>
      <c r="D591" t="inlineStr">
        <is>
          <t>JÄMTLANDS LÄN</t>
        </is>
      </c>
      <c r="E591" t="inlineStr">
        <is>
          <t>STRÖMSUND</t>
        </is>
      </c>
      <c r="G591" t="n">
        <v>23.8</v>
      </c>
      <c r="H591" t="n">
        <v>0</v>
      </c>
      <c r="I591" t="n">
        <v>0</v>
      </c>
      <c r="J591" t="n">
        <v>0</v>
      </c>
      <c r="K591" t="n">
        <v>0</v>
      </c>
      <c r="L591" t="n">
        <v>0</v>
      </c>
      <c r="M591" t="n">
        <v>0</v>
      </c>
      <c r="N591" t="n">
        <v>0</v>
      </c>
      <c r="O591" t="n">
        <v>0</v>
      </c>
      <c r="P591" t="n">
        <v>0</v>
      </c>
      <c r="Q591" t="n">
        <v>0</v>
      </c>
      <c r="R591" s="2" t="inlineStr"/>
    </row>
    <row r="592" ht="15" customHeight="1">
      <c r="A592" t="inlineStr">
        <is>
          <t>A 44604-2019</t>
        </is>
      </c>
      <c r="B592" s="1" t="n">
        <v>43711</v>
      </c>
      <c r="C592" s="1" t="n">
        <v>45718</v>
      </c>
      <c r="D592" t="inlineStr">
        <is>
          <t>JÄMTLANDS LÄN</t>
        </is>
      </c>
      <c r="E592" t="inlineStr">
        <is>
          <t>STRÖMSUND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45773-2019</t>
        </is>
      </c>
      <c r="B593" s="1" t="n">
        <v>43711</v>
      </c>
      <c r="C593" s="1" t="n">
        <v>45718</v>
      </c>
      <c r="D593" t="inlineStr">
        <is>
          <t>JÄMTLANDS LÄN</t>
        </is>
      </c>
      <c r="E593" t="inlineStr">
        <is>
          <t>STRÖMSUND</t>
        </is>
      </c>
      <c r="G593" t="n">
        <v>3.2</v>
      </c>
      <c r="H593" t="n">
        <v>0</v>
      </c>
      <c r="I593" t="n">
        <v>0</v>
      </c>
      <c r="J593" t="n">
        <v>0</v>
      </c>
      <c r="K593" t="n">
        <v>0</v>
      </c>
      <c r="L593" t="n">
        <v>0</v>
      </c>
      <c r="M593" t="n">
        <v>0</v>
      </c>
      <c r="N593" t="n">
        <v>0</v>
      </c>
      <c r="O593" t="n">
        <v>0</v>
      </c>
      <c r="P593" t="n">
        <v>0</v>
      </c>
      <c r="Q593" t="n">
        <v>0</v>
      </c>
      <c r="R593" s="2" t="inlineStr"/>
    </row>
    <row r="594" ht="15" customHeight="1">
      <c r="A594" t="inlineStr">
        <is>
          <t>A 44605-2019</t>
        </is>
      </c>
      <c r="B594" s="1" t="n">
        <v>43711</v>
      </c>
      <c r="C594" s="1" t="n">
        <v>45718</v>
      </c>
      <c r="D594" t="inlineStr">
        <is>
          <t>JÄMTLANDS LÄN</t>
        </is>
      </c>
      <c r="E594" t="inlineStr">
        <is>
          <t>STRÖMSUND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45737-2019</t>
        </is>
      </c>
      <c r="B595" s="1" t="n">
        <v>43711</v>
      </c>
      <c r="C595" s="1" t="n">
        <v>45718</v>
      </c>
      <c r="D595" t="inlineStr">
        <is>
          <t>JÄMTLANDS LÄN</t>
        </is>
      </c>
      <c r="E595" t="inlineStr">
        <is>
          <t>STRÖMSUND</t>
        </is>
      </c>
      <c r="F595" t="inlineStr">
        <is>
          <t>Holmen skog AB</t>
        </is>
      </c>
      <c r="G595" t="n">
        <v>9.5</v>
      </c>
      <c r="H595" t="n">
        <v>0</v>
      </c>
      <c r="I595" t="n">
        <v>0</v>
      </c>
      <c r="J595" t="n">
        <v>0</v>
      </c>
      <c r="K595" t="n">
        <v>0</v>
      </c>
      <c r="L595" t="n">
        <v>0</v>
      </c>
      <c r="M595" t="n">
        <v>0</v>
      </c>
      <c r="N595" t="n">
        <v>0</v>
      </c>
      <c r="O595" t="n">
        <v>0</v>
      </c>
      <c r="P595" t="n">
        <v>0</v>
      </c>
      <c r="Q595" t="n">
        <v>0</v>
      </c>
      <c r="R595" s="2" t="inlineStr"/>
    </row>
    <row r="596" ht="15" customHeight="1">
      <c r="A596" t="inlineStr">
        <is>
          <t>A 45776-2019</t>
        </is>
      </c>
      <c r="B596" s="1" t="n">
        <v>43711</v>
      </c>
      <c r="C596" s="1" t="n">
        <v>45718</v>
      </c>
      <c r="D596" t="inlineStr">
        <is>
          <t>JÄMTLANDS LÄN</t>
        </is>
      </c>
      <c r="E596" t="inlineStr">
        <is>
          <t>STRÖMSUND</t>
        </is>
      </c>
      <c r="G596" t="n">
        <v>3.6</v>
      </c>
      <c r="H596" t="n">
        <v>0</v>
      </c>
      <c r="I596" t="n">
        <v>0</v>
      </c>
      <c r="J596" t="n">
        <v>0</v>
      </c>
      <c r="K596" t="n">
        <v>0</v>
      </c>
      <c r="L596" t="n">
        <v>0</v>
      </c>
      <c r="M596" t="n">
        <v>0</v>
      </c>
      <c r="N596" t="n">
        <v>0</v>
      </c>
      <c r="O596" t="n">
        <v>0</v>
      </c>
      <c r="P596" t="n">
        <v>0</v>
      </c>
      <c r="Q596" t="n">
        <v>0</v>
      </c>
      <c r="R596" s="2" t="inlineStr"/>
    </row>
    <row r="597" ht="15" customHeight="1">
      <c r="A597" t="inlineStr">
        <is>
          <t>A 44774-2019</t>
        </is>
      </c>
      <c r="B597" s="1" t="n">
        <v>43712</v>
      </c>
      <c r="C597" s="1" t="n">
        <v>45718</v>
      </c>
      <c r="D597" t="inlineStr">
        <is>
          <t>JÄMTLANDS LÄN</t>
        </is>
      </c>
      <c r="E597" t="inlineStr">
        <is>
          <t>STRÖMSUND</t>
        </is>
      </c>
      <c r="G597" t="n">
        <v>4.6</v>
      </c>
      <c r="H597" t="n">
        <v>0</v>
      </c>
      <c r="I597" t="n">
        <v>0</v>
      </c>
      <c r="J597" t="n">
        <v>0</v>
      </c>
      <c r="K597" t="n">
        <v>0</v>
      </c>
      <c r="L597" t="n">
        <v>0</v>
      </c>
      <c r="M597" t="n">
        <v>0</v>
      </c>
      <c r="N597" t="n">
        <v>0</v>
      </c>
      <c r="O597" t="n">
        <v>0</v>
      </c>
      <c r="P597" t="n">
        <v>0</v>
      </c>
      <c r="Q597" t="n">
        <v>0</v>
      </c>
      <c r="R597" s="2" t="inlineStr"/>
    </row>
    <row r="598" ht="15" customHeight="1">
      <c r="A598" t="inlineStr">
        <is>
          <t>A 44809-2019</t>
        </is>
      </c>
      <c r="B598" s="1" t="n">
        <v>43712</v>
      </c>
      <c r="C598" s="1" t="n">
        <v>45718</v>
      </c>
      <c r="D598" t="inlineStr">
        <is>
          <t>JÄMTLANDS LÄN</t>
        </is>
      </c>
      <c r="E598" t="inlineStr">
        <is>
          <t>STRÖMSUND</t>
        </is>
      </c>
      <c r="F598" t="inlineStr">
        <is>
          <t>Kommuner</t>
        </is>
      </c>
      <c r="G598" t="n">
        <v>13.4</v>
      </c>
      <c r="H598" t="n">
        <v>0</v>
      </c>
      <c r="I598" t="n">
        <v>0</v>
      </c>
      <c r="J598" t="n">
        <v>0</v>
      </c>
      <c r="K598" t="n">
        <v>0</v>
      </c>
      <c r="L598" t="n">
        <v>0</v>
      </c>
      <c r="M598" t="n">
        <v>0</v>
      </c>
      <c r="N598" t="n">
        <v>0</v>
      </c>
      <c r="O598" t="n">
        <v>0</v>
      </c>
      <c r="P598" t="n">
        <v>0</v>
      </c>
      <c r="Q598" t="n">
        <v>0</v>
      </c>
      <c r="R598" s="2" t="inlineStr"/>
    </row>
    <row r="599" ht="15" customHeight="1">
      <c r="A599" t="inlineStr">
        <is>
          <t>A 44882-2019</t>
        </is>
      </c>
      <c r="B599" s="1" t="n">
        <v>43712</v>
      </c>
      <c r="C599" s="1" t="n">
        <v>45718</v>
      </c>
      <c r="D599" t="inlineStr">
        <is>
          <t>JÄMTLANDS LÄN</t>
        </is>
      </c>
      <c r="E599" t="inlineStr">
        <is>
          <t>STRÖMSUND</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44956-2019</t>
        </is>
      </c>
      <c r="B600" s="1" t="n">
        <v>43713</v>
      </c>
      <c r="C600" s="1" t="n">
        <v>45718</v>
      </c>
      <c r="D600" t="inlineStr">
        <is>
          <t>JÄMTLANDS LÄN</t>
        </is>
      </c>
      <c r="E600" t="inlineStr">
        <is>
          <t>STRÖMSUND</t>
        </is>
      </c>
      <c r="G600" t="n">
        <v>2.4</v>
      </c>
      <c r="H600" t="n">
        <v>0</v>
      </c>
      <c r="I600" t="n">
        <v>0</v>
      </c>
      <c r="J600" t="n">
        <v>0</v>
      </c>
      <c r="K600" t="n">
        <v>0</v>
      </c>
      <c r="L600" t="n">
        <v>0</v>
      </c>
      <c r="M600" t="n">
        <v>0</v>
      </c>
      <c r="N600" t="n">
        <v>0</v>
      </c>
      <c r="O600" t="n">
        <v>0</v>
      </c>
      <c r="P600" t="n">
        <v>0</v>
      </c>
      <c r="Q600" t="n">
        <v>0</v>
      </c>
      <c r="R600" s="2" t="inlineStr"/>
    </row>
    <row r="601" ht="15" customHeight="1">
      <c r="A601" t="inlineStr">
        <is>
          <t>A 45165-2019</t>
        </is>
      </c>
      <c r="B601" s="1" t="n">
        <v>43713</v>
      </c>
      <c r="C601" s="1" t="n">
        <v>45718</v>
      </c>
      <c r="D601" t="inlineStr">
        <is>
          <t>JÄMTLANDS LÄN</t>
        </is>
      </c>
      <c r="E601" t="inlineStr">
        <is>
          <t>STRÖMSUND</t>
        </is>
      </c>
      <c r="F601" t="inlineStr">
        <is>
          <t>Holmen skog AB</t>
        </is>
      </c>
      <c r="G601" t="n">
        <v>25.4</v>
      </c>
      <c r="H601" t="n">
        <v>0</v>
      </c>
      <c r="I601" t="n">
        <v>0</v>
      </c>
      <c r="J601" t="n">
        <v>0</v>
      </c>
      <c r="K601" t="n">
        <v>0</v>
      </c>
      <c r="L601" t="n">
        <v>0</v>
      </c>
      <c r="M601" t="n">
        <v>0</v>
      </c>
      <c r="N601" t="n">
        <v>0</v>
      </c>
      <c r="O601" t="n">
        <v>0</v>
      </c>
      <c r="P601" t="n">
        <v>0</v>
      </c>
      <c r="Q601" t="n">
        <v>0</v>
      </c>
      <c r="R601" s="2" t="inlineStr"/>
    </row>
    <row r="602" ht="15" customHeight="1">
      <c r="A602" t="inlineStr">
        <is>
          <t>A 45362-2019</t>
        </is>
      </c>
      <c r="B602" s="1" t="n">
        <v>43714</v>
      </c>
      <c r="C602" s="1" t="n">
        <v>45718</v>
      </c>
      <c r="D602" t="inlineStr">
        <is>
          <t>JÄMTLANDS LÄN</t>
        </is>
      </c>
      <c r="E602" t="inlineStr">
        <is>
          <t>STRÖMSUND</t>
        </is>
      </c>
      <c r="G602" t="n">
        <v>4.2</v>
      </c>
      <c r="H602" t="n">
        <v>0</v>
      </c>
      <c r="I602" t="n">
        <v>0</v>
      </c>
      <c r="J602" t="n">
        <v>0</v>
      </c>
      <c r="K602" t="n">
        <v>0</v>
      </c>
      <c r="L602" t="n">
        <v>0</v>
      </c>
      <c r="M602" t="n">
        <v>0</v>
      </c>
      <c r="N602" t="n">
        <v>0</v>
      </c>
      <c r="O602" t="n">
        <v>0</v>
      </c>
      <c r="P602" t="n">
        <v>0</v>
      </c>
      <c r="Q602" t="n">
        <v>0</v>
      </c>
      <c r="R602" s="2" t="inlineStr"/>
    </row>
    <row r="603" ht="15" customHeight="1">
      <c r="A603" t="inlineStr">
        <is>
          <t>A 45649-2019</t>
        </is>
      </c>
      <c r="B603" s="1" t="n">
        <v>43717</v>
      </c>
      <c r="C603" s="1" t="n">
        <v>45718</v>
      </c>
      <c r="D603" t="inlineStr">
        <is>
          <t>JÄMTLANDS LÄN</t>
        </is>
      </c>
      <c r="E603" t="inlineStr">
        <is>
          <t>STRÖMSUND</t>
        </is>
      </c>
      <c r="F603" t="inlineStr">
        <is>
          <t>Holmen skog AB</t>
        </is>
      </c>
      <c r="G603" t="n">
        <v>24.2</v>
      </c>
      <c r="H603" t="n">
        <v>0</v>
      </c>
      <c r="I603" t="n">
        <v>0</v>
      </c>
      <c r="J603" t="n">
        <v>0</v>
      </c>
      <c r="K603" t="n">
        <v>0</v>
      </c>
      <c r="L603" t="n">
        <v>0</v>
      </c>
      <c r="M603" t="n">
        <v>0</v>
      </c>
      <c r="N603" t="n">
        <v>0</v>
      </c>
      <c r="O603" t="n">
        <v>0</v>
      </c>
      <c r="P603" t="n">
        <v>0</v>
      </c>
      <c r="Q603" t="n">
        <v>0</v>
      </c>
      <c r="R603" s="2" t="inlineStr"/>
    </row>
    <row r="604" ht="15" customHeight="1">
      <c r="A604" t="inlineStr">
        <is>
          <t>A 45918-2019</t>
        </is>
      </c>
      <c r="B604" s="1" t="n">
        <v>43717</v>
      </c>
      <c r="C604" s="1" t="n">
        <v>45718</v>
      </c>
      <c r="D604" t="inlineStr">
        <is>
          <t>JÄMTLANDS LÄN</t>
        </is>
      </c>
      <c r="E604" t="inlineStr">
        <is>
          <t>STRÖMSUND</t>
        </is>
      </c>
      <c r="G604" t="n">
        <v>1.5</v>
      </c>
      <c r="H604" t="n">
        <v>0</v>
      </c>
      <c r="I604" t="n">
        <v>0</v>
      </c>
      <c r="J604" t="n">
        <v>0</v>
      </c>
      <c r="K604" t="n">
        <v>0</v>
      </c>
      <c r="L604" t="n">
        <v>0</v>
      </c>
      <c r="M604" t="n">
        <v>0</v>
      </c>
      <c r="N604" t="n">
        <v>0</v>
      </c>
      <c r="O604" t="n">
        <v>0</v>
      </c>
      <c r="P604" t="n">
        <v>0</v>
      </c>
      <c r="Q604" t="n">
        <v>0</v>
      </c>
      <c r="R604" s="2" t="inlineStr"/>
    </row>
    <row r="605" ht="15" customHeight="1">
      <c r="A605" t="inlineStr">
        <is>
          <t>A 45917-2019</t>
        </is>
      </c>
      <c r="B605" s="1" t="n">
        <v>43717</v>
      </c>
      <c r="C605" s="1" t="n">
        <v>45718</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45835-2019</t>
        </is>
      </c>
      <c r="B606" s="1" t="n">
        <v>43717</v>
      </c>
      <c r="C606" s="1" t="n">
        <v>45718</v>
      </c>
      <c r="D606" t="inlineStr">
        <is>
          <t>JÄMTLANDS LÄN</t>
        </is>
      </c>
      <c r="E606" t="inlineStr">
        <is>
          <t>STRÖMSUND</t>
        </is>
      </c>
      <c r="F606" t="inlineStr">
        <is>
          <t>Holmen skog AB</t>
        </is>
      </c>
      <c r="G606" t="n">
        <v>5.9</v>
      </c>
      <c r="H606" t="n">
        <v>0</v>
      </c>
      <c r="I606" t="n">
        <v>0</v>
      </c>
      <c r="J606" t="n">
        <v>0</v>
      </c>
      <c r="K606" t="n">
        <v>0</v>
      </c>
      <c r="L606" t="n">
        <v>0</v>
      </c>
      <c r="M606" t="n">
        <v>0</v>
      </c>
      <c r="N606" t="n">
        <v>0</v>
      </c>
      <c r="O606" t="n">
        <v>0</v>
      </c>
      <c r="P606" t="n">
        <v>0</v>
      </c>
      <c r="Q606" t="n">
        <v>0</v>
      </c>
      <c r="R606" s="2" t="inlineStr"/>
    </row>
    <row r="607" ht="15" customHeight="1">
      <c r="A607" t="inlineStr">
        <is>
          <t>A 45963-2019</t>
        </is>
      </c>
      <c r="B607" s="1" t="n">
        <v>43718</v>
      </c>
      <c r="C607" s="1" t="n">
        <v>45718</v>
      </c>
      <c r="D607" t="inlineStr">
        <is>
          <t>JÄMTLANDS LÄN</t>
        </is>
      </c>
      <c r="E607" t="inlineStr">
        <is>
          <t>STRÖMSUND</t>
        </is>
      </c>
      <c r="F607" t="inlineStr">
        <is>
          <t>Holmen skog AB</t>
        </is>
      </c>
      <c r="G607" t="n">
        <v>11.8</v>
      </c>
      <c r="H607" t="n">
        <v>0</v>
      </c>
      <c r="I607" t="n">
        <v>0</v>
      </c>
      <c r="J607" t="n">
        <v>0</v>
      </c>
      <c r="K607" t="n">
        <v>0</v>
      </c>
      <c r="L607" t="n">
        <v>0</v>
      </c>
      <c r="M607" t="n">
        <v>0</v>
      </c>
      <c r="N607" t="n">
        <v>0</v>
      </c>
      <c r="O607" t="n">
        <v>0</v>
      </c>
      <c r="P607" t="n">
        <v>0</v>
      </c>
      <c r="Q607" t="n">
        <v>0</v>
      </c>
      <c r="R607" s="2" t="inlineStr"/>
    </row>
    <row r="608" ht="15" customHeight="1">
      <c r="A608" t="inlineStr">
        <is>
          <t>A 47082-2019</t>
        </is>
      </c>
      <c r="B608" s="1" t="n">
        <v>43720</v>
      </c>
      <c r="C608" s="1" t="n">
        <v>45718</v>
      </c>
      <c r="D608" t="inlineStr">
        <is>
          <t>JÄMTLANDS LÄN</t>
        </is>
      </c>
      <c r="E608" t="inlineStr">
        <is>
          <t>STRÖMSUND</t>
        </is>
      </c>
      <c r="F608" t="inlineStr">
        <is>
          <t>SCA</t>
        </is>
      </c>
      <c r="G608" t="n">
        <v>11.6</v>
      </c>
      <c r="H608" t="n">
        <v>0</v>
      </c>
      <c r="I608" t="n">
        <v>0</v>
      </c>
      <c r="J608" t="n">
        <v>0</v>
      </c>
      <c r="K608" t="n">
        <v>0</v>
      </c>
      <c r="L608" t="n">
        <v>0</v>
      </c>
      <c r="M608" t="n">
        <v>0</v>
      </c>
      <c r="N608" t="n">
        <v>0</v>
      </c>
      <c r="O608" t="n">
        <v>0</v>
      </c>
      <c r="P608" t="n">
        <v>0</v>
      </c>
      <c r="Q608" t="n">
        <v>0</v>
      </c>
      <c r="R608" s="2" t="inlineStr"/>
    </row>
    <row r="609" ht="15" customHeight="1">
      <c r="A609" t="inlineStr">
        <is>
          <t>A 47410-2019</t>
        </is>
      </c>
      <c r="B609" s="1" t="n">
        <v>43723</v>
      </c>
      <c r="C609" s="1" t="n">
        <v>45718</v>
      </c>
      <c r="D609" t="inlineStr">
        <is>
          <t>JÄMTLANDS LÄN</t>
        </is>
      </c>
      <c r="E609" t="inlineStr">
        <is>
          <t>STRÖMSUND</t>
        </is>
      </c>
      <c r="G609" t="n">
        <v>5.4</v>
      </c>
      <c r="H609" t="n">
        <v>0</v>
      </c>
      <c r="I609" t="n">
        <v>0</v>
      </c>
      <c r="J609" t="n">
        <v>0</v>
      </c>
      <c r="K609" t="n">
        <v>0</v>
      </c>
      <c r="L609" t="n">
        <v>0</v>
      </c>
      <c r="M609" t="n">
        <v>0</v>
      </c>
      <c r="N609" t="n">
        <v>0</v>
      </c>
      <c r="O609" t="n">
        <v>0</v>
      </c>
      <c r="P609" t="n">
        <v>0</v>
      </c>
      <c r="Q609" t="n">
        <v>0</v>
      </c>
      <c r="R609" s="2" t="inlineStr"/>
    </row>
    <row r="610" ht="15" customHeight="1">
      <c r="A610" t="inlineStr">
        <is>
          <t>A 47531-2019</t>
        </is>
      </c>
      <c r="B610" s="1" t="n">
        <v>43724</v>
      </c>
      <c r="C610" s="1" t="n">
        <v>45718</v>
      </c>
      <c r="D610" t="inlineStr">
        <is>
          <t>JÄMTLANDS LÄN</t>
        </is>
      </c>
      <c r="E610" t="inlineStr">
        <is>
          <t>STRÖMSUND</t>
        </is>
      </c>
      <c r="G610" t="n">
        <v>30.4</v>
      </c>
      <c r="H610" t="n">
        <v>0</v>
      </c>
      <c r="I610" t="n">
        <v>0</v>
      </c>
      <c r="J610" t="n">
        <v>0</v>
      </c>
      <c r="K610" t="n">
        <v>0</v>
      </c>
      <c r="L610" t="n">
        <v>0</v>
      </c>
      <c r="M610" t="n">
        <v>0</v>
      </c>
      <c r="N610" t="n">
        <v>0</v>
      </c>
      <c r="O610" t="n">
        <v>0</v>
      </c>
      <c r="P610" t="n">
        <v>0</v>
      </c>
      <c r="Q610" t="n">
        <v>0</v>
      </c>
      <c r="R610" s="2" t="inlineStr"/>
    </row>
    <row r="611" ht="15" customHeight="1">
      <c r="A611" t="inlineStr">
        <is>
          <t>A 47811-2019</t>
        </is>
      </c>
      <c r="B611" s="1" t="n">
        <v>43724</v>
      </c>
      <c r="C611" s="1" t="n">
        <v>45718</v>
      </c>
      <c r="D611" t="inlineStr">
        <is>
          <t>JÄMTLANDS LÄN</t>
        </is>
      </c>
      <c r="E611" t="inlineStr">
        <is>
          <t>STRÖMSUND</t>
        </is>
      </c>
      <c r="F611" t="inlineStr">
        <is>
          <t>SCA</t>
        </is>
      </c>
      <c r="G611" t="n">
        <v>14.6</v>
      </c>
      <c r="H611" t="n">
        <v>0</v>
      </c>
      <c r="I611" t="n">
        <v>0</v>
      </c>
      <c r="J611" t="n">
        <v>0</v>
      </c>
      <c r="K611" t="n">
        <v>0</v>
      </c>
      <c r="L611" t="n">
        <v>0</v>
      </c>
      <c r="M611" t="n">
        <v>0</v>
      </c>
      <c r="N611" t="n">
        <v>0</v>
      </c>
      <c r="O611" t="n">
        <v>0</v>
      </c>
      <c r="P611" t="n">
        <v>0</v>
      </c>
      <c r="Q611" t="n">
        <v>0</v>
      </c>
      <c r="R611" s="2" t="inlineStr"/>
    </row>
    <row r="612" ht="15" customHeight="1">
      <c r="A612" t="inlineStr">
        <is>
          <t>A 48052-2019</t>
        </is>
      </c>
      <c r="B612" s="1" t="n">
        <v>43725</v>
      </c>
      <c r="C612" s="1" t="n">
        <v>45718</v>
      </c>
      <c r="D612" t="inlineStr">
        <is>
          <t>JÄMTLANDS LÄN</t>
        </is>
      </c>
      <c r="E612" t="inlineStr">
        <is>
          <t>STRÖMSUND</t>
        </is>
      </c>
      <c r="G612" t="n">
        <v>4.8</v>
      </c>
      <c r="H612" t="n">
        <v>0</v>
      </c>
      <c r="I612" t="n">
        <v>0</v>
      </c>
      <c r="J612" t="n">
        <v>0</v>
      </c>
      <c r="K612" t="n">
        <v>0</v>
      </c>
      <c r="L612" t="n">
        <v>0</v>
      </c>
      <c r="M612" t="n">
        <v>0</v>
      </c>
      <c r="N612" t="n">
        <v>0</v>
      </c>
      <c r="O612" t="n">
        <v>0</v>
      </c>
      <c r="P612" t="n">
        <v>0</v>
      </c>
      <c r="Q612" t="n">
        <v>0</v>
      </c>
      <c r="R612" s="2" t="inlineStr"/>
    </row>
    <row r="613" ht="15" customHeight="1">
      <c r="A613" t="inlineStr">
        <is>
          <t>A 48578-2019</t>
        </is>
      </c>
      <c r="B613" s="1" t="n">
        <v>43727</v>
      </c>
      <c r="C613" s="1" t="n">
        <v>45718</v>
      </c>
      <c r="D613" t="inlineStr">
        <is>
          <t>JÄMTLANDS LÄN</t>
        </is>
      </c>
      <c r="E613" t="inlineStr">
        <is>
          <t>STRÖMSUND</t>
        </is>
      </c>
      <c r="G613" t="n">
        <v>20.8</v>
      </c>
      <c r="H613" t="n">
        <v>0</v>
      </c>
      <c r="I613" t="n">
        <v>0</v>
      </c>
      <c r="J613" t="n">
        <v>0</v>
      </c>
      <c r="K613" t="n">
        <v>0</v>
      </c>
      <c r="L613" t="n">
        <v>0</v>
      </c>
      <c r="M613" t="n">
        <v>0</v>
      </c>
      <c r="N613" t="n">
        <v>0</v>
      </c>
      <c r="O613" t="n">
        <v>0</v>
      </c>
      <c r="P613" t="n">
        <v>0</v>
      </c>
      <c r="Q613" t="n">
        <v>0</v>
      </c>
      <c r="R613" s="2" t="inlineStr"/>
    </row>
    <row r="614" ht="15" customHeight="1">
      <c r="A614" t="inlineStr">
        <is>
          <t>A 48565-2019</t>
        </is>
      </c>
      <c r="B614" s="1" t="n">
        <v>43727</v>
      </c>
      <c r="C614" s="1" t="n">
        <v>45718</v>
      </c>
      <c r="D614" t="inlineStr">
        <is>
          <t>JÄMTLANDS LÄN</t>
        </is>
      </c>
      <c r="E614" t="inlineStr">
        <is>
          <t>STRÖMSUND</t>
        </is>
      </c>
      <c r="G614" t="n">
        <v>2.8</v>
      </c>
      <c r="H614" t="n">
        <v>0</v>
      </c>
      <c r="I614" t="n">
        <v>0</v>
      </c>
      <c r="J614" t="n">
        <v>0</v>
      </c>
      <c r="K614" t="n">
        <v>0</v>
      </c>
      <c r="L614" t="n">
        <v>0</v>
      </c>
      <c r="M614" t="n">
        <v>0</v>
      </c>
      <c r="N614" t="n">
        <v>0</v>
      </c>
      <c r="O614" t="n">
        <v>0</v>
      </c>
      <c r="P614" t="n">
        <v>0</v>
      </c>
      <c r="Q614" t="n">
        <v>0</v>
      </c>
      <c r="R614" s="2" t="inlineStr"/>
    </row>
    <row r="615" ht="15" customHeight="1">
      <c r="A615" t="inlineStr">
        <is>
          <t>A 48620-2019</t>
        </is>
      </c>
      <c r="B615" s="1" t="n">
        <v>43727</v>
      </c>
      <c r="C615" s="1" t="n">
        <v>45718</v>
      </c>
      <c r="D615" t="inlineStr">
        <is>
          <t>JÄMTLANDS LÄN</t>
        </is>
      </c>
      <c r="E615" t="inlineStr">
        <is>
          <t>STRÖMSUND</t>
        </is>
      </c>
      <c r="G615" t="n">
        <v>2.4</v>
      </c>
      <c r="H615" t="n">
        <v>0</v>
      </c>
      <c r="I615" t="n">
        <v>0</v>
      </c>
      <c r="J615" t="n">
        <v>0</v>
      </c>
      <c r="K615" t="n">
        <v>0</v>
      </c>
      <c r="L615" t="n">
        <v>0</v>
      </c>
      <c r="M615" t="n">
        <v>0</v>
      </c>
      <c r="N615" t="n">
        <v>0</v>
      </c>
      <c r="O615" t="n">
        <v>0</v>
      </c>
      <c r="P615" t="n">
        <v>0</v>
      </c>
      <c r="Q615" t="n">
        <v>0</v>
      </c>
      <c r="R615" s="2" t="inlineStr"/>
    </row>
    <row r="616" ht="15" customHeight="1">
      <c r="A616" t="inlineStr">
        <is>
          <t>A 48573-2019</t>
        </is>
      </c>
      <c r="B616" s="1" t="n">
        <v>43727</v>
      </c>
      <c r="C616" s="1" t="n">
        <v>45718</v>
      </c>
      <c r="D616" t="inlineStr">
        <is>
          <t>JÄMTLANDS LÄN</t>
        </is>
      </c>
      <c r="E616" t="inlineStr">
        <is>
          <t>STRÖMSUND</t>
        </is>
      </c>
      <c r="G616" t="n">
        <v>7.5</v>
      </c>
      <c r="H616" t="n">
        <v>0</v>
      </c>
      <c r="I616" t="n">
        <v>0</v>
      </c>
      <c r="J616" t="n">
        <v>0</v>
      </c>
      <c r="K616" t="n">
        <v>0</v>
      </c>
      <c r="L616" t="n">
        <v>0</v>
      </c>
      <c r="M616" t="n">
        <v>0</v>
      </c>
      <c r="N616" t="n">
        <v>0</v>
      </c>
      <c r="O616" t="n">
        <v>0</v>
      </c>
      <c r="P616" t="n">
        <v>0</v>
      </c>
      <c r="Q616" t="n">
        <v>0</v>
      </c>
      <c r="R616" s="2" t="inlineStr"/>
    </row>
    <row r="617" ht="15" customHeight="1">
      <c r="A617" t="inlineStr">
        <is>
          <t>A 48951-2019</t>
        </is>
      </c>
      <c r="B617" s="1" t="n">
        <v>43728</v>
      </c>
      <c r="C617" s="1" t="n">
        <v>45718</v>
      </c>
      <c r="D617" t="inlineStr">
        <is>
          <t>JÄMTLANDS LÄN</t>
        </is>
      </c>
      <c r="E617" t="inlineStr">
        <is>
          <t>STRÖMSUND</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48965-2019</t>
        </is>
      </c>
      <c r="B618" s="1" t="n">
        <v>43728</v>
      </c>
      <c r="C618" s="1" t="n">
        <v>45718</v>
      </c>
      <c r="D618" t="inlineStr">
        <is>
          <t>JÄMTLANDS LÄN</t>
        </is>
      </c>
      <c r="E618" t="inlineStr">
        <is>
          <t>STRÖMSUND</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49291-2019</t>
        </is>
      </c>
      <c r="B619" s="1" t="n">
        <v>43731</v>
      </c>
      <c r="C619" s="1" t="n">
        <v>45718</v>
      </c>
      <c r="D619" t="inlineStr">
        <is>
          <t>JÄMTLANDS LÄN</t>
        </is>
      </c>
      <c r="E619" t="inlineStr">
        <is>
          <t>STRÖMSUND</t>
        </is>
      </c>
      <c r="G619" t="n">
        <v>20.7</v>
      </c>
      <c r="H619" t="n">
        <v>0</v>
      </c>
      <c r="I619" t="n">
        <v>0</v>
      </c>
      <c r="J619" t="n">
        <v>0</v>
      </c>
      <c r="K619" t="n">
        <v>0</v>
      </c>
      <c r="L619" t="n">
        <v>0</v>
      </c>
      <c r="M619" t="n">
        <v>0</v>
      </c>
      <c r="N619" t="n">
        <v>0</v>
      </c>
      <c r="O619" t="n">
        <v>0</v>
      </c>
      <c r="P619" t="n">
        <v>0</v>
      </c>
      <c r="Q619" t="n">
        <v>0</v>
      </c>
      <c r="R619" s="2" t="inlineStr"/>
    </row>
    <row r="620" ht="15" customHeight="1">
      <c r="A620" t="inlineStr">
        <is>
          <t>A 49316-2019</t>
        </is>
      </c>
      <c r="B620" s="1" t="n">
        <v>43731</v>
      </c>
      <c r="C620" s="1" t="n">
        <v>45718</v>
      </c>
      <c r="D620" t="inlineStr">
        <is>
          <t>JÄMTLANDS LÄN</t>
        </is>
      </c>
      <c r="E620" t="inlineStr">
        <is>
          <t>STRÖMSUND</t>
        </is>
      </c>
      <c r="G620" t="n">
        <v>1</v>
      </c>
      <c r="H620" t="n">
        <v>0</v>
      </c>
      <c r="I620" t="n">
        <v>0</v>
      </c>
      <c r="J620" t="n">
        <v>0</v>
      </c>
      <c r="K620" t="n">
        <v>0</v>
      </c>
      <c r="L620" t="n">
        <v>0</v>
      </c>
      <c r="M620" t="n">
        <v>0</v>
      </c>
      <c r="N620" t="n">
        <v>0</v>
      </c>
      <c r="O620" t="n">
        <v>0</v>
      </c>
      <c r="P620" t="n">
        <v>0</v>
      </c>
      <c r="Q620" t="n">
        <v>0</v>
      </c>
      <c r="R620" s="2" t="inlineStr"/>
    </row>
    <row r="621" ht="15" customHeight="1">
      <c r="A621" t="inlineStr">
        <is>
          <t>A 50001-2019</t>
        </is>
      </c>
      <c r="B621" s="1" t="n">
        <v>43733</v>
      </c>
      <c r="C621" s="1" t="n">
        <v>45718</v>
      </c>
      <c r="D621" t="inlineStr">
        <is>
          <t>JÄMTLANDS LÄN</t>
        </is>
      </c>
      <c r="E621" t="inlineStr">
        <is>
          <t>STRÖMSUND</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50305-2019</t>
        </is>
      </c>
      <c r="B622" s="1" t="n">
        <v>43734</v>
      </c>
      <c r="C622" s="1" t="n">
        <v>45718</v>
      </c>
      <c r="D622" t="inlineStr">
        <is>
          <t>JÄMTLANDS LÄN</t>
        </is>
      </c>
      <c r="E622" t="inlineStr">
        <is>
          <t>STRÖMSUND</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50302-2019</t>
        </is>
      </c>
      <c r="B623" s="1" t="n">
        <v>43734</v>
      </c>
      <c r="C623" s="1" t="n">
        <v>45718</v>
      </c>
      <c r="D623" t="inlineStr">
        <is>
          <t>JÄMTLANDS LÄN</t>
        </is>
      </c>
      <c r="E623" t="inlineStr">
        <is>
          <t>STRÖMSUND</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51008-2019</t>
        </is>
      </c>
      <c r="B624" s="1" t="n">
        <v>43738</v>
      </c>
      <c r="C624" s="1" t="n">
        <v>45718</v>
      </c>
      <c r="D624" t="inlineStr">
        <is>
          <t>JÄMTLANDS LÄN</t>
        </is>
      </c>
      <c r="E624" t="inlineStr">
        <is>
          <t>STRÖMSUND</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51183-2019</t>
        </is>
      </c>
      <c r="B625" s="1" t="n">
        <v>43739</v>
      </c>
      <c r="C625" s="1" t="n">
        <v>45718</v>
      </c>
      <c r="D625" t="inlineStr">
        <is>
          <t>JÄMTLANDS LÄN</t>
        </is>
      </c>
      <c r="E625" t="inlineStr">
        <is>
          <t>STRÖMSUND</t>
        </is>
      </c>
      <c r="F625" t="inlineStr">
        <is>
          <t>Sveaskog</t>
        </is>
      </c>
      <c r="G625" t="n">
        <v>6.9</v>
      </c>
      <c r="H625" t="n">
        <v>0</v>
      </c>
      <c r="I625" t="n">
        <v>0</v>
      </c>
      <c r="J625" t="n">
        <v>0</v>
      </c>
      <c r="K625" t="n">
        <v>0</v>
      </c>
      <c r="L625" t="n">
        <v>0</v>
      </c>
      <c r="M625" t="n">
        <v>0</v>
      </c>
      <c r="N625" t="n">
        <v>0</v>
      </c>
      <c r="O625" t="n">
        <v>0</v>
      </c>
      <c r="P625" t="n">
        <v>0</v>
      </c>
      <c r="Q625" t="n">
        <v>0</v>
      </c>
      <c r="R625" s="2" t="inlineStr"/>
    </row>
    <row r="626" ht="15" customHeight="1">
      <c r="A626" t="inlineStr">
        <is>
          <t>A 51015-2019</t>
        </is>
      </c>
      <c r="B626" s="1" t="n">
        <v>43739</v>
      </c>
      <c r="C626" s="1" t="n">
        <v>45718</v>
      </c>
      <c r="D626" t="inlineStr">
        <is>
          <t>JÄMTLANDS LÄN</t>
        </is>
      </c>
      <c r="E626" t="inlineStr">
        <is>
          <t>STRÖMSUND</t>
        </is>
      </c>
      <c r="G626" t="n">
        <v>2.1</v>
      </c>
      <c r="H626" t="n">
        <v>0</v>
      </c>
      <c r="I626" t="n">
        <v>0</v>
      </c>
      <c r="J626" t="n">
        <v>0</v>
      </c>
      <c r="K626" t="n">
        <v>0</v>
      </c>
      <c r="L626" t="n">
        <v>0</v>
      </c>
      <c r="M626" t="n">
        <v>0</v>
      </c>
      <c r="N626" t="n">
        <v>0</v>
      </c>
      <c r="O626" t="n">
        <v>0</v>
      </c>
      <c r="P626" t="n">
        <v>0</v>
      </c>
      <c r="Q626" t="n">
        <v>0</v>
      </c>
      <c r="R626" s="2" t="inlineStr"/>
    </row>
    <row r="627" ht="15" customHeight="1">
      <c r="A627" t="inlineStr">
        <is>
          <t>A 51951-2019</t>
        </is>
      </c>
      <c r="B627" s="1" t="n">
        <v>43741</v>
      </c>
      <c r="C627" s="1" t="n">
        <v>45718</v>
      </c>
      <c r="D627" t="inlineStr">
        <is>
          <t>JÄMTLANDS LÄN</t>
        </is>
      </c>
      <c r="E627" t="inlineStr">
        <is>
          <t>STRÖMSUND</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52258-2019</t>
        </is>
      </c>
      <c r="B628" s="1" t="n">
        <v>43742</v>
      </c>
      <c r="C628" s="1" t="n">
        <v>45718</v>
      </c>
      <c r="D628" t="inlineStr">
        <is>
          <t>JÄMTLANDS LÄN</t>
        </is>
      </c>
      <c r="E628" t="inlineStr">
        <is>
          <t>STRÖMSUND</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52384-2019</t>
        </is>
      </c>
      <c r="B629" s="1" t="n">
        <v>43745</v>
      </c>
      <c r="C629" s="1" t="n">
        <v>45718</v>
      </c>
      <c r="D629" t="inlineStr">
        <is>
          <t>JÄMTLANDS LÄN</t>
        </is>
      </c>
      <c r="E629" t="inlineStr">
        <is>
          <t>STRÖMSUND</t>
        </is>
      </c>
      <c r="G629" t="n">
        <v>3.7</v>
      </c>
      <c r="H629" t="n">
        <v>0</v>
      </c>
      <c r="I629" t="n">
        <v>0</v>
      </c>
      <c r="J629" t="n">
        <v>0</v>
      </c>
      <c r="K629" t="n">
        <v>0</v>
      </c>
      <c r="L629" t="n">
        <v>0</v>
      </c>
      <c r="M629" t="n">
        <v>0</v>
      </c>
      <c r="N629" t="n">
        <v>0</v>
      </c>
      <c r="O629" t="n">
        <v>0</v>
      </c>
      <c r="P629" t="n">
        <v>0</v>
      </c>
      <c r="Q629" t="n">
        <v>0</v>
      </c>
      <c r="R629" s="2" t="inlineStr"/>
    </row>
    <row r="630" ht="15" customHeight="1">
      <c r="A630" t="inlineStr">
        <is>
          <t>A 53874-2019</t>
        </is>
      </c>
      <c r="B630" s="1" t="n">
        <v>43745</v>
      </c>
      <c r="C630" s="1" t="n">
        <v>45718</v>
      </c>
      <c r="D630" t="inlineStr">
        <is>
          <t>JÄMTLANDS LÄN</t>
        </is>
      </c>
      <c r="E630" t="inlineStr">
        <is>
          <t>STRÖMSUND</t>
        </is>
      </c>
      <c r="G630" t="n">
        <v>10.1</v>
      </c>
      <c r="H630" t="n">
        <v>0</v>
      </c>
      <c r="I630" t="n">
        <v>0</v>
      </c>
      <c r="J630" t="n">
        <v>0</v>
      </c>
      <c r="K630" t="n">
        <v>0</v>
      </c>
      <c r="L630" t="n">
        <v>0</v>
      </c>
      <c r="M630" t="n">
        <v>0</v>
      </c>
      <c r="N630" t="n">
        <v>0</v>
      </c>
      <c r="O630" t="n">
        <v>0</v>
      </c>
      <c r="P630" t="n">
        <v>0</v>
      </c>
      <c r="Q630" t="n">
        <v>0</v>
      </c>
      <c r="R630" s="2" t="inlineStr"/>
    </row>
    <row r="631" ht="15" customHeight="1">
      <c r="A631" t="inlineStr">
        <is>
          <t>A 53886-2019</t>
        </is>
      </c>
      <c r="B631" s="1" t="n">
        <v>43745</v>
      </c>
      <c r="C631" s="1" t="n">
        <v>45718</v>
      </c>
      <c r="D631" t="inlineStr">
        <is>
          <t>JÄMTLANDS LÄN</t>
        </is>
      </c>
      <c r="E631" t="inlineStr">
        <is>
          <t>STRÖMSUND</t>
        </is>
      </c>
      <c r="G631" t="n">
        <v>15.2</v>
      </c>
      <c r="H631" t="n">
        <v>0</v>
      </c>
      <c r="I631" t="n">
        <v>0</v>
      </c>
      <c r="J631" t="n">
        <v>0</v>
      </c>
      <c r="K631" t="n">
        <v>0</v>
      </c>
      <c r="L631" t="n">
        <v>0</v>
      </c>
      <c r="M631" t="n">
        <v>0</v>
      </c>
      <c r="N631" t="n">
        <v>0</v>
      </c>
      <c r="O631" t="n">
        <v>0</v>
      </c>
      <c r="P631" t="n">
        <v>0</v>
      </c>
      <c r="Q631" t="n">
        <v>0</v>
      </c>
      <c r="R631" s="2" t="inlineStr"/>
    </row>
    <row r="632" ht="15" customHeight="1">
      <c r="A632" t="inlineStr">
        <is>
          <t>A 53483-2019</t>
        </is>
      </c>
      <c r="B632" s="1" t="n">
        <v>43748</v>
      </c>
      <c r="C632" s="1" t="n">
        <v>45718</v>
      </c>
      <c r="D632" t="inlineStr">
        <is>
          <t>JÄMTLANDS LÄN</t>
        </is>
      </c>
      <c r="E632" t="inlineStr">
        <is>
          <t>STRÖMSUND</t>
        </is>
      </c>
      <c r="F632" t="inlineStr">
        <is>
          <t>SCA</t>
        </is>
      </c>
      <c r="G632" t="n">
        <v>4.8</v>
      </c>
      <c r="H632" t="n">
        <v>0</v>
      </c>
      <c r="I632" t="n">
        <v>0</v>
      </c>
      <c r="J632" t="n">
        <v>0</v>
      </c>
      <c r="K632" t="n">
        <v>0</v>
      </c>
      <c r="L632" t="n">
        <v>0</v>
      </c>
      <c r="M632" t="n">
        <v>0</v>
      </c>
      <c r="N632" t="n">
        <v>0</v>
      </c>
      <c r="O632" t="n">
        <v>0</v>
      </c>
      <c r="P632" t="n">
        <v>0</v>
      </c>
      <c r="Q632" t="n">
        <v>0</v>
      </c>
      <c r="R632" s="2" t="inlineStr"/>
    </row>
    <row r="633" ht="15" customHeight="1">
      <c r="A633" t="inlineStr">
        <is>
          <t>A 54235-2019</t>
        </is>
      </c>
      <c r="B633" s="1" t="n">
        <v>43748</v>
      </c>
      <c r="C633" s="1" t="n">
        <v>45718</v>
      </c>
      <c r="D633" t="inlineStr">
        <is>
          <t>JÄMTLANDS LÄN</t>
        </is>
      </c>
      <c r="E633" t="inlineStr">
        <is>
          <t>STRÖMSUND</t>
        </is>
      </c>
      <c r="G633" t="n">
        <v>0.9</v>
      </c>
      <c r="H633" t="n">
        <v>0</v>
      </c>
      <c r="I633" t="n">
        <v>0</v>
      </c>
      <c r="J633" t="n">
        <v>0</v>
      </c>
      <c r="K633" t="n">
        <v>0</v>
      </c>
      <c r="L633" t="n">
        <v>0</v>
      </c>
      <c r="M633" t="n">
        <v>0</v>
      </c>
      <c r="N633" t="n">
        <v>0</v>
      </c>
      <c r="O633" t="n">
        <v>0</v>
      </c>
      <c r="P633" t="n">
        <v>0</v>
      </c>
      <c r="Q633" t="n">
        <v>0</v>
      </c>
      <c r="R633" s="2" t="inlineStr"/>
    </row>
    <row r="634" ht="15" customHeight="1">
      <c r="A634" t="inlineStr">
        <is>
          <t>A 57227-2019</t>
        </is>
      </c>
      <c r="B634" s="1" t="n">
        <v>43748</v>
      </c>
      <c r="C634" s="1" t="n">
        <v>45718</v>
      </c>
      <c r="D634" t="inlineStr">
        <is>
          <t>JÄMTLANDS LÄN</t>
        </is>
      </c>
      <c r="E634" t="inlineStr">
        <is>
          <t>STRÖMSUND</t>
        </is>
      </c>
      <c r="G634" t="n">
        <v>1.1</v>
      </c>
      <c r="H634" t="n">
        <v>0</v>
      </c>
      <c r="I634" t="n">
        <v>0</v>
      </c>
      <c r="J634" t="n">
        <v>0</v>
      </c>
      <c r="K634" t="n">
        <v>0</v>
      </c>
      <c r="L634" t="n">
        <v>0</v>
      </c>
      <c r="M634" t="n">
        <v>0</v>
      </c>
      <c r="N634" t="n">
        <v>0</v>
      </c>
      <c r="O634" t="n">
        <v>0</v>
      </c>
      <c r="P634" t="n">
        <v>0</v>
      </c>
      <c r="Q634" t="n">
        <v>0</v>
      </c>
      <c r="R634" s="2" t="inlineStr"/>
    </row>
    <row r="635" ht="15" customHeight="1">
      <c r="A635" t="inlineStr">
        <is>
          <t>A 53898-2019</t>
        </is>
      </c>
      <c r="B635" s="1" t="n">
        <v>43748</v>
      </c>
      <c r="C635" s="1" t="n">
        <v>45718</v>
      </c>
      <c r="D635" t="inlineStr">
        <is>
          <t>JÄMTLANDS LÄN</t>
        </is>
      </c>
      <c r="E635" t="inlineStr">
        <is>
          <t>STRÖMSUND</t>
        </is>
      </c>
      <c r="G635" t="n">
        <v>4.2</v>
      </c>
      <c r="H635" t="n">
        <v>0</v>
      </c>
      <c r="I635" t="n">
        <v>0</v>
      </c>
      <c r="J635" t="n">
        <v>0</v>
      </c>
      <c r="K635" t="n">
        <v>0</v>
      </c>
      <c r="L635" t="n">
        <v>0</v>
      </c>
      <c r="M635" t="n">
        <v>0</v>
      </c>
      <c r="N635" t="n">
        <v>0</v>
      </c>
      <c r="O635" t="n">
        <v>0</v>
      </c>
      <c r="P635" t="n">
        <v>0</v>
      </c>
      <c r="Q635" t="n">
        <v>0</v>
      </c>
      <c r="R635" s="2" t="inlineStr"/>
    </row>
    <row r="636" ht="15" customHeight="1">
      <c r="A636" t="inlineStr">
        <is>
          <t>A 53482-2019</t>
        </is>
      </c>
      <c r="B636" s="1" t="n">
        <v>43748</v>
      </c>
      <c r="C636" s="1" t="n">
        <v>45718</v>
      </c>
      <c r="D636" t="inlineStr">
        <is>
          <t>JÄMTLANDS LÄN</t>
        </is>
      </c>
      <c r="E636" t="inlineStr">
        <is>
          <t>STRÖMSUND</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53895-2019</t>
        </is>
      </c>
      <c r="B637" s="1" t="n">
        <v>43748</v>
      </c>
      <c r="C637" s="1" t="n">
        <v>45718</v>
      </c>
      <c r="D637" t="inlineStr">
        <is>
          <t>JÄMTLANDS LÄN</t>
        </is>
      </c>
      <c r="E637" t="inlineStr">
        <is>
          <t>STRÖMSUND</t>
        </is>
      </c>
      <c r="G637" t="n">
        <v>2.8</v>
      </c>
      <c r="H637" t="n">
        <v>0</v>
      </c>
      <c r="I637" t="n">
        <v>0</v>
      </c>
      <c r="J637" t="n">
        <v>0</v>
      </c>
      <c r="K637" t="n">
        <v>0</v>
      </c>
      <c r="L637" t="n">
        <v>0</v>
      </c>
      <c r="M637" t="n">
        <v>0</v>
      </c>
      <c r="N637" t="n">
        <v>0</v>
      </c>
      <c r="O637" t="n">
        <v>0</v>
      </c>
      <c r="P637" t="n">
        <v>0</v>
      </c>
      <c r="Q637" t="n">
        <v>0</v>
      </c>
      <c r="R637" s="2" t="inlineStr"/>
    </row>
    <row r="638" ht="15" customHeight="1">
      <c r="A638" t="inlineStr">
        <is>
          <t>A 54672-2019</t>
        </is>
      </c>
      <c r="B638" s="1" t="n">
        <v>43754</v>
      </c>
      <c r="C638" s="1" t="n">
        <v>45718</v>
      </c>
      <c r="D638" t="inlineStr">
        <is>
          <t>JÄMTLANDS LÄN</t>
        </is>
      </c>
      <c r="E638" t="inlineStr">
        <is>
          <t>STRÖMSUND</t>
        </is>
      </c>
      <c r="F638" t="inlineStr">
        <is>
          <t>SCA</t>
        </is>
      </c>
      <c r="G638" t="n">
        <v>15.7</v>
      </c>
      <c r="H638" t="n">
        <v>0</v>
      </c>
      <c r="I638" t="n">
        <v>0</v>
      </c>
      <c r="J638" t="n">
        <v>0</v>
      </c>
      <c r="K638" t="n">
        <v>0</v>
      </c>
      <c r="L638" t="n">
        <v>0</v>
      </c>
      <c r="M638" t="n">
        <v>0</v>
      </c>
      <c r="N638" t="n">
        <v>0</v>
      </c>
      <c r="O638" t="n">
        <v>0</v>
      </c>
      <c r="P638" t="n">
        <v>0</v>
      </c>
      <c r="Q638" t="n">
        <v>0</v>
      </c>
      <c r="R638" s="2" t="inlineStr"/>
    </row>
    <row r="639" ht="15" customHeight="1">
      <c r="A639" t="inlineStr">
        <is>
          <t>A 55028-2019</t>
        </is>
      </c>
      <c r="B639" s="1" t="n">
        <v>43755</v>
      </c>
      <c r="C639" s="1" t="n">
        <v>45718</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56155-2019</t>
        </is>
      </c>
      <c r="B640" s="1" t="n">
        <v>43756</v>
      </c>
      <c r="C640" s="1" t="n">
        <v>45718</v>
      </c>
      <c r="D640" t="inlineStr">
        <is>
          <t>JÄMTLANDS LÄN</t>
        </is>
      </c>
      <c r="E640" t="inlineStr">
        <is>
          <t>STRÖMSUND</t>
        </is>
      </c>
      <c r="G640" t="n">
        <v>4.7</v>
      </c>
      <c r="H640" t="n">
        <v>0</v>
      </c>
      <c r="I640" t="n">
        <v>0</v>
      </c>
      <c r="J640" t="n">
        <v>0</v>
      </c>
      <c r="K640" t="n">
        <v>0</v>
      </c>
      <c r="L640" t="n">
        <v>0</v>
      </c>
      <c r="M640" t="n">
        <v>0</v>
      </c>
      <c r="N640" t="n">
        <v>0</v>
      </c>
      <c r="O640" t="n">
        <v>0</v>
      </c>
      <c r="P640" t="n">
        <v>0</v>
      </c>
      <c r="Q640" t="n">
        <v>0</v>
      </c>
      <c r="R640" s="2" t="inlineStr"/>
    </row>
    <row r="641" ht="15" customHeight="1">
      <c r="A641" t="inlineStr">
        <is>
          <t>A 23225-2020</t>
        </is>
      </c>
      <c r="B641" s="1" t="n">
        <v>43756</v>
      </c>
      <c r="C641" s="1" t="n">
        <v>45718</v>
      </c>
      <c r="D641" t="inlineStr">
        <is>
          <t>JÄMTLANDS LÄN</t>
        </is>
      </c>
      <c r="E641" t="inlineStr">
        <is>
          <t>STRÖMSUND</t>
        </is>
      </c>
      <c r="G641" t="n">
        <v>4.8</v>
      </c>
      <c r="H641" t="n">
        <v>0</v>
      </c>
      <c r="I641" t="n">
        <v>0</v>
      </c>
      <c r="J641" t="n">
        <v>0</v>
      </c>
      <c r="K641" t="n">
        <v>0</v>
      </c>
      <c r="L641" t="n">
        <v>0</v>
      </c>
      <c r="M641" t="n">
        <v>0</v>
      </c>
      <c r="N641" t="n">
        <v>0</v>
      </c>
      <c r="O641" t="n">
        <v>0</v>
      </c>
      <c r="P641" t="n">
        <v>0</v>
      </c>
      <c r="Q641" t="n">
        <v>0</v>
      </c>
      <c r="R641" s="2" t="inlineStr"/>
    </row>
    <row r="642" ht="15" customHeight="1">
      <c r="A642" t="inlineStr">
        <is>
          <t>A 55663-2019</t>
        </is>
      </c>
      <c r="B642" s="1" t="n">
        <v>43760</v>
      </c>
      <c r="C642" s="1" t="n">
        <v>45718</v>
      </c>
      <c r="D642" t="inlineStr">
        <is>
          <t>JÄMTLANDS LÄN</t>
        </is>
      </c>
      <c r="E642" t="inlineStr">
        <is>
          <t>STRÖMSUND</t>
        </is>
      </c>
      <c r="F642" t="inlineStr">
        <is>
          <t>Holmen skog AB</t>
        </is>
      </c>
      <c r="G642" t="n">
        <v>2.6</v>
      </c>
      <c r="H642" t="n">
        <v>0</v>
      </c>
      <c r="I642" t="n">
        <v>0</v>
      </c>
      <c r="J642" t="n">
        <v>0</v>
      </c>
      <c r="K642" t="n">
        <v>0</v>
      </c>
      <c r="L642" t="n">
        <v>0</v>
      </c>
      <c r="M642" t="n">
        <v>0</v>
      </c>
      <c r="N642" t="n">
        <v>0</v>
      </c>
      <c r="O642" t="n">
        <v>0</v>
      </c>
      <c r="P642" t="n">
        <v>0</v>
      </c>
      <c r="Q642" t="n">
        <v>0</v>
      </c>
      <c r="R642" s="2" t="inlineStr"/>
    </row>
    <row r="643" ht="15" customHeight="1">
      <c r="A643" t="inlineStr">
        <is>
          <t>A 55675-2019</t>
        </is>
      </c>
      <c r="B643" s="1" t="n">
        <v>43760</v>
      </c>
      <c r="C643" s="1" t="n">
        <v>45718</v>
      </c>
      <c r="D643" t="inlineStr">
        <is>
          <t>JÄMTLANDS LÄN</t>
        </is>
      </c>
      <c r="E643" t="inlineStr">
        <is>
          <t>STRÖMSUND</t>
        </is>
      </c>
      <c r="G643" t="n">
        <v>0.6</v>
      </c>
      <c r="H643" t="n">
        <v>0</v>
      </c>
      <c r="I643" t="n">
        <v>0</v>
      </c>
      <c r="J643" t="n">
        <v>0</v>
      </c>
      <c r="K643" t="n">
        <v>0</v>
      </c>
      <c r="L643" t="n">
        <v>0</v>
      </c>
      <c r="M643" t="n">
        <v>0</v>
      </c>
      <c r="N643" t="n">
        <v>0</v>
      </c>
      <c r="O643" t="n">
        <v>0</v>
      </c>
      <c r="P643" t="n">
        <v>0</v>
      </c>
      <c r="Q643" t="n">
        <v>0</v>
      </c>
      <c r="R643" s="2" t="inlineStr"/>
    </row>
    <row r="644" ht="15" customHeight="1">
      <c r="A644" t="inlineStr">
        <is>
          <t>A 55728-2019</t>
        </is>
      </c>
      <c r="B644" s="1" t="n">
        <v>43760</v>
      </c>
      <c r="C644" s="1" t="n">
        <v>45718</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55725-2019</t>
        </is>
      </c>
      <c r="B645" s="1" t="n">
        <v>43760</v>
      </c>
      <c r="C645" s="1" t="n">
        <v>45718</v>
      </c>
      <c r="D645" t="inlineStr">
        <is>
          <t>JÄMTLANDS LÄN</t>
        </is>
      </c>
      <c r="E645" t="inlineStr">
        <is>
          <t>STRÖMSUND</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56798-2019</t>
        </is>
      </c>
      <c r="B646" s="1" t="n">
        <v>43763</v>
      </c>
      <c r="C646" s="1" t="n">
        <v>45718</v>
      </c>
      <c r="D646" t="inlineStr">
        <is>
          <t>JÄMTLANDS LÄN</t>
        </is>
      </c>
      <c r="E646" t="inlineStr">
        <is>
          <t>STRÖMSUND</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56797-2019</t>
        </is>
      </c>
      <c r="B647" s="1" t="n">
        <v>43763</v>
      </c>
      <c r="C647" s="1" t="n">
        <v>45718</v>
      </c>
      <c r="D647" t="inlineStr">
        <is>
          <t>JÄMTLANDS LÄN</t>
        </is>
      </c>
      <c r="E647" t="inlineStr">
        <is>
          <t>STRÖMSUND</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56801-2019</t>
        </is>
      </c>
      <c r="B648" s="1" t="n">
        <v>43763</v>
      </c>
      <c r="C648" s="1" t="n">
        <v>45718</v>
      </c>
      <c r="D648" t="inlineStr">
        <is>
          <t>JÄMTLANDS LÄN</t>
        </is>
      </c>
      <c r="E648" t="inlineStr">
        <is>
          <t>STRÖMSUND</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56800-2019</t>
        </is>
      </c>
      <c r="B649" s="1" t="n">
        <v>43763</v>
      </c>
      <c r="C649" s="1" t="n">
        <v>45718</v>
      </c>
      <c r="D649" t="inlineStr">
        <is>
          <t>JÄMTLANDS LÄN</t>
        </is>
      </c>
      <c r="E649" t="inlineStr">
        <is>
          <t>STRÖMSUND</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56799-2019</t>
        </is>
      </c>
      <c r="B650" s="1" t="n">
        <v>43763</v>
      </c>
      <c r="C650" s="1" t="n">
        <v>45718</v>
      </c>
      <c r="D650" t="inlineStr">
        <is>
          <t>JÄMTLANDS LÄN</t>
        </is>
      </c>
      <c r="E650" t="inlineStr">
        <is>
          <t>STRÖMSUND</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56692-2019</t>
        </is>
      </c>
      <c r="B651" s="1" t="n">
        <v>43763</v>
      </c>
      <c r="C651" s="1" t="n">
        <v>45718</v>
      </c>
      <c r="D651" t="inlineStr">
        <is>
          <t>JÄMTLANDS LÄN</t>
        </is>
      </c>
      <c r="E651" t="inlineStr">
        <is>
          <t>STRÖMSUND</t>
        </is>
      </c>
      <c r="G651" t="n">
        <v>0.8</v>
      </c>
      <c r="H651" t="n">
        <v>0</v>
      </c>
      <c r="I651" t="n">
        <v>0</v>
      </c>
      <c r="J651" t="n">
        <v>0</v>
      </c>
      <c r="K651" t="n">
        <v>0</v>
      </c>
      <c r="L651" t="n">
        <v>0</v>
      </c>
      <c r="M651" t="n">
        <v>0</v>
      </c>
      <c r="N651" t="n">
        <v>0</v>
      </c>
      <c r="O651" t="n">
        <v>0</v>
      </c>
      <c r="P651" t="n">
        <v>0</v>
      </c>
      <c r="Q651" t="n">
        <v>0</v>
      </c>
      <c r="R651" s="2" t="inlineStr"/>
    </row>
    <row r="652" ht="15" customHeight="1">
      <c r="A652" t="inlineStr">
        <is>
          <t>A 56808-2019</t>
        </is>
      </c>
      <c r="B652" s="1" t="n">
        <v>43763</v>
      </c>
      <c r="C652" s="1" t="n">
        <v>45718</v>
      </c>
      <c r="D652" t="inlineStr">
        <is>
          <t>JÄMTLANDS LÄN</t>
        </is>
      </c>
      <c r="E652" t="inlineStr">
        <is>
          <t>STRÖMSUND</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56809-2019</t>
        </is>
      </c>
      <c r="B653" s="1" t="n">
        <v>43763</v>
      </c>
      <c r="C653" s="1" t="n">
        <v>45718</v>
      </c>
      <c r="D653" t="inlineStr">
        <is>
          <t>JÄMTLANDS LÄN</t>
        </is>
      </c>
      <c r="E653" t="inlineStr">
        <is>
          <t>STRÖMSUND</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57546-2019</t>
        </is>
      </c>
      <c r="B654" s="1" t="n">
        <v>43767</v>
      </c>
      <c r="C654" s="1" t="n">
        <v>45718</v>
      </c>
      <c r="D654" t="inlineStr">
        <is>
          <t>JÄMTLANDS LÄN</t>
        </is>
      </c>
      <c r="E654" t="inlineStr">
        <is>
          <t>STRÖMSUND</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58662-2019</t>
        </is>
      </c>
      <c r="B655" s="1" t="n">
        <v>43767</v>
      </c>
      <c r="C655" s="1" t="n">
        <v>45718</v>
      </c>
      <c r="D655" t="inlineStr">
        <is>
          <t>JÄMTLANDS LÄN</t>
        </is>
      </c>
      <c r="E655" t="inlineStr">
        <is>
          <t>STRÖMSUND</t>
        </is>
      </c>
      <c r="G655" t="n">
        <v>18.4</v>
      </c>
      <c r="H655" t="n">
        <v>0</v>
      </c>
      <c r="I655" t="n">
        <v>0</v>
      </c>
      <c r="J655" t="n">
        <v>0</v>
      </c>
      <c r="K655" t="n">
        <v>0</v>
      </c>
      <c r="L655" t="n">
        <v>0</v>
      </c>
      <c r="M655" t="n">
        <v>0</v>
      </c>
      <c r="N655" t="n">
        <v>0</v>
      </c>
      <c r="O655" t="n">
        <v>0</v>
      </c>
      <c r="P655" t="n">
        <v>0</v>
      </c>
      <c r="Q655" t="n">
        <v>0</v>
      </c>
      <c r="R655" s="2" t="inlineStr"/>
    </row>
    <row r="656" ht="15" customHeight="1">
      <c r="A656" t="inlineStr">
        <is>
          <t>A 57547-2019</t>
        </is>
      </c>
      <c r="B656" s="1" t="n">
        <v>43767</v>
      </c>
      <c r="C656" s="1" t="n">
        <v>45718</v>
      </c>
      <c r="D656" t="inlineStr">
        <is>
          <t>JÄMTLANDS LÄN</t>
        </is>
      </c>
      <c r="E656" t="inlineStr">
        <is>
          <t>STRÖMSUND</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57552-2019</t>
        </is>
      </c>
      <c r="B657" s="1" t="n">
        <v>43767</v>
      </c>
      <c r="C657" s="1" t="n">
        <v>45718</v>
      </c>
      <c r="D657" t="inlineStr">
        <is>
          <t>JÄMTLANDS LÄN</t>
        </is>
      </c>
      <c r="E657" t="inlineStr">
        <is>
          <t>STRÖMSUND</t>
        </is>
      </c>
      <c r="G657" t="n">
        <v>1.4</v>
      </c>
      <c r="H657" t="n">
        <v>0</v>
      </c>
      <c r="I657" t="n">
        <v>0</v>
      </c>
      <c r="J657" t="n">
        <v>0</v>
      </c>
      <c r="K657" t="n">
        <v>0</v>
      </c>
      <c r="L657" t="n">
        <v>0</v>
      </c>
      <c r="M657" t="n">
        <v>0</v>
      </c>
      <c r="N657" t="n">
        <v>0</v>
      </c>
      <c r="O657" t="n">
        <v>0</v>
      </c>
      <c r="P657" t="n">
        <v>0</v>
      </c>
      <c r="Q657" t="n">
        <v>0</v>
      </c>
      <c r="R657" s="2" t="inlineStr"/>
    </row>
    <row r="658" ht="15" customHeight="1">
      <c r="A658" t="inlineStr">
        <is>
          <t>A 57873-2019</t>
        </is>
      </c>
      <c r="B658" s="1" t="n">
        <v>43768</v>
      </c>
      <c r="C658" s="1" t="n">
        <v>45718</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57872-2019</t>
        </is>
      </c>
      <c r="B659" s="1" t="n">
        <v>43768</v>
      </c>
      <c r="C659" s="1" t="n">
        <v>45718</v>
      </c>
      <c r="D659" t="inlineStr">
        <is>
          <t>JÄMTLANDS LÄN</t>
        </is>
      </c>
      <c r="E659" t="inlineStr">
        <is>
          <t>STRÖMSUND</t>
        </is>
      </c>
      <c r="G659" t="n">
        <v>47.2</v>
      </c>
      <c r="H659" t="n">
        <v>0</v>
      </c>
      <c r="I659" t="n">
        <v>0</v>
      </c>
      <c r="J659" t="n">
        <v>0</v>
      </c>
      <c r="K659" t="n">
        <v>0</v>
      </c>
      <c r="L659" t="n">
        <v>0</v>
      </c>
      <c r="M659" t="n">
        <v>0</v>
      </c>
      <c r="N659" t="n">
        <v>0</v>
      </c>
      <c r="O659" t="n">
        <v>0</v>
      </c>
      <c r="P659" t="n">
        <v>0</v>
      </c>
      <c r="Q659" t="n">
        <v>0</v>
      </c>
      <c r="R659" s="2" t="inlineStr"/>
    </row>
    <row r="660" ht="15" customHeight="1">
      <c r="A660" t="inlineStr">
        <is>
          <t>A 58844-2019</t>
        </is>
      </c>
      <c r="B660" s="1" t="n">
        <v>43768</v>
      </c>
      <c r="C660" s="1" t="n">
        <v>45718</v>
      </c>
      <c r="D660" t="inlineStr">
        <is>
          <t>JÄMTLANDS LÄN</t>
        </is>
      </c>
      <c r="E660" t="inlineStr">
        <is>
          <t>STRÖMSUND</t>
        </is>
      </c>
      <c r="G660" t="n">
        <v>4.8</v>
      </c>
      <c r="H660" t="n">
        <v>0</v>
      </c>
      <c r="I660" t="n">
        <v>0</v>
      </c>
      <c r="J660" t="n">
        <v>0</v>
      </c>
      <c r="K660" t="n">
        <v>0</v>
      </c>
      <c r="L660" t="n">
        <v>0</v>
      </c>
      <c r="M660" t="n">
        <v>0</v>
      </c>
      <c r="N660" t="n">
        <v>0</v>
      </c>
      <c r="O660" t="n">
        <v>0</v>
      </c>
      <c r="P660" t="n">
        <v>0</v>
      </c>
      <c r="Q660" t="n">
        <v>0</v>
      </c>
      <c r="R660" s="2" t="inlineStr"/>
    </row>
    <row r="661" ht="15" customHeight="1">
      <c r="A661" t="inlineStr">
        <is>
          <t>A 58172-2019</t>
        </is>
      </c>
      <c r="B661" s="1" t="n">
        <v>43769</v>
      </c>
      <c r="C661" s="1" t="n">
        <v>45718</v>
      </c>
      <c r="D661" t="inlineStr">
        <is>
          <t>JÄMTLANDS LÄN</t>
        </is>
      </c>
      <c r="E661" t="inlineStr">
        <is>
          <t>STRÖMSUND</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59543-2019</t>
        </is>
      </c>
      <c r="B662" s="1" t="n">
        <v>43773</v>
      </c>
      <c r="C662" s="1" t="n">
        <v>45718</v>
      </c>
      <c r="D662" t="inlineStr">
        <is>
          <t>JÄMTLANDS LÄN</t>
        </is>
      </c>
      <c r="E662" t="inlineStr">
        <is>
          <t>STRÖMSUND</t>
        </is>
      </c>
      <c r="G662" t="n">
        <v>6.3</v>
      </c>
      <c r="H662" t="n">
        <v>0</v>
      </c>
      <c r="I662" t="n">
        <v>0</v>
      </c>
      <c r="J662" t="n">
        <v>0</v>
      </c>
      <c r="K662" t="n">
        <v>0</v>
      </c>
      <c r="L662" t="n">
        <v>0</v>
      </c>
      <c r="M662" t="n">
        <v>0</v>
      </c>
      <c r="N662" t="n">
        <v>0</v>
      </c>
      <c r="O662" t="n">
        <v>0</v>
      </c>
      <c r="P662" t="n">
        <v>0</v>
      </c>
      <c r="Q662" t="n">
        <v>0</v>
      </c>
      <c r="R662" s="2" t="inlineStr"/>
    </row>
    <row r="663" ht="15" customHeight="1">
      <c r="A663" t="inlineStr">
        <is>
          <t>A 59425-2019</t>
        </is>
      </c>
      <c r="B663" s="1" t="n">
        <v>43775</v>
      </c>
      <c r="C663" s="1" t="n">
        <v>45718</v>
      </c>
      <c r="D663" t="inlineStr">
        <is>
          <t>JÄMTLANDS LÄN</t>
        </is>
      </c>
      <c r="E663" t="inlineStr">
        <is>
          <t>STRÖMSUND</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59456-2019</t>
        </is>
      </c>
      <c r="B664" s="1" t="n">
        <v>43776</v>
      </c>
      <c r="C664" s="1" t="n">
        <v>45718</v>
      </c>
      <c r="D664" t="inlineStr">
        <is>
          <t>JÄMTLANDS LÄN</t>
        </is>
      </c>
      <c r="E664" t="inlineStr">
        <is>
          <t>STRÖMSUND</t>
        </is>
      </c>
      <c r="G664" t="n">
        <v>2.1</v>
      </c>
      <c r="H664" t="n">
        <v>0</v>
      </c>
      <c r="I664" t="n">
        <v>0</v>
      </c>
      <c r="J664" t="n">
        <v>0</v>
      </c>
      <c r="K664" t="n">
        <v>0</v>
      </c>
      <c r="L664" t="n">
        <v>0</v>
      </c>
      <c r="M664" t="n">
        <v>0</v>
      </c>
      <c r="N664" t="n">
        <v>0</v>
      </c>
      <c r="O664" t="n">
        <v>0</v>
      </c>
      <c r="P664" t="n">
        <v>0</v>
      </c>
      <c r="Q664" t="n">
        <v>0</v>
      </c>
      <c r="R664" s="2" t="inlineStr"/>
    </row>
    <row r="665" ht="15" customHeight="1">
      <c r="A665" t="inlineStr">
        <is>
          <t>A 61411-2019</t>
        </is>
      </c>
      <c r="B665" s="1" t="n">
        <v>43780</v>
      </c>
      <c r="C665" s="1" t="n">
        <v>45718</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61703-2019</t>
        </is>
      </c>
      <c r="B666" s="1" t="n">
        <v>43780</v>
      </c>
      <c r="C666" s="1" t="n">
        <v>45718</v>
      </c>
      <c r="D666" t="inlineStr">
        <is>
          <t>JÄMTLANDS LÄN</t>
        </is>
      </c>
      <c r="E666" t="inlineStr">
        <is>
          <t>STRÖMSUND</t>
        </is>
      </c>
      <c r="G666" t="n">
        <v>4</v>
      </c>
      <c r="H666" t="n">
        <v>0</v>
      </c>
      <c r="I666" t="n">
        <v>0</v>
      </c>
      <c r="J666" t="n">
        <v>0</v>
      </c>
      <c r="K666" t="n">
        <v>0</v>
      </c>
      <c r="L666" t="n">
        <v>0</v>
      </c>
      <c r="M666" t="n">
        <v>0</v>
      </c>
      <c r="N666" t="n">
        <v>0</v>
      </c>
      <c r="O666" t="n">
        <v>0</v>
      </c>
      <c r="P666" t="n">
        <v>0</v>
      </c>
      <c r="Q666" t="n">
        <v>0</v>
      </c>
      <c r="R666" s="2" t="inlineStr"/>
    </row>
    <row r="667" ht="15" customHeight="1">
      <c r="A667" t="inlineStr">
        <is>
          <t>A 61705-2019</t>
        </is>
      </c>
      <c r="B667" s="1" t="n">
        <v>43780</v>
      </c>
      <c r="C667" s="1" t="n">
        <v>45718</v>
      </c>
      <c r="D667" t="inlineStr">
        <is>
          <t>JÄMTLANDS LÄN</t>
        </is>
      </c>
      <c r="E667" t="inlineStr">
        <is>
          <t>STRÖMSUND</t>
        </is>
      </c>
      <c r="G667" t="n">
        <v>6.4</v>
      </c>
      <c r="H667" t="n">
        <v>0</v>
      </c>
      <c r="I667" t="n">
        <v>0</v>
      </c>
      <c r="J667" t="n">
        <v>0</v>
      </c>
      <c r="K667" t="n">
        <v>0</v>
      </c>
      <c r="L667" t="n">
        <v>0</v>
      </c>
      <c r="M667" t="n">
        <v>0</v>
      </c>
      <c r="N667" t="n">
        <v>0</v>
      </c>
      <c r="O667" t="n">
        <v>0</v>
      </c>
      <c r="P667" t="n">
        <v>0</v>
      </c>
      <c r="Q667" t="n">
        <v>0</v>
      </c>
      <c r="R667" s="2" t="inlineStr"/>
    </row>
    <row r="668" ht="15" customHeight="1">
      <c r="A668" t="inlineStr">
        <is>
          <t>A 60569-2019</t>
        </is>
      </c>
      <c r="B668" s="1" t="n">
        <v>43781</v>
      </c>
      <c r="C668" s="1" t="n">
        <v>45718</v>
      </c>
      <c r="D668" t="inlineStr">
        <is>
          <t>JÄMTLANDS LÄN</t>
        </is>
      </c>
      <c r="E668" t="inlineStr">
        <is>
          <t>STRÖMSUND</t>
        </is>
      </c>
      <c r="G668" t="n">
        <v>1</v>
      </c>
      <c r="H668" t="n">
        <v>0</v>
      </c>
      <c r="I668" t="n">
        <v>0</v>
      </c>
      <c r="J668" t="n">
        <v>0</v>
      </c>
      <c r="K668" t="n">
        <v>0</v>
      </c>
      <c r="L668" t="n">
        <v>0</v>
      </c>
      <c r="M668" t="n">
        <v>0</v>
      </c>
      <c r="N668" t="n">
        <v>0</v>
      </c>
      <c r="O668" t="n">
        <v>0</v>
      </c>
      <c r="P668" t="n">
        <v>0</v>
      </c>
      <c r="Q668" t="n">
        <v>0</v>
      </c>
      <c r="R668" s="2" t="inlineStr"/>
    </row>
    <row r="669" ht="15" customHeight="1">
      <c r="A669" t="inlineStr">
        <is>
          <t>A 60536-2019</t>
        </is>
      </c>
      <c r="B669" s="1" t="n">
        <v>43781</v>
      </c>
      <c r="C669" s="1" t="n">
        <v>45718</v>
      </c>
      <c r="D669" t="inlineStr">
        <is>
          <t>JÄMTLANDS LÄN</t>
        </is>
      </c>
      <c r="E669" t="inlineStr">
        <is>
          <t>STRÖMSUND</t>
        </is>
      </c>
      <c r="G669" t="n">
        <v>0.2</v>
      </c>
      <c r="H669" t="n">
        <v>0</v>
      </c>
      <c r="I669" t="n">
        <v>0</v>
      </c>
      <c r="J669" t="n">
        <v>0</v>
      </c>
      <c r="K669" t="n">
        <v>0</v>
      </c>
      <c r="L669" t="n">
        <v>0</v>
      </c>
      <c r="M669" t="n">
        <v>0</v>
      </c>
      <c r="N669" t="n">
        <v>0</v>
      </c>
      <c r="O669" t="n">
        <v>0</v>
      </c>
      <c r="P669" t="n">
        <v>0</v>
      </c>
      <c r="Q669" t="n">
        <v>0</v>
      </c>
      <c r="R669" s="2" t="inlineStr"/>
    </row>
    <row r="670" ht="15" customHeight="1">
      <c r="A670" t="inlineStr">
        <is>
          <t>A 61122-2019</t>
        </is>
      </c>
      <c r="B670" s="1" t="n">
        <v>43782</v>
      </c>
      <c r="C670" s="1" t="n">
        <v>45718</v>
      </c>
      <c r="D670" t="inlineStr">
        <is>
          <t>JÄMTLANDS LÄN</t>
        </is>
      </c>
      <c r="E670" t="inlineStr">
        <is>
          <t>STRÖMSUND</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62256-2019</t>
        </is>
      </c>
      <c r="B671" s="1" t="n">
        <v>43782</v>
      </c>
      <c r="C671" s="1" t="n">
        <v>45718</v>
      </c>
      <c r="D671" t="inlineStr">
        <is>
          <t>JÄMTLANDS LÄN</t>
        </is>
      </c>
      <c r="E671" t="inlineStr">
        <is>
          <t>STRÖMSUND</t>
        </is>
      </c>
      <c r="G671" t="n">
        <v>1.6</v>
      </c>
      <c r="H671" t="n">
        <v>0</v>
      </c>
      <c r="I671" t="n">
        <v>0</v>
      </c>
      <c r="J671" t="n">
        <v>0</v>
      </c>
      <c r="K671" t="n">
        <v>0</v>
      </c>
      <c r="L671" t="n">
        <v>0</v>
      </c>
      <c r="M671" t="n">
        <v>0</v>
      </c>
      <c r="N671" t="n">
        <v>0</v>
      </c>
      <c r="O671" t="n">
        <v>0</v>
      </c>
      <c r="P671" t="n">
        <v>0</v>
      </c>
      <c r="Q671" t="n">
        <v>0</v>
      </c>
      <c r="R671" s="2" t="inlineStr"/>
    </row>
    <row r="672" ht="15" customHeight="1">
      <c r="A672" t="inlineStr">
        <is>
          <t>A 60955-2019</t>
        </is>
      </c>
      <c r="B672" s="1" t="n">
        <v>43782</v>
      </c>
      <c r="C672" s="1" t="n">
        <v>45718</v>
      </c>
      <c r="D672" t="inlineStr">
        <is>
          <t>JÄMTLANDS LÄN</t>
        </is>
      </c>
      <c r="E672" t="inlineStr">
        <is>
          <t>STRÖMSUND</t>
        </is>
      </c>
      <c r="F672" t="inlineStr">
        <is>
          <t>Holmen skog AB</t>
        </is>
      </c>
      <c r="G672" t="n">
        <v>6.6</v>
      </c>
      <c r="H672" t="n">
        <v>0</v>
      </c>
      <c r="I672" t="n">
        <v>0</v>
      </c>
      <c r="J672" t="n">
        <v>0</v>
      </c>
      <c r="K672" t="n">
        <v>0</v>
      </c>
      <c r="L672" t="n">
        <v>0</v>
      </c>
      <c r="M672" t="n">
        <v>0</v>
      </c>
      <c r="N672" t="n">
        <v>0</v>
      </c>
      <c r="O672" t="n">
        <v>0</v>
      </c>
      <c r="P672" t="n">
        <v>0</v>
      </c>
      <c r="Q672" t="n">
        <v>0</v>
      </c>
      <c r="R672" s="2" t="inlineStr"/>
    </row>
    <row r="673" ht="15" customHeight="1">
      <c r="A673" t="inlineStr">
        <is>
          <t>A 61690-2019</t>
        </is>
      </c>
      <c r="B673" s="1" t="n">
        <v>43784</v>
      </c>
      <c r="C673" s="1" t="n">
        <v>45718</v>
      </c>
      <c r="D673" t="inlineStr">
        <is>
          <t>JÄMTLANDS LÄN</t>
        </is>
      </c>
      <c r="E673" t="inlineStr">
        <is>
          <t>STRÖMSUND</t>
        </is>
      </c>
      <c r="G673" t="n">
        <v>6</v>
      </c>
      <c r="H673" t="n">
        <v>0</v>
      </c>
      <c r="I673" t="n">
        <v>0</v>
      </c>
      <c r="J673" t="n">
        <v>0</v>
      </c>
      <c r="K673" t="n">
        <v>0</v>
      </c>
      <c r="L673" t="n">
        <v>0</v>
      </c>
      <c r="M673" t="n">
        <v>0</v>
      </c>
      <c r="N673" t="n">
        <v>0</v>
      </c>
      <c r="O673" t="n">
        <v>0</v>
      </c>
      <c r="P673" t="n">
        <v>0</v>
      </c>
      <c r="Q673" t="n">
        <v>0</v>
      </c>
      <c r="R673" s="2" t="inlineStr"/>
    </row>
    <row r="674" ht="15" customHeight="1">
      <c r="A674" t="inlineStr">
        <is>
          <t>A 61778-2019</t>
        </is>
      </c>
      <c r="B674" s="1" t="n">
        <v>43784</v>
      </c>
      <c r="C674" s="1" t="n">
        <v>45718</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61833-2019</t>
        </is>
      </c>
      <c r="B675" s="1" t="n">
        <v>43786</v>
      </c>
      <c r="C675" s="1" t="n">
        <v>45718</v>
      </c>
      <c r="D675" t="inlineStr">
        <is>
          <t>JÄMTLANDS LÄN</t>
        </is>
      </c>
      <c r="E675" t="inlineStr">
        <is>
          <t>STRÖMSUND</t>
        </is>
      </c>
      <c r="G675" t="n">
        <v>11.5</v>
      </c>
      <c r="H675" t="n">
        <v>0</v>
      </c>
      <c r="I675" t="n">
        <v>0</v>
      </c>
      <c r="J675" t="n">
        <v>0</v>
      </c>
      <c r="K675" t="n">
        <v>0</v>
      </c>
      <c r="L675" t="n">
        <v>0</v>
      </c>
      <c r="M675" t="n">
        <v>0</v>
      </c>
      <c r="N675" t="n">
        <v>0</v>
      </c>
      <c r="O675" t="n">
        <v>0</v>
      </c>
      <c r="P675" t="n">
        <v>0</v>
      </c>
      <c r="Q675" t="n">
        <v>0</v>
      </c>
      <c r="R675" s="2" t="inlineStr"/>
    </row>
    <row r="676" ht="15" customHeight="1">
      <c r="A676" t="inlineStr">
        <is>
          <t>A 61838-2019</t>
        </is>
      </c>
      <c r="B676" s="1" t="n">
        <v>43786</v>
      </c>
      <c r="C676" s="1" t="n">
        <v>45718</v>
      </c>
      <c r="D676" t="inlineStr">
        <is>
          <t>JÄMTLANDS LÄN</t>
        </is>
      </c>
      <c r="E676" t="inlineStr">
        <is>
          <t>STRÖMSUND</t>
        </is>
      </c>
      <c r="G676" t="n">
        <v>0.8</v>
      </c>
      <c r="H676" t="n">
        <v>0</v>
      </c>
      <c r="I676" t="n">
        <v>0</v>
      </c>
      <c r="J676" t="n">
        <v>0</v>
      </c>
      <c r="K676" t="n">
        <v>0</v>
      </c>
      <c r="L676" t="n">
        <v>0</v>
      </c>
      <c r="M676" t="n">
        <v>0</v>
      </c>
      <c r="N676" t="n">
        <v>0</v>
      </c>
      <c r="O676" t="n">
        <v>0</v>
      </c>
      <c r="P676" t="n">
        <v>0</v>
      </c>
      <c r="Q676" t="n">
        <v>0</v>
      </c>
      <c r="R676" s="2" t="inlineStr"/>
    </row>
    <row r="677" ht="15" customHeight="1">
      <c r="A677" t="inlineStr">
        <is>
          <t>A 61830-2019</t>
        </is>
      </c>
      <c r="B677" s="1" t="n">
        <v>43786</v>
      </c>
      <c r="C677" s="1" t="n">
        <v>45718</v>
      </c>
      <c r="D677" t="inlineStr">
        <is>
          <t>JÄMTLANDS LÄN</t>
        </is>
      </c>
      <c r="E677" t="inlineStr">
        <is>
          <t>STRÖMSUND</t>
        </is>
      </c>
      <c r="G677" t="n">
        <v>8</v>
      </c>
      <c r="H677" t="n">
        <v>0</v>
      </c>
      <c r="I677" t="n">
        <v>0</v>
      </c>
      <c r="J677" t="n">
        <v>0</v>
      </c>
      <c r="K677" t="n">
        <v>0</v>
      </c>
      <c r="L677" t="n">
        <v>0</v>
      </c>
      <c r="M677" t="n">
        <v>0</v>
      </c>
      <c r="N677" t="n">
        <v>0</v>
      </c>
      <c r="O677" t="n">
        <v>0</v>
      </c>
      <c r="P677" t="n">
        <v>0</v>
      </c>
      <c r="Q677" t="n">
        <v>0</v>
      </c>
      <c r="R677" s="2" t="inlineStr"/>
    </row>
    <row r="678" ht="15" customHeight="1">
      <c r="A678" t="inlineStr">
        <is>
          <t>A 61835-2019</t>
        </is>
      </c>
      <c r="B678" s="1" t="n">
        <v>43786</v>
      </c>
      <c r="C678" s="1" t="n">
        <v>45718</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61829-2019</t>
        </is>
      </c>
      <c r="B679" s="1" t="n">
        <v>43786</v>
      </c>
      <c r="C679" s="1" t="n">
        <v>45718</v>
      </c>
      <c r="D679" t="inlineStr">
        <is>
          <t>JÄMTLANDS LÄN</t>
        </is>
      </c>
      <c r="E679" t="inlineStr">
        <is>
          <t>STRÖMSUND</t>
        </is>
      </c>
      <c r="G679" t="n">
        <v>4.3</v>
      </c>
      <c r="H679" t="n">
        <v>0</v>
      </c>
      <c r="I679" t="n">
        <v>0</v>
      </c>
      <c r="J679" t="n">
        <v>0</v>
      </c>
      <c r="K679" t="n">
        <v>0</v>
      </c>
      <c r="L679" t="n">
        <v>0</v>
      </c>
      <c r="M679" t="n">
        <v>0</v>
      </c>
      <c r="N679" t="n">
        <v>0</v>
      </c>
      <c r="O679" t="n">
        <v>0</v>
      </c>
      <c r="P679" t="n">
        <v>0</v>
      </c>
      <c r="Q679" t="n">
        <v>0</v>
      </c>
      <c r="R679" s="2" t="inlineStr"/>
    </row>
    <row r="680" ht="15" customHeight="1">
      <c r="A680" t="inlineStr">
        <is>
          <t>A 61834-2019</t>
        </is>
      </c>
      <c r="B680" s="1" t="n">
        <v>43786</v>
      </c>
      <c r="C680" s="1" t="n">
        <v>45718</v>
      </c>
      <c r="D680" t="inlineStr">
        <is>
          <t>JÄMTLANDS LÄN</t>
        </is>
      </c>
      <c r="E680" t="inlineStr">
        <is>
          <t>STRÖMSUND</t>
        </is>
      </c>
      <c r="G680" t="n">
        <v>6.7</v>
      </c>
      <c r="H680" t="n">
        <v>0</v>
      </c>
      <c r="I680" t="n">
        <v>0</v>
      </c>
      <c r="J680" t="n">
        <v>0</v>
      </c>
      <c r="K680" t="n">
        <v>0</v>
      </c>
      <c r="L680" t="n">
        <v>0</v>
      </c>
      <c r="M680" t="n">
        <v>0</v>
      </c>
      <c r="N680" t="n">
        <v>0</v>
      </c>
      <c r="O680" t="n">
        <v>0</v>
      </c>
      <c r="P680" t="n">
        <v>0</v>
      </c>
      <c r="Q680" t="n">
        <v>0</v>
      </c>
      <c r="R680" s="2" t="inlineStr"/>
    </row>
    <row r="681" ht="15" customHeight="1">
      <c r="A681" t="inlineStr">
        <is>
          <t>A 61836-2019</t>
        </is>
      </c>
      <c r="B681" s="1" t="n">
        <v>43786</v>
      </c>
      <c r="C681" s="1" t="n">
        <v>45718</v>
      </c>
      <c r="D681" t="inlineStr">
        <is>
          <t>JÄMTLANDS LÄN</t>
        </is>
      </c>
      <c r="E681" t="inlineStr">
        <is>
          <t>STRÖMSUND</t>
        </is>
      </c>
      <c r="G681" t="n">
        <v>3.1</v>
      </c>
      <c r="H681" t="n">
        <v>0</v>
      </c>
      <c r="I681" t="n">
        <v>0</v>
      </c>
      <c r="J681" t="n">
        <v>0</v>
      </c>
      <c r="K681" t="n">
        <v>0</v>
      </c>
      <c r="L681" t="n">
        <v>0</v>
      </c>
      <c r="M681" t="n">
        <v>0</v>
      </c>
      <c r="N681" t="n">
        <v>0</v>
      </c>
      <c r="O681" t="n">
        <v>0</v>
      </c>
      <c r="P681" t="n">
        <v>0</v>
      </c>
      <c r="Q681" t="n">
        <v>0</v>
      </c>
      <c r="R681" s="2" t="inlineStr"/>
    </row>
    <row r="682" ht="15" customHeight="1">
      <c r="A682" t="inlineStr">
        <is>
          <t>A 61832-2019</t>
        </is>
      </c>
      <c r="B682" s="1" t="n">
        <v>43786</v>
      </c>
      <c r="C682" s="1" t="n">
        <v>45718</v>
      </c>
      <c r="D682" t="inlineStr">
        <is>
          <t>JÄMTLANDS LÄN</t>
        </is>
      </c>
      <c r="E682" t="inlineStr">
        <is>
          <t>STRÖMSUND</t>
        </is>
      </c>
      <c r="G682" t="n">
        <v>19.9</v>
      </c>
      <c r="H682" t="n">
        <v>0</v>
      </c>
      <c r="I682" t="n">
        <v>0</v>
      </c>
      <c r="J682" t="n">
        <v>0</v>
      </c>
      <c r="K682" t="n">
        <v>0</v>
      </c>
      <c r="L682" t="n">
        <v>0</v>
      </c>
      <c r="M682" t="n">
        <v>0</v>
      </c>
      <c r="N682" t="n">
        <v>0</v>
      </c>
      <c r="O682" t="n">
        <v>0</v>
      </c>
      <c r="P682" t="n">
        <v>0</v>
      </c>
      <c r="Q682" t="n">
        <v>0</v>
      </c>
      <c r="R682" s="2" t="inlineStr"/>
    </row>
    <row r="683" ht="15" customHeight="1">
      <c r="A683" t="inlineStr">
        <is>
          <t>A 62492-2019</t>
        </is>
      </c>
      <c r="B683" s="1" t="n">
        <v>43788</v>
      </c>
      <c r="C683" s="1" t="n">
        <v>45718</v>
      </c>
      <c r="D683" t="inlineStr">
        <is>
          <t>JÄMTLANDS LÄN</t>
        </is>
      </c>
      <c r="E683" t="inlineStr">
        <is>
          <t>STRÖMSUND</t>
        </is>
      </c>
      <c r="F683" t="inlineStr">
        <is>
          <t>SCA</t>
        </is>
      </c>
      <c r="G683" t="n">
        <v>6.3</v>
      </c>
      <c r="H683" t="n">
        <v>0</v>
      </c>
      <c r="I683" t="n">
        <v>0</v>
      </c>
      <c r="J683" t="n">
        <v>0</v>
      </c>
      <c r="K683" t="n">
        <v>0</v>
      </c>
      <c r="L683" t="n">
        <v>0</v>
      </c>
      <c r="M683" t="n">
        <v>0</v>
      </c>
      <c r="N683" t="n">
        <v>0</v>
      </c>
      <c r="O683" t="n">
        <v>0</v>
      </c>
      <c r="P683" t="n">
        <v>0</v>
      </c>
      <c r="Q683" t="n">
        <v>0</v>
      </c>
      <c r="R683" s="2" t="inlineStr"/>
    </row>
    <row r="684" ht="15" customHeight="1">
      <c r="A684" t="inlineStr">
        <is>
          <t>A 63715-2019</t>
        </is>
      </c>
      <c r="B684" s="1" t="n">
        <v>43789</v>
      </c>
      <c r="C684" s="1" t="n">
        <v>45718</v>
      </c>
      <c r="D684" t="inlineStr">
        <is>
          <t>JÄMTLANDS LÄN</t>
        </is>
      </c>
      <c r="E684" t="inlineStr">
        <is>
          <t>STRÖMSUND</t>
        </is>
      </c>
      <c r="G684" t="n">
        <v>5.8</v>
      </c>
      <c r="H684" t="n">
        <v>0</v>
      </c>
      <c r="I684" t="n">
        <v>0</v>
      </c>
      <c r="J684" t="n">
        <v>0</v>
      </c>
      <c r="K684" t="n">
        <v>0</v>
      </c>
      <c r="L684" t="n">
        <v>0</v>
      </c>
      <c r="M684" t="n">
        <v>0</v>
      </c>
      <c r="N684" t="n">
        <v>0</v>
      </c>
      <c r="O684" t="n">
        <v>0</v>
      </c>
      <c r="P684" t="n">
        <v>0</v>
      </c>
      <c r="Q684" t="n">
        <v>0</v>
      </c>
      <c r="R684" s="2" t="inlineStr"/>
    </row>
    <row r="685" ht="15" customHeight="1">
      <c r="A685" t="inlineStr">
        <is>
          <t>A 62511-2019</t>
        </is>
      </c>
      <c r="B685" s="1" t="n">
        <v>43789</v>
      </c>
      <c r="C685" s="1" t="n">
        <v>45718</v>
      </c>
      <c r="D685" t="inlineStr">
        <is>
          <t>JÄMTLANDS LÄN</t>
        </is>
      </c>
      <c r="E685" t="inlineStr">
        <is>
          <t>STRÖMSUND</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63927-2019</t>
        </is>
      </c>
      <c r="B686" s="1" t="n">
        <v>43790</v>
      </c>
      <c r="C686" s="1" t="n">
        <v>45718</v>
      </c>
      <c r="D686" t="inlineStr">
        <is>
          <t>JÄMTLANDS LÄN</t>
        </is>
      </c>
      <c r="E686" t="inlineStr">
        <is>
          <t>STRÖMSUND</t>
        </is>
      </c>
      <c r="G686" t="n">
        <v>1</v>
      </c>
      <c r="H686" t="n">
        <v>0</v>
      </c>
      <c r="I686" t="n">
        <v>0</v>
      </c>
      <c r="J686" t="n">
        <v>0</v>
      </c>
      <c r="K686" t="n">
        <v>0</v>
      </c>
      <c r="L686" t="n">
        <v>0</v>
      </c>
      <c r="M686" t="n">
        <v>0</v>
      </c>
      <c r="N686" t="n">
        <v>0</v>
      </c>
      <c r="O686" t="n">
        <v>0</v>
      </c>
      <c r="P686" t="n">
        <v>0</v>
      </c>
      <c r="Q686" t="n">
        <v>0</v>
      </c>
      <c r="R686" s="2" t="inlineStr"/>
    </row>
    <row r="687" ht="15" customHeight="1">
      <c r="A687" t="inlineStr">
        <is>
          <t>A 63918-2019</t>
        </is>
      </c>
      <c r="B687" s="1" t="n">
        <v>43790</v>
      </c>
      <c r="C687" s="1" t="n">
        <v>45718</v>
      </c>
      <c r="D687" t="inlineStr">
        <is>
          <t>JÄMTLANDS LÄN</t>
        </is>
      </c>
      <c r="E687" t="inlineStr">
        <is>
          <t>STRÖMSUND</t>
        </is>
      </c>
      <c r="G687" t="n">
        <v>1.5</v>
      </c>
      <c r="H687" t="n">
        <v>0</v>
      </c>
      <c r="I687" t="n">
        <v>0</v>
      </c>
      <c r="J687" t="n">
        <v>0</v>
      </c>
      <c r="K687" t="n">
        <v>0</v>
      </c>
      <c r="L687" t="n">
        <v>0</v>
      </c>
      <c r="M687" t="n">
        <v>0</v>
      </c>
      <c r="N687" t="n">
        <v>0</v>
      </c>
      <c r="O687" t="n">
        <v>0</v>
      </c>
      <c r="P687" t="n">
        <v>0</v>
      </c>
      <c r="Q687" t="n">
        <v>0</v>
      </c>
      <c r="R687" s="2" t="inlineStr"/>
    </row>
    <row r="688" ht="15" customHeight="1">
      <c r="A688" t="inlineStr">
        <is>
          <t>A 63429-2019</t>
        </is>
      </c>
      <c r="B688" s="1" t="n">
        <v>43794</v>
      </c>
      <c r="C688" s="1" t="n">
        <v>45718</v>
      </c>
      <c r="D688" t="inlineStr">
        <is>
          <t>JÄMTLANDS LÄN</t>
        </is>
      </c>
      <c r="E688" t="inlineStr">
        <is>
          <t>STRÖMSUND</t>
        </is>
      </c>
      <c r="G688" t="n">
        <v>11</v>
      </c>
      <c r="H688" t="n">
        <v>0</v>
      </c>
      <c r="I688" t="n">
        <v>0</v>
      </c>
      <c r="J688" t="n">
        <v>0</v>
      </c>
      <c r="K688" t="n">
        <v>0</v>
      </c>
      <c r="L688" t="n">
        <v>0</v>
      </c>
      <c r="M688" t="n">
        <v>0</v>
      </c>
      <c r="N688" t="n">
        <v>0</v>
      </c>
      <c r="O688" t="n">
        <v>0</v>
      </c>
      <c r="P688" t="n">
        <v>0</v>
      </c>
      <c r="Q688" t="n">
        <v>0</v>
      </c>
      <c r="R688" s="2" t="inlineStr"/>
    </row>
    <row r="689" ht="15" customHeight="1">
      <c r="A689" t="inlineStr">
        <is>
          <t>A 63443-2019</t>
        </is>
      </c>
      <c r="B689" s="1" t="n">
        <v>43794</v>
      </c>
      <c r="C689" s="1" t="n">
        <v>45718</v>
      </c>
      <c r="D689" t="inlineStr">
        <is>
          <t>JÄMTLANDS LÄN</t>
        </is>
      </c>
      <c r="E689" t="inlineStr">
        <is>
          <t>STRÖMSUND</t>
        </is>
      </c>
      <c r="G689" t="n">
        <v>13.8</v>
      </c>
      <c r="H689" t="n">
        <v>0</v>
      </c>
      <c r="I689" t="n">
        <v>0</v>
      </c>
      <c r="J689" t="n">
        <v>0</v>
      </c>
      <c r="K689" t="n">
        <v>0</v>
      </c>
      <c r="L689" t="n">
        <v>0</v>
      </c>
      <c r="M689" t="n">
        <v>0</v>
      </c>
      <c r="N689" t="n">
        <v>0</v>
      </c>
      <c r="O689" t="n">
        <v>0</v>
      </c>
      <c r="P689" t="n">
        <v>0</v>
      </c>
      <c r="Q689" t="n">
        <v>0</v>
      </c>
      <c r="R689" s="2" t="inlineStr"/>
    </row>
    <row r="690" ht="15" customHeight="1">
      <c r="A690" t="inlineStr">
        <is>
          <t>A 63426-2019</t>
        </is>
      </c>
      <c r="B690" s="1" t="n">
        <v>43794</v>
      </c>
      <c r="C690" s="1" t="n">
        <v>45718</v>
      </c>
      <c r="D690" t="inlineStr">
        <is>
          <t>JÄMTLANDS LÄN</t>
        </is>
      </c>
      <c r="E690" t="inlineStr">
        <is>
          <t>STRÖMSUND</t>
        </is>
      </c>
      <c r="G690" t="n">
        <v>1.2</v>
      </c>
      <c r="H690" t="n">
        <v>0</v>
      </c>
      <c r="I690" t="n">
        <v>0</v>
      </c>
      <c r="J690" t="n">
        <v>0</v>
      </c>
      <c r="K690" t="n">
        <v>0</v>
      </c>
      <c r="L690" t="n">
        <v>0</v>
      </c>
      <c r="M690" t="n">
        <v>0</v>
      </c>
      <c r="N690" t="n">
        <v>0</v>
      </c>
      <c r="O690" t="n">
        <v>0</v>
      </c>
      <c r="P690" t="n">
        <v>0</v>
      </c>
      <c r="Q690" t="n">
        <v>0</v>
      </c>
      <c r="R690" s="2" t="inlineStr"/>
    </row>
    <row r="691" ht="15" customHeight="1">
      <c r="A691" t="inlineStr">
        <is>
          <t>A 63444-2019</t>
        </is>
      </c>
      <c r="B691" s="1" t="n">
        <v>43794</v>
      </c>
      <c r="C691" s="1" t="n">
        <v>45718</v>
      </c>
      <c r="D691" t="inlineStr">
        <is>
          <t>JÄMTLANDS LÄN</t>
        </is>
      </c>
      <c r="E691" t="inlineStr">
        <is>
          <t>STRÖMSUND</t>
        </is>
      </c>
      <c r="G691" t="n">
        <v>5.6</v>
      </c>
      <c r="H691" t="n">
        <v>0</v>
      </c>
      <c r="I691" t="n">
        <v>0</v>
      </c>
      <c r="J691" t="n">
        <v>0</v>
      </c>
      <c r="K691" t="n">
        <v>0</v>
      </c>
      <c r="L691" t="n">
        <v>0</v>
      </c>
      <c r="M691" t="n">
        <v>0</v>
      </c>
      <c r="N691" t="n">
        <v>0</v>
      </c>
      <c r="O691" t="n">
        <v>0</v>
      </c>
      <c r="P691" t="n">
        <v>0</v>
      </c>
      <c r="Q691" t="n">
        <v>0</v>
      </c>
      <c r="R691" s="2" t="inlineStr"/>
    </row>
    <row r="692" ht="15" customHeight="1">
      <c r="A692" t="inlineStr">
        <is>
          <t>A 64138-2019</t>
        </is>
      </c>
      <c r="B692" s="1" t="n">
        <v>43796</v>
      </c>
      <c r="C692" s="1" t="n">
        <v>45718</v>
      </c>
      <c r="D692" t="inlineStr">
        <is>
          <t>JÄMTLANDS LÄN</t>
        </is>
      </c>
      <c r="E692" t="inlineStr">
        <is>
          <t>STRÖMSUND</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64463-2019</t>
        </is>
      </c>
      <c r="B693" s="1" t="n">
        <v>43797</v>
      </c>
      <c r="C693" s="1" t="n">
        <v>45718</v>
      </c>
      <c r="D693" t="inlineStr">
        <is>
          <t>JÄMTLANDS LÄN</t>
        </is>
      </c>
      <c r="E693" t="inlineStr">
        <is>
          <t>STRÖMSUND</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65415-2019</t>
        </is>
      </c>
      <c r="B694" s="1" t="n">
        <v>43797</v>
      </c>
      <c r="C694" s="1" t="n">
        <v>45718</v>
      </c>
      <c r="D694" t="inlineStr">
        <is>
          <t>JÄMTLANDS LÄN</t>
        </is>
      </c>
      <c r="E694" t="inlineStr">
        <is>
          <t>STRÖMSUND</t>
        </is>
      </c>
      <c r="G694" t="n">
        <v>1.2</v>
      </c>
      <c r="H694" t="n">
        <v>0</v>
      </c>
      <c r="I694" t="n">
        <v>0</v>
      </c>
      <c r="J694" t="n">
        <v>0</v>
      </c>
      <c r="K694" t="n">
        <v>0</v>
      </c>
      <c r="L694" t="n">
        <v>0</v>
      </c>
      <c r="M694" t="n">
        <v>0</v>
      </c>
      <c r="N694" t="n">
        <v>0</v>
      </c>
      <c r="O694" t="n">
        <v>0</v>
      </c>
      <c r="P694" t="n">
        <v>0</v>
      </c>
      <c r="Q694" t="n">
        <v>0</v>
      </c>
      <c r="R694" s="2" t="inlineStr"/>
    </row>
    <row r="695" ht="15" customHeight="1">
      <c r="A695" t="inlineStr">
        <is>
          <t>A 65390-2019</t>
        </is>
      </c>
      <c r="B695" s="1" t="n">
        <v>43797</v>
      </c>
      <c r="C695" s="1" t="n">
        <v>45718</v>
      </c>
      <c r="D695" t="inlineStr">
        <is>
          <t>JÄMTLANDS LÄN</t>
        </is>
      </c>
      <c r="E695" t="inlineStr">
        <is>
          <t>STRÖMSUND</t>
        </is>
      </c>
      <c r="G695" t="n">
        <v>0.9</v>
      </c>
      <c r="H695" t="n">
        <v>0</v>
      </c>
      <c r="I695" t="n">
        <v>0</v>
      </c>
      <c r="J695" t="n">
        <v>0</v>
      </c>
      <c r="K695" t="n">
        <v>0</v>
      </c>
      <c r="L695" t="n">
        <v>0</v>
      </c>
      <c r="M695" t="n">
        <v>0</v>
      </c>
      <c r="N695" t="n">
        <v>0</v>
      </c>
      <c r="O695" t="n">
        <v>0</v>
      </c>
      <c r="P695" t="n">
        <v>0</v>
      </c>
      <c r="Q695" t="n">
        <v>0</v>
      </c>
      <c r="R695" s="2" t="inlineStr"/>
    </row>
    <row r="696" ht="15" customHeight="1">
      <c r="A696" t="inlineStr">
        <is>
          <t>A 66574-2019</t>
        </is>
      </c>
      <c r="B696" s="1" t="n">
        <v>43803</v>
      </c>
      <c r="C696" s="1" t="n">
        <v>45718</v>
      </c>
      <c r="D696" t="inlineStr">
        <is>
          <t>JÄMTLANDS LÄN</t>
        </is>
      </c>
      <c r="E696" t="inlineStr">
        <is>
          <t>STRÖMSUND</t>
        </is>
      </c>
      <c r="G696" t="n">
        <v>0.7</v>
      </c>
      <c r="H696" t="n">
        <v>0</v>
      </c>
      <c r="I696" t="n">
        <v>0</v>
      </c>
      <c r="J696" t="n">
        <v>0</v>
      </c>
      <c r="K696" t="n">
        <v>0</v>
      </c>
      <c r="L696" t="n">
        <v>0</v>
      </c>
      <c r="M696" t="n">
        <v>0</v>
      </c>
      <c r="N696" t="n">
        <v>0</v>
      </c>
      <c r="O696" t="n">
        <v>0</v>
      </c>
      <c r="P696" t="n">
        <v>0</v>
      </c>
      <c r="Q696" t="n">
        <v>0</v>
      </c>
      <c r="R696" s="2" t="inlineStr"/>
    </row>
    <row r="697" ht="15" customHeight="1">
      <c r="A697" t="inlineStr">
        <is>
          <t>A 65781-2019</t>
        </is>
      </c>
      <c r="B697" s="1" t="n">
        <v>43804</v>
      </c>
      <c r="C697" s="1" t="n">
        <v>45718</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67064-2019</t>
        </is>
      </c>
      <c r="B698" s="1" t="n">
        <v>43805</v>
      </c>
      <c r="C698" s="1" t="n">
        <v>45718</v>
      </c>
      <c r="D698" t="inlineStr">
        <is>
          <t>JÄMTLANDS LÄN</t>
        </is>
      </c>
      <c r="E698" t="inlineStr">
        <is>
          <t>STRÖMSUND</t>
        </is>
      </c>
      <c r="G698" t="n">
        <v>0.8</v>
      </c>
      <c r="H698" t="n">
        <v>0</v>
      </c>
      <c r="I698" t="n">
        <v>0</v>
      </c>
      <c r="J698" t="n">
        <v>0</v>
      </c>
      <c r="K698" t="n">
        <v>0</v>
      </c>
      <c r="L698" t="n">
        <v>0</v>
      </c>
      <c r="M698" t="n">
        <v>0</v>
      </c>
      <c r="N698" t="n">
        <v>0</v>
      </c>
      <c r="O698" t="n">
        <v>0</v>
      </c>
      <c r="P698" t="n">
        <v>0</v>
      </c>
      <c r="Q698" t="n">
        <v>0</v>
      </c>
      <c r="R698" s="2" t="inlineStr"/>
    </row>
    <row r="699" ht="15" customHeight="1">
      <c r="A699" t="inlineStr">
        <is>
          <t>A 66349-2019</t>
        </is>
      </c>
      <c r="B699" s="1" t="n">
        <v>43808</v>
      </c>
      <c r="C699" s="1" t="n">
        <v>45718</v>
      </c>
      <c r="D699" t="inlineStr">
        <is>
          <t>JÄMTLANDS LÄN</t>
        </is>
      </c>
      <c r="E699" t="inlineStr">
        <is>
          <t>STRÖMSUND</t>
        </is>
      </c>
      <c r="F699" t="inlineStr">
        <is>
          <t>Sveaskog</t>
        </is>
      </c>
      <c r="G699" t="n">
        <v>3.7</v>
      </c>
      <c r="H699" t="n">
        <v>0</v>
      </c>
      <c r="I699" t="n">
        <v>0</v>
      </c>
      <c r="J699" t="n">
        <v>0</v>
      </c>
      <c r="K699" t="n">
        <v>0</v>
      </c>
      <c r="L699" t="n">
        <v>0</v>
      </c>
      <c r="M699" t="n">
        <v>0</v>
      </c>
      <c r="N699" t="n">
        <v>0</v>
      </c>
      <c r="O699" t="n">
        <v>0</v>
      </c>
      <c r="P699" t="n">
        <v>0</v>
      </c>
      <c r="Q699" t="n">
        <v>0</v>
      </c>
      <c r="R699" s="2" t="inlineStr"/>
    </row>
    <row r="700" ht="15" customHeight="1">
      <c r="A700" t="inlineStr">
        <is>
          <t>A 67820-2019</t>
        </is>
      </c>
      <c r="B700" s="1" t="n">
        <v>43815</v>
      </c>
      <c r="C700" s="1" t="n">
        <v>45718</v>
      </c>
      <c r="D700" t="inlineStr">
        <is>
          <t>JÄMTLANDS LÄN</t>
        </is>
      </c>
      <c r="E700" t="inlineStr">
        <is>
          <t>STRÖMSUND</t>
        </is>
      </c>
      <c r="F700" t="inlineStr">
        <is>
          <t>SCA</t>
        </is>
      </c>
      <c r="G700" t="n">
        <v>28.7</v>
      </c>
      <c r="H700" t="n">
        <v>0</v>
      </c>
      <c r="I700" t="n">
        <v>0</v>
      </c>
      <c r="J700" t="n">
        <v>0</v>
      </c>
      <c r="K700" t="n">
        <v>0</v>
      </c>
      <c r="L700" t="n">
        <v>0</v>
      </c>
      <c r="M700" t="n">
        <v>0</v>
      </c>
      <c r="N700" t="n">
        <v>0</v>
      </c>
      <c r="O700" t="n">
        <v>0</v>
      </c>
      <c r="P700" t="n">
        <v>0</v>
      </c>
      <c r="Q700" t="n">
        <v>0</v>
      </c>
      <c r="R700" s="2" t="inlineStr"/>
    </row>
    <row r="701" ht="15" customHeight="1">
      <c r="A701" t="inlineStr">
        <is>
          <t>A 67914-2019</t>
        </is>
      </c>
      <c r="B701" s="1" t="n">
        <v>43816</v>
      </c>
      <c r="C701" s="1" t="n">
        <v>45718</v>
      </c>
      <c r="D701" t="inlineStr">
        <is>
          <t>JÄMTLANDS LÄN</t>
        </is>
      </c>
      <c r="E701" t="inlineStr">
        <is>
          <t>STRÖMSUND</t>
        </is>
      </c>
      <c r="F701" t="inlineStr">
        <is>
          <t>Holmen skog AB</t>
        </is>
      </c>
      <c r="G701" t="n">
        <v>27.7</v>
      </c>
      <c r="H701" t="n">
        <v>0</v>
      </c>
      <c r="I701" t="n">
        <v>0</v>
      </c>
      <c r="J701" t="n">
        <v>0</v>
      </c>
      <c r="K701" t="n">
        <v>0</v>
      </c>
      <c r="L701" t="n">
        <v>0</v>
      </c>
      <c r="M701" t="n">
        <v>0</v>
      </c>
      <c r="N701" t="n">
        <v>0</v>
      </c>
      <c r="O701" t="n">
        <v>0</v>
      </c>
      <c r="P701" t="n">
        <v>0</v>
      </c>
      <c r="Q701" t="n">
        <v>0</v>
      </c>
      <c r="R701" s="2" t="inlineStr"/>
    </row>
    <row r="702" ht="15" customHeight="1">
      <c r="A702" t="inlineStr">
        <is>
          <t>A 68080-2019</t>
        </is>
      </c>
      <c r="B702" s="1" t="n">
        <v>43816</v>
      </c>
      <c r="C702" s="1" t="n">
        <v>45718</v>
      </c>
      <c r="D702" t="inlineStr">
        <is>
          <t>JÄMTLANDS LÄN</t>
        </is>
      </c>
      <c r="E702" t="inlineStr">
        <is>
          <t>STRÖMSUND</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68607-2019</t>
        </is>
      </c>
      <c r="B703" s="1" t="n">
        <v>43818</v>
      </c>
      <c r="C703" s="1" t="n">
        <v>45718</v>
      </c>
      <c r="D703" t="inlineStr">
        <is>
          <t>JÄMTLANDS LÄN</t>
        </is>
      </c>
      <c r="E703" t="inlineStr">
        <is>
          <t>STRÖMSUND</t>
        </is>
      </c>
      <c r="G703" t="n">
        <v>2.5</v>
      </c>
      <c r="H703" t="n">
        <v>0</v>
      </c>
      <c r="I703" t="n">
        <v>0</v>
      </c>
      <c r="J703" t="n">
        <v>0</v>
      </c>
      <c r="K703" t="n">
        <v>0</v>
      </c>
      <c r="L703" t="n">
        <v>0</v>
      </c>
      <c r="M703" t="n">
        <v>0</v>
      </c>
      <c r="N703" t="n">
        <v>0</v>
      </c>
      <c r="O703" t="n">
        <v>0</v>
      </c>
      <c r="P703" t="n">
        <v>0</v>
      </c>
      <c r="Q703" t="n">
        <v>0</v>
      </c>
      <c r="R703" s="2" t="inlineStr"/>
    </row>
    <row r="704" ht="15" customHeight="1">
      <c r="A704" t="inlineStr">
        <is>
          <t>A 68335-2019</t>
        </is>
      </c>
      <c r="B704" s="1" t="n">
        <v>43818</v>
      </c>
      <c r="C704" s="1" t="n">
        <v>45718</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861-2020</t>
        </is>
      </c>
      <c r="B705" s="1" t="n">
        <v>43838</v>
      </c>
      <c r="C705" s="1" t="n">
        <v>45718</v>
      </c>
      <c r="D705" t="inlineStr">
        <is>
          <t>JÄMTLANDS LÄN</t>
        </is>
      </c>
      <c r="E705" t="inlineStr">
        <is>
          <t>STRÖMSUND</t>
        </is>
      </c>
      <c r="G705" t="n">
        <v>0.6</v>
      </c>
      <c r="H705" t="n">
        <v>0</v>
      </c>
      <c r="I705" t="n">
        <v>0</v>
      </c>
      <c r="J705" t="n">
        <v>0</v>
      </c>
      <c r="K705" t="n">
        <v>0</v>
      </c>
      <c r="L705" t="n">
        <v>0</v>
      </c>
      <c r="M705" t="n">
        <v>0</v>
      </c>
      <c r="N705" t="n">
        <v>0</v>
      </c>
      <c r="O705" t="n">
        <v>0</v>
      </c>
      <c r="P705" t="n">
        <v>0</v>
      </c>
      <c r="Q705" t="n">
        <v>0</v>
      </c>
      <c r="R705" s="2" t="inlineStr"/>
    </row>
    <row r="706" ht="15" customHeight="1">
      <c r="A706" t="inlineStr">
        <is>
          <t>A 1034-2020</t>
        </is>
      </c>
      <c r="B706" s="1" t="n">
        <v>43839</v>
      </c>
      <c r="C706" s="1" t="n">
        <v>45718</v>
      </c>
      <c r="D706" t="inlineStr">
        <is>
          <t>JÄMTLANDS LÄN</t>
        </is>
      </c>
      <c r="E706" t="inlineStr">
        <is>
          <t>STRÖMSUND</t>
        </is>
      </c>
      <c r="G706" t="n">
        <v>1.7</v>
      </c>
      <c r="H706" t="n">
        <v>0</v>
      </c>
      <c r="I706" t="n">
        <v>0</v>
      </c>
      <c r="J706" t="n">
        <v>0</v>
      </c>
      <c r="K706" t="n">
        <v>0</v>
      </c>
      <c r="L706" t="n">
        <v>0</v>
      </c>
      <c r="M706" t="n">
        <v>0</v>
      </c>
      <c r="N706" t="n">
        <v>0</v>
      </c>
      <c r="O706" t="n">
        <v>0</v>
      </c>
      <c r="P706" t="n">
        <v>0</v>
      </c>
      <c r="Q706" t="n">
        <v>0</v>
      </c>
      <c r="R706" s="2" t="inlineStr"/>
    </row>
    <row r="707" ht="15" customHeight="1">
      <c r="A707" t="inlineStr">
        <is>
          <t>A 1134-2020</t>
        </is>
      </c>
      <c r="B707" s="1" t="n">
        <v>43840</v>
      </c>
      <c r="C707" s="1" t="n">
        <v>45718</v>
      </c>
      <c r="D707" t="inlineStr">
        <is>
          <t>JÄMTLANDS LÄN</t>
        </is>
      </c>
      <c r="E707" t="inlineStr">
        <is>
          <t>STRÖMSUND</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1138-2020</t>
        </is>
      </c>
      <c r="B708" s="1" t="n">
        <v>43840</v>
      </c>
      <c r="C708" s="1" t="n">
        <v>45718</v>
      </c>
      <c r="D708" t="inlineStr">
        <is>
          <t>JÄMTLANDS LÄN</t>
        </is>
      </c>
      <c r="E708" t="inlineStr">
        <is>
          <t>STRÖMSUND</t>
        </is>
      </c>
      <c r="G708" t="n">
        <v>6.5</v>
      </c>
      <c r="H708" t="n">
        <v>0</v>
      </c>
      <c r="I708" t="n">
        <v>0</v>
      </c>
      <c r="J708" t="n">
        <v>0</v>
      </c>
      <c r="K708" t="n">
        <v>0</v>
      </c>
      <c r="L708" t="n">
        <v>0</v>
      </c>
      <c r="M708" t="n">
        <v>0</v>
      </c>
      <c r="N708" t="n">
        <v>0</v>
      </c>
      <c r="O708" t="n">
        <v>0</v>
      </c>
      <c r="P708" t="n">
        <v>0</v>
      </c>
      <c r="Q708" t="n">
        <v>0</v>
      </c>
      <c r="R708" s="2" t="inlineStr"/>
    </row>
    <row r="709" ht="15" customHeight="1">
      <c r="A709" t="inlineStr">
        <is>
          <t>A 1238-2020</t>
        </is>
      </c>
      <c r="B709" s="1" t="n">
        <v>43840</v>
      </c>
      <c r="C709" s="1" t="n">
        <v>45718</v>
      </c>
      <c r="D709" t="inlineStr">
        <is>
          <t>JÄMTLANDS LÄN</t>
        </is>
      </c>
      <c r="E709" t="inlineStr">
        <is>
          <t>STRÖMSUND</t>
        </is>
      </c>
      <c r="G709" t="n">
        <v>20.3</v>
      </c>
      <c r="H709" t="n">
        <v>0</v>
      </c>
      <c r="I709" t="n">
        <v>0</v>
      </c>
      <c r="J709" t="n">
        <v>0</v>
      </c>
      <c r="K709" t="n">
        <v>0</v>
      </c>
      <c r="L709" t="n">
        <v>0</v>
      </c>
      <c r="M709" t="n">
        <v>0</v>
      </c>
      <c r="N709" t="n">
        <v>0</v>
      </c>
      <c r="O709" t="n">
        <v>0</v>
      </c>
      <c r="P709" t="n">
        <v>0</v>
      </c>
      <c r="Q709" t="n">
        <v>0</v>
      </c>
      <c r="R709" s="2" t="inlineStr"/>
    </row>
    <row r="710" ht="15" customHeight="1">
      <c r="A710" t="inlineStr">
        <is>
          <t>A 2250-2020</t>
        </is>
      </c>
      <c r="B710" s="1" t="n">
        <v>43846</v>
      </c>
      <c r="C710" s="1" t="n">
        <v>45718</v>
      </c>
      <c r="D710" t="inlineStr">
        <is>
          <t>JÄMTLANDS LÄN</t>
        </is>
      </c>
      <c r="E710" t="inlineStr">
        <is>
          <t>STRÖMSUND</t>
        </is>
      </c>
      <c r="G710" t="n">
        <v>0.1</v>
      </c>
      <c r="H710" t="n">
        <v>0</v>
      </c>
      <c r="I710" t="n">
        <v>0</v>
      </c>
      <c r="J710" t="n">
        <v>0</v>
      </c>
      <c r="K710" t="n">
        <v>0</v>
      </c>
      <c r="L710" t="n">
        <v>0</v>
      </c>
      <c r="M710" t="n">
        <v>0</v>
      </c>
      <c r="N710" t="n">
        <v>0</v>
      </c>
      <c r="O710" t="n">
        <v>0</v>
      </c>
      <c r="P710" t="n">
        <v>0</v>
      </c>
      <c r="Q710" t="n">
        <v>0</v>
      </c>
      <c r="R710" s="2" t="inlineStr"/>
    </row>
    <row r="711" ht="15" customHeight="1">
      <c r="A711" t="inlineStr">
        <is>
          <t>A 2184-2020</t>
        </is>
      </c>
      <c r="B711" s="1" t="n">
        <v>43846</v>
      </c>
      <c r="C711" s="1" t="n">
        <v>45718</v>
      </c>
      <c r="D711" t="inlineStr">
        <is>
          <t>JÄMTLANDS LÄN</t>
        </is>
      </c>
      <c r="E711" t="inlineStr">
        <is>
          <t>STRÖMSUND</t>
        </is>
      </c>
      <c r="F711" t="inlineStr">
        <is>
          <t>Holmen skog AB</t>
        </is>
      </c>
      <c r="G711" t="n">
        <v>0.8</v>
      </c>
      <c r="H711" t="n">
        <v>0</v>
      </c>
      <c r="I711" t="n">
        <v>0</v>
      </c>
      <c r="J711" t="n">
        <v>0</v>
      </c>
      <c r="K711" t="n">
        <v>0</v>
      </c>
      <c r="L711" t="n">
        <v>0</v>
      </c>
      <c r="M711" t="n">
        <v>0</v>
      </c>
      <c r="N711" t="n">
        <v>0</v>
      </c>
      <c r="O711" t="n">
        <v>0</v>
      </c>
      <c r="P711" t="n">
        <v>0</v>
      </c>
      <c r="Q711" t="n">
        <v>0</v>
      </c>
      <c r="R711" s="2" t="inlineStr"/>
    </row>
    <row r="712" ht="15" customHeight="1">
      <c r="A712" t="inlineStr">
        <is>
          <t>A 2705-2020</t>
        </is>
      </c>
      <c r="B712" s="1" t="n">
        <v>43850</v>
      </c>
      <c r="C712" s="1" t="n">
        <v>45718</v>
      </c>
      <c r="D712" t="inlineStr">
        <is>
          <t>JÄMTLANDS LÄN</t>
        </is>
      </c>
      <c r="E712" t="inlineStr">
        <is>
          <t>STRÖMSUND</t>
        </is>
      </c>
      <c r="G712" t="n">
        <v>11.2</v>
      </c>
      <c r="H712" t="n">
        <v>0</v>
      </c>
      <c r="I712" t="n">
        <v>0</v>
      </c>
      <c r="J712" t="n">
        <v>0</v>
      </c>
      <c r="K712" t="n">
        <v>0</v>
      </c>
      <c r="L712" t="n">
        <v>0</v>
      </c>
      <c r="M712" t="n">
        <v>0</v>
      </c>
      <c r="N712" t="n">
        <v>0</v>
      </c>
      <c r="O712" t="n">
        <v>0</v>
      </c>
      <c r="P712" t="n">
        <v>0</v>
      </c>
      <c r="Q712" t="n">
        <v>0</v>
      </c>
      <c r="R712" s="2" t="inlineStr"/>
    </row>
    <row r="713" ht="15" customHeight="1">
      <c r="A713" t="inlineStr">
        <is>
          <t>A 2911-2020</t>
        </is>
      </c>
      <c r="B713" s="1" t="n">
        <v>43850</v>
      </c>
      <c r="C713" s="1" t="n">
        <v>45718</v>
      </c>
      <c r="D713" t="inlineStr">
        <is>
          <t>JÄMTLANDS LÄN</t>
        </is>
      </c>
      <c r="E713" t="inlineStr">
        <is>
          <t>STRÖMSUND</t>
        </is>
      </c>
      <c r="G713" t="n">
        <v>6.4</v>
      </c>
      <c r="H713" t="n">
        <v>0</v>
      </c>
      <c r="I713" t="n">
        <v>0</v>
      </c>
      <c r="J713" t="n">
        <v>0</v>
      </c>
      <c r="K713" t="n">
        <v>0</v>
      </c>
      <c r="L713" t="n">
        <v>0</v>
      </c>
      <c r="M713" t="n">
        <v>0</v>
      </c>
      <c r="N713" t="n">
        <v>0</v>
      </c>
      <c r="O713" t="n">
        <v>0</v>
      </c>
      <c r="P713" t="n">
        <v>0</v>
      </c>
      <c r="Q713" t="n">
        <v>0</v>
      </c>
      <c r="R713" s="2" t="inlineStr"/>
    </row>
    <row r="714" ht="15" customHeight="1">
      <c r="A714" t="inlineStr">
        <is>
          <t>A 5127-2020</t>
        </is>
      </c>
      <c r="B714" s="1" t="n">
        <v>43850</v>
      </c>
      <c r="C714" s="1" t="n">
        <v>45718</v>
      </c>
      <c r="D714" t="inlineStr">
        <is>
          <t>JÄMTLANDS LÄN</t>
        </is>
      </c>
      <c r="E714" t="inlineStr">
        <is>
          <t>STRÖMSUND</t>
        </is>
      </c>
      <c r="G714" t="n">
        <v>15.4</v>
      </c>
      <c r="H714" t="n">
        <v>0</v>
      </c>
      <c r="I714" t="n">
        <v>0</v>
      </c>
      <c r="J714" t="n">
        <v>0</v>
      </c>
      <c r="K714" t="n">
        <v>0</v>
      </c>
      <c r="L714" t="n">
        <v>0</v>
      </c>
      <c r="M714" t="n">
        <v>0</v>
      </c>
      <c r="N714" t="n">
        <v>0</v>
      </c>
      <c r="O714" t="n">
        <v>0</v>
      </c>
      <c r="P714" t="n">
        <v>0</v>
      </c>
      <c r="Q714" t="n">
        <v>0</v>
      </c>
      <c r="R714" s="2" t="inlineStr"/>
    </row>
    <row r="715" ht="15" customHeight="1">
      <c r="A715" t="inlineStr">
        <is>
          <t>A 5119-2020</t>
        </is>
      </c>
      <c r="B715" s="1" t="n">
        <v>43850</v>
      </c>
      <c r="C715" s="1" t="n">
        <v>45718</v>
      </c>
      <c r="D715" t="inlineStr">
        <is>
          <t>JÄMTLANDS LÄN</t>
        </is>
      </c>
      <c r="E715" t="inlineStr">
        <is>
          <t>STRÖMSUND</t>
        </is>
      </c>
      <c r="G715" t="n">
        <v>0.7</v>
      </c>
      <c r="H715" t="n">
        <v>0</v>
      </c>
      <c r="I715" t="n">
        <v>0</v>
      </c>
      <c r="J715" t="n">
        <v>0</v>
      </c>
      <c r="K715" t="n">
        <v>0</v>
      </c>
      <c r="L715" t="n">
        <v>0</v>
      </c>
      <c r="M715" t="n">
        <v>0</v>
      </c>
      <c r="N715" t="n">
        <v>0</v>
      </c>
      <c r="O715" t="n">
        <v>0</v>
      </c>
      <c r="P715" t="n">
        <v>0</v>
      </c>
      <c r="Q715" t="n">
        <v>0</v>
      </c>
      <c r="R715" s="2" t="inlineStr"/>
    </row>
    <row r="716" ht="15" customHeight="1">
      <c r="A716" t="inlineStr">
        <is>
          <t>A 2987-2020</t>
        </is>
      </c>
      <c r="B716" s="1" t="n">
        <v>43850</v>
      </c>
      <c r="C716" s="1" t="n">
        <v>45718</v>
      </c>
      <c r="D716" t="inlineStr">
        <is>
          <t>JÄMTLANDS LÄN</t>
        </is>
      </c>
      <c r="E716" t="inlineStr">
        <is>
          <t>STRÖMSUND</t>
        </is>
      </c>
      <c r="G716" t="n">
        <v>7.3</v>
      </c>
      <c r="H716" t="n">
        <v>0</v>
      </c>
      <c r="I716" t="n">
        <v>0</v>
      </c>
      <c r="J716" t="n">
        <v>0</v>
      </c>
      <c r="K716" t="n">
        <v>0</v>
      </c>
      <c r="L716" t="n">
        <v>0</v>
      </c>
      <c r="M716" t="n">
        <v>0</v>
      </c>
      <c r="N716" t="n">
        <v>0</v>
      </c>
      <c r="O716" t="n">
        <v>0</v>
      </c>
      <c r="P716" t="n">
        <v>0</v>
      </c>
      <c r="Q716" t="n">
        <v>0</v>
      </c>
      <c r="R716" s="2" t="inlineStr"/>
    </row>
    <row r="717" ht="15" customHeight="1">
      <c r="A717" t="inlineStr">
        <is>
          <t>A 5147-2020</t>
        </is>
      </c>
      <c r="B717" s="1" t="n">
        <v>43850</v>
      </c>
      <c r="C717" s="1" t="n">
        <v>45718</v>
      </c>
      <c r="D717" t="inlineStr">
        <is>
          <t>JÄMTLANDS LÄN</t>
        </is>
      </c>
      <c r="E717" t="inlineStr">
        <is>
          <t>STRÖMSUND</t>
        </is>
      </c>
      <c r="G717" t="n">
        <v>10.8</v>
      </c>
      <c r="H717" t="n">
        <v>0</v>
      </c>
      <c r="I717" t="n">
        <v>0</v>
      </c>
      <c r="J717" t="n">
        <v>0</v>
      </c>
      <c r="K717" t="n">
        <v>0</v>
      </c>
      <c r="L717" t="n">
        <v>0</v>
      </c>
      <c r="M717" t="n">
        <v>0</v>
      </c>
      <c r="N717" t="n">
        <v>0</v>
      </c>
      <c r="O717" t="n">
        <v>0</v>
      </c>
      <c r="P717" t="n">
        <v>0</v>
      </c>
      <c r="Q717" t="n">
        <v>0</v>
      </c>
      <c r="R717" s="2" t="inlineStr"/>
    </row>
    <row r="718" ht="15" customHeight="1">
      <c r="A718" t="inlineStr">
        <is>
          <t>A 4654-2020</t>
        </is>
      </c>
      <c r="B718" s="1" t="n">
        <v>43851</v>
      </c>
      <c r="C718" s="1" t="n">
        <v>45718</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4898-2020</t>
        </is>
      </c>
      <c r="B719" s="1" t="n">
        <v>43852</v>
      </c>
      <c r="C719" s="1" t="n">
        <v>45718</v>
      </c>
      <c r="D719" t="inlineStr">
        <is>
          <t>JÄMTLANDS LÄN</t>
        </is>
      </c>
      <c r="E719" t="inlineStr">
        <is>
          <t>STRÖMSUND</t>
        </is>
      </c>
      <c r="G719" t="n">
        <v>6.7</v>
      </c>
      <c r="H719" t="n">
        <v>0</v>
      </c>
      <c r="I719" t="n">
        <v>0</v>
      </c>
      <c r="J719" t="n">
        <v>0</v>
      </c>
      <c r="K719" t="n">
        <v>0</v>
      </c>
      <c r="L719" t="n">
        <v>0</v>
      </c>
      <c r="M719" t="n">
        <v>0</v>
      </c>
      <c r="N719" t="n">
        <v>0</v>
      </c>
      <c r="O719" t="n">
        <v>0</v>
      </c>
      <c r="P719" t="n">
        <v>0</v>
      </c>
      <c r="Q719" t="n">
        <v>0</v>
      </c>
      <c r="R719" s="2" t="inlineStr"/>
    </row>
    <row r="720" ht="15" customHeight="1">
      <c r="A720" t="inlineStr">
        <is>
          <t>A 3862-2020</t>
        </is>
      </c>
      <c r="B720" s="1" t="n">
        <v>43854</v>
      </c>
      <c r="C720" s="1" t="n">
        <v>45718</v>
      </c>
      <c r="D720" t="inlineStr">
        <is>
          <t>JÄMTLANDS LÄN</t>
        </is>
      </c>
      <c r="E720" t="inlineStr">
        <is>
          <t>STRÖMSUND</t>
        </is>
      </c>
      <c r="G720" t="n">
        <v>4.3</v>
      </c>
      <c r="H720" t="n">
        <v>0</v>
      </c>
      <c r="I720" t="n">
        <v>0</v>
      </c>
      <c r="J720" t="n">
        <v>0</v>
      </c>
      <c r="K720" t="n">
        <v>0</v>
      </c>
      <c r="L720" t="n">
        <v>0</v>
      </c>
      <c r="M720" t="n">
        <v>0</v>
      </c>
      <c r="N720" t="n">
        <v>0</v>
      </c>
      <c r="O720" t="n">
        <v>0</v>
      </c>
      <c r="P720" t="n">
        <v>0</v>
      </c>
      <c r="Q720" t="n">
        <v>0</v>
      </c>
      <c r="R720" s="2" t="inlineStr"/>
    </row>
    <row r="721" ht="15" customHeight="1">
      <c r="A721" t="inlineStr">
        <is>
          <t>A 3895-2020</t>
        </is>
      </c>
      <c r="B721" s="1" t="n">
        <v>43854</v>
      </c>
      <c r="C721" s="1" t="n">
        <v>45718</v>
      </c>
      <c r="D721" t="inlineStr">
        <is>
          <t>JÄMTLANDS LÄN</t>
        </is>
      </c>
      <c r="E721" t="inlineStr">
        <is>
          <t>STRÖMSUND</t>
        </is>
      </c>
      <c r="G721" t="n">
        <v>0.5</v>
      </c>
      <c r="H721" t="n">
        <v>0</v>
      </c>
      <c r="I721" t="n">
        <v>0</v>
      </c>
      <c r="J721" t="n">
        <v>0</v>
      </c>
      <c r="K721" t="n">
        <v>0</v>
      </c>
      <c r="L721" t="n">
        <v>0</v>
      </c>
      <c r="M721" t="n">
        <v>0</v>
      </c>
      <c r="N721" t="n">
        <v>0</v>
      </c>
      <c r="O721" t="n">
        <v>0</v>
      </c>
      <c r="P721" t="n">
        <v>0</v>
      </c>
      <c r="Q721" t="n">
        <v>0</v>
      </c>
      <c r="R721" s="2" t="inlineStr"/>
    </row>
    <row r="722" ht="15" customHeight="1">
      <c r="A722" t="inlineStr">
        <is>
          <t>A 3988-2020</t>
        </is>
      </c>
      <c r="B722" s="1" t="n">
        <v>43856</v>
      </c>
      <c r="C722" s="1" t="n">
        <v>45718</v>
      </c>
      <c r="D722" t="inlineStr">
        <is>
          <t>JÄMTLANDS LÄN</t>
        </is>
      </c>
      <c r="E722" t="inlineStr">
        <is>
          <t>STRÖMSUND</t>
        </is>
      </c>
      <c r="G722" t="n">
        <v>12.4</v>
      </c>
      <c r="H722" t="n">
        <v>0</v>
      </c>
      <c r="I722" t="n">
        <v>0</v>
      </c>
      <c r="J722" t="n">
        <v>0</v>
      </c>
      <c r="K722" t="n">
        <v>0</v>
      </c>
      <c r="L722" t="n">
        <v>0</v>
      </c>
      <c r="M722" t="n">
        <v>0</v>
      </c>
      <c r="N722" t="n">
        <v>0</v>
      </c>
      <c r="O722" t="n">
        <v>0</v>
      </c>
      <c r="P722" t="n">
        <v>0</v>
      </c>
      <c r="Q722" t="n">
        <v>0</v>
      </c>
      <c r="R722" s="2" t="inlineStr"/>
    </row>
    <row r="723" ht="15" customHeight="1">
      <c r="A723" t="inlineStr">
        <is>
          <t>A 4905-2020</t>
        </is>
      </c>
      <c r="B723" s="1" t="n">
        <v>43859</v>
      </c>
      <c r="C723" s="1" t="n">
        <v>45718</v>
      </c>
      <c r="D723" t="inlineStr">
        <is>
          <t>JÄMTLANDS LÄN</t>
        </is>
      </c>
      <c r="E723" t="inlineStr">
        <is>
          <t>STRÖMSUND</t>
        </is>
      </c>
      <c r="G723" t="n">
        <v>22.3</v>
      </c>
      <c r="H723" t="n">
        <v>0</v>
      </c>
      <c r="I723" t="n">
        <v>0</v>
      </c>
      <c r="J723" t="n">
        <v>0</v>
      </c>
      <c r="K723" t="n">
        <v>0</v>
      </c>
      <c r="L723" t="n">
        <v>0</v>
      </c>
      <c r="M723" t="n">
        <v>0</v>
      </c>
      <c r="N723" t="n">
        <v>0</v>
      </c>
      <c r="O723" t="n">
        <v>0</v>
      </c>
      <c r="P723" t="n">
        <v>0</v>
      </c>
      <c r="Q723" t="n">
        <v>0</v>
      </c>
      <c r="R723" s="2" t="inlineStr"/>
    </row>
    <row r="724" ht="15" customHeight="1">
      <c r="A724" t="inlineStr">
        <is>
          <t>A 5915-2020</t>
        </is>
      </c>
      <c r="B724" s="1" t="n">
        <v>43861</v>
      </c>
      <c r="C724" s="1" t="n">
        <v>45718</v>
      </c>
      <c r="D724" t="inlineStr">
        <is>
          <t>JÄMTLANDS LÄN</t>
        </is>
      </c>
      <c r="E724" t="inlineStr">
        <is>
          <t>STRÖMSUND</t>
        </is>
      </c>
      <c r="G724" t="n">
        <v>10.3</v>
      </c>
      <c r="H724" t="n">
        <v>0</v>
      </c>
      <c r="I724" t="n">
        <v>0</v>
      </c>
      <c r="J724" t="n">
        <v>0</v>
      </c>
      <c r="K724" t="n">
        <v>0</v>
      </c>
      <c r="L724" t="n">
        <v>0</v>
      </c>
      <c r="M724" t="n">
        <v>0</v>
      </c>
      <c r="N724" t="n">
        <v>0</v>
      </c>
      <c r="O724" t="n">
        <v>0</v>
      </c>
      <c r="P724" t="n">
        <v>0</v>
      </c>
      <c r="Q724" t="n">
        <v>0</v>
      </c>
      <c r="R724" s="2" t="inlineStr"/>
    </row>
    <row r="725" ht="15" customHeight="1">
      <c r="A725" t="inlineStr">
        <is>
          <t>A 6146-2020</t>
        </is>
      </c>
      <c r="B725" s="1" t="n">
        <v>43865</v>
      </c>
      <c r="C725" s="1" t="n">
        <v>45718</v>
      </c>
      <c r="D725" t="inlineStr">
        <is>
          <t>JÄMTLANDS LÄN</t>
        </is>
      </c>
      <c r="E725" t="inlineStr">
        <is>
          <t>STRÖMSUND</t>
        </is>
      </c>
      <c r="G725" t="n">
        <v>1.9</v>
      </c>
      <c r="H725" t="n">
        <v>0</v>
      </c>
      <c r="I725" t="n">
        <v>0</v>
      </c>
      <c r="J725" t="n">
        <v>0</v>
      </c>
      <c r="K725" t="n">
        <v>0</v>
      </c>
      <c r="L725" t="n">
        <v>0</v>
      </c>
      <c r="M725" t="n">
        <v>0</v>
      </c>
      <c r="N725" t="n">
        <v>0</v>
      </c>
      <c r="O725" t="n">
        <v>0</v>
      </c>
      <c r="P725" t="n">
        <v>0</v>
      </c>
      <c r="Q725" t="n">
        <v>0</v>
      </c>
      <c r="R725" s="2" t="inlineStr"/>
    </row>
    <row r="726" ht="15" customHeight="1">
      <c r="A726" t="inlineStr">
        <is>
          <t>A 7192-2020</t>
        </is>
      </c>
      <c r="B726" s="1" t="n">
        <v>43871</v>
      </c>
      <c r="C726" s="1" t="n">
        <v>45718</v>
      </c>
      <c r="D726" t="inlineStr">
        <is>
          <t>JÄMTLANDS LÄN</t>
        </is>
      </c>
      <c r="E726" t="inlineStr">
        <is>
          <t>STRÖMSUND</t>
        </is>
      </c>
      <c r="G726" t="n">
        <v>11.4</v>
      </c>
      <c r="H726" t="n">
        <v>0</v>
      </c>
      <c r="I726" t="n">
        <v>0</v>
      </c>
      <c r="J726" t="n">
        <v>0</v>
      </c>
      <c r="K726" t="n">
        <v>0</v>
      </c>
      <c r="L726" t="n">
        <v>0</v>
      </c>
      <c r="M726" t="n">
        <v>0</v>
      </c>
      <c r="N726" t="n">
        <v>0</v>
      </c>
      <c r="O726" t="n">
        <v>0</v>
      </c>
      <c r="P726" t="n">
        <v>0</v>
      </c>
      <c r="Q726" t="n">
        <v>0</v>
      </c>
      <c r="R726" s="2" t="inlineStr"/>
    </row>
    <row r="727" ht="15" customHeight="1">
      <c r="A727" t="inlineStr">
        <is>
          <t>A 7630-2020</t>
        </is>
      </c>
      <c r="B727" s="1" t="n">
        <v>43871</v>
      </c>
      <c r="C727" s="1" t="n">
        <v>45718</v>
      </c>
      <c r="D727" t="inlineStr">
        <is>
          <t>JÄMTLANDS LÄN</t>
        </is>
      </c>
      <c r="E727" t="inlineStr">
        <is>
          <t>STRÖMSUND</t>
        </is>
      </c>
      <c r="G727" t="n">
        <v>3</v>
      </c>
      <c r="H727" t="n">
        <v>0</v>
      </c>
      <c r="I727" t="n">
        <v>0</v>
      </c>
      <c r="J727" t="n">
        <v>0</v>
      </c>
      <c r="K727" t="n">
        <v>0</v>
      </c>
      <c r="L727" t="n">
        <v>0</v>
      </c>
      <c r="M727" t="n">
        <v>0</v>
      </c>
      <c r="N727" t="n">
        <v>0</v>
      </c>
      <c r="O727" t="n">
        <v>0</v>
      </c>
      <c r="P727" t="n">
        <v>0</v>
      </c>
      <c r="Q727" t="n">
        <v>0</v>
      </c>
      <c r="R727" s="2" t="inlineStr"/>
    </row>
    <row r="728" ht="15" customHeight="1">
      <c r="A728" t="inlineStr">
        <is>
          <t>A 7963-2020</t>
        </is>
      </c>
      <c r="B728" s="1" t="n">
        <v>43872</v>
      </c>
      <c r="C728" s="1" t="n">
        <v>45718</v>
      </c>
      <c r="D728" t="inlineStr">
        <is>
          <t>JÄMTLANDS LÄN</t>
        </is>
      </c>
      <c r="E728" t="inlineStr">
        <is>
          <t>STRÖMSUND</t>
        </is>
      </c>
      <c r="G728" t="n">
        <v>0.5</v>
      </c>
      <c r="H728" t="n">
        <v>0</v>
      </c>
      <c r="I728" t="n">
        <v>0</v>
      </c>
      <c r="J728" t="n">
        <v>0</v>
      </c>
      <c r="K728" t="n">
        <v>0</v>
      </c>
      <c r="L728" t="n">
        <v>0</v>
      </c>
      <c r="M728" t="n">
        <v>0</v>
      </c>
      <c r="N728" t="n">
        <v>0</v>
      </c>
      <c r="O728" t="n">
        <v>0</v>
      </c>
      <c r="P728" t="n">
        <v>0</v>
      </c>
      <c r="Q728" t="n">
        <v>0</v>
      </c>
      <c r="R728" s="2" t="inlineStr"/>
    </row>
    <row r="729" ht="15" customHeight="1">
      <c r="A729" t="inlineStr">
        <is>
          <t>A 7974-2020</t>
        </is>
      </c>
      <c r="B729" s="1" t="n">
        <v>43873</v>
      </c>
      <c r="C729" s="1" t="n">
        <v>45718</v>
      </c>
      <c r="D729" t="inlineStr">
        <is>
          <t>JÄMTLANDS LÄN</t>
        </is>
      </c>
      <c r="E729" t="inlineStr">
        <is>
          <t>STRÖMSUND</t>
        </is>
      </c>
      <c r="G729" t="n">
        <v>24.1</v>
      </c>
      <c r="H729" t="n">
        <v>0</v>
      </c>
      <c r="I729" t="n">
        <v>0</v>
      </c>
      <c r="J729" t="n">
        <v>0</v>
      </c>
      <c r="K729" t="n">
        <v>0</v>
      </c>
      <c r="L729" t="n">
        <v>0</v>
      </c>
      <c r="M729" t="n">
        <v>0</v>
      </c>
      <c r="N729" t="n">
        <v>0</v>
      </c>
      <c r="O729" t="n">
        <v>0</v>
      </c>
      <c r="P729" t="n">
        <v>0</v>
      </c>
      <c r="Q729" t="n">
        <v>0</v>
      </c>
      <c r="R729" s="2" t="inlineStr"/>
    </row>
    <row r="730" ht="15" customHeight="1">
      <c r="A730" t="inlineStr">
        <is>
          <t>A 8482-2020</t>
        </is>
      </c>
      <c r="B730" s="1" t="n">
        <v>43875</v>
      </c>
      <c r="C730" s="1" t="n">
        <v>45718</v>
      </c>
      <c r="D730" t="inlineStr">
        <is>
          <t>JÄMTLANDS LÄN</t>
        </is>
      </c>
      <c r="E730" t="inlineStr">
        <is>
          <t>STRÖMSUND</t>
        </is>
      </c>
      <c r="G730" t="n">
        <v>25.5</v>
      </c>
      <c r="H730" t="n">
        <v>0</v>
      </c>
      <c r="I730" t="n">
        <v>0</v>
      </c>
      <c r="J730" t="n">
        <v>0</v>
      </c>
      <c r="K730" t="n">
        <v>0</v>
      </c>
      <c r="L730" t="n">
        <v>0</v>
      </c>
      <c r="M730" t="n">
        <v>0</v>
      </c>
      <c r="N730" t="n">
        <v>0</v>
      </c>
      <c r="O730" t="n">
        <v>0</v>
      </c>
      <c r="P730" t="n">
        <v>0</v>
      </c>
      <c r="Q730" t="n">
        <v>0</v>
      </c>
      <c r="R730" s="2" t="inlineStr"/>
    </row>
    <row r="731" ht="15" customHeight="1">
      <c r="A731" t="inlineStr">
        <is>
          <t>A 8775-2020</t>
        </is>
      </c>
      <c r="B731" s="1" t="n">
        <v>43878</v>
      </c>
      <c r="C731" s="1" t="n">
        <v>45718</v>
      </c>
      <c r="D731" t="inlineStr">
        <is>
          <t>JÄMTLANDS LÄN</t>
        </is>
      </c>
      <c r="E731" t="inlineStr">
        <is>
          <t>STRÖMSUND</t>
        </is>
      </c>
      <c r="G731" t="n">
        <v>4.2</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45718</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45718</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45718</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45718</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45718</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45718</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45718</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18731-2020</t>
        </is>
      </c>
      <c r="B739" s="1" t="n">
        <v>43930</v>
      </c>
      <c r="C739" s="1" t="n">
        <v>45718</v>
      </c>
      <c r="D739" t="inlineStr">
        <is>
          <t>JÄMTLANDS LÄN</t>
        </is>
      </c>
      <c r="E739" t="inlineStr">
        <is>
          <t>STRÖMSUND</t>
        </is>
      </c>
      <c r="G739" t="n">
        <v>0.9</v>
      </c>
      <c r="H739" t="n">
        <v>0</v>
      </c>
      <c r="I739" t="n">
        <v>0</v>
      </c>
      <c r="J739" t="n">
        <v>0</v>
      </c>
      <c r="K739" t="n">
        <v>0</v>
      </c>
      <c r="L739" t="n">
        <v>0</v>
      </c>
      <c r="M739" t="n">
        <v>0</v>
      </c>
      <c r="N739" t="n">
        <v>0</v>
      </c>
      <c r="O739" t="n">
        <v>0</v>
      </c>
      <c r="P739" t="n">
        <v>0</v>
      </c>
      <c r="Q739" t="n">
        <v>0</v>
      </c>
      <c r="R739" s="2" t="inlineStr"/>
    </row>
    <row r="740" ht="15" customHeight="1">
      <c r="A740" t="inlineStr">
        <is>
          <t>A 18780-2020</t>
        </is>
      </c>
      <c r="B740" s="1" t="n">
        <v>43930</v>
      </c>
      <c r="C740" s="1" t="n">
        <v>45718</v>
      </c>
      <c r="D740" t="inlineStr">
        <is>
          <t>JÄMTLANDS LÄN</t>
        </is>
      </c>
      <c r="E740" t="inlineStr">
        <is>
          <t>STRÖMSUND</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19089-2020</t>
        </is>
      </c>
      <c r="B741" s="1" t="n">
        <v>43935</v>
      </c>
      <c r="C741" s="1" t="n">
        <v>45718</v>
      </c>
      <c r="D741" t="inlineStr">
        <is>
          <t>JÄMTLANDS LÄN</t>
        </is>
      </c>
      <c r="E741" t="inlineStr">
        <is>
          <t>STRÖMSUND</t>
        </is>
      </c>
      <c r="G741" t="n">
        <v>15</v>
      </c>
      <c r="H741" t="n">
        <v>0</v>
      </c>
      <c r="I741" t="n">
        <v>0</v>
      </c>
      <c r="J741" t="n">
        <v>0</v>
      </c>
      <c r="K741" t="n">
        <v>0</v>
      </c>
      <c r="L741" t="n">
        <v>0</v>
      </c>
      <c r="M741" t="n">
        <v>0</v>
      </c>
      <c r="N741" t="n">
        <v>0</v>
      </c>
      <c r="O741" t="n">
        <v>0</v>
      </c>
      <c r="P741" t="n">
        <v>0</v>
      </c>
      <c r="Q741" t="n">
        <v>0</v>
      </c>
      <c r="R741" s="2" t="inlineStr"/>
    </row>
    <row r="742" ht="15" customHeight="1">
      <c r="A742" t="inlineStr">
        <is>
          <t>A 19842-2020</t>
        </is>
      </c>
      <c r="B742" s="1" t="n">
        <v>43942</v>
      </c>
      <c r="C742" s="1" t="n">
        <v>45718</v>
      </c>
      <c r="D742" t="inlineStr">
        <is>
          <t>JÄMTLANDS LÄN</t>
        </is>
      </c>
      <c r="E742" t="inlineStr">
        <is>
          <t>STRÖMSUND</t>
        </is>
      </c>
      <c r="G742" t="n">
        <v>20.3</v>
      </c>
      <c r="H742" t="n">
        <v>0</v>
      </c>
      <c r="I742" t="n">
        <v>0</v>
      </c>
      <c r="J742" t="n">
        <v>0</v>
      </c>
      <c r="K742" t="n">
        <v>0</v>
      </c>
      <c r="L742" t="n">
        <v>0</v>
      </c>
      <c r="M742" t="n">
        <v>0</v>
      </c>
      <c r="N742" t="n">
        <v>0</v>
      </c>
      <c r="O742" t="n">
        <v>0</v>
      </c>
      <c r="P742" t="n">
        <v>0</v>
      </c>
      <c r="Q742" t="n">
        <v>0</v>
      </c>
      <c r="R742" s="2" t="inlineStr"/>
    </row>
    <row r="743" ht="15" customHeight="1">
      <c r="A743" t="inlineStr">
        <is>
          <t>A 20816-2020</t>
        </is>
      </c>
      <c r="B743" s="1" t="n">
        <v>43949</v>
      </c>
      <c r="C743" s="1" t="n">
        <v>45718</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20812-2020</t>
        </is>
      </c>
      <c r="B744" s="1" t="n">
        <v>43950</v>
      </c>
      <c r="C744" s="1" t="n">
        <v>45718</v>
      </c>
      <c r="D744" t="inlineStr">
        <is>
          <t>JÄMTLANDS LÄN</t>
        </is>
      </c>
      <c r="E744" t="inlineStr">
        <is>
          <t>STRÖMSUND</t>
        </is>
      </c>
      <c r="G744" t="n">
        <v>6.1</v>
      </c>
      <c r="H744" t="n">
        <v>0</v>
      </c>
      <c r="I744" t="n">
        <v>0</v>
      </c>
      <c r="J744" t="n">
        <v>0</v>
      </c>
      <c r="K744" t="n">
        <v>0</v>
      </c>
      <c r="L744" t="n">
        <v>0</v>
      </c>
      <c r="M744" t="n">
        <v>0</v>
      </c>
      <c r="N744" t="n">
        <v>0</v>
      </c>
      <c r="O744" t="n">
        <v>0</v>
      </c>
      <c r="P744" t="n">
        <v>0</v>
      </c>
      <c r="Q744" t="n">
        <v>0</v>
      </c>
      <c r="R744" s="2" t="inlineStr"/>
    </row>
    <row r="745" ht="15" customHeight="1">
      <c r="A745" t="inlineStr">
        <is>
          <t>A 21939-2020</t>
        </is>
      </c>
      <c r="B745" s="1" t="n">
        <v>43955</v>
      </c>
      <c r="C745" s="1" t="n">
        <v>45718</v>
      </c>
      <c r="D745" t="inlineStr">
        <is>
          <t>JÄMTLANDS LÄN</t>
        </is>
      </c>
      <c r="E745" t="inlineStr">
        <is>
          <t>STRÖMSUND</t>
        </is>
      </c>
      <c r="G745" t="n">
        <v>4.5</v>
      </c>
      <c r="H745" t="n">
        <v>0</v>
      </c>
      <c r="I745" t="n">
        <v>0</v>
      </c>
      <c r="J745" t="n">
        <v>0</v>
      </c>
      <c r="K745" t="n">
        <v>0</v>
      </c>
      <c r="L745" t="n">
        <v>0</v>
      </c>
      <c r="M745" t="n">
        <v>0</v>
      </c>
      <c r="N745" t="n">
        <v>0</v>
      </c>
      <c r="O745" t="n">
        <v>0</v>
      </c>
      <c r="P745" t="n">
        <v>0</v>
      </c>
      <c r="Q745" t="n">
        <v>0</v>
      </c>
      <c r="R745" s="2" t="inlineStr"/>
    </row>
    <row r="746" ht="15" customHeight="1">
      <c r="A746" t="inlineStr">
        <is>
          <t>A 21602-2020</t>
        </is>
      </c>
      <c r="B746" s="1" t="n">
        <v>43957</v>
      </c>
      <c r="C746" s="1" t="n">
        <v>45718</v>
      </c>
      <c r="D746" t="inlineStr">
        <is>
          <t>JÄMTLANDS LÄN</t>
        </is>
      </c>
      <c r="E746" t="inlineStr">
        <is>
          <t>STRÖMSUND</t>
        </is>
      </c>
      <c r="G746" t="n">
        <v>15.4</v>
      </c>
      <c r="H746" t="n">
        <v>0</v>
      </c>
      <c r="I746" t="n">
        <v>0</v>
      </c>
      <c r="J746" t="n">
        <v>0</v>
      </c>
      <c r="K746" t="n">
        <v>0</v>
      </c>
      <c r="L746" t="n">
        <v>0</v>
      </c>
      <c r="M746" t="n">
        <v>0</v>
      </c>
      <c r="N746" t="n">
        <v>0</v>
      </c>
      <c r="O746" t="n">
        <v>0</v>
      </c>
      <c r="P746" t="n">
        <v>0</v>
      </c>
      <c r="Q746" t="n">
        <v>0</v>
      </c>
      <c r="R746" s="2" t="inlineStr"/>
    </row>
    <row r="747" ht="15" customHeight="1">
      <c r="A747" t="inlineStr">
        <is>
          <t>A 21773-2020</t>
        </is>
      </c>
      <c r="B747" s="1" t="n">
        <v>43957</v>
      </c>
      <c r="C747" s="1" t="n">
        <v>45718</v>
      </c>
      <c r="D747" t="inlineStr">
        <is>
          <t>JÄMTLANDS LÄN</t>
        </is>
      </c>
      <c r="E747" t="inlineStr">
        <is>
          <t>STRÖMSUND</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21971-2020</t>
        </is>
      </c>
      <c r="B748" s="1" t="n">
        <v>43958</v>
      </c>
      <c r="C748" s="1" t="n">
        <v>45718</v>
      </c>
      <c r="D748" t="inlineStr">
        <is>
          <t>JÄMTLANDS LÄN</t>
        </is>
      </c>
      <c r="E748" t="inlineStr">
        <is>
          <t>STRÖMSUND</t>
        </is>
      </c>
      <c r="F748" t="inlineStr">
        <is>
          <t>SCA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22092-2020</t>
        </is>
      </c>
      <c r="B749" s="1" t="n">
        <v>43959</v>
      </c>
      <c r="C749" s="1" t="n">
        <v>45718</v>
      </c>
      <c r="D749" t="inlineStr">
        <is>
          <t>JÄMTLANDS LÄN</t>
        </is>
      </c>
      <c r="E749" t="inlineStr">
        <is>
          <t>STRÖMSUND</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22699-2020</t>
        </is>
      </c>
      <c r="B750" s="1" t="n">
        <v>43963</v>
      </c>
      <c r="C750" s="1" t="n">
        <v>45718</v>
      </c>
      <c r="D750" t="inlineStr">
        <is>
          <t>JÄMTLANDS LÄN</t>
        </is>
      </c>
      <c r="E750" t="inlineStr">
        <is>
          <t>STRÖMSUND</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22905-2020</t>
        </is>
      </c>
      <c r="B751" s="1" t="n">
        <v>43964</v>
      </c>
      <c r="C751" s="1" t="n">
        <v>45718</v>
      </c>
      <c r="D751" t="inlineStr">
        <is>
          <t>JÄMTLANDS LÄN</t>
        </is>
      </c>
      <c r="E751" t="inlineStr">
        <is>
          <t>STRÖMSUND</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22906-2020</t>
        </is>
      </c>
      <c r="B752" s="1" t="n">
        <v>43964</v>
      </c>
      <c r="C752" s="1" t="n">
        <v>45718</v>
      </c>
      <c r="D752" t="inlineStr">
        <is>
          <t>JÄMTLANDS LÄN</t>
        </is>
      </c>
      <c r="E752" t="inlineStr">
        <is>
          <t>STRÖMSUND</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22912-2020</t>
        </is>
      </c>
      <c r="B753" s="1" t="n">
        <v>43964</v>
      </c>
      <c r="C753" s="1" t="n">
        <v>45718</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23412-2020</t>
        </is>
      </c>
      <c r="B754" s="1" t="n">
        <v>43969</v>
      </c>
      <c r="C754" s="1" t="n">
        <v>45718</v>
      </c>
      <c r="D754" t="inlineStr">
        <is>
          <t>JÄMTLANDS LÄN</t>
        </is>
      </c>
      <c r="E754" t="inlineStr">
        <is>
          <t>STRÖMSUND</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23647-2020</t>
        </is>
      </c>
      <c r="B755" s="1" t="n">
        <v>43969</v>
      </c>
      <c r="C755" s="1" t="n">
        <v>45718</v>
      </c>
      <c r="D755" t="inlineStr">
        <is>
          <t>JÄMTLANDS LÄN</t>
        </is>
      </c>
      <c r="E755" t="inlineStr">
        <is>
          <t>STRÖMSUND</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24054-2020</t>
        </is>
      </c>
      <c r="B756" s="1" t="n">
        <v>43971</v>
      </c>
      <c r="C756" s="1" t="n">
        <v>45718</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24064-2020</t>
        </is>
      </c>
      <c r="B757" s="1" t="n">
        <v>43971</v>
      </c>
      <c r="C757" s="1" t="n">
        <v>45718</v>
      </c>
      <c r="D757" t="inlineStr">
        <is>
          <t>JÄMTLANDS LÄN</t>
        </is>
      </c>
      <c r="E757" t="inlineStr">
        <is>
          <t>STRÖMSUND</t>
        </is>
      </c>
      <c r="F757" t="inlineStr">
        <is>
          <t>SCA</t>
        </is>
      </c>
      <c r="G757" t="n">
        <v>15.3</v>
      </c>
      <c r="H757" t="n">
        <v>0</v>
      </c>
      <c r="I757" t="n">
        <v>0</v>
      </c>
      <c r="J757" t="n">
        <v>0</v>
      </c>
      <c r="K757" t="n">
        <v>0</v>
      </c>
      <c r="L757" t="n">
        <v>0</v>
      </c>
      <c r="M757" t="n">
        <v>0</v>
      </c>
      <c r="N757" t="n">
        <v>0</v>
      </c>
      <c r="O757" t="n">
        <v>0</v>
      </c>
      <c r="P757" t="n">
        <v>0</v>
      </c>
      <c r="Q757" t="n">
        <v>0</v>
      </c>
      <c r="R757" s="2" t="inlineStr"/>
    </row>
    <row r="758" ht="15" customHeight="1">
      <c r="A758" t="inlineStr">
        <is>
          <t>A 24335-2020</t>
        </is>
      </c>
      <c r="B758" s="1" t="n">
        <v>43971</v>
      </c>
      <c r="C758" s="1" t="n">
        <v>45718</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24117-2020</t>
        </is>
      </c>
      <c r="B759" s="1" t="n">
        <v>43973</v>
      </c>
      <c r="C759" s="1" t="n">
        <v>45718</v>
      </c>
      <c r="D759" t="inlineStr">
        <is>
          <t>JÄMTLANDS LÄN</t>
        </is>
      </c>
      <c r="E759" t="inlineStr">
        <is>
          <t>STRÖMSUND</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24414-2020</t>
        </is>
      </c>
      <c r="B760" s="1" t="n">
        <v>43976</v>
      </c>
      <c r="C760" s="1" t="n">
        <v>45718</v>
      </c>
      <c r="D760" t="inlineStr">
        <is>
          <t>JÄMTLANDS LÄN</t>
        </is>
      </c>
      <c r="E760" t="inlineStr">
        <is>
          <t>STRÖMSUND</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24379-2020</t>
        </is>
      </c>
      <c r="B761" s="1" t="n">
        <v>43976</v>
      </c>
      <c r="C761" s="1" t="n">
        <v>45718</v>
      </c>
      <c r="D761" t="inlineStr">
        <is>
          <t>JÄMTLANDS LÄN</t>
        </is>
      </c>
      <c r="E761" t="inlineStr">
        <is>
          <t>STRÖMSUND</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24415-2020</t>
        </is>
      </c>
      <c r="B762" s="1" t="n">
        <v>43976</v>
      </c>
      <c r="C762" s="1" t="n">
        <v>45718</v>
      </c>
      <c r="D762" t="inlineStr">
        <is>
          <t>JÄMTLANDS LÄN</t>
        </is>
      </c>
      <c r="E762" t="inlineStr">
        <is>
          <t>STRÖMSUND</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24384-2020</t>
        </is>
      </c>
      <c r="B763" s="1" t="n">
        <v>43976</v>
      </c>
      <c r="C763" s="1" t="n">
        <v>45718</v>
      </c>
      <c r="D763" t="inlineStr">
        <is>
          <t>JÄMTLANDS LÄN</t>
        </is>
      </c>
      <c r="E763" t="inlineStr">
        <is>
          <t>STRÖMSUND</t>
        </is>
      </c>
      <c r="G763" t="n">
        <v>1.1</v>
      </c>
      <c r="H763" t="n">
        <v>0</v>
      </c>
      <c r="I763" t="n">
        <v>0</v>
      </c>
      <c r="J763" t="n">
        <v>0</v>
      </c>
      <c r="K763" t="n">
        <v>0</v>
      </c>
      <c r="L763" t="n">
        <v>0</v>
      </c>
      <c r="M763" t="n">
        <v>0</v>
      </c>
      <c r="N763" t="n">
        <v>0</v>
      </c>
      <c r="O763" t="n">
        <v>0</v>
      </c>
      <c r="P763" t="n">
        <v>0</v>
      </c>
      <c r="Q763" t="n">
        <v>0</v>
      </c>
      <c r="R763" s="2" t="inlineStr"/>
    </row>
    <row r="764" ht="15" customHeight="1">
      <c r="A764" t="inlineStr">
        <is>
          <t>A 24413-2020</t>
        </is>
      </c>
      <c r="B764" s="1" t="n">
        <v>43976</v>
      </c>
      <c r="C764" s="1" t="n">
        <v>45718</v>
      </c>
      <c r="D764" t="inlineStr">
        <is>
          <t>JÄMTLANDS LÄN</t>
        </is>
      </c>
      <c r="E764" t="inlineStr">
        <is>
          <t>STRÖMSUND</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25109-2020</t>
        </is>
      </c>
      <c r="B765" s="1" t="n">
        <v>43979</v>
      </c>
      <c r="C765" s="1" t="n">
        <v>45718</v>
      </c>
      <c r="D765" t="inlineStr">
        <is>
          <t>JÄMTLANDS LÄN</t>
        </is>
      </c>
      <c r="E765" t="inlineStr">
        <is>
          <t>STRÖMSUND</t>
        </is>
      </c>
      <c r="F765" t="inlineStr">
        <is>
          <t>SCA</t>
        </is>
      </c>
      <c r="G765" t="n">
        <v>10.7</v>
      </c>
      <c r="H765" t="n">
        <v>0</v>
      </c>
      <c r="I765" t="n">
        <v>0</v>
      </c>
      <c r="J765" t="n">
        <v>0</v>
      </c>
      <c r="K765" t="n">
        <v>0</v>
      </c>
      <c r="L765" t="n">
        <v>0</v>
      </c>
      <c r="M765" t="n">
        <v>0</v>
      </c>
      <c r="N765" t="n">
        <v>0</v>
      </c>
      <c r="O765" t="n">
        <v>0</v>
      </c>
      <c r="P765" t="n">
        <v>0</v>
      </c>
      <c r="Q765" t="n">
        <v>0</v>
      </c>
      <c r="R765" s="2" t="inlineStr"/>
    </row>
    <row r="766" ht="15" customHeight="1">
      <c r="A766" t="inlineStr">
        <is>
          <t>A 25107-2020</t>
        </is>
      </c>
      <c r="B766" s="1" t="n">
        <v>43979</v>
      </c>
      <c r="C766" s="1" t="n">
        <v>45718</v>
      </c>
      <c r="D766" t="inlineStr">
        <is>
          <t>JÄMTLANDS LÄN</t>
        </is>
      </c>
      <c r="E766" t="inlineStr">
        <is>
          <t>STRÖMSUND</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25396-2020</t>
        </is>
      </c>
      <c r="B767" s="1" t="n">
        <v>43980</v>
      </c>
      <c r="C767" s="1" t="n">
        <v>45718</v>
      </c>
      <c r="D767" t="inlineStr">
        <is>
          <t>JÄMTLANDS LÄN</t>
        </is>
      </c>
      <c r="E767" t="inlineStr">
        <is>
          <t>STRÖMSUND</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25375-2020</t>
        </is>
      </c>
      <c r="B768" s="1" t="n">
        <v>43980</v>
      </c>
      <c r="C768" s="1" t="n">
        <v>45718</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25390-2020</t>
        </is>
      </c>
      <c r="B769" s="1" t="n">
        <v>43980</v>
      </c>
      <c r="C769" s="1" t="n">
        <v>45718</v>
      </c>
      <c r="D769" t="inlineStr">
        <is>
          <t>JÄMTLANDS LÄN</t>
        </is>
      </c>
      <c r="E769" t="inlineStr">
        <is>
          <t>STRÖMSUND</t>
        </is>
      </c>
      <c r="F769" t="inlineStr">
        <is>
          <t>SCA</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25388-2020</t>
        </is>
      </c>
      <c r="B770" s="1" t="n">
        <v>43980</v>
      </c>
      <c r="C770" s="1" t="n">
        <v>45718</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25398-2020</t>
        </is>
      </c>
      <c r="B771" s="1" t="n">
        <v>43980</v>
      </c>
      <c r="C771" s="1" t="n">
        <v>45718</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25381-2020</t>
        </is>
      </c>
      <c r="B772" s="1" t="n">
        <v>43980</v>
      </c>
      <c r="C772" s="1" t="n">
        <v>45718</v>
      </c>
      <c r="D772" t="inlineStr">
        <is>
          <t>JÄMTLANDS LÄN</t>
        </is>
      </c>
      <c r="E772" t="inlineStr">
        <is>
          <t>STRÖMSUND</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25392-2020</t>
        </is>
      </c>
      <c r="B773" s="1" t="n">
        <v>43980</v>
      </c>
      <c r="C773" s="1" t="n">
        <v>45718</v>
      </c>
      <c r="D773" t="inlineStr">
        <is>
          <t>JÄMTLANDS LÄN</t>
        </is>
      </c>
      <c r="E773" t="inlineStr">
        <is>
          <t>STRÖMSUND</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25680-2020</t>
        </is>
      </c>
      <c r="B774" s="1" t="n">
        <v>43983</v>
      </c>
      <c r="C774" s="1" t="n">
        <v>45718</v>
      </c>
      <c r="D774" t="inlineStr">
        <is>
          <t>JÄMTLANDS LÄN</t>
        </is>
      </c>
      <c r="E774" t="inlineStr">
        <is>
          <t>STRÖMSUND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25892-2020</t>
        </is>
      </c>
      <c r="B775" s="1" t="n">
        <v>43984</v>
      </c>
      <c r="C775" s="1" t="n">
        <v>45718</v>
      </c>
      <c r="D775" t="inlineStr">
        <is>
          <t>JÄMTLANDS LÄN</t>
        </is>
      </c>
      <c r="E775" t="inlineStr">
        <is>
          <t>STRÖMSUND</t>
        </is>
      </c>
      <c r="G775" t="n">
        <v>3.5</v>
      </c>
      <c r="H775" t="n">
        <v>0</v>
      </c>
      <c r="I775" t="n">
        <v>0</v>
      </c>
      <c r="J775" t="n">
        <v>0</v>
      </c>
      <c r="K775" t="n">
        <v>0</v>
      </c>
      <c r="L775" t="n">
        <v>0</v>
      </c>
      <c r="M775" t="n">
        <v>0</v>
      </c>
      <c r="N775" t="n">
        <v>0</v>
      </c>
      <c r="O775" t="n">
        <v>0</v>
      </c>
      <c r="P775" t="n">
        <v>0</v>
      </c>
      <c r="Q775" t="n">
        <v>0</v>
      </c>
      <c r="R775" s="2" t="inlineStr"/>
    </row>
    <row r="776" ht="15" customHeight="1">
      <c r="A776" t="inlineStr">
        <is>
          <t>A 25913-2020</t>
        </is>
      </c>
      <c r="B776" s="1" t="n">
        <v>43984</v>
      </c>
      <c r="C776" s="1" t="n">
        <v>45718</v>
      </c>
      <c r="D776" t="inlineStr">
        <is>
          <t>JÄMTLANDS LÄN</t>
        </is>
      </c>
      <c r="E776" t="inlineStr">
        <is>
          <t>STRÖMSUND</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25997-2020</t>
        </is>
      </c>
      <c r="B777" s="1" t="n">
        <v>43985</v>
      </c>
      <c r="C777" s="1" t="n">
        <v>45718</v>
      </c>
      <c r="D777" t="inlineStr">
        <is>
          <t>JÄMTLANDS LÄN</t>
        </is>
      </c>
      <c r="E777" t="inlineStr">
        <is>
          <t>STRÖMSUND</t>
        </is>
      </c>
      <c r="G777" t="n">
        <v>2.4</v>
      </c>
      <c r="H777" t="n">
        <v>0</v>
      </c>
      <c r="I777" t="n">
        <v>0</v>
      </c>
      <c r="J777" t="n">
        <v>0</v>
      </c>
      <c r="K777" t="n">
        <v>0</v>
      </c>
      <c r="L777" t="n">
        <v>0</v>
      </c>
      <c r="M777" t="n">
        <v>0</v>
      </c>
      <c r="N777" t="n">
        <v>0</v>
      </c>
      <c r="O777" t="n">
        <v>0</v>
      </c>
      <c r="P777" t="n">
        <v>0</v>
      </c>
      <c r="Q777" t="n">
        <v>0</v>
      </c>
      <c r="R777" s="2" t="inlineStr"/>
    </row>
    <row r="778" ht="15" customHeight="1">
      <c r="A778" t="inlineStr">
        <is>
          <t>A 26190-2020</t>
        </is>
      </c>
      <c r="B778" s="1" t="n">
        <v>43985</v>
      </c>
      <c r="C778" s="1" t="n">
        <v>45718</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26669-2020</t>
        </is>
      </c>
      <c r="B779" s="1" t="n">
        <v>43989</v>
      </c>
      <c r="C779" s="1" t="n">
        <v>45718</v>
      </c>
      <c r="D779" t="inlineStr">
        <is>
          <t>JÄMTLANDS LÄN</t>
        </is>
      </c>
      <c r="E779" t="inlineStr">
        <is>
          <t>STRÖMSUND</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26670-2020</t>
        </is>
      </c>
      <c r="B780" s="1" t="n">
        <v>43989</v>
      </c>
      <c r="C780" s="1" t="n">
        <v>45718</v>
      </c>
      <c r="D780" t="inlineStr">
        <is>
          <t>JÄMTLANDS LÄN</t>
        </is>
      </c>
      <c r="E780" t="inlineStr">
        <is>
          <t>STRÖMSUND</t>
        </is>
      </c>
      <c r="G780" t="n">
        <v>2.3</v>
      </c>
      <c r="H780" t="n">
        <v>0</v>
      </c>
      <c r="I780" t="n">
        <v>0</v>
      </c>
      <c r="J780" t="n">
        <v>0</v>
      </c>
      <c r="K780" t="n">
        <v>0</v>
      </c>
      <c r="L780" t="n">
        <v>0</v>
      </c>
      <c r="M780" t="n">
        <v>0</v>
      </c>
      <c r="N780" t="n">
        <v>0</v>
      </c>
      <c r="O780" t="n">
        <v>0</v>
      </c>
      <c r="P780" t="n">
        <v>0</v>
      </c>
      <c r="Q780" t="n">
        <v>0</v>
      </c>
      <c r="R780" s="2" t="inlineStr"/>
    </row>
    <row r="781" ht="15" customHeight="1">
      <c r="A781" t="inlineStr">
        <is>
          <t>A 27415-2020</t>
        </is>
      </c>
      <c r="B781" s="1" t="n">
        <v>43992</v>
      </c>
      <c r="C781" s="1" t="n">
        <v>45718</v>
      </c>
      <c r="D781" t="inlineStr">
        <is>
          <t>JÄMTLANDS LÄN</t>
        </is>
      </c>
      <c r="E781" t="inlineStr">
        <is>
          <t>STRÖMSUND</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27709-2020</t>
        </is>
      </c>
      <c r="B782" s="1" t="n">
        <v>43994</v>
      </c>
      <c r="C782" s="1" t="n">
        <v>45718</v>
      </c>
      <c r="D782" t="inlineStr">
        <is>
          <t>JÄMTLANDS LÄN</t>
        </is>
      </c>
      <c r="E782" t="inlineStr">
        <is>
          <t>STRÖMSUND</t>
        </is>
      </c>
      <c r="G782" t="n">
        <v>2.9</v>
      </c>
      <c r="H782" t="n">
        <v>0</v>
      </c>
      <c r="I782" t="n">
        <v>0</v>
      </c>
      <c r="J782" t="n">
        <v>0</v>
      </c>
      <c r="K782" t="n">
        <v>0</v>
      </c>
      <c r="L782" t="n">
        <v>0</v>
      </c>
      <c r="M782" t="n">
        <v>0</v>
      </c>
      <c r="N782" t="n">
        <v>0</v>
      </c>
      <c r="O782" t="n">
        <v>0</v>
      </c>
      <c r="P782" t="n">
        <v>0</v>
      </c>
      <c r="Q782" t="n">
        <v>0</v>
      </c>
      <c r="R782" s="2" t="inlineStr"/>
    </row>
    <row r="783" ht="15" customHeight="1">
      <c r="A783" t="inlineStr">
        <is>
          <t>A 28196-2020</t>
        </is>
      </c>
      <c r="B783" s="1" t="n">
        <v>43997</v>
      </c>
      <c r="C783" s="1" t="n">
        <v>45718</v>
      </c>
      <c r="D783" t="inlineStr">
        <is>
          <t>JÄMTLANDS LÄN</t>
        </is>
      </c>
      <c r="E783" t="inlineStr">
        <is>
          <t>STRÖMSUND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28765-2020</t>
        </is>
      </c>
      <c r="B784" s="1" t="n">
        <v>43999</v>
      </c>
      <c r="C784" s="1" t="n">
        <v>45718</v>
      </c>
      <c r="D784" t="inlineStr">
        <is>
          <t>JÄMTLANDS LÄN</t>
        </is>
      </c>
      <c r="E784" t="inlineStr">
        <is>
          <t>STRÖMSUND</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29046-2020</t>
        </is>
      </c>
      <c r="B785" s="1" t="n">
        <v>44000</v>
      </c>
      <c r="C785" s="1" t="n">
        <v>45718</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30804-2020</t>
        </is>
      </c>
      <c r="B786" s="1" t="n">
        <v>44010</v>
      </c>
      <c r="C786" s="1" t="n">
        <v>45718</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30981-2020</t>
        </is>
      </c>
      <c r="B787" s="1" t="n">
        <v>44011</v>
      </c>
      <c r="C787" s="1" t="n">
        <v>45718</v>
      </c>
      <c r="D787" t="inlineStr">
        <is>
          <t>JÄMTLANDS LÄN</t>
        </is>
      </c>
      <c r="E787" t="inlineStr">
        <is>
          <t>STRÖMSUND</t>
        </is>
      </c>
      <c r="G787" t="n">
        <v>6.7</v>
      </c>
      <c r="H787" t="n">
        <v>0</v>
      </c>
      <c r="I787" t="n">
        <v>0</v>
      </c>
      <c r="J787" t="n">
        <v>0</v>
      </c>
      <c r="K787" t="n">
        <v>0</v>
      </c>
      <c r="L787" t="n">
        <v>0</v>
      </c>
      <c r="M787" t="n">
        <v>0</v>
      </c>
      <c r="N787" t="n">
        <v>0</v>
      </c>
      <c r="O787" t="n">
        <v>0</v>
      </c>
      <c r="P787" t="n">
        <v>0</v>
      </c>
      <c r="Q787" t="n">
        <v>0</v>
      </c>
      <c r="R787" s="2" t="inlineStr"/>
    </row>
    <row r="788" ht="15" customHeight="1">
      <c r="A788" t="inlineStr">
        <is>
          <t>A 31077-2020</t>
        </is>
      </c>
      <c r="B788" s="1" t="n">
        <v>44011</v>
      </c>
      <c r="C788" s="1" t="n">
        <v>45718</v>
      </c>
      <c r="D788" t="inlineStr">
        <is>
          <t>JÄMTLANDS LÄN</t>
        </is>
      </c>
      <c r="E788" t="inlineStr">
        <is>
          <t>STRÖMSUND</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31337-2020</t>
        </is>
      </c>
      <c r="B789" s="1" t="n">
        <v>44012</v>
      </c>
      <c r="C789" s="1" t="n">
        <v>45718</v>
      </c>
      <c r="D789" t="inlineStr">
        <is>
          <t>JÄMTLANDS LÄN</t>
        </is>
      </c>
      <c r="E789" t="inlineStr">
        <is>
          <t>STRÖMSUND</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31465-2020</t>
        </is>
      </c>
      <c r="B790" s="1" t="n">
        <v>44013</v>
      </c>
      <c r="C790" s="1" t="n">
        <v>45718</v>
      </c>
      <c r="D790" t="inlineStr">
        <is>
          <t>JÄMTLANDS LÄN</t>
        </is>
      </c>
      <c r="E790" t="inlineStr">
        <is>
          <t>STRÖMSUND</t>
        </is>
      </c>
      <c r="G790" t="n">
        <v>0.2</v>
      </c>
      <c r="H790" t="n">
        <v>0</v>
      </c>
      <c r="I790" t="n">
        <v>0</v>
      </c>
      <c r="J790" t="n">
        <v>0</v>
      </c>
      <c r="K790" t="n">
        <v>0</v>
      </c>
      <c r="L790" t="n">
        <v>0</v>
      </c>
      <c r="M790" t="n">
        <v>0</v>
      </c>
      <c r="N790" t="n">
        <v>0</v>
      </c>
      <c r="O790" t="n">
        <v>0</v>
      </c>
      <c r="P790" t="n">
        <v>0</v>
      </c>
      <c r="Q790" t="n">
        <v>0</v>
      </c>
      <c r="R790" s="2" t="inlineStr"/>
    </row>
    <row r="791" ht="15" customHeight="1">
      <c r="A791" t="inlineStr">
        <is>
          <t>A 31663-2020</t>
        </is>
      </c>
      <c r="B791" s="1" t="n">
        <v>44013</v>
      </c>
      <c r="C791" s="1" t="n">
        <v>45718</v>
      </c>
      <c r="D791" t="inlineStr">
        <is>
          <t>JÄMTLANDS LÄN</t>
        </is>
      </c>
      <c r="E791" t="inlineStr">
        <is>
          <t>STRÖMSUND</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31634-2020</t>
        </is>
      </c>
      <c r="B792" s="1" t="n">
        <v>44013</v>
      </c>
      <c r="C792" s="1" t="n">
        <v>45718</v>
      </c>
      <c r="D792" t="inlineStr">
        <is>
          <t>JÄMTLANDS LÄN</t>
        </is>
      </c>
      <c r="E792" t="inlineStr">
        <is>
          <t>STRÖMSUND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31658-2020</t>
        </is>
      </c>
      <c r="B793" s="1" t="n">
        <v>44013</v>
      </c>
      <c r="C793" s="1" t="n">
        <v>45718</v>
      </c>
      <c r="D793" t="inlineStr">
        <is>
          <t>JÄMTLANDS LÄN</t>
        </is>
      </c>
      <c r="E793" t="inlineStr">
        <is>
          <t>STRÖMSUND</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31990-2020</t>
        </is>
      </c>
      <c r="B794" s="1" t="n">
        <v>44014</v>
      </c>
      <c r="C794" s="1" t="n">
        <v>45718</v>
      </c>
      <c r="D794" t="inlineStr">
        <is>
          <t>JÄMTLANDS LÄN</t>
        </is>
      </c>
      <c r="E794" t="inlineStr">
        <is>
          <t>STRÖMSUND</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31991-2020</t>
        </is>
      </c>
      <c r="B795" s="1" t="n">
        <v>44014</v>
      </c>
      <c r="C795" s="1" t="n">
        <v>45718</v>
      </c>
      <c r="D795" t="inlineStr">
        <is>
          <t>JÄMTLANDS LÄN</t>
        </is>
      </c>
      <c r="E795" t="inlineStr">
        <is>
          <t>STRÖMSUND</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32315-2020</t>
        </is>
      </c>
      <c r="B796" s="1" t="n">
        <v>44015</v>
      </c>
      <c r="C796" s="1" t="n">
        <v>45718</v>
      </c>
      <c r="D796" t="inlineStr">
        <is>
          <t>JÄMTLANDS LÄN</t>
        </is>
      </c>
      <c r="E796" t="inlineStr">
        <is>
          <t>STRÖMSUND</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32307-2020</t>
        </is>
      </c>
      <c r="B797" s="1" t="n">
        <v>44015</v>
      </c>
      <c r="C797" s="1" t="n">
        <v>45718</v>
      </c>
      <c r="D797" t="inlineStr">
        <is>
          <t>JÄMTLANDS LÄN</t>
        </is>
      </c>
      <c r="E797" t="inlineStr">
        <is>
          <t>STRÖMSUND</t>
        </is>
      </c>
      <c r="F797" t="inlineStr">
        <is>
          <t>SCA</t>
        </is>
      </c>
      <c r="G797" t="n">
        <v>6.6</v>
      </c>
      <c r="H797" t="n">
        <v>0</v>
      </c>
      <c r="I797" t="n">
        <v>0</v>
      </c>
      <c r="J797" t="n">
        <v>0</v>
      </c>
      <c r="K797" t="n">
        <v>0</v>
      </c>
      <c r="L797" t="n">
        <v>0</v>
      </c>
      <c r="M797" t="n">
        <v>0</v>
      </c>
      <c r="N797" t="n">
        <v>0</v>
      </c>
      <c r="O797" t="n">
        <v>0</v>
      </c>
      <c r="P797" t="n">
        <v>0</v>
      </c>
      <c r="Q797" t="n">
        <v>0</v>
      </c>
      <c r="R797" s="2" t="inlineStr"/>
    </row>
    <row r="798" ht="15" customHeight="1">
      <c r="A798" t="inlineStr">
        <is>
          <t>A 32316-2020</t>
        </is>
      </c>
      <c r="B798" s="1" t="n">
        <v>44015</v>
      </c>
      <c r="C798" s="1" t="n">
        <v>45718</v>
      </c>
      <c r="D798" t="inlineStr">
        <is>
          <t>JÄMTLANDS LÄN</t>
        </is>
      </c>
      <c r="E798" t="inlineStr">
        <is>
          <t>STRÖMSUND</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32326-2020</t>
        </is>
      </c>
      <c r="B799" s="1" t="n">
        <v>44015</v>
      </c>
      <c r="C799" s="1" t="n">
        <v>45718</v>
      </c>
      <c r="D799" t="inlineStr">
        <is>
          <t>JÄMTLANDS LÄN</t>
        </is>
      </c>
      <c r="E799" t="inlineStr">
        <is>
          <t>STRÖMSUND</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32199-2020</t>
        </is>
      </c>
      <c r="B800" s="1" t="n">
        <v>44015</v>
      </c>
      <c r="C800" s="1" t="n">
        <v>45718</v>
      </c>
      <c r="D800" t="inlineStr">
        <is>
          <t>JÄMTLANDS LÄN</t>
        </is>
      </c>
      <c r="E800" t="inlineStr">
        <is>
          <t>STRÖMSUND</t>
        </is>
      </c>
      <c r="G800" t="n">
        <v>3.4</v>
      </c>
      <c r="H800" t="n">
        <v>0</v>
      </c>
      <c r="I800" t="n">
        <v>0</v>
      </c>
      <c r="J800" t="n">
        <v>0</v>
      </c>
      <c r="K800" t="n">
        <v>0</v>
      </c>
      <c r="L800" t="n">
        <v>0</v>
      </c>
      <c r="M800" t="n">
        <v>0</v>
      </c>
      <c r="N800" t="n">
        <v>0</v>
      </c>
      <c r="O800" t="n">
        <v>0</v>
      </c>
      <c r="P800" t="n">
        <v>0</v>
      </c>
      <c r="Q800" t="n">
        <v>0</v>
      </c>
      <c r="R800" s="2" t="inlineStr"/>
    </row>
    <row r="801" ht="15" customHeight="1">
      <c r="A801" t="inlineStr">
        <is>
          <t>A 32783-2020</t>
        </is>
      </c>
      <c r="B801" s="1" t="n">
        <v>44019</v>
      </c>
      <c r="C801" s="1" t="n">
        <v>45718</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33135-2020</t>
        </is>
      </c>
      <c r="B802" s="1" t="n">
        <v>44019</v>
      </c>
      <c r="C802" s="1" t="n">
        <v>45718</v>
      </c>
      <c r="D802" t="inlineStr">
        <is>
          <t>JÄMTLANDS LÄN</t>
        </is>
      </c>
      <c r="E802" t="inlineStr">
        <is>
          <t>STRÖMSUND</t>
        </is>
      </c>
      <c r="G802" t="n">
        <v>0.4</v>
      </c>
      <c r="H802" t="n">
        <v>0</v>
      </c>
      <c r="I802" t="n">
        <v>0</v>
      </c>
      <c r="J802" t="n">
        <v>0</v>
      </c>
      <c r="K802" t="n">
        <v>0</v>
      </c>
      <c r="L802" t="n">
        <v>0</v>
      </c>
      <c r="M802" t="n">
        <v>0</v>
      </c>
      <c r="N802" t="n">
        <v>0</v>
      </c>
      <c r="O802" t="n">
        <v>0</v>
      </c>
      <c r="P802" t="n">
        <v>0</v>
      </c>
      <c r="Q802" t="n">
        <v>0</v>
      </c>
      <c r="R802" s="2" t="inlineStr"/>
    </row>
    <row r="803" ht="15" customHeight="1">
      <c r="A803" t="inlineStr">
        <is>
          <t>A 32763-2020</t>
        </is>
      </c>
      <c r="B803" s="1" t="n">
        <v>44019</v>
      </c>
      <c r="C803" s="1" t="n">
        <v>45718</v>
      </c>
      <c r="D803" t="inlineStr">
        <is>
          <t>JÄMTLANDS LÄN</t>
        </is>
      </c>
      <c r="E803" t="inlineStr">
        <is>
          <t>STRÖMSUND</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33006-2020</t>
        </is>
      </c>
      <c r="B804" s="1" t="n">
        <v>44020</v>
      </c>
      <c r="C804" s="1" t="n">
        <v>45718</v>
      </c>
      <c r="D804" t="inlineStr">
        <is>
          <t>JÄMTLANDS LÄN</t>
        </is>
      </c>
      <c r="E804" t="inlineStr">
        <is>
          <t>STRÖMSUND</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33017-2020</t>
        </is>
      </c>
      <c r="B805" s="1" t="n">
        <v>44020</v>
      </c>
      <c r="C805" s="1" t="n">
        <v>45718</v>
      </c>
      <c r="D805" t="inlineStr">
        <is>
          <t>JÄMTLANDS LÄN</t>
        </is>
      </c>
      <c r="E805" t="inlineStr">
        <is>
          <t>STRÖMSUND</t>
        </is>
      </c>
      <c r="F805" t="inlineStr">
        <is>
          <t>Sveaskog</t>
        </is>
      </c>
      <c r="G805" t="n">
        <v>20.8</v>
      </c>
      <c r="H805" t="n">
        <v>0</v>
      </c>
      <c r="I805" t="n">
        <v>0</v>
      </c>
      <c r="J805" t="n">
        <v>0</v>
      </c>
      <c r="K805" t="n">
        <v>0</v>
      </c>
      <c r="L805" t="n">
        <v>0</v>
      </c>
      <c r="M805" t="n">
        <v>0</v>
      </c>
      <c r="N805" t="n">
        <v>0</v>
      </c>
      <c r="O805" t="n">
        <v>0</v>
      </c>
      <c r="P805" t="n">
        <v>0</v>
      </c>
      <c r="Q805" t="n">
        <v>0</v>
      </c>
      <c r="R805" s="2" t="inlineStr"/>
    </row>
    <row r="806" ht="15" customHeight="1">
      <c r="A806" t="inlineStr">
        <is>
          <t>A 33007-2020</t>
        </is>
      </c>
      <c r="B806" s="1" t="n">
        <v>44020</v>
      </c>
      <c r="C806" s="1" t="n">
        <v>45718</v>
      </c>
      <c r="D806" t="inlineStr">
        <is>
          <t>JÄMTLANDS LÄN</t>
        </is>
      </c>
      <c r="E806" t="inlineStr">
        <is>
          <t>STRÖMSUND</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33205-2020</t>
        </is>
      </c>
      <c r="B807" s="1" t="n">
        <v>44021</v>
      </c>
      <c r="C807" s="1" t="n">
        <v>45718</v>
      </c>
      <c r="D807" t="inlineStr">
        <is>
          <t>JÄMTLANDS LÄN</t>
        </is>
      </c>
      <c r="E807" t="inlineStr">
        <is>
          <t>STRÖMSUND</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33207-2020</t>
        </is>
      </c>
      <c r="B808" s="1" t="n">
        <v>44021</v>
      </c>
      <c r="C808" s="1" t="n">
        <v>45718</v>
      </c>
      <c r="D808" t="inlineStr">
        <is>
          <t>JÄMTLANDS LÄN</t>
        </is>
      </c>
      <c r="E808" t="inlineStr">
        <is>
          <t>STRÖMSUND</t>
        </is>
      </c>
      <c r="F808" t="inlineStr">
        <is>
          <t>SCA</t>
        </is>
      </c>
      <c r="G808" t="n">
        <v>7.2</v>
      </c>
      <c r="H808" t="n">
        <v>0</v>
      </c>
      <c r="I808" t="n">
        <v>0</v>
      </c>
      <c r="J808" t="n">
        <v>0</v>
      </c>
      <c r="K808" t="n">
        <v>0</v>
      </c>
      <c r="L808" t="n">
        <v>0</v>
      </c>
      <c r="M808" t="n">
        <v>0</v>
      </c>
      <c r="N808" t="n">
        <v>0</v>
      </c>
      <c r="O808" t="n">
        <v>0</v>
      </c>
      <c r="P808" t="n">
        <v>0</v>
      </c>
      <c r="Q808" t="n">
        <v>0</v>
      </c>
      <c r="R808" s="2" t="inlineStr"/>
    </row>
    <row r="809" ht="15" customHeight="1">
      <c r="A809" t="inlineStr">
        <is>
          <t>A 33460-2020</t>
        </is>
      </c>
      <c r="B809" s="1" t="n">
        <v>44022</v>
      </c>
      <c r="C809" s="1" t="n">
        <v>45718</v>
      </c>
      <c r="D809" t="inlineStr">
        <is>
          <t>JÄMTLANDS LÄN</t>
        </is>
      </c>
      <c r="E809" t="inlineStr">
        <is>
          <t>STRÖMSUND</t>
        </is>
      </c>
      <c r="F809" t="inlineStr">
        <is>
          <t>SCA</t>
        </is>
      </c>
      <c r="G809" t="n">
        <v>10.5</v>
      </c>
      <c r="H809" t="n">
        <v>0</v>
      </c>
      <c r="I809" t="n">
        <v>0</v>
      </c>
      <c r="J809" t="n">
        <v>0</v>
      </c>
      <c r="K809" t="n">
        <v>0</v>
      </c>
      <c r="L809" t="n">
        <v>0</v>
      </c>
      <c r="M809" t="n">
        <v>0</v>
      </c>
      <c r="N809" t="n">
        <v>0</v>
      </c>
      <c r="O809" t="n">
        <v>0</v>
      </c>
      <c r="P809" t="n">
        <v>0</v>
      </c>
      <c r="Q809" t="n">
        <v>0</v>
      </c>
      <c r="R809" s="2" t="inlineStr"/>
    </row>
    <row r="810" ht="15" customHeight="1">
      <c r="A810" t="inlineStr">
        <is>
          <t>A 33439-2020</t>
        </is>
      </c>
      <c r="B810" s="1" t="n">
        <v>44022</v>
      </c>
      <c r="C810" s="1" t="n">
        <v>45718</v>
      </c>
      <c r="D810" t="inlineStr">
        <is>
          <t>JÄMTLANDS LÄN</t>
        </is>
      </c>
      <c r="E810" t="inlineStr">
        <is>
          <t>STRÖMSUND</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33446-2020</t>
        </is>
      </c>
      <c r="B811" s="1" t="n">
        <v>44022</v>
      </c>
      <c r="C811" s="1" t="n">
        <v>45718</v>
      </c>
      <c r="D811" t="inlineStr">
        <is>
          <t>JÄMTLANDS LÄN</t>
        </is>
      </c>
      <c r="E811" t="inlineStr">
        <is>
          <t>STRÖMSUND</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33632-2020</t>
        </is>
      </c>
      <c r="B812" s="1" t="n">
        <v>44025</v>
      </c>
      <c r="C812" s="1" t="n">
        <v>45718</v>
      </c>
      <c r="D812" t="inlineStr">
        <is>
          <t>JÄMTLANDS LÄN</t>
        </is>
      </c>
      <c r="E812" t="inlineStr">
        <is>
          <t>STRÖMSUND</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33617-2020</t>
        </is>
      </c>
      <c r="B813" s="1" t="n">
        <v>44025</v>
      </c>
      <c r="C813" s="1" t="n">
        <v>45718</v>
      </c>
      <c r="D813" t="inlineStr">
        <is>
          <t>JÄMTLANDS LÄN</t>
        </is>
      </c>
      <c r="E813" t="inlineStr">
        <is>
          <t>STRÖMSUND</t>
        </is>
      </c>
      <c r="F813" t="inlineStr">
        <is>
          <t>SCA</t>
        </is>
      </c>
      <c r="G813" t="n">
        <v>135.3</v>
      </c>
      <c r="H813" t="n">
        <v>0</v>
      </c>
      <c r="I813" t="n">
        <v>0</v>
      </c>
      <c r="J813" t="n">
        <v>0</v>
      </c>
      <c r="K813" t="n">
        <v>0</v>
      </c>
      <c r="L813" t="n">
        <v>0</v>
      </c>
      <c r="M813" t="n">
        <v>0</v>
      </c>
      <c r="N813" t="n">
        <v>0</v>
      </c>
      <c r="O813" t="n">
        <v>0</v>
      </c>
      <c r="P813" t="n">
        <v>0</v>
      </c>
      <c r="Q813" t="n">
        <v>0</v>
      </c>
      <c r="R813" s="2" t="inlineStr"/>
    </row>
    <row r="814" ht="15" customHeight="1">
      <c r="A814" t="inlineStr">
        <is>
          <t>A 34079-2020</t>
        </is>
      </c>
      <c r="B814" s="1" t="n">
        <v>44028</v>
      </c>
      <c r="C814" s="1" t="n">
        <v>45718</v>
      </c>
      <c r="D814" t="inlineStr">
        <is>
          <t>JÄMTLANDS LÄN</t>
        </is>
      </c>
      <c r="E814" t="inlineStr">
        <is>
          <t>STRÖMSUND</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34084-2020</t>
        </is>
      </c>
      <c r="B815" s="1" t="n">
        <v>44028</v>
      </c>
      <c r="C815" s="1" t="n">
        <v>45718</v>
      </c>
      <c r="D815" t="inlineStr">
        <is>
          <t>JÄMTLANDS LÄN</t>
        </is>
      </c>
      <c r="E815" t="inlineStr">
        <is>
          <t>STRÖMSUND</t>
        </is>
      </c>
      <c r="F815" t="inlineStr">
        <is>
          <t>SCA</t>
        </is>
      </c>
      <c r="G815" t="n">
        <v>6.4</v>
      </c>
      <c r="H815" t="n">
        <v>0</v>
      </c>
      <c r="I815" t="n">
        <v>0</v>
      </c>
      <c r="J815" t="n">
        <v>0</v>
      </c>
      <c r="K815" t="n">
        <v>0</v>
      </c>
      <c r="L815" t="n">
        <v>0</v>
      </c>
      <c r="M815" t="n">
        <v>0</v>
      </c>
      <c r="N815" t="n">
        <v>0</v>
      </c>
      <c r="O815" t="n">
        <v>0</v>
      </c>
      <c r="P815" t="n">
        <v>0</v>
      </c>
      <c r="Q815" t="n">
        <v>0</v>
      </c>
      <c r="R815" s="2" t="inlineStr"/>
    </row>
    <row r="816" ht="15" customHeight="1">
      <c r="A816" t="inlineStr">
        <is>
          <t>A 34080-2020</t>
        </is>
      </c>
      <c r="B816" s="1" t="n">
        <v>44028</v>
      </c>
      <c r="C816" s="1" t="n">
        <v>45718</v>
      </c>
      <c r="D816" t="inlineStr">
        <is>
          <t>JÄMTLANDS LÄN</t>
        </is>
      </c>
      <c r="E816" t="inlineStr">
        <is>
          <t>STRÖMSUND</t>
        </is>
      </c>
      <c r="F816" t="inlineStr">
        <is>
          <t>SCA</t>
        </is>
      </c>
      <c r="G816" t="n">
        <v>5.4</v>
      </c>
      <c r="H816" t="n">
        <v>0</v>
      </c>
      <c r="I816" t="n">
        <v>0</v>
      </c>
      <c r="J816" t="n">
        <v>0</v>
      </c>
      <c r="K816" t="n">
        <v>0</v>
      </c>
      <c r="L816" t="n">
        <v>0</v>
      </c>
      <c r="M816" t="n">
        <v>0</v>
      </c>
      <c r="N816" t="n">
        <v>0</v>
      </c>
      <c r="O816" t="n">
        <v>0</v>
      </c>
      <c r="P816" t="n">
        <v>0</v>
      </c>
      <c r="Q816" t="n">
        <v>0</v>
      </c>
      <c r="R816" s="2" t="inlineStr"/>
    </row>
    <row r="817" ht="15" customHeight="1">
      <c r="A817" t="inlineStr">
        <is>
          <t>A 33959-2020</t>
        </is>
      </c>
      <c r="B817" s="1" t="n">
        <v>44028</v>
      </c>
      <c r="C817" s="1" t="n">
        <v>45718</v>
      </c>
      <c r="D817" t="inlineStr">
        <is>
          <t>JÄMTLANDS LÄN</t>
        </is>
      </c>
      <c r="E817" t="inlineStr">
        <is>
          <t>STRÖMSUND</t>
        </is>
      </c>
      <c r="G817" t="n">
        <v>1.7</v>
      </c>
      <c r="H817" t="n">
        <v>0</v>
      </c>
      <c r="I817" t="n">
        <v>0</v>
      </c>
      <c r="J817" t="n">
        <v>0</v>
      </c>
      <c r="K817" t="n">
        <v>0</v>
      </c>
      <c r="L817" t="n">
        <v>0</v>
      </c>
      <c r="M817" t="n">
        <v>0</v>
      </c>
      <c r="N817" t="n">
        <v>0</v>
      </c>
      <c r="O817" t="n">
        <v>0</v>
      </c>
      <c r="P817" t="n">
        <v>0</v>
      </c>
      <c r="Q817" t="n">
        <v>0</v>
      </c>
      <c r="R817" s="2" t="inlineStr"/>
    </row>
    <row r="818" ht="15" customHeight="1">
      <c r="A818" t="inlineStr">
        <is>
          <t>A 34082-2020</t>
        </is>
      </c>
      <c r="B818" s="1" t="n">
        <v>44028</v>
      </c>
      <c r="C818" s="1" t="n">
        <v>45718</v>
      </c>
      <c r="D818" t="inlineStr">
        <is>
          <t>JÄMTLANDS LÄN</t>
        </is>
      </c>
      <c r="E818" t="inlineStr">
        <is>
          <t>STRÖMSUND</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34086-2020</t>
        </is>
      </c>
      <c r="B819" s="1" t="n">
        <v>44028</v>
      </c>
      <c r="C819" s="1" t="n">
        <v>45718</v>
      </c>
      <c r="D819" t="inlineStr">
        <is>
          <t>JÄMTLANDS LÄN</t>
        </is>
      </c>
      <c r="E819" t="inlineStr">
        <is>
          <t>STRÖMSUND</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34078-2020</t>
        </is>
      </c>
      <c r="B820" s="1" t="n">
        <v>44028</v>
      </c>
      <c r="C820" s="1" t="n">
        <v>45718</v>
      </c>
      <c r="D820" t="inlineStr">
        <is>
          <t>JÄMTLANDS LÄN</t>
        </is>
      </c>
      <c r="E820" t="inlineStr">
        <is>
          <t>STRÖMSUND</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34083-2020</t>
        </is>
      </c>
      <c r="B821" s="1" t="n">
        <v>44028</v>
      </c>
      <c r="C821" s="1" t="n">
        <v>45718</v>
      </c>
      <c r="D821" t="inlineStr">
        <is>
          <t>JÄMTLANDS LÄN</t>
        </is>
      </c>
      <c r="E821" t="inlineStr">
        <is>
          <t>STRÖMSUND</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34162-2020</t>
        </is>
      </c>
      <c r="B822" s="1" t="n">
        <v>44029</v>
      </c>
      <c r="C822" s="1" t="n">
        <v>45718</v>
      </c>
      <c r="D822" t="inlineStr">
        <is>
          <t>JÄMTLANDS LÄN</t>
        </is>
      </c>
      <c r="E822" t="inlineStr">
        <is>
          <t>STRÖMSUND</t>
        </is>
      </c>
      <c r="F822" t="inlineStr">
        <is>
          <t>Sveaskog</t>
        </is>
      </c>
      <c r="G822" t="n">
        <v>3</v>
      </c>
      <c r="H822" t="n">
        <v>0</v>
      </c>
      <c r="I822" t="n">
        <v>0</v>
      </c>
      <c r="J822" t="n">
        <v>0</v>
      </c>
      <c r="K822" t="n">
        <v>0</v>
      </c>
      <c r="L822" t="n">
        <v>0</v>
      </c>
      <c r="M822" t="n">
        <v>0</v>
      </c>
      <c r="N822" t="n">
        <v>0</v>
      </c>
      <c r="O822" t="n">
        <v>0</v>
      </c>
      <c r="P822" t="n">
        <v>0</v>
      </c>
      <c r="Q822" t="n">
        <v>0</v>
      </c>
      <c r="R822" s="2" t="inlineStr"/>
    </row>
    <row r="823" ht="15" customHeight="1">
      <c r="A823" t="inlineStr">
        <is>
          <t>A 34280-2020</t>
        </is>
      </c>
      <c r="B823" s="1" t="n">
        <v>44029</v>
      </c>
      <c r="C823" s="1" t="n">
        <v>45718</v>
      </c>
      <c r="D823" t="inlineStr">
        <is>
          <t>JÄMTLANDS LÄN</t>
        </is>
      </c>
      <c r="E823" t="inlineStr">
        <is>
          <t>STRÖMSUND</t>
        </is>
      </c>
      <c r="F823" t="inlineStr">
        <is>
          <t>SCA</t>
        </is>
      </c>
      <c r="G823" t="n">
        <v>7.3</v>
      </c>
      <c r="H823" t="n">
        <v>0</v>
      </c>
      <c r="I823" t="n">
        <v>0</v>
      </c>
      <c r="J823" t="n">
        <v>0</v>
      </c>
      <c r="K823" t="n">
        <v>0</v>
      </c>
      <c r="L823" t="n">
        <v>0</v>
      </c>
      <c r="M823" t="n">
        <v>0</v>
      </c>
      <c r="N823" t="n">
        <v>0</v>
      </c>
      <c r="O823" t="n">
        <v>0</v>
      </c>
      <c r="P823" t="n">
        <v>0</v>
      </c>
      <c r="Q823" t="n">
        <v>0</v>
      </c>
      <c r="R823" s="2" t="inlineStr"/>
    </row>
    <row r="824" ht="15" customHeight="1">
      <c r="A824" t="inlineStr">
        <is>
          <t>A 34292-2020</t>
        </is>
      </c>
      <c r="B824" s="1" t="n">
        <v>44029</v>
      </c>
      <c r="C824" s="1" t="n">
        <v>45718</v>
      </c>
      <c r="D824" t="inlineStr">
        <is>
          <t>JÄMTLANDS LÄN</t>
        </is>
      </c>
      <c r="E824" t="inlineStr">
        <is>
          <t>STRÖMSUND</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34289-2020</t>
        </is>
      </c>
      <c r="B825" s="1" t="n">
        <v>44029</v>
      </c>
      <c r="C825" s="1" t="n">
        <v>45718</v>
      </c>
      <c r="D825" t="inlineStr">
        <is>
          <t>JÄMTLANDS LÄN</t>
        </is>
      </c>
      <c r="E825" t="inlineStr">
        <is>
          <t>STRÖMSUND</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34658-2020</t>
        </is>
      </c>
      <c r="B826" s="1" t="n">
        <v>44034</v>
      </c>
      <c r="C826" s="1" t="n">
        <v>45718</v>
      </c>
      <c r="D826" t="inlineStr">
        <is>
          <t>JÄMTLANDS LÄN</t>
        </is>
      </c>
      <c r="E826" t="inlineStr">
        <is>
          <t>STRÖMSUND</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34796-2020</t>
        </is>
      </c>
      <c r="B827" s="1" t="n">
        <v>44035</v>
      </c>
      <c r="C827" s="1" t="n">
        <v>45718</v>
      </c>
      <c r="D827" t="inlineStr">
        <is>
          <t>JÄMTLANDS LÄN</t>
        </is>
      </c>
      <c r="E827" t="inlineStr">
        <is>
          <t>STRÖMSUND</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34855-2020</t>
        </is>
      </c>
      <c r="B828" s="1" t="n">
        <v>44036</v>
      </c>
      <c r="C828" s="1" t="n">
        <v>45718</v>
      </c>
      <c r="D828" t="inlineStr">
        <is>
          <t>JÄMTLANDS LÄN</t>
        </is>
      </c>
      <c r="E828" t="inlineStr">
        <is>
          <t>STRÖMSUND</t>
        </is>
      </c>
      <c r="G828" t="n">
        <v>20.2</v>
      </c>
      <c r="H828" t="n">
        <v>0</v>
      </c>
      <c r="I828" t="n">
        <v>0</v>
      </c>
      <c r="J828" t="n">
        <v>0</v>
      </c>
      <c r="K828" t="n">
        <v>0</v>
      </c>
      <c r="L828" t="n">
        <v>0</v>
      </c>
      <c r="M828" t="n">
        <v>0</v>
      </c>
      <c r="N828" t="n">
        <v>0</v>
      </c>
      <c r="O828" t="n">
        <v>0</v>
      </c>
      <c r="P828" t="n">
        <v>0</v>
      </c>
      <c r="Q828" t="n">
        <v>0</v>
      </c>
      <c r="R828" s="2" t="inlineStr"/>
    </row>
    <row r="829" ht="15" customHeight="1">
      <c r="A829" t="inlineStr">
        <is>
          <t>A 34952-2020</t>
        </is>
      </c>
      <c r="B829" s="1" t="n">
        <v>44038</v>
      </c>
      <c r="C829" s="1" t="n">
        <v>45718</v>
      </c>
      <c r="D829" t="inlineStr">
        <is>
          <t>JÄMTLANDS LÄN</t>
        </is>
      </c>
      <c r="E829" t="inlineStr">
        <is>
          <t>STRÖMSUND</t>
        </is>
      </c>
      <c r="G829" t="n">
        <v>26.1</v>
      </c>
      <c r="H829" t="n">
        <v>0</v>
      </c>
      <c r="I829" t="n">
        <v>0</v>
      </c>
      <c r="J829" t="n">
        <v>0</v>
      </c>
      <c r="K829" t="n">
        <v>0</v>
      </c>
      <c r="L829" t="n">
        <v>0</v>
      </c>
      <c r="M829" t="n">
        <v>0</v>
      </c>
      <c r="N829" t="n">
        <v>0</v>
      </c>
      <c r="O829" t="n">
        <v>0</v>
      </c>
      <c r="P829" t="n">
        <v>0</v>
      </c>
      <c r="Q829" t="n">
        <v>0</v>
      </c>
      <c r="R829" s="2" t="inlineStr"/>
    </row>
    <row r="830" ht="15" customHeight="1">
      <c r="A830" t="inlineStr">
        <is>
          <t>A 35393-2020</t>
        </is>
      </c>
      <c r="B830" s="1" t="n">
        <v>44042</v>
      </c>
      <c r="C830" s="1" t="n">
        <v>45718</v>
      </c>
      <c r="D830" t="inlineStr">
        <is>
          <t>JÄMTLANDS LÄN</t>
        </is>
      </c>
      <c r="E830" t="inlineStr">
        <is>
          <t>STRÖMSUND</t>
        </is>
      </c>
      <c r="G830" t="n">
        <v>0.8</v>
      </c>
      <c r="H830" t="n">
        <v>0</v>
      </c>
      <c r="I830" t="n">
        <v>0</v>
      </c>
      <c r="J830" t="n">
        <v>0</v>
      </c>
      <c r="K830" t="n">
        <v>0</v>
      </c>
      <c r="L830" t="n">
        <v>0</v>
      </c>
      <c r="M830" t="n">
        <v>0</v>
      </c>
      <c r="N830" t="n">
        <v>0</v>
      </c>
      <c r="O830" t="n">
        <v>0</v>
      </c>
      <c r="P830" t="n">
        <v>0</v>
      </c>
      <c r="Q830" t="n">
        <v>0</v>
      </c>
      <c r="R830" s="2" t="inlineStr"/>
    </row>
    <row r="831" ht="15" customHeight="1">
      <c r="A831" t="inlineStr">
        <is>
          <t>A 35605-2020</t>
        </is>
      </c>
      <c r="B831" s="1" t="n">
        <v>44043</v>
      </c>
      <c r="C831" s="1" t="n">
        <v>45718</v>
      </c>
      <c r="D831" t="inlineStr">
        <is>
          <t>JÄMTLANDS LÄN</t>
        </is>
      </c>
      <c r="E831" t="inlineStr">
        <is>
          <t>STRÖMSUND</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35658-2020</t>
        </is>
      </c>
      <c r="B832" s="1" t="n">
        <v>44046</v>
      </c>
      <c r="C832" s="1" t="n">
        <v>45718</v>
      </c>
      <c r="D832" t="inlineStr">
        <is>
          <t>JÄMTLANDS LÄN</t>
        </is>
      </c>
      <c r="E832" t="inlineStr">
        <is>
          <t>STRÖMSUND</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36504-2020</t>
        </is>
      </c>
      <c r="B833" s="1" t="n">
        <v>44050</v>
      </c>
      <c r="C833" s="1" t="n">
        <v>45718</v>
      </c>
      <c r="D833" t="inlineStr">
        <is>
          <t>JÄMTLANDS LÄN</t>
        </is>
      </c>
      <c r="E833" t="inlineStr">
        <is>
          <t>STRÖMSUND</t>
        </is>
      </c>
      <c r="F833" t="inlineStr">
        <is>
          <t>Holmen skog AB</t>
        </is>
      </c>
      <c r="G833" t="n">
        <v>3.2</v>
      </c>
      <c r="H833" t="n">
        <v>0</v>
      </c>
      <c r="I833" t="n">
        <v>0</v>
      </c>
      <c r="J833" t="n">
        <v>0</v>
      </c>
      <c r="K833" t="n">
        <v>0</v>
      </c>
      <c r="L833" t="n">
        <v>0</v>
      </c>
      <c r="M833" t="n">
        <v>0</v>
      </c>
      <c r="N833" t="n">
        <v>0</v>
      </c>
      <c r="O833" t="n">
        <v>0</v>
      </c>
      <c r="P833" t="n">
        <v>0</v>
      </c>
      <c r="Q833" t="n">
        <v>0</v>
      </c>
      <c r="R833" s="2" t="inlineStr"/>
    </row>
    <row r="834" ht="15" customHeight="1">
      <c r="A834" t="inlineStr">
        <is>
          <t>A 36574-2020</t>
        </is>
      </c>
      <c r="B834" s="1" t="n">
        <v>44050</v>
      </c>
      <c r="C834" s="1" t="n">
        <v>45718</v>
      </c>
      <c r="D834" t="inlineStr">
        <is>
          <t>JÄMTLANDS LÄN</t>
        </is>
      </c>
      <c r="E834" t="inlineStr">
        <is>
          <t>STRÖMSUND</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36787-2020</t>
        </is>
      </c>
      <c r="B835" s="1" t="n">
        <v>44053</v>
      </c>
      <c r="C835" s="1" t="n">
        <v>45718</v>
      </c>
      <c r="D835" t="inlineStr">
        <is>
          <t>JÄMTLANDS LÄN</t>
        </is>
      </c>
      <c r="E835" t="inlineStr">
        <is>
          <t>STRÖMSUND</t>
        </is>
      </c>
      <c r="F835" t="inlineStr">
        <is>
          <t>Holmen skog AB</t>
        </is>
      </c>
      <c r="G835" t="n">
        <v>5.3</v>
      </c>
      <c r="H835" t="n">
        <v>0</v>
      </c>
      <c r="I835" t="n">
        <v>0</v>
      </c>
      <c r="J835" t="n">
        <v>0</v>
      </c>
      <c r="K835" t="n">
        <v>0</v>
      </c>
      <c r="L835" t="n">
        <v>0</v>
      </c>
      <c r="M835" t="n">
        <v>0</v>
      </c>
      <c r="N835" t="n">
        <v>0</v>
      </c>
      <c r="O835" t="n">
        <v>0</v>
      </c>
      <c r="P835" t="n">
        <v>0</v>
      </c>
      <c r="Q835" t="n">
        <v>0</v>
      </c>
      <c r="R835" s="2" t="inlineStr"/>
    </row>
    <row r="836" ht="15" customHeight="1">
      <c r="A836" t="inlineStr">
        <is>
          <t>A 36963-2020</t>
        </is>
      </c>
      <c r="B836" s="1" t="n">
        <v>44053</v>
      </c>
      <c r="C836" s="1" t="n">
        <v>45718</v>
      </c>
      <c r="D836" t="inlineStr">
        <is>
          <t>JÄMTLANDS LÄN</t>
        </is>
      </c>
      <c r="E836" t="inlineStr">
        <is>
          <t>STRÖMSUND</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37308-2020</t>
        </is>
      </c>
      <c r="B837" s="1" t="n">
        <v>44055</v>
      </c>
      <c r="C837" s="1" t="n">
        <v>45718</v>
      </c>
      <c r="D837" t="inlineStr">
        <is>
          <t>JÄMTLANDS LÄN</t>
        </is>
      </c>
      <c r="E837" t="inlineStr">
        <is>
          <t>STRÖMSUND</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37501-2020</t>
        </is>
      </c>
      <c r="B838" s="1" t="n">
        <v>44055</v>
      </c>
      <c r="C838" s="1" t="n">
        <v>45718</v>
      </c>
      <c r="D838" t="inlineStr">
        <is>
          <t>JÄMTLANDS LÄN</t>
        </is>
      </c>
      <c r="E838" t="inlineStr">
        <is>
          <t>STRÖMSUND</t>
        </is>
      </c>
      <c r="G838" t="n">
        <v>1.1</v>
      </c>
      <c r="H838" t="n">
        <v>0</v>
      </c>
      <c r="I838" t="n">
        <v>0</v>
      </c>
      <c r="J838" t="n">
        <v>0</v>
      </c>
      <c r="K838" t="n">
        <v>0</v>
      </c>
      <c r="L838" t="n">
        <v>0</v>
      </c>
      <c r="M838" t="n">
        <v>0</v>
      </c>
      <c r="N838" t="n">
        <v>0</v>
      </c>
      <c r="O838" t="n">
        <v>0</v>
      </c>
      <c r="P838" t="n">
        <v>0</v>
      </c>
      <c r="Q838" t="n">
        <v>0</v>
      </c>
      <c r="R838" s="2" t="inlineStr"/>
    </row>
    <row r="839" ht="15" customHeight="1">
      <c r="A839" t="inlineStr">
        <is>
          <t>A 37878-2020</t>
        </is>
      </c>
      <c r="B839" s="1" t="n">
        <v>44057</v>
      </c>
      <c r="C839" s="1" t="n">
        <v>45718</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38019-2020</t>
        </is>
      </c>
      <c r="B840" s="1" t="n">
        <v>44057</v>
      </c>
      <c r="C840" s="1" t="n">
        <v>45718</v>
      </c>
      <c r="D840" t="inlineStr">
        <is>
          <t>JÄMTLANDS LÄN</t>
        </is>
      </c>
      <c r="E840" t="inlineStr">
        <is>
          <t>STRÖMSUND</t>
        </is>
      </c>
      <c r="G840" t="n">
        <v>0.2</v>
      </c>
      <c r="H840" t="n">
        <v>0</v>
      </c>
      <c r="I840" t="n">
        <v>0</v>
      </c>
      <c r="J840" t="n">
        <v>0</v>
      </c>
      <c r="K840" t="n">
        <v>0</v>
      </c>
      <c r="L840" t="n">
        <v>0</v>
      </c>
      <c r="M840" t="n">
        <v>0</v>
      </c>
      <c r="N840" t="n">
        <v>0</v>
      </c>
      <c r="O840" t="n">
        <v>0</v>
      </c>
      <c r="P840" t="n">
        <v>0</v>
      </c>
      <c r="Q840" t="n">
        <v>0</v>
      </c>
      <c r="R840" s="2" t="inlineStr"/>
    </row>
    <row r="841" ht="15" customHeight="1">
      <c r="A841" t="inlineStr">
        <is>
          <t>A 38029-2020</t>
        </is>
      </c>
      <c r="B841" s="1" t="n">
        <v>44057</v>
      </c>
      <c r="C841" s="1" t="n">
        <v>45718</v>
      </c>
      <c r="D841" t="inlineStr">
        <is>
          <t>JÄMTLANDS LÄN</t>
        </is>
      </c>
      <c r="E841" t="inlineStr">
        <is>
          <t>STRÖMSUND</t>
        </is>
      </c>
      <c r="G841" t="n">
        <v>0.6</v>
      </c>
      <c r="H841" t="n">
        <v>0</v>
      </c>
      <c r="I841" t="n">
        <v>0</v>
      </c>
      <c r="J841" t="n">
        <v>0</v>
      </c>
      <c r="K841" t="n">
        <v>0</v>
      </c>
      <c r="L841" t="n">
        <v>0</v>
      </c>
      <c r="M841" t="n">
        <v>0</v>
      </c>
      <c r="N841" t="n">
        <v>0</v>
      </c>
      <c r="O841" t="n">
        <v>0</v>
      </c>
      <c r="P841" t="n">
        <v>0</v>
      </c>
      <c r="Q841" t="n">
        <v>0</v>
      </c>
      <c r="R841" s="2" t="inlineStr"/>
    </row>
    <row r="842" ht="15" customHeight="1">
      <c r="A842" t="inlineStr">
        <is>
          <t>A 38070-2020</t>
        </is>
      </c>
      <c r="B842" s="1" t="n">
        <v>44057</v>
      </c>
      <c r="C842" s="1" t="n">
        <v>45718</v>
      </c>
      <c r="D842" t="inlineStr">
        <is>
          <t>JÄMTLANDS LÄN</t>
        </is>
      </c>
      <c r="E842" t="inlineStr">
        <is>
          <t>STRÖMSUND</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38071-2020</t>
        </is>
      </c>
      <c r="B843" s="1" t="n">
        <v>44057</v>
      </c>
      <c r="C843" s="1" t="n">
        <v>45718</v>
      </c>
      <c r="D843" t="inlineStr">
        <is>
          <t>JÄMTLANDS LÄN</t>
        </is>
      </c>
      <c r="E843" t="inlineStr">
        <is>
          <t>STRÖMSUND</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38266-2020</t>
        </is>
      </c>
      <c r="B844" s="1" t="n">
        <v>44060</v>
      </c>
      <c r="C844" s="1" t="n">
        <v>45718</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38261-2020</t>
        </is>
      </c>
      <c r="B845" s="1" t="n">
        <v>44060</v>
      </c>
      <c r="C845" s="1" t="n">
        <v>45718</v>
      </c>
      <c r="D845" t="inlineStr">
        <is>
          <t>JÄMTLANDS LÄN</t>
        </is>
      </c>
      <c r="E845" t="inlineStr">
        <is>
          <t>STRÖMSUND</t>
        </is>
      </c>
      <c r="G845" t="n">
        <v>2.8</v>
      </c>
      <c r="H845" t="n">
        <v>0</v>
      </c>
      <c r="I845" t="n">
        <v>0</v>
      </c>
      <c r="J845" t="n">
        <v>0</v>
      </c>
      <c r="K845" t="n">
        <v>0</v>
      </c>
      <c r="L845" t="n">
        <v>0</v>
      </c>
      <c r="M845" t="n">
        <v>0</v>
      </c>
      <c r="N845" t="n">
        <v>0</v>
      </c>
      <c r="O845" t="n">
        <v>0</v>
      </c>
      <c r="P845" t="n">
        <v>0</v>
      </c>
      <c r="Q845" t="n">
        <v>0</v>
      </c>
      <c r="R845" s="2" t="inlineStr"/>
    </row>
    <row r="846" ht="15" customHeight="1">
      <c r="A846" t="inlineStr">
        <is>
          <t>A 38268-2020</t>
        </is>
      </c>
      <c r="B846" s="1" t="n">
        <v>44060</v>
      </c>
      <c r="C846" s="1" t="n">
        <v>45718</v>
      </c>
      <c r="D846" t="inlineStr">
        <is>
          <t>JÄMTLANDS LÄN</t>
        </is>
      </c>
      <c r="E846" t="inlineStr">
        <is>
          <t>STRÖMSUND</t>
        </is>
      </c>
      <c r="G846" t="n">
        <v>6.4</v>
      </c>
      <c r="H846" t="n">
        <v>0</v>
      </c>
      <c r="I846" t="n">
        <v>0</v>
      </c>
      <c r="J846" t="n">
        <v>0</v>
      </c>
      <c r="K846" t="n">
        <v>0</v>
      </c>
      <c r="L846" t="n">
        <v>0</v>
      </c>
      <c r="M846" t="n">
        <v>0</v>
      </c>
      <c r="N846" t="n">
        <v>0</v>
      </c>
      <c r="O846" t="n">
        <v>0</v>
      </c>
      <c r="P846" t="n">
        <v>0</v>
      </c>
      <c r="Q846" t="n">
        <v>0</v>
      </c>
      <c r="R846" s="2" t="inlineStr"/>
    </row>
    <row r="847" ht="15" customHeight="1">
      <c r="A847" t="inlineStr">
        <is>
          <t>A 38484-2020</t>
        </is>
      </c>
      <c r="B847" s="1" t="n">
        <v>44060</v>
      </c>
      <c r="C847" s="1" t="n">
        <v>45718</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38467-2020</t>
        </is>
      </c>
      <c r="B848" s="1" t="n">
        <v>44060</v>
      </c>
      <c r="C848" s="1" t="n">
        <v>45718</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38485-2020</t>
        </is>
      </c>
      <c r="B849" s="1" t="n">
        <v>44060</v>
      </c>
      <c r="C849" s="1" t="n">
        <v>45718</v>
      </c>
      <c r="D849" t="inlineStr">
        <is>
          <t>JÄMTLANDS LÄN</t>
        </is>
      </c>
      <c r="E849" t="inlineStr">
        <is>
          <t>STRÖMSUND</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38779-2020</t>
        </is>
      </c>
      <c r="B850" s="1" t="n">
        <v>44061</v>
      </c>
      <c r="C850" s="1" t="n">
        <v>45718</v>
      </c>
      <c r="D850" t="inlineStr">
        <is>
          <t>JÄMTLANDS LÄN</t>
        </is>
      </c>
      <c r="E850" t="inlineStr">
        <is>
          <t>STRÖMSUND</t>
        </is>
      </c>
      <c r="F850" t="inlineStr">
        <is>
          <t>SCA</t>
        </is>
      </c>
      <c r="G850" t="n">
        <v>34.2</v>
      </c>
      <c r="H850" t="n">
        <v>0</v>
      </c>
      <c r="I850" t="n">
        <v>0</v>
      </c>
      <c r="J850" t="n">
        <v>0</v>
      </c>
      <c r="K850" t="n">
        <v>0</v>
      </c>
      <c r="L850" t="n">
        <v>0</v>
      </c>
      <c r="M850" t="n">
        <v>0</v>
      </c>
      <c r="N850" t="n">
        <v>0</v>
      </c>
      <c r="O850" t="n">
        <v>0</v>
      </c>
      <c r="P850" t="n">
        <v>0</v>
      </c>
      <c r="Q850" t="n">
        <v>0</v>
      </c>
      <c r="R850" s="2" t="inlineStr"/>
    </row>
    <row r="851" ht="15" customHeight="1">
      <c r="A851" t="inlineStr">
        <is>
          <t>A 38781-2020</t>
        </is>
      </c>
      <c r="B851" s="1" t="n">
        <v>44061</v>
      </c>
      <c r="C851" s="1" t="n">
        <v>45718</v>
      </c>
      <c r="D851" t="inlineStr">
        <is>
          <t>JÄMTLANDS LÄN</t>
        </is>
      </c>
      <c r="E851" t="inlineStr">
        <is>
          <t>STRÖMSUND</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38780-2020</t>
        </is>
      </c>
      <c r="B852" s="1" t="n">
        <v>44061</v>
      </c>
      <c r="C852" s="1" t="n">
        <v>45718</v>
      </c>
      <c r="D852" t="inlineStr">
        <is>
          <t>JÄMTLANDS LÄN</t>
        </is>
      </c>
      <c r="E852" t="inlineStr">
        <is>
          <t>STRÖMSUND</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38782-2020</t>
        </is>
      </c>
      <c r="B853" s="1" t="n">
        <v>44061</v>
      </c>
      <c r="C853" s="1" t="n">
        <v>45718</v>
      </c>
      <c r="D853" t="inlineStr">
        <is>
          <t>JÄMTLANDS LÄN</t>
        </is>
      </c>
      <c r="E853" t="inlineStr">
        <is>
          <t>STRÖMSUND</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39396-2020</t>
        </is>
      </c>
      <c r="B854" s="1" t="n">
        <v>44064</v>
      </c>
      <c r="C854" s="1" t="n">
        <v>45718</v>
      </c>
      <c r="D854" t="inlineStr">
        <is>
          <t>JÄMTLANDS LÄN</t>
        </is>
      </c>
      <c r="E854" t="inlineStr">
        <is>
          <t>STRÖMSUND</t>
        </is>
      </c>
      <c r="F854" t="inlineStr">
        <is>
          <t>Holmen skog AB</t>
        </is>
      </c>
      <c r="G854" t="n">
        <v>7.2</v>
      </c>
      <c r="H854" t="n">
        <v>0</v>
      </c>
      <c r="I854" t="n">
        <v>0</v>
      </c>
      <c r="J854" t="n">
        <v>0</v>
      </c>
      <c r="K854" t="n">
        <v>0</v>
      </c>
      <c r="L854" t="n">
        <v>0</v>
      </c>
      <c r="M854" t="n">
        <v>0</v>
      </c>
      <c r="N854" t="n">
        <v>0</v>
      </c>
      <c r="O854" t="n">
        <v>0</v>
      </c>
      <c r="P854" t="n">
        <v>0</v>
      </c>
      <c r="Q854" t="n">
        <v>0</v>
      </c>
      <c r="R854" s="2" t="inlineStr"/>
    </row>
    <row r="855" ht="15" customHeight="1">
      <c r="A855" t="inlineStr">
        <is>
          <t>A 39390-2020</t>
        </is>
      </c>
      <c r="B855" s="1" t="n">
        <v>44064</v>
      </c>
      <c r="C855" s="1" t="n">
        <v>45718</v>
      </c>
      <c r="D855" t="inlineStr">
        <is>
          <t>JÄMTLANDS LÄN</t>
        </is>
      </c>
      <c r="E855" t="inlineStr">
        <is>
          <t>STRÖMSUND</t>
        </is>
      </c>
      <c r="G855" t="n">
        <v>1.7</v>
      </c>
      <c r="H855" t="n">
        <v>0</v>
      </c>
      <c r="I855" t="n">
        <v>0</v>
      </c>
      <c r="J855" t="n">
        <v>0</v>
      </c>
      <c r="K855" t="n">
        <v>0</v>
      </c>
      <c r="L855" t="n">
        <v>0</v>
      </c>
      <c r="M855" t="n">
        <v>0</v>
      </c>
      <c r="N855" t="n">
        <v>0</v>
      </c>
      <c r="O855" t="n">
        <v>0</v>
      </c>
      <c r="P855" t="n">
        <v>0</v>
      </c>
      <c r="Q855" t="n">
        <v>0</v>
      </c>
      <c r="R855" s="2" t="inlineStr"/>
    </row>
    <row r="856" ht="15" customHeight="1">
      <c r="A856" t="inlineStr">
        <is>
          <t>A 39397-2020</t>
        </is>
      </c>
      <c r="B856" s="1" t="n">
        <v>44064</v>
      </c>
      <c r="C856" s="1" t="n">
        <v>45718</v>
      </c>
      <c r="D856" t="inlineStr">
        <is>
          <t>JÄMTLANDS LÄN</t>
        </is>
      </c>
      <c r="E856" t="inlineStr">
        <is>
          <t>STRÖMSUND</t>
        </is>
      </c>
      <c r="G856" t="n">
        <v>6.1</v>
      </c>
      <c r="H856" t="n">
        <v>0</v>
      </c>
      <c r="I856" t="n">
        <v>0</v>
      </c>
      <c r="J856" t="n">
        <v>0</v>
      </c>
      <c r="K856" t="n">
        <v>0</v>
      </c>
      <c r="L856" t="n">
        <v>0</v>
      </c>
      <c r="M856" t="n">
        <v>0</v>
      </c>
      <c r="N856" t="n">
        <v>0</v>
      </c>
      <c r="O856" t="n">
        <v>0</v>
      </c>
      <c r="P856" t="n">
        <v>0</v>
      </c>
      <c r="Q856" t="n">
        <v>0</v>
      </c>
      <c r="R856" s="2" t="inlineStr"/>
    </row>
    <row r="857" ht="15" customHeight="1">
      <c r="A857" t="inlineStr">
        <is>
          <t>A 39648-2020</t>
        </is>
      </c>
      <c r="B857" s="1" t="n">
        <v>44065</v>
      </c>
      <c r="C857" s="1" t="n">
        <v>45718</v>
      </c>
      <c r="D857" t="inlineStr">
        <is>
          <t>JÄMTLANDS LÄN</t>
        </is>
      </c>
      <c r="E857" t="inlineStr">
        <is>
          <t>STRÖMSUND</t>
        </is>
      </c>
      <c r="G857" t="n">
        <v>1</v>
      </c>
      <c r="H857" t="n">
        <v>0</v>
      </c>
      <c r="I857" t="n">
        <v>0</v>
      </c>
      <c r="J857" t="n">
        <v>0</v>
      </c>
      <c r="K857" t="n">
        <v>0</v>
      </c>
      <c r="L857" t="n">
        <v>0</v>
      </c>
      <c r="M857" t="n">
        <v>0</v>
      </c>
      <c r="N857" t="n">
        <v>0</v>
      </c>
      <c r="O857" t="n">
        <v>0</v>
      </c>
      <c r="P857" t="n">
        <v>0</v>
      </c>
      <c r="Q857" t="n">
        <v>0</v>
      </c>
      <c r="R857" s="2" t="inlineStr"/>
    </row>
    <row r="858" ht="15" customHeight="1">
      <c r="A858" t="inlineStr">
        <is>
          <t>A 40080-2020</t>
        </is>
      </c>
      <c r="B858" s="1" t="n">
        <v>44067</v>
      </c>
      <c r="C858" s="1" t="n">
        <v>45718</v>
      </c>
      <c r="D858" t="inlineStr">
        <is>
          <t>JÄMTLANDS LÄN</t>
        </is>
      </c>
      <c r="E858" t="inlineStr">
        <is>
          <t>STRÖMSUND</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40519-2020</t>
        </is>
      </c>
      <c r="B859" s="1" t="n">
        <v>44069</v>
      </c>
      <c r="C859" s="1" t="n">
        <v>45718</v>
      </c>
      <c r="D859" t="inlineStr">
        <is>
          <t>JÄMTLANDS LÄN</t>
        </is>
      </c>
      <c r="E859" t="inlineStr">
        <is>
          <t>STRÖMSUND</t>
        </is>
      </c>
      <c r="G859" t="n">
        <v>11.7</v>
      </c>
      <c r="H859" t="n">
        <v>0</v>
      </c>
      <c r="I859" t="n">
        <v>0</v>
      </c>
      <c r="J859" t="n">
        <v>0</v>
      </c>
      <c r="K859" t="n">
        <v>0</v>
      </c>
      <c r="L859" t="n">
        <v>0</v>
      </c>
      <c r="M859" t="n">
        <v>0</v>
      </c>
      <c r="N859" t="n">
        <v>0</v>
      </c>
      <c r="O859" t="n">
        <v>0</v>
      </c>
      <c r="P859" t="n">
        <v>0</v>
      </c>
      <c r="Q859" t="n">
        <v>0</v>
      </c>
      <c r="R859" s="2" t="inlineStr"/>
    </row>
    <row r="860" ht="15" customHeight="1">
      <c r="A860" t="inlineStr">
        <is>
          <t>A 41368-2020</t>
        </is>
      </c>
      <c r="B860" s="1" t="n">
        <v>44071</v>
      </c>
      <c r="C860" s="1" t="n">
        <v>45718</v>
      </c>
      <c r="D860" t="inlineStr">
        <is>
          <t>JÄMTLANDS LÄN</t>
        </is>
      </c>
      <c r="E860" t="inlineStr">
        <is>
          <t>STRÖMSUND</t>
        </is>
      </c>
      <c r="F860" t="inlineStr">
        <is>
          <t>SCA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41451-2020</t>
        </is>
      </c>
      <c r="B861" s="1" t="n">
        <v>44073</v>
      </c>
      <c r="C861" s="1" t="n">
        <v>45718</v>
      </c>
      <c r="D861" t="inlineStr">
        <is>
          <t>JÄMTLANDS LÄN</t>
        </is>
      </c>
      <c r="E861" t="inlineStr">
        <is>
          <t>STRÖMSUND</t>
        </is>
      </c>
      <c r="F861" t="inlineStr">
        <is>
          <t>SCA</t>
        </is>
      </c>
      <c r="G861" t="n">
        <v>8.5</v>
      </c>
      <c r="H861" t="n">
        <v>0</v>
      </c>
      <c r="I861" t="n">
        <v>0</v>
      </c>
      <c r="J861" t="n">
        <v>0</v>
      </c>
      <c r="K861" t="n">
        <v>0</v>
      </c>
      <c r="L861" t="n">
        <v>0</v>
      </c>
      <c r="M861" t="n">
        <v>0</v>
      </c>
      <c r="N861" t="n">
        <v>0</v>
      </c>
      <c r="O861" t="n">
        <v>0</v>
      </c>
      <c r="P861" t="n">
        <v>0</v>
      </c>
      <c r="Q861" t="n">
        <v>0</v>
      </c>
      <c r="R861" s="2" t="inlineStr"/>
    </row>
    <row r="862" ht="15" customHeight="1">
      <c r="A862" t="inlineStr">
        <is>
          <t>A 41450-2020</t>
        </is>
      </c>
      <c r="B862" s="1" t="n">
        <v>44073</v>
      </c>
      <c r="C862" s="1" t="n">
        <v>45718</v>
      </c>
      <c r="D862" t="inlineStr">
        <is>
          <t>JÄMTLANDS LÄN</t>
        </is>
      </c>
      <c r="E862" t="inlineStr">
        <is>
          <t>STRÖMSUND</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41454-2020</t>
        </is>
      </c>
      <c r="B863" s="1" t="n">
        <v>44073</v>
      </c>
      <c r="C863" s="1" t="n">
        <v>45718</v>
      </c>
      <c r="D863" t="inlineStr">
        <is>
          <t>JÄMTLANDS LÄN</t>
        </is>
      </c>
      <c r="E863" t="inlineStr">
        <is>
          <t>STRÖMSUND</t>
        </is>
      </c>
      <c r="F863" t="inlineStr">
        <is>
          <t>SCA</t>
        </is>
      </c>
      <c r="G863" t="n">
        <v>11.8</v>
      </c>
      <c r="H863" t="n">
        <v>0</v>
      </c>
      <c r="I863" t="n">
        <v>0</v>
      </c>
      <c r="J863" t="n">
        <v>0</v>
      </c>
      <c r="K863" t="n">
        <v>0</v>
      </c>
      <c r="L863" t="n">
        <v>0</v>
      </c>
      <c r="M863" t="n">
        <v>0</v>
      </c>
      <c r="N863" t="n">
        <v>0</v>
      </c>
      <c r="O863" t="n">
        <v>0</v>
      </c>
      <c r="P863" t="n">
        <v>0</v>
      </c>
      <c r="Q863" t="n">
        <v>0</v>
      </c>
      <c r="R863" s="2" t="inlineStr"/>
    </row>
    <row r="864" ht="15" customHeight="1">
      <c r="A864" t="inlineStr">
        <is>
          <t>A 41892-2020</t>
        </is>
      </c>
      <c r="B864" s="1" t="n">
        <v>44074</v>
      </c>
      <c r="C864" s="1" t="n">
        <v>45718</v>
      </c>
      <c r="D864" t="inlineStr">
        <is>
          <t>JÄMTLANDS LÄN</t>
        </is>
      </c>
      <c r="E864" t="inlineStr">
        <is>
          <t>STRÖMSUND</t>
        </is>
      </c>
      <c r="F864" t="inlineStr">
        <is>
          <t>SCA</t>
        </is>
      </c>
      <c r="G864" t="n">
        <v>12.2</v>
      </c>
      <c r="H864" t="n">
        <v>0</v>
      </c>
      <c r="I864" t="n">
        <v>0</v>
      </c>
      <c r="J864" t="n">
        <v>0</v>
      </c>
      <c r="K864" t="n">
        <v>0</v>
      </c>
      <c r="L864" t="n">
        <v>0</v>
      </c>
      <c r="M864" t="n">
        <v>0</v>
      </c>
      <c r="N864" t="n">
        <v>0</v>
      </c>
      <c r="O864" t="n">
        <v>0</v>
      </c>
      <c r="P864" t="n">
        <v>0</v>
      </c>
      <c r="Q864" t="n">
        <v>0</v>
      </c>
      <c r="R864" s="2" t="inlineStr"/>
    </row>
    <row r="865" ht="15" customHeight="1">
      <c r="A865" t="inlineStr">
        <is>
          <t>A 41490-2020</t>
        </is>
      </c>
      <c r="B865" s="1" t="n">
        <v>44074</v>
      </c>
      <c r="C865" s="1" t="n">
        <v>45718</v>
      </c>
      <c r="D865" t="inlineStr">
        <is>
          <t>JÄMTLANDS LÄN</t>
        </is>
      </c>
      <c r="E865" t="inlineStr">
        <is>
          <t>STRÖMSUND</t>
        </is>
      </c>
      <c r="F865" t="inlineStr">
        <is>
          <t>SCA</t>
        </is>
      </c>
      <c r="G865" t="n">
        <v>0.1</v>
      </c>
      <c r="H865" t="n">
        <v>0</v>
      </c>
      <c r="I865" t="n">
        <v>0</v>
      </c>
      <c r="J865" t="n">
        <v>0</v>
      </c>
      <c r="K865" t="n">
        <v>0</v>
      </c>
      <c r="L865" t="n">
        <v>0</v>
      </c>
      <c r="M865" t="n">
        <v>0</v>
      </c>
      <c r="N865" t="n">
        <v>0</v>
      </c>
      <c r="O865" t="n">
        <v>0</v>
      </c>
      <c r="P865" t="n">
        <v>0</v>
      </c>
      <c r="Q865" t="n">
        <v>0</v>
      </c>
      <c r="R865" s="2" t="inlineStr"/>
    </row>
    <row r="866" ht="15" customHeight="1">
      <c r="A866" t="inlineStr">
        <is>
          <t>A 43447-2020</t>
        </is>
      </c>
      <c r="B866" s="1" t="n">
        <v>44081</v>
      </c>
      <c r="C866" s="1" t="n">
        <v>45718</v>
      </c>
      <c r="D866" t="inlineStr">
        <is>
          <t>JÄMTLANDS LÄN</t>
        </is>
      </c>
      <c r="E866" t="inlineStr">
        <is>
          <t>STRÖMSUND</t>
        </is>
      </c>
      <c r="F866" t="inlineStr">
        <is>
          <t>SCA</t>
        </is>
      </c>
      <c r="G866" t="n">
        <v>24.7</v>
      </c>
      <c r="H866" t="n">
        <v>0</v>
      </c>
      <c r="I866" t="n">
        <v>0</v>
      </c>
      <c r="J866" t="n">
        <v>0</v>
      </c>
      <c r="K866" t="n">
        <v>0</v>
      </c>
      <c r="L866" t="n">
        <v>0</v>
      </c>
      <c r="M866" t="n">
        <v>0</v>
      </c>
      <c r="N866" t="n">
        <v>0</v>
      </c>
      <c r="O866" t="n">
        <v>0</v>
      </c>
      <c r="P866" t="n">
        <v>0</v>
      </c>
      <c r="Q866" t="n">
        <v>0</v>
      </c>
      <c r="R866" s="2" t="inlineStr"/>
    </row>
    <row r="867" ht="15" customHeight="1">
      <c r="A867" t="inlineStr">
        <is>
          <t>A 43448-2020</t>
        </is>
      </c>
      <c r="B867" s="1" t="n">
        <v>44081</v>
      </c>
      <c r="C867" s="1" t="n">
        <v>45718</v>
      </c>
      <c r="D867" t="inlineStr">
        <is>
          <t>JÄMTLANDS LÄN</t>
        </is>
      </c>
      <c r="E867" t="inlineStr">
        <is>
          <t>STRÖMSUND</t>
        </is>
      </c>
      <c r="F867" t="inlineStr">
        <is>
          <t>SCA</t>
        </is>
      </c>
      <c r="G867" t="n">
        <v>7.1</v>
      </c>
      <c r="H867" t="n">
        <v>0</v>
      </c>
      <c r="I867" t="n">
        <v>0</v>
      </c>
      <c r="J867" t="n">
        <v>0</v>
      </c>
      <c r="K867" t="n">
        <v>0</v>
      </c>
      <c r="L867" t="n">
        <v>0</v>
      </c>
      <c r="M867" t="n">
        <v>0</v>
      </c>
      <c r="N867" t="n">
        <v>0</v>
      </c>
      <c r="O867" t="n">
        <v>0</v>
      </c>
      <c r="P867" t="n">
        <v>0</v>
      </c>
      <c r="Q867" t="n">
        <v>0</v>
      </c>
      <c r="R867" s="2" t="inlineStr"/>
    </row>
    <row r="868" ht="15" customHeight="1">
      <c r="A868" t="inlineStr">
        <is>
          <t>A 44009-2020</t>
        </is>
      </c>
      <c r="B868" s="1" t="n">
        <v>44083</v>
      </c>
      <c r="C868" s="1" t="n">
        <v>45718</v>
      </c>
      <c r="D868" t="inlineStr">
        <is>
          <t>JÄMTLANDS LÄN</t>
        </is>
      </c>
      <c r="E868" t="inlineStr">
        <is>
          <t>STRÖMSUND</t>
        </is>
      </c>
      <c r="G868" t="n">
        <v>3.2</v>
      </c>
      <c r="H868" t="n">
        <v>0</v>
      </c>
      <c r="I868" t="n">
        <v>0</v>
      </c>
      <c r="J868" t="n">
        <v>0</v>
      </c>
      <c r="K868" t="n">
        <v>0</v>
      </c>
      <c r="L868" t="n">
        <v>0</v>
      </c>
      <c r="M868" t="n">
        <v>0</v>
      </c>
      <c r="N868" t="n">
        <v>0</v>
      </c>
      <c r="O868" t="n">
        <v>0</v>
      </c>
      <c r="P868" t="n">
        <v>0</v>
      </c>
      <c r="Q868" t="n">
        <v>0</v>
      </c>
      <c r="R868" s="2" t="inlineStr"/>
    </row>
    <row r="869" ht="15" customHeight="1">
      <c r="A869" t="inlineStr">
        <is>
          <t>A 44197-2020</t>
        </is>
      </c>
      <c r="B869" s="1" t="n">
        <v>44083</v>
      </c>
      <c r="C869" s="1" t="n">
        <v>45718</v>
      </c>
      <c r="D869" t="inlineStr">
        <is>
          <t>JÄMTLANDS LÄN</t>
        </is>
      </c>
      <c r="E869" t="inlineStr">
        <is>
          <t>STRÖMSUND</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44989-2020</t>
        </is>
      </c>
      <c r="B870" s="1" t="n">
        <v>44083</v>
      </c>
      <c r="C870" s="1" t="n">
        <v>45718</v>
      </c>
      <c r="D870" t="inlineStr">
        <is>
          <t>JÄMTLANDS LÄN</t>
        </is>
      </c>
      <c r="E870" t="inlineStr">
        <is>
          <t>STRÖMSUND</t>
        </is>
      </c>
      <c r="G870" t="n">
        <v>8</v>
      </c>
      <c r="H870" t="n">
        <v>0</v>
      </c>
      <c r="I870" t="n">
        <v>0</v>
      </c>
      <c r="J870" t="n">
        <v>0</v>
      </c>
      <c r="K870" t="n">
        <v>0</v>
      </c>
      <c r="L870" t="n">
        <v>0</v>
      </c>
      <c r="M870" t="n">
        <v>0</v>
      </c>
      <c r="N870" t="n">
        <v>0</v>
      </c>
      <c r="O870" t="n">
        <v>0</v>
      </c>
      <c r="P870" t="n">
        <v>0</v>
      </c>
      <c r="Q870" t="n">
        <v>0</v>
      </c>
      <c r="R870" s="2" t="inlineStr"/>
    </row>
    <row r="871" ht="15" customHeight="1">
      <c r="A871" t="inlineStr">
        <is>
          <t>A 44992-2020</t>
        </is>
      </c>
      <c r="B871" s="1" t="n">
        <v>44083</v>
      </c>
      <c r="C871" s="1" t="n">
        <v>45718</v>
      </c>
      <c r="D871" t="inlineStr">
        <is>
          <t>JÄMTLANDS LÄN</t>
        </is>
      </c>
      <c r="E871" t="inlineStr">
        <is>
          <t>STRÖMSUND</t>
        </is>
      </c>
      <c r="G871" t="n">
        <v>20.3</v>
      </c>
      <c r="H871" t="n">
        <v>0</v>
      </c>
      <c r="I871" t="n">
        <v>0</v>
      </c>
      <c r="J871" t="n">
        <v>0</v>
      </c>
      <c r="K871" t="n">
        <v>0</v>
      </c>
      <c r="L871" t="n">
        <v>0</v>
      </c>
      <c r="M871" t="n">
        <v>0</v>
      </c>
      <c r="N871" t="n">
        <v>0</v>
      </c>
      <c r="O871" t="n">
        <v>0</v>
      </c>
      <c r="P871" t="n">
        <v>0</v>
      </c>
      <c r="Q871" t="n">
        <v>0</v>
      </c>
      <c r="R871" s="2" t="inlineStr"/>
    </row>
    <row r="872" ht="15" customHeight="1">
      <c r="A872" t="inlineStr">
        <is>
          <t>A 46425-2020</t>
        </is>
      </c>
      <c r="B872" s="1" t="n">
        <v>44095</v>
      </c>
      <c r="C872" s="1" t="n">
        <v>45718</v>
      </c>
      <c r="D872" t="inlineStr">
        <is>
          <t>JÄMTLANDS LÄN</t>
        </is>
      </c>
      <c r="E872" t="inlineStr">
        <is>
          <t>STRÖMSUND</t>
        </is>
      </c>
      <c r="F872" t="inlineStr">
        <is>
          <t>Sveaskog</t>
        </is>
      </c>
      <c r="G872" t="n">
        <v>4.4</v>
      </c>
      <c r="H872" t="n">
        <v>0</v>
      </c>
      <c r="I872" t="n">
        <v>0</v>
      </c>
      <c r="J872" t="n">
        <v>0</v>
      </c>
      <c r="K872" t="n">
        <v>0</v>
      </c>
      <c r="L872" t="n">
        <v>0</v>
      </c>
      <c r="M872" t="n">
        <v>0</v>
      </c>
      <c r="N872" t="n">
        <v>0</v>
      </c>
      <c r="O872" t="n">
        <v>0</v>
      </c>
      <c r="P872" t="n">
        <v>0</v>
      </c>
      <c r="Q872" t="n">
        <v>0</v>
      </c>
      <c r="R872" s="2" t="inlineStr"/>
    </row>
    <row r="873" ht="15" customHeight="1">
      <c r="A873" t="inlineStr">
        <is>
          <t>A 46540-2020</t>
        </is>
      </c>
      <c r="B873" s="1" t="n">
        <v>44095</v>
      </c>
      <c r="C873" s="1" t="n">
        <v>45718</v>
      </c>
      <c r="D873" t="inlineStr">
        <is>
          <t>JÄMTLANDS LÄN</t>
        </is>
      </c>
      <c r="E873" t="inlineStr">
        <is>
          <t>STRÖMSUND</t>
        </is>
      </c>
      <c r="F873" t="inlineStr">
        <is>
          <t>Holmen skog AB</t>
        </is>
      </c>
      <c r="G873" t="n">
        <v>10.8</v>
      </c>
      <c r="H873" t="n">
        <v>0</v>
      </c>
      <c r="I873" t="n">
        <v>0</v>
      </c>
      <c r="J873" t="n">
        <v>0</v>
      </c>
      <c r="K873" t="n">
        <v>0</v>
      </c>
      <c r="L873" t="n">
        <v>0</v>
      </c>
      <c r="M873" t="n">
        <v>0</v>
      </c>
      <c r="N873" t="n">
        <v>0</v>
      </c>
      <c r="O873" t="n">
        <v>0</v>
      </c>
      <c r="P873" t="n">
        <v>0</v>
      </c>
      <c r="Q873" t="n">
        <v>0</v>
      </c>
      <c r="R873" s="2" t="inlineStr"/>
    </row>
    <row r="874" ht="15" customHeight="1">
      <c r="A874" t="inlineStr">
        <is>
          <t>A 46426-2020</t>
        </is>
      </c>
      <c r="B874" s="1" t="n">
        <v>44095</v>
      </c>
      <c r="C874" s="1" t="n">
        <v>45718</v>
      </c>
      <c r="D874" t="inlineStr">
        <is>
          <t>JÄMTLANDS LÄN</t>
        </is>
      </c>
      <c r="E874" t="inlineStr">
        <is>
          <t>STRÖMSUND</t>
        </is>
      </c>
      <c r="F874" t="inlineStr">
        <is>
          <t>Sveaskog</t>
        </is>
      </c>
      <c r="G874" t="n">
        <v>7.9</v>
      </c>
      <c r="H874" t="n">
        <v>0</v>
      </c>
      <c r="I874" t="n">
        <v>0</v>
      </c>
      <c r="J874" t="n">
        <v>0</v>
      </c>
      <c r="K874" t="n">
        <v>0</v>
      </c>
      <c r="L874" t="n">
        <v>0</v>
      </c>
      <c r="M874" t="n">
        <v>0</v>
      </c>
      <c r="N874" t="n">
        <v>0</v>
      </c>
      <c r="O874" t="n">
        <v>0</v>
      </c>
      <c r="P874" t="n">
        <v>0</v>
      </c>
      <c r="Q874" t="n">
        <v>0</v>
      </c>
      <c r="R874" s="2" t="inlineStr"/>
    </row>
    <row r="875" ht="15" customHeight="1">
      <c r="A875" t="inlineStr">
        <is>
          <t>A 47126-2020</t>
        </is>
      </c>
      <c r="B875" s="1" t="n">
        <v>44096</v>
      </c>
      <c r="C875" s="1" t="n">
        <v>45718</v>
      </c>
      <c r="D875" t="inlineStr">
        <is>
          <t>JÄMTLANDS LÄN</t>
        </is>
      </c>
      <c r="E875" t="inlineStr">
        <is>
          <t>STRÖMSUND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47504-2020</t>
        </is>
      </c>
      <c r="B876" s="1" t="n">
        <v>44098</v>
      </c>
      <c r="C876" s="1" t="n">
        <v>45718</v>
      </c>
      <c r="D876" t="inlineStr">
        <is>
          <t>JÄMTLANDS LÄN</t>
        </is>
      </c>
      <c r="E876" t="inlineStr">
        <is>
          <t>STRÖMSUND</t>
        </is>
      </c>
      <c r="F876" t="inlineStr">
        <is>
          <t>Holmen skog AB</t>
        </is>
      </c>
      <c r="G876" t="n">
        <v>6.6</v>
      </c>
      <c r="H876" t="n">
        <v>0</v>
      </c>
      <c r="I876" t="n">
        <v>0</v>
      </c>
      <c r="J876" t="n">
        <v>0</v>
      </c>
      <c r="K876" t="n">
        <v>0</v>
      </c>
      <c r="L876" t="n">
        <v>0</v>
      </c>
      <c r="M876" t="n">
        <v>0</v>
      </c>
      <c r="N876" t="n">
        <v>0</v>
      </c>
      <c r="O876" t="n">
        <v>0</v>
      </c>
      <c r="P876" t="n">
        <v>0</v>
      </c>
      <c r="Q876" t="n">
        <v>0</v>
      </c>
      <c r="R876" s="2" t="inlineStr"/>
    </row>
    <row r="877" ht="15" customHeight="1">
      <c r="A877" t="inlineStr">
        <is>
          <t>A 48227-2020</t>
        </is>
      </c>
      <c r="B877" s="1" t="n">
        <v>44102</v>
      </c>
      <c r="C877" s="1" t="n">
        <v>45718</v>
      </c>
      <c r="D877" t="inlineStr">
        <is>
          <t>JÄMTLANDS LÄN</t>
        </is>
      </c>
      <c r="E877" t="inlineStr">
        <is>
          <t>STRÖMSUND</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48224-2020</t>
        </is>
      </c>
      <c r="B878" s="1" t="n">
        <v>44102</v>
      </c>
      <c r="C878" s="1" t="n">
        <v>45718</v>
      </c>
      <c r="D878" t="inlineStr">
        <is>
          <t>JÄMTLANDS LÄN</t>
        </is>
      </c>
      <c r="E878" t="inlineStr">
        <is>
          <t>STRÖMSUND</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49772-2020</t>
        </is>
      </c>
      <c r="B879" s="1" t="n">
        <v>44103</v>
      </c>
      <c r="C879" s="1" t="n">
        <v>45718</v>
      </c>
      <c r="D879" t="inlineStr">
        <is>
          <t>JÄMTLANDS LÄN</t>
        </is>
      </c>
      <c r="E879" t="inlineStr">
        <is>
          <t>STRÖMSUND</t>
        </is>
      </c>
      <c r="G879" t="n">
        <v>7.6</v>
      </c>
      <c r="H879" t="n">
        <v>0</v>
      </c>
      <c r="I879" t="n">
        <v>0</v>
      </c>
      <c r="J879" t="n">
        <v>0</v>
      </c>
      <c r="K879" t="n">
        <v>0</v>
      </c>
      <c r="L879" t="n">
        <v>0</v>
      </c>
      <c r="M879" t="n">
        <v>0</v>
      </c>
      <c r="N879" t="n">
        <v>0</v>
      </c>
      <c r="O879" t="n">
        <v>0</v>
      </c>
      <c r="P879" t="n">
        <v>0</v>
      </c>
      <c r="Q879" t="n">
        <v>0</v>
      </c>
      <c r="R879" s="2" t="inlineStr"/>
    </row>
    <row r="880" ht="15" customHeight="1">
      <c r="A880" t="inlineStr">
        <is>
          <t>A 49156-2020</t>
        </is>
      </c>
      <c r="B880" s="1" t="n">
        <v>44104</v>
      </c>
      <c r="C880" s="1" t="n">
        <v>45718</v>
      </c>
      <c r="D880" t="inlineStr">
        <is>
          <t>JÄMTLANDS LÄN</t>
        </is>
      </c>
      <c r="E880" t="inlineStr">
        <is>
          <t>STRÖMSUND</t>
        </is>
      </c>
      <c r="F880" t="inlineStr">
        <is>
          <t>SCA</t>
        </is>
      </c>
      <c r="G880" t="n">
        <v>7</v>
      </c>
      <c r="H880" t="n">
        <v>0</v>
      </c>
      <c r="I880" t="n">
        <v>0</v>
      </c>
      <c r="J880" t="n">
        <v>0</v>
      </c>
      <c r="K880" t="n">
        <v>0</v>
      </c>
      <c r="L880" t="n">
        <v>0</v>
      </c>
      <c r="M880" t="n">
        <v>0</v>
      </c>
      <c r="N880" t="n">
        <v>0</v>
      </c>
      <c r="O880" t="n">
        <v>0</v>
      </c>
      <c r="P880" t="n">
        <v>0</v>
      </c>
      <c r="Q880" t="n">
        <v>0</v>
      </c>
      <c r="R880" s="2" t="inlineStr"/>
    </row>
    <row r="881" ht="15" customHeight="1">
      <c r="A881" t="inlineStr">
        <is>
          <t>A 49161-2020</t>
        </is>
      </c>
      <c r="B881" s="1" t="n">
        <v>44104</v>
      </c>
      <c r="C881" s="1" t="n">
        <v>45718</v>
      </c>
      <c r="D881" t="inlineStr">
        <is>
          <t>JÄMTLANDS LÄN</t>
        </is>
      </c>
      <c r="E881" t="inlineStr">
        <is>
          <t>STRÖMSUND</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49152-2020</t>
        </is>
      </c>
      <c r="B882" s="1" t="n">
        <v>44104</v>
      </c>
      <c r="C882" s="1" t="n">
        <v>45718</v>
      </c>
      <c r="D882" t="inlineStr">
        <is>
          <t>JÄMTLANDS LÄN</t>
        </is>
      </c>
      <c r="E882" t="inlineStr">
        <is>
          <t>STRÖMSUND</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49167-2020</t>
        </is>
      </c>
      <c r="B883" s="1" t="n">
        <v>44104</v>
      </c>
      <c r="C883" s="1" t="n">
        <v>45718</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49511-2020</t>
        </is>
      </c>
      <c r="B884" s="1" t="n">
        <v>44105</v>
      </c>
      <c r="C884" s="1" t="n">
        <v>45718</v>
      </c>
      <c r="D884" t="inlineStr">
        <is>
          <t>JÄMTLANDS LÄN</t>
        </is>
      </c>
      <c r="E884" t="inlineStr">
        <is>
          <t>STRÖMSUND</t>
        </is>
      </c>
      <c r="F884" t="inlineStr">
        <is>
          <t>SCA</t>
        </is>
      </c>
      <c r="G884" t="n">
        <v>13.6</v>
      </c>
      <c r="H884" t="n">
        <v>0</v>
      </c>
      <c r="I884" t="n">
        <v>0</v>
      </c>
      <c r="J884" t="n">
        <v>0</v>
      </c>
      <c r="K884" t="n">
        <v>0</v>
      </c>
      <c r="L884" t="n">
        <v>0</v>
      </c>
      <c r="M884" t="n">
        <v>0</v>
      </c>
      <c r="N884" t="n">
        <v>0</v>
      </c>
      <c r="O884" t="n">
        <v>0</v>
      </c>
      <c r="P884" t="n">
        <v>0</v>
      </c>
      <c r="Q884" t="n">
        <v>0</v>
      </c>
      <c r="R884" s="2" t="inlineStr"/>
    </row>
    <row r="885" ht="15" customHeight="1">
      <c r="A885" t="inlineStr">
        <is>
          <t>A 49510-2020</t>
        </is>
      </c>
      <c r="B885" s="1" t="n">
        <v>44105</v>
      </c>
      <c r="C885" s="1" t="n">
        <v>45718</v>
      </c>
      <c r="D885" t="inlineStr">
        <is>
          <t>JÄMTLANDS LÄN</t>
        </is>
      </c>
      <c r="E885" t="inlineStr">
        <is>
          <t>STRÖMSUND</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49997-2020</t>
        </is>
      </c>
      <c r="B886" s="1" t="n">
        <v>44109</v>
      </c>
      <c r="C886" s="1" t="n">
        <v>45718</v>
      </c>
      <c r="D886" t="inlineStr">
        <is>
          <t>JÄMTLANDS LÄN</t>
        </is>
      </c>
      <c r="E886" t="inlineStr">
        <is>
          <t>STRÖMSUND</t>
        </is>
      </c>
      <c r="G886" t="n">
        <v>1.2</v>
      </c>
      <c r="H886" t="n">
        <v>0</v>
      </c>
      <c r="I886" t="n">
        <v>0</v>
      </c>
      <c r="J886" t="n">
        <v>0</v>
      </c>
      <c r="K886" t="n">
        <v>0</v>
      </c>
      <c r="L886" t="n">
        <v>0</v>
      </c>
      <c r="M886" t="n">
        <v>0</v>
      </c>
      <c r="N886" t="n">
        <v>0</v>
      </c>
      <c r="O886" t="n">
        <v>0</v>
      </c>
      <c r="P886" t="n">
        <v>0</v>
      </c>
      <c r="Q886" t="n">
        <v>0</v>
      </c>
      <c r="R886" s="2" t="inlineStr"/>
    </row>
    <row r="887" ht="15" customHeight="1">
      <c r="A887" t="inlineStr">
        <is>
          <t>A 50645-2020</t>
        </is>
      </c>
      <c r="B887" s="1" t="n">
        <v>44110</v>
      </c>
      <c r="C887" s="1" t="n">
        <v>45718</v>
      </c>
      <c r="D887" t="inlineStr">
        <is>
          <t>JÄMTLANDS LÄN</t>
        </is>
      </c>
      <c r="E887" t="inlineStr">
        <is>
          <t>STRÖMSUND</t>
        </is>
      </c>
      <c r="F887" t="inlineStr">
        <is>
          <t>SCA</t>
        </is>
      </c>
      <c r="G887" t="n">
        <v>8.4</v>
      </c>
      <c r="H887" t="n">
        <v>0</v>
      </c>
      <c r="I887" t="n">
        <v>0</v>
      </c>
      <c r="J887" t="n">
        <v>0</v>
      </c>
      <c r="K887" t="n">
        <v>0</v>
      </c>
      <c r="L887" t="n">
        <v>0</v>
      </c>
      <c r="M887" t="n">
        <v>0</v>
      </c>
      <c r="N887" t="n">
        <v>0</v>
      </c>
      <c r="O887" t="n">
        <v>0</v>
      </c>
      <c r="P887" t="n">
        <v>0</v>
      </c>
      <c r="Q887" t="n">
        <v>0</v>
      </c>
      <c r="R887" s="2" t="inlineStr"/>
    </row>
    <row r="888" ht="15" customHeight="1">
      <c r="A888" t="inlineStr">
        <is>
          <t>A 51042-2020</t>
        </is>
      </c>
      <c r="B888" s="1" t="n">
        <v>44112</v>
      </c>
      <c r="C888" s="1" t="n">
        <v>45718</v>
      </c>
      <c r="D888" t="inlineStr">
        <is>
          <t>JÄMTLANDS LÄN</t>
        </is>
      </c>
      <c r="E888" t="inlineStr">
        <is>
          <t>STRÖMSUND</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51670-2020</t>
        </is>
      </c>
      <c r="B889" s="1" t="n">
        <v>44113</v>
      </c>
      <c r="C889" s="1" t="n">
        <v>45718</v>
      </c>
      <c r="D889" t="inlineStr">
        <is>
          <t>JÄMTLANDS LÄN</t>
        </is>
      </c>
      <c r="E889" t="inlineStr">
        <is>
          <t>STRÖMSUND</t>
        </is>
      </c>
      <c r="G889" t="n">
        <v>2.9</v>
      </c>
      <c r="H889" t="n">
        <v>0</v>
      </c>
      <c r="I889" t="n">
        <v>0</v>
      </c>
      <c r="J889" t="n">
        <v>0</v>
      </c>
      <c r="K889" t="n">
        <v>0</v>
      </c>
      <c r="L889" t="n">
        <v>0</v>
      </c>
      <c r="M889" t="n">
        <v>0</v>
      </c>
      <c r="N889" t="n">
        <v>0</v>
      </c>
      <c r="O889" t="n">
        <v>0</v>
      </c>
      <c r="P889" t="n">
        <v>0</v>
      </c>
      <c r="Q889" t="n">
        <v>0</v>
      </c>
      <c r="R889" s="2" t="inlineStr"/>
    </row>
    <row r="890" ht="15" customHeight="1">
      <c r="A890" t="inlineStr">
        <is>
          <t>A 51689-2020</t>
        </is>
      </c>
      <c r="B890" s="1" t="n">
        <v>44113</v>
      </c>
      <c r="C890" s="1" t="n">
        <v>45718</v>
      </c>
      <c r="D890" t="inlineStr">
        <is>
          <t>JÄMTLANDS LÄN</t>
        </is>
      </c>
      <c r="E890" t="inlineStr">
        <is>
          <t>STRÖMSUND</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52030-2020</t>
        </is>
      </c>
      <c r="B891" s="1" t="n">
        <v>44116</v>
      </c>
      <c r="C891" s="1" t="n">
        <v>45718</v>
      </c>
      <c r="D891" t="inlineStr">
        <is>
          <t>JÄMTLANDS LÄN</t>
        </is>
      </c>
      <c r="E891" t="inlineStr">
        <is>
          <t>STRÖMSUND</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52622-2020</t>
        </is>
      </c>
      <c r="B892" s="1" t="n">
        <v>44118</v>
      </c>
      <c r="C892" s="1" t="n">
        <v>45718</v>
      </c>
      <c r="D892" t="inlineStr">
        <is>
          <t>JÄMTLANDS LÄN</t>
        </is>
      </c>
      <c r="E892" t="inlineStr">
        <is>
          <t>STRÖMSUND</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53293-2020</t>
        </is>
      </c>
      <c r="B893" s="1" t="n">
        <v>44123</v>
      </c>
      <c r="C893" s="1" t="n">
        <v>45718</v>
      </c>
      <c r="D893" t="inlineStr">
        <is>
          <t>JÄMTLANDS LÄN</t>
        </is>
      </c>
      <c r="E893" t="inlineStr">
        <is>
          <t>STRÖMSUND</t>
        </is>
      </c>
      <c r="F893" t="inlineStr">
        <is>
          <t>Holmen skog AB</t>
        </is>
      </c>
      <c r="G893" t="n">
        <v>4.2</v>
      </c>
      <c r="H893" t="n">
        <v>0</v>
      </c>
      <c r="I893" t="n">
        <v>0</v>
      </c>
      <c r="J893" t="n">
        <v>0</v>
      </c>
      <c r="K893" t="n">
        <v>0</v>
      </c>
      <c r="L893" t="n">
        <v>0</v>
      </c>
      <c r="M893" t="n">
        <v>0</v>
      </c>
      <c r="N893" t="n">
        <v>0</v>
      </c>
      <c r="O893" t="n">
        <v>0</v>
      </c>
      <c r="P893" t="n">
        <v>0</v>
      </c>
      <c r="Q893" t="n">
        <v>0</v>
      </c>
      <c r="R893" s="2" t="inlineStr"/>
    </row>
    <row r="894" ht="15" customHeight="1">
      <c r="A894" t="inlineStr">
        <is>
          <t>A 55342-2020</t>
        </is>
      </c>
      <c r="B894" s="1" t="n">
        <v>44130</v>
      </c>
      <c r="C894" s="1" t="n">
        <v>45718</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55708-2020</t>
        </is>
      </c>
      <c r="B895" s="1" t="n">
        <v>44131</v>
      </c>
      <c r="C895" s="1" t="n">
        <v>45718</v>
      </c>
      <c r="D895" t="inlineStr">
        <is>
          <t>JÄMTLANDS LÄN</t>
        </is>
      </c>
      <c r="E895" t="inlineStr">
        <is>
          <t>STRÖMSUND</t>
        </is>
      </c>
      <c r="G895" t="n">
        <v>1</v>
      </c>
      <c r="H895" t="n">
        <v>0</v>
      </c>
      <c r="I895" t="n">
        <v>0</v>
      </c>
      <c r="J895" t="n">
        <v>0</v>
      </c>
      <c r="K895" t="n">
        <v>0</v>
      </c>
      <c r="L895" t="n">
        <v>0</v>
      </c>
      <c r="M895" t="n">
        <v>0</v>
      </c>
      <c r="N895" t="n">
        <v>0</v>
      </c>
      <c r="O895" t="n">
        <v>0</v>
      </c>
      <c r="P895" t="n">
        <v>0</v>
      </c>
      <c r="Q895" t="n">
        <v>0</v>
      </c>
      <c r="R895" s="2" t="inlineStr"/>
    </row>
    <row r="896" ht="15" customHeight="1">
      <c r="A896" t="inlineStr">
        <is>
          <t>A 56251-2020</t>
        </is>
      </c>
      <c r="B896" s="1" t="n">
        <v>44134</v>
      </c>
      <c r="C896" s="1" t="n">
        <v>45718</v>
      </c>
      <c r="D896" t="inlineStr">
        <is>
          <t>JÄMTLANDS LÄN</t>
        </is>
      </c>
      <c r="E896" t="inlineStr">
        <is>
          <t>STRÖMSUND</t>
        </is>
      </c>
      <c r="F896" t="inlineStr">
        <is>
          <t>Holmen skog AB</t>
        </is>
      </c>
      <c r="G896" t="n">
        <v>7.3</v>
      </c>
      <c r="H896" t="n">
        <v>0</v>
      </c>
      <c r="I896" t="n">
        <v>0</v>
      </c>
      <c r="J896" t="n">
        <v>0</v>
      </c>
      <c r="K896" t="n">
        <v>0</v>
      </c>
      <c r="L896" t="n">
        <v>0</v>
      </c>
      <c r="M896" t="n">
        <v>0</v>
      </c>
      <c r="N896" t="n">
        <v>0</v>
      </c>
      <c r="O896" t="n">
        <v>0</v>
      </c>
      <c r="P896" t="n">
        <v>0</v>
      </c>
      <c r="Q896" t="n">
        <v>0</v>
      </c>
      <c r="R896" s="2" t="inlineStr"/>
    </row>
    <row r="897" ht="15" customHeight="1">
      <c r="A897" t="inlineStr">
        <is>
          <t>A 56290-2020</t>
        </is>
      </c>
      <c r="B897" s="1" t="n">
        <v>44134</v>
      </c>
      <c r="C897" s="1" t="n">
        <v>45718</v>
      </c>
      <c r="D897" t="inlineStr">
        <is>
          <t>JÄMTLANDS LÄN</t>
        </is>
      </c>
      <c r="E897" t="inlineStr">
        <is>
          <t>STRÖMSUND</t>
        </is>
      </c>
      <c r="F897" t="inlineStr">
        <is>
          <t>Holmen skog AB</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56493-2020</t>
        </is>
      </c>
      <c r="B898" s="1" t="n">
        <v>44137</v>
      </c>
      <c r="C898" s="1" t="n">
        <v>45718</v>
      </c>
      <c r="D898" t="inlineStr">
        <is>
          <t>JÄMTLANDS LÄN</t>
        </is>
      </c>
      <c r="E898" t="inlineStr">
        <is>
          <t>STRÖMSUND</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56966-2020</t>
        </is>
      </c>
      <c r="B899" s="1" t="n">
        <v>44137</v>
      </c>
      <c r="C899" s="1" t="n">
        <v>45718</v>
      </c>
      <c r="D899" t="inlineStr">
        <is>
          <t>JÄMTLANDS LÄN</t>
        </is>
      </c>
      <c r="E899" t="inlineStr">
        <is>
          <t>STRÖMSUND</t>
        </is>
      </c>
      <c r="G899" t="n">
        <v>2.6</v>
      </c>
      <c r="H899" t="n">
        <v>0</v>
      </c>
      <c r="I899" t="n">
        <v>0</v>
      </c>
      <c r="J899" t="n">
        <v>0</v>
      </c>
      <c r="K899" t="n">
        <v>0</v>
      </c>
      <c r="L899" t="n">
        <v>0</v>
      </c>
      <c r="M899" t="n">
        <v>0</v>
      </c>
      <c r="N899" t="n">
        <v>0</v>
      </c>
      <c r="O899" t="n">
        <v>0</v>
      </c>
      <c r="P899" t="n">
        <v>0</v>
      </c>
      <c r="Q899" t="n">
        <v>0</v>
      </c>
      <c r="R899" s="2" t="inlineStr"/>
    </row>
    <row r="900" ht="15" customHeight="1">
      <c r="A900" t="inlineStr">
        <is>
          <t>A 57336-2020</t>
        </is>
      </c>
      <c r="B900" s="1" t="n">
        <v>44139</v>
      </c>
      <c r="C900" s="1" t="n">
        <v>45718</v>
      </c>
      <c r="D900" t="inlineStr">
        <is>
          <t>JÄMTLANDS LÄN</t>
        </is>
      </c>
      <c r="E900" t="inlineStr">
        <is>
          <t>STRÖMSUND</t>
        </is>
      </c>
      <c r="G900" t="n">
        <v>2</v>
      </c>
      <c r="H900" t="n">
        <v>0</v>
      </c>
      <c r="I900" t="n">
        <v>0</v>
      </c>
      <c r="J900" t="n">
        <v>0</v>
      </c>
      <c r="K900" t="n">
        <v>0</v>
      </c>
      <c r="L900" t="n">
        <v>0</v>
      </c>
      <c r="M900" t="n">
        <v>0</v>
      </c>
      <c r="N900" t="n">
        <v>0</v>
      </c>
      <c r="O900" t="n">
        <v>0</v>
      </c>
      <c r="P900" t="n">
        <v>0</v>
      </c>
      <c r="Q900" t="n">
        <v>0</v>
      </c>
      <c r="R900" s="2" t="inlineStr"/>
    </row>
    <row r="901" ht="15" customHeight="1">
      <c r="A901" t="inlineStr">
        <is>
          <t>A 57511-2020</t>
        </is>
      </c>
      <c r="B901" s="1" t="n">
        <v>44140</v>
      </c>
      <c r="C901" s="1" t="n">
        <v>45718</v>
      </c>
      <c r="D901" t="inlineStr">
        <is>
          <t>JÄMTLANDS LÄN</t>
        </is>
      </c>
      <c r="E901" t="inlineStr">
        <is>
          <t>STRÖMSUND</t>
        </is>
      </c>
      <c r="F901" t="inlineStr">
        <is>
          <t>Holmen skog AB</t>
        </is>
      </c>
      <c r="G901" t="n">
        <v>6.7</v>
      </c>
      <c r="H901" t="n">
        <v>0</v>
      </c>
      <c r="I901" t="n">
        <v>0</v>
      </c>
      <c r="J901" t="n">
        <v>0</v>
      </c>
      <c r="K901" t="n">
        <v>0</v>
      </c>
      <c r="L901" t="n">
        <v>0</v>
      </c>
      <c r="M901" t="n">
        <v>0</v>
      </c>
      <c r="N901" t="n">
        <v>0</v>
      </c>
      <c r="O901" t="n">
        <v>0</v>
      </c>
      <c r="P901" t="n">
        <v>0</v>
      </c>
      <c r="Q901" t="n">
        <v>0</v>
      </c>
      <c r="R901" s="2" t="inlineStr"/>
    </row>
    <row r="902" ht="15" customHeight="1">
      <c r="A902" t="inlineStr">
        <is>
          <t>A 57550-2020</t>
        </is>
      </c>
      <c r="B902" s="1" t="n">
        <v>44140</v>
      </c>
      <c r="C902" s="1" t="n">
        <v>45718</v>
      </c>
      <c r="D902" t="inlineStr">
        <is>
          <t>JÄMTLANDS LÄN</t>
        </is>
      </c>
      <c r="E902" t="inlineStr">
        <is>
          <t>STRÖMSUND</t>
        </is>
      </c>
      <c r="F902" t="inlineStr">
        <is>
          <t>Holmen skog AB</t>
        </is>
      </c>
      <c r="G902" t="n">
        <v>7.1</v>
      </c>
      <c r="H902" t="n">
        <v>0</v>
      </c>
      <c r="I902" t="n">
        <v>0</v>
      </c>
      <c r="J902" t="n">
        <v>0</v>
      </c>
      <c r="K902" t="n">
        <v>0</v>
      </c>
      <c r="L902" t="n">
        <v>0</v>
      </c>
      <c r="M902" t="n">
        <v>0</v>
      </c>
      <c r="N902" t="n">
        <v>0</v>
      </c>
      <c r="O902" t="n">
        <v>0</v>
      </c>
      <c r="P902" t="n">
        <v>0</v>
      </c>
      <c r="Q902" t="n">
        <v>0</v>
      </c>
      <c r="R902" s="2" t="inlineStr"/>
    </row>
    <row r="903" ht="15" customHeight="1">
      <c r="A903" t="inlineStr">
        <is>
          <t>A 57423-2020</t>
        </is>
      </c>
      <c r="B903" s="1" t="n">
        <v>44140</v>
      </c>
      <c r="C903" s="1" t="n">
        <v>45718</v>
      </c>
      <c r="D903" t="inlineStr">
        <is>
          <t>JÄMTLANDS LÄN</t>
        </is>
      </c>
      <c r="E903" t="inlineStr">
        <is>
          <t>STRÖMSUND</t>
        </is>
      </c>
      <c r="F903" t="inlineStr">
        <is>
          <t>Holmen skog AB</t>
        </is>
      </c>
      <c r="G903" t="n">
        <v>2.6</v>
      </c>
      <c r="H903" t="n">
        <v>0</v>
      </c>
      <c r="I903" t="n">
        <v>0</v>
      </c>
      <c r="J903" t="n">
        <v>0</v>
      </c>
      <c r="K903" t="n">
        <v>0</v>
      </c>
      <c r="L903" t="n">
        <v>0</v>
      </c>
      <c r="M903" t="n">
        <v>0</v>
      </c>
      <c r="N903" t="n">
        <v>0</v>
      </c>
      <c r="O903" t="n">
        <v>0</v>
      </c>
      <c r="P903" t="n">
        <v>0</v>
      </c>
      <c r="Q903" t="n">
        <v>0</v>
      </c>
      <c r="R903" s="2" t="inlineStr"/>
    </row>
    <row r="904" ht="15" customHeight="1">
      <c r="A904" t="inlineStr">
        <is>
          <t>A 57808-2020</t>
        </is>
      </c>
      <c r="B904" s="1" t="n">
        <v>44141</v>
      </c>
      <c r="C904" s="1" t="n">
        <v>45718</v>
      </c>
      <c r="D904" t="inlineStr">
        <is>
          <t>JÄMTLANDS LÄN</t>
        </is>
      </c>
      <c r="E904" t="inlineStr">
        <is>
          <t>STRÖMSUND</t>
        </is>
      </c>
      <c r="G904" t="n">
        <v>6.8</v>
      </c>
      <c r="H904" t="n">
        <v>0</v>
      </c>
      <c r="I904" t="n">
        <v>0</v>
      </c>
      <c r="J904" t="n">
        <v>0</v>
      </c>
      <c r="K904" t="n">
        <v>0</v>
      </c>
      <c r="L904" t="n">
        <v>0</v>
      </c>
      <c r="M904" t="n">
        <v>0</v>
      </c>
      <c r="N904" t="n">
        <v>0</v>
      </c>
      <c r="O904" t="n">
        <v>0</v>
      </c>
      <c r="P904" t="n">
        <v>0</v>
      </c>
      <c r="Q904" t="n">
        <v>0</v>
      </c>
      <c r="R904" s="2" t="inlineStr"/>
    </row>
    <row r="905" ht="15" customHeight="1">
      <c r="A905" t="inlineStr">
        <is>
          <t>A 58219-2020</t>
        </is>
      </c>
      <c r="B905" s="1" t="n">
        <v>44144</v>
      </c>
      <c r="C905" s="1" t="n">
        <v>45718</v>
      </c>
      <c r="D905" t="inlineStr">
        <is>
          <t>JÄMTLANDS LÄN</t>
        </is>
      </c>
      <c r="E905" t="inlineStr">
        <is>
          <t>STRÖMSUND</t>
        </is>
      </c>
      <c r="F905" t="inlineStr">
        <is>
          <t>Holmen skog AB</t>
        </is>
      </c>
      <c r="G905" t="n">
        <v>4.9</v>
      </c>
      <c r="H905" t="n">
        <v>0</v>
      </c>
      <c r="I905" t="n">
        <v>0</v>
      </c>
      <c r="J905" t="n">
        <v>0</v>
      </c>
      <c r="K905" t="n">
        <v>0</v>
      </c>
      <c r="L905" t="n">
        <v>0</v>
      </c>
      <c r="M905" t="n">
        <v>0</v>
      </c>
      <c r="N905" t="n">
        <v>0</v>
      </c>
      <c r="O905" t="n">
        <v>0</v>
      </c>
      <c r="P905" t="n">
        <v>0</v>
      </c>
      <c r="Q905" t="n">
        <v>0</v>
      </c>
      <c r="R905" s="2" t="inlineStr"/>
    </row>
    <row r="906" ht="15" customHeight="1">
      <c r="A906" t="inlineStr">
        <is>
          <t>A 59012-2020</t>
        </is>
      </c>
      <c r="B906" s="1" t="n">
        <v>44146</v>
      </c>
      <c r="C906" s="1" t="n">
        <v>45718</v>
      </c>
      <c r="D906" t="inlineStr">
        <is>
          <t>JÄMTLANDS LÄN</t>
        </is>
      </c>
      <c r="E906" t="inlineStr">
        <is>
          <t>STRÖMSUND</t>
        </is>
      </c>
      <c r="F906" t="inlineStr">
        <is>
          <t>SCA</t>
        </is>
      </c>
      <c r="G906" t="n">
        <v>15.5</v>
      </c>
      <c r="H906" t="n">
        <v>0</v>
      </c>
      <c r="I906" t="n">
        <v>0</v>
      </c>
      <c r="J906" t="n">
        <v>0</v>
      </c>
      <c r="K906" t="n">
        <v>0</v>
      </c>
      <c r="L906" t="n">
        <v>0</v>
      </c>
      <c r="M906" t="n">
        <v>0</v>
      </c>
      <c r="N906" t="n">
        <v>0</v>
      </c>
      <c r="O906" t="n">
        <v>0</v>
      </c>
      <c r="P906" t="n">
        <v>0</v>
      </c>
      <c r="Q906" t="n">
        <v>0</v>
      </c>
      <c r="R906" s="2" t="inlineStr"/>
    </row>
    <row r="907" ht="15" customHeight="1">
      <c r="A907" t="inlineStr">
        <is>
          <t>A 59330-2020</t>
        </is>
      </c>
      <c r="B907" s="1" t="n">
        <v>44147</v>
      </c>
      <c r="C907" s="1" t="n">
        <v>45718</v>
      </c>
      <c r="D907" t="inlineStr">
        <is>
          <t>JÄMTLANDS LÄN</t>
        </is>
      </c>
      <c r="E907" t="inlineStr">
        <is>
          <t>STRÖMSUND</t>
        </is>
      </c>
      <c r="G907" t="n">
        <v>0.6</v>
      </c>
      <c r="H907" t="n">
        <v>0</v>
      </c>
      <c r="I907" t="n">
        <v>0</v>
      </c>
      <c r="J907" t="n">
        <v>0</v>
      </c>
      <c r="K907" t="n">
        <v>0</v>
      </c>
      <c r="L907" t="n">
        <v>0</v>
      </c>
      <c r="M907" t="n">
        <v>0</v>
      </c>
      <c r="N907" t="n">
        <v>0</v>
      </c>
      <c r="O907" t="n">
        <v>0</v>
      </c>
      <c r="P907" t="n">
        <v>0</v>
      </c>
      <c r="Q907" t="n">
        <v>0</v>
      </c>
      <c r="R907" s="2" t="inlineStr"/>
    </row>
    <row r="908" ht="15" customHeight="1">
      <c r="A908" t="inlineStr">
        <is>
          <t>A 60256-2020</t>
        </is>
      </c>
      <c r="B908" s="1" t="n">
        <v>44151</v>
      </c>
      <c r="C908" s="1" t="n">
        <v>45718</v>
      </c>
      <c r="D908" t="inlineStr">
        <is>
          <t>JÄMTLANDS LÄN</t>
        </is>
      </c>
      <c r="E908" t="inlineStr">
        <is>
          <t>STRÖMSUND</t>
        </is>
      </c>
      <c r="G908" t="n">
        <v>0.3</v>
      </c>
      <c r="H908" t="n">
        <v>0</v>
      </c>
      <c r="I908" t="n">
        <v>0</v>
      </c>
      <c r="J908" t="n">
        <v>0</v>
      </c>
      <c r="K908" t="n">
        <v>0</v>
      </c>
      <c r="L908" t="n">
        <v>0</v>
      </c>
      <c r="M908" t="n">
        <v>0</v>
      </c>
      <c r="N908" t="n">
        <v>0</v>
      </c>
      <c r="O908" t="n">
        <v>0</v>
      </c>
      <c r="P908" t="n">
        <v>0</v>
      </c>
      <c r="Q908" t="n">
        <v>0</v>
      </c>
      <c r="R908" s="2" t="inlineStr"/>
    </row>
    <row r="909" ht="15" customHeight="1">
      <c r="A909" t="inlineStr">
        <is>
          <t>A 60061-2020</t>
        </is>
      </c>
      <c r="B909" s="1" t="n">
        <v>44151</v>
      </c>
      <c r="C909" s="1" t="n">
        <v>45718</v>
      </c>
      <c r="D909" t="inlineStr">
        <is>
          <t>JÄMTLANDS LÄN</t>
        </is>
      </c>
      <c r="E909" t="inlineStr">
        <is>
          <t>STRÖMSUND</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60395-2020</t>
        </is>
      </c>
      <c r="B910" s="1" t="n">
        <v>44152</v>
      </c>
      <c r="C910" s="1" t="n">
        <v>45718</v>
      </c>
      <c r="D910" t="inlineStr">
        <is>
          <t>JÄMTLANDS LÄN</t>
        </is>
      </c>
      <c r="E910" t="inlineStr">
        <is>
          <t>STRÖMSUND</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60703-2020</t>
        </is>
      </c>
      <c r="B911" s="1" t="n">
        <v>44153</v>
      </c>
      <c r="C911" s="1" t="n">
        <v>45718</v>
      </c>
      <c r="D911" t="inlineStr">
        <is>
          <t>JÄMTLANDS LÄN</t>
        </is>
      </c>
      <c r="E911" t="inlineStr">
        <is>
          <t>STRÖMSUND</t>
        </is>
      </c>
      <c r="G911" t="n">
        <v>1.1</v>
      </c>
      <c r="H911" t="n">
        <v>0</v>
      </c>
      <c r="I911" t="n">
        <v>0</v>
      </c>
      <c r="J911" t="n">
        <v>0</v>
      </c>
      <c r="K911" t="n">
        <v>0</v>
      </c>
      <c r="L911" t="n">
        <v>0</v>
      </c>
      <c r="M911" t="n">
        <v>0</v>
      </c>
      <c r="N911" t="n">
        <v>0</v>
      </c>
      <c r="O911" t="n">
        <v>0</v>
      </c>
      <c r="P911" t="n">
        <v>0</v>
      </c>
      <c r="Q911" t="n">
        <v>0</v>
      </c>
      <c r="R911" s="2" t="inlineStr"/>
    </row>
    <row r="912" ht="15" customHeight="1">
      <c r="A912" t="inlineStr">
        <is>
          <t>A 61149-2020</t>
        </is>
      </c>
      <c r="B912" s="1" t="n">
        <v>44154</v>
      </c>
      <c r="C912" s="1" t="n">
        <v>45718</v>
      </c>
      <c r="D912" t="inlineStr">
        <is>
          <t>JÄMTLANDS LÄN</t>
        </is>
      </c>
      <c r="E912" t="inlineStr">
        <is>
          <t>STRÖMSUND</t>
        </is>
      </c>
      <c r="G912" t="n">
        <v>0.5</v>
      </c>
      <c r="H912" t="n">
        <v>0</v>
      </c>
      <c r="I912" t="n">
        <v>0</v>
      </c>
      <c r="J912" t="n">
        <v>0</v>
      </c>
      <c r="K912" t="n">
        <v>0</v>
      </c>
      <c r="L912" t="n">
        <v>0</v>
      </c>
      <c r="M912" t="n">
        <v>0</v>
      </c>
      <c r="N912" t="n">
        <v>0</v>
      </c>
      <c r="O912" t="n">
        <v>0</v>
      </c>
      <c r="P912" t="n">
        <v>0</v>
      </c>
      <c r="Q912" t="n">
        <v>0</v>
      </c>
      <c r="R912" s="2" t="inlineStr"/>
    </row>
    <row r="913" ht="15" customHeight="1">
      <c r="A913" t="inlineStr">
        <is>
          <t>A 61586-2020</t>
        </is>
      </c>
      <c r="B913" s="1" t="n">
        <v>44158</v>
      </c>
      <c r="C913" s="1" t="n">
        <v>45718</v>
      </c>
      <c r="D913" t="inlineStr">
        <is>
          <t>JÄMTLANDS LÄN</t>
        </is>
      </c>
      <c r="E913" t="inlineStr">
        <is>
          <t>STRÖMSUND</t>
        </is>
      </c>
      <c r="F913" t="inlineStr">
        <is>
          <t>Holmen skog AB</t>
        </is>
      </c>
      <c r="G913" t="n">
        <v>1.8</v>
      </c>
      <c r="H913" t="n">
        <v>0</v>
      </c>
      <c r="I913" t="n">
        <v>0</v>
      </c>
      <c r="J913" t="n">
        <v>0</v>
      </c>
      <c r="K913" t="n">
        <v>0</v>
      </c>
      <c r="L913" t="n">
        <v>0</v>
      </c>
      <c r="M913" t="n">
        <v>0</v>
      </c>
      <c r="N913" t="n">
        <v>0</v>
      </c>
      <c r="O913" t="n">
        <v>0</v>
      </c>
      <c r="P913" t="n">
        <v>0</v>
      </c>
      <c r="Q913" t="n">
        <v>0</v>
      </c>
      <c r="R913" s="2" t="inlineStr"/>
    </row>
    <row r="914" ht="15" customHeight="1">
      <c r="A914" t="inlineStr">
        <is>
          <t>A 61662-2020</t>
        </is>
      </c>
      <c r="B914" s="1" t="n">
        <v>44158</v>
      </c>
      <c r="C914" s="1" t="n">
        <v>45718</v>
      </c>
      <c r="D914" t="inlineStr">
        <is>
          <t>JÄMTLANDS LÄN</t>
        </is>
      </c>
      <c r="E914" t="inlineStr">
        <is>
          <t>STRÖMSUND</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61811-2020</t>
        </is>
      </c>
      <c r="B915" s="1" t="n">
        <v>44158</v>
      </c>
      <c r="C915" s="1" t="n">
        <v>45718</v>
      </c>
      <c r="D915" t="inlineStr">
        <is>
          <t>JÄMTLANDS LÄN</t>
        </is>
      </c>
      <c r="E915" t="inlineStr">
        <is>
          <t>STRÖMSUND</t>
        </is>
      </c>
      <c r="G915" t="n">
        <v>1.9</v>
      </c>
      <c r="H915" t="n">
        <v>0</v>
      </c>
      <c r="I915" t="n">
        <v>0</v>
      </c>
      <c r="J915" t="n">
        <v>0</v>
      </c>
      <c r="K915" t="n">
        <v>0</v>
      </c>
      <c r="L915" t="n">
        <v>0</v>
      </c>
      <c r="M915" t="n">
        <v>0</v>
      </c>
      <c r="N915" t="n">
        <v>0</v>
      </c>
      <c r="O915" t="n">
        <v>0</v>
      </c>
      <c r="P915" t="n">
        <v>0</v>
      </c>
      <c r="Q915" t="n">
        <v>0</v>
      </c>
      <c r="R915" s="2" t="inlineStr"/>
    </row>
    <row r="916" ht="15" customHeight="1">
      <c r="A916" t="inlineStr">
        <is>
          <t>A 61807-2020</t>
        </is>
      </c>
      <c r="B916" s="1" t="n">
        <v>44158</v>
      </c>
      <c r="C916" s="1" t="n">
        <v>45718</v>
      </c>
      <c r="D916" t="inlineStr">
        <is>
          <t>JÄMTLANDS LÄN</t>
        </is>
      </c>
      <c r="E916" t="inlineStr">
        <is>
          <t>STRÖMSUND</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62503-2020</t>
        </is>
      </c>
      <c r="B917" s="1" t="n">
        <v>44160</v>
      </c>
      <c r="C917" s="1" t="n">
        <v>45718</v>
      </c>
      <c r="D917" t="inlineStr">
        <is>
          <t>JÄMTLANDS LÄN</t>
        </is>
      </c>
      <c r="E917" t="inlineStr">
        <is>
          <t>STRÖMSUND</t>
        </is>
      </c>
      <c r="G917" t="n">
        <v>7.9</v>
      </c>
      <c r="H917" t="n">
        <v>0</v>
      </c>
      <c r="I917" t="n">
        <v>0</v>
      </c>
      <c r="J917" t="n">
        <v>0</v>
      </c>
      <c r="K917" t="n">
        <v>0</v>
      </c>
      <c r="L917" t="n">
        <v>0</v>
      </c>
      <c r="M917" t="n">
        <v>0</v>
      </c>
      <c r="N917" t="n">
        <v>0</v>
      </c>
      <c r="O917" t="n">
        <v>0</v>
      </c>
      <c r="P917" t="n">
        <v>0</v>
      </c>
      <c r="Q917" t="n">
        <v>0</v>
      </c>
      <c r="R917" s="2" t="inlineStr"/>
    </row>
    <row r="918" ht="15" customHeight="1">
      <c r="A918" t="inlineStr">
        <is>
          <t>A 63692-2020</t>
        </is>
      </c>
      <c r="B918" s="1" t="n">
        <v>44161</v>
      </c>
      <c r="C918" s="1" t="n">
        <v>45718</v>
      </c>
      <c r="D918" t="inlineStr">
        <is>
          <t>JÄMTLANDS LÄN</t>
        </is>
      </c>
      <c r="E918" t="inlineStr">
        <is>
          <t>STRÖMSUND</t>
        </is>
      </c>
      <c r="G918" t="n">
        <v>1</v>
      </c>
      <c r="H918" t="n">
        <v>0</v>
      </c>
      <c r="I918" t="n">
        <v>0</v>
      </c>
      <c r="J918" t="n">
        <v>0</v>
      </c>
      <c r="K918" t="n">
        <v>0</v>
      </c>
      <c r="L918" t="n">
        <v>0</v>
      </c>
      <c r="M918" t="n">
        <v>0</v>
      </c>
      <c r="N918" t="n">
        <v>0</v>
      </c>
      <c r="O918" t="n">
        <v>0</v>
      </c>
      <c r="P918" t="n">
        <v>0</v>
      </c>
      <c r="Q918" t="n">
        <v>0</v>
      </c>
      <c r="R918" s="2" t="inlineStr"/>
    </row>
    <row r="919" ht="15" customHeight="1">
      <c r="A919" t="inlineStr">
        <is>
          <t>A 63699-2020</t>
        </is>
      </c>
      <c r="B919" s="1" t="n">
        <v>44161</v>
      </c>
      <c r="C919" s="1" t="n">
        <v>45718</v>
      </c>
      <c r="D919" t="inlineStr">
        <is>
          <t>JÄMTLANDS LÄN</t>
        </is>
      </c>
      <c r="E919" t="inlineStr">
        <is>
          <t>STRÖMSUND</t>
        </is>
      </c>
      <c r="G919" t="n">
        <v>1.1</v>
      </c>
      <c r="H919" t="n">
        <v>0</v>
      </c>
      <c r="I919" t="n">
        <v>0</v>
      </c>
      <c r="J919" t="n">
        <v>0</v>
      </c>
      <c r="K919" t="n">
        <v>0</v>
      </c>
      <c r="L919" t="n">
        <v>0</v>
      </c>
      <c r="M919" t="n">
        <v>0</v>
      </c>
      <c r="N919" t="n">
        <v>0</v>
      </c>
      <c r="O919" t="n">
        <v>0</v>
      </c>
      <c r="P919" t="n">
        <v>0</v>
      </c>
      <c r="Q919" t="n">
        <v>0</v>
      </c>
      <c r="R919" s="2" t="inlineStr"/>
    </row>
    <row r="920" ht="15" customHeight="1">
      <c r="A920" t="inlineStr">
        <is>
          <t>A 63678-2020</t>
        </is>
      </c>
      <c r="B920" s="1" t="n">
        <v>44162</v>
      </c>
      <c r="C920" s="1" t="n">
        <v>45718</v>
      </c>
      <c r="D920" t="inlineStr">
        <is>
          <t>JÄMTLANDS LÄN</t>
        </is>
      </c>
      <c r="E920" t="inlineStr">
        <is>
          <t>STRÖMSUND</t>
        </is>
      </c>
      <c r="G920" t="n">
        <v>1.7</v>
      </c>
      <c r="H920" t="n">
        <v>0</v>
      </c>
      <c r="I920" t="n">
        <v>0</v>
      </c>
      <c r="J920" t="n">
        <v>0</v>
      </c>
      <c r="K920" t="n">
        <v>0</v>
      </c>
      <c r="L920" t="n">
        <v>0</v>
      </c>
      <c r="M920" t="n">
        <v>0</v>
      </c>
      <c r="N920" t="n">
        <v>0</v>
      </c>
      <c r="O920" t="n">
        <v>0</v>
      </c>
      <c r="P920" t="n">
        <v>0</v>
      </c>
      <c r="Q920" t="n">
        <v>0</v>
      </c>
      <c r="R920" s="2" t="inlineStr"/>
    </row>
    <row r="921" ht="15" customHeight="1">
      <c r="A921" t="inlineStr">
        <is>
          <t>A 63567-2020</t>
        </is>
      </c>
      <c r="B921" s="1" t="n">
        <v>44165</v>
      </c>
      <c r="C921" s="1" t="n">
        <v>45718</v>
      </c>
      <c r="D921" t="inlineStr">
        <is>
          <t>JÄMTLANDS LÄN</t>
        </is>
      </c>
      <c r="E921" t="inlineStr">
        <is>
          <t>STRÖMSUND</t>
        </is>
      </c>
      <c r="G921" t="n">
        <v>14.4</v>
      </c>
      <c r="H921" t="n">
        <v>0</v>
      </c>
      <c r="I921" t="n">
        <v>0</v>
      </c>
      <c r="J921" t="n">
        <v>0</v>
      </c>
      <c r="K921" t="n">
        <v>0</v>
      </c>
      <c r="L921" t="n">
        <v>0</v>
      </c>
      <c r="M921" t="n">
        <v>0</v>
      </c>
      <c r="N921" t="n">
        <v>0</v>
      </c>
      <c r="O921" t="n">
        <v>0</v>
      </c>
      <c r="P921" t="n">
        <v>0</v>
      </c>
      <c r="Q921" t="n">
        <v>0</v>
      </c>
      <c r="R921" s="2" t="inlineStr"/>
    </row>
    <row r="922" ht="15" customHeight="1">
      <c r="A922" t="inlineStr">
        <is>
          <t>A 64124-2020</t>
        </is>
      </c>
      <c r="B922" s="1" t="n">
        <v>44165</v>
      </c>
      <c r="C922" s="1" t="n">
        <v>45718</v>
      </c>
      <c r="D922" t="inlineStr">
        <is>
          <t>JÄMTLANDS LÄN</t>
        </is>
      </c>
      <c r="E922" t="inlineStr">
        <is>
          <t>STRÖMSUND</t>
        </is>
      </c>
      <c r="G922" t="n">
        <v>1.6</v>
      </c>
      <c r="H922" t="n">
        <v>0</v>
      </c>
      <c r="I922" t="n">
        <v>0</v>
      </c>
      <c r="J922" t="n">
        <v>0</v>
      </c>
      <c r="K922" t="n">
        <v>0</v>
      </c>
      <c r="L922" t="n">
        <v>0</v>
      </c>
      <c r="M922" t="n">
        <v>0</v>
      </c>
      <c r="N922" t="n">
        <v>0</v>
      </c>
      <c r="O922" t="n">
        <v>0</v>
      </c>
      <c r="P922" t="n">
        <v>0</v>
      </c>
      <c r="Q922" t="n">
        <v>0</v>
      </c>
      <c r="R922" s="2" t="inlineStr"/>
    </row>
    <row r="923" ht="15" customHeight="1">
      <c r="A923" t="inlineStr">
        <is>
          <t>A 65115-2020</t>
        </is>
      </c>
      <c r="B923" s="1" t="n">
        <v>44165</v>
      </c>
      <c r="C923" s="1" t="n">
        <v>45718</v>
      </c>
      <c r="D923" t="inlineStr">
        <is>
          <t>JÄMTLANDS LÄN</t>
        </is>
      </c>
      <c r="E923" t="inlineStr">
        <is>
          <t>STRÖMSUND</t>
        </is>
      </c>
      <c r="G923" t="n">
        <v>3.6</v>
      </c>
      <c r="H923" t="n">
        <v>0</v>
      </c>
      <c r="I923" t="n">
        <v>0</v>
      </c>
      <c r="J923" t="n">
        <v>0</v>
      </c>
      <c r="K923" t="n">
        <v>0</v>
      </c>
      <c r="L923" t="n">
        <v>0</v>
      </c>
      <c r="M923" t="n">
        <v>0</v>
      </c>
      <c r="N923" t="n">
        <v>0</v>
      </c>
      <c r="O923" t="n">
        <v>0</v>
      </c>
      <c r="P923" t="n">
        <v>0</v>
      </c>
      <c r="Q923" t="n">
        <v>0</v>
      </c>
      <c r="R923" s="2" t="inlineStr"/>
    </row>
    <row r="924" ht="15" customHeight="1">
      <c r="A924" t="inlineStr">
        <is>
          <t>A 65078-2020</t>
        </is>
      </c>
      <c r="B924" s="1" t="n">
        <v>44165</v>
      </c>
      <c r="C924" s="1" t="n">
        <v>45718</v>
      </c>
      <c r="D924" t="inlineStr">
        <is>
          <t>JÄMTLANDS LÄN</t>
        </is>
      </c>
      <c r="E924" t="inlineStr">
        <is>
          <t>STRÖMSUND</t>
        </is>
      </c>
      <c r="G924" t="n">
        <v>3.4</v>
      </c>
      <c r="H924" t="n">
        <v>0</v>
      </c>
      <c r="I924" t="n">
        <v>0</v>
      </c>
      <c r="J924" t="n">
        <v>0</v>
      </c>
      <c r="K924" t="n">
        <v>0</v>
      </c>
      <c r="L924" t="n">
        <v>0</v>
      </c>
      <c r="M924" t="n">
        <v>0</v>
      </c>
      <c r="N924" t="n">
        <v>0</v>
      </c>
      <c r="O924" t="n">
        <v>0</v>
      </c>
      <c r="P924" t="n">
        <v>0</v>
      </c>
      <c r="Q924" t="n">
        <v>0</v>
      </c>
      <c r="R924" s="2" t="inlineStr"/>
    </row>
    <row r="925" ht="15" customHeight="1">
      <c r="A925" t="inlineStr">
        <is>
          <t>A 65076-2020</t>
        </is>
      </c>
      <c r="B925" s="1" t="n">
        <v>44165</v>
      </c>
      <c r="C925" s="1" t="n">
        <v>45718</v>
      </c>
      <c r="D925" t="inlineStr">
        <is>
          <t>JÄMTLANDS LÄN</t>
        </is>
      </c>
      <c r="E925" t="inlineStr">
        <is>
          <t>STRÖMSUND</t>
        </is>
      </c>
      <c r="G925" t="n">
        <v>20.3</v>
      </c>
      <c r="H925" t="n">
        <v>0</v>
      </c>
      <c r="I925" t="n">
        <v>0</v>
      </c>
      <c r="J925" t="n">
        <v>0</v>
      </c>
      <c r="K925" t="n">
        <v>0</v>
      </c>
      <c r="L925" t="n">
        <v>0</v>
      </c>
      <c r="M925" t="n">
        <v>0</v>
      </c>
      <c r="N925" t="n">
        <v>0</v>
      </c>
      <c r="O925" t="n">
        <v>0</v>
      </c>
      <c r="P925" t="n">
        <v>0</v>
      </c>
      <c r="Q925" t="n">
        <v>0</v>
      </c>
      <c r="R925" s="2" t="inlineStr"/>
    </row>
    <row r="926" ht="15" customHeight="1">
      <c r="A926" t="inlineStr">
        <is>
          <t>A 65110-2020</t>
        </is>
      </c>
      <c r="B926" s="1" t="n">
        <v>44165</v>
      </c>
      <c r="C926" s="1" t="n">
        <v>45718</v>
      </c>
      <c r="D926" t="inlineStr">
        <is>
          <t>JÄMTLANDS LÄN</t>
        </is>
      </c>
      <c r="E926" t="inlineStr">
        <is>
          <t>STRÖMSUND</t>
        </is>
      </c>
      <c r="G926" t="n">
        <v>6.8</v>
      </c>
      <c r="H926" t="n">
        <v>0</v>
      </c>
      <c r="I926" t="n">
        <v>0</v>
      </c>
      <c r="J926" t="n">
        <v>0</v>
      </c>
      <c r="K926" t="n">
        <v>0</v>
      </c>
      <c r="L926" t="n">
        <v>0</v>
      </c>
      <c r="M926" t="n">
        <v>0</v>
      </c>
      <c r="N926" t="n">
        <v>0</v>
      </c>
      <c r="O926" t="n">
        <v>0</v>
      </c>
      <c r="P926" t="n">
        <v>0</v>
      </c>
      <c r="Q926" t="n">
        <v>0</v>
      </c>
      <c r="R926" s="2" t="inlineStr"/>
    </row>
    <row r="927" ht="15" customHeight="1">
      <c r="A927" t="inlineStr">
        <is>
          <t>A 63755-2020</t>
        </is>
      </c>
      <c r="B927" s="1" t="n">
        <v>44166</v>
      </c>
      <c r="C927" s="1" t="n">
        <v>45718</v>
      </c>
      <c r="D927" t="inlineStr">
        <is>
          <t>JÄMTLANDS LÄN</t>
        </is>
      </c>
      <c r="E927" t="inlineStr">
        <is>
          <t>STRÖMSUND</t>
        </is>
      </c>
      <c r="G927" t="n">
        <v>0.7</v>
      </c>
      <c r="H927" t="n">
        <v>0</v>
      </c>
      <c r="I927" t="n">
        <v>0</v>
      </c>
      <c r="J927" t="n">
        <v>0</v>
      </c>
      <c r="K927" t="n">
        <v>0</v>
      </c>
      <c r="L927" t="n">
        <v>0</v>
      </c>
      <c r="M927" t="n">
        <v>0</v>
      </c>
      <c r="N927" t="n">
        <v>0</v>
      </c>
      <c r="O927" t="n">
        <v>0</v>
      </c>
      <c r="P927" t="n">
        <v>0</v>
      </c>
      <c r="Q927" t="n">
        <v>0</v>
      </c>
      <c r="R927" s="2" t="inlineStr"/>
    </row>
    <row r="928" ht="15" customHeight="1">
      <c r="A928" t="inlineStr">
        <is>
          <t>A 64186-2020</t>
        </is>
      </c>
      <c r="B928" s="1" t="n">
        <v>44167</v>
      </c>
      <c r="C928" s="1" t="n">
        <v>45718</v>
      </c>
      <c r="D928" t="inlineStr">
        <is>
          <t>JÄMTLANDS LÄN</t>
        </is>
      </c>
      <c r="E928" t="inlineStr">
        <is>
          <t>STRÖMSUND</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64608-2020</t>
        </is>
      </c>
      <c r="B929" s="1" t="n">
        <v>44169</v>
      </c>
      <c r="C929" s="1" t="n">
        <v>45718</v>
      </c>
      <c r="D929" t="inlineStr">
        <is>
          <t>JÄMTLANDS LÄN</t>
        </is>
      </c>
      <c r="E929" t="inlineStr">
        <is>
          <t>STRÖMSUND</t>
        </is>
      </c>
      <c r="F929" t="inlineStr">
        <is>
          <t>Holmen skog AB</t>
        </is>
      </c>
      <c r="G929" t="n">
        <v>17.7</v>
      </c>
      <c r="H929" t="n">
        <v>0</v>
      </c>
      <c r="I929" t="n">
        <v>0</v>
      </c>
      <c r="J929" t="n">
        <v>0</v>
      </c>
      <c r="K929" t="n">
        <v>0</v>
      </c>
      <c r="L929" t="n">
        <v>0</v>
      </c>
      <c r="M929" t="n">
        <v>0</v>
      </c>
      <c r="N929" t="n">
        <v>0</v>
      </c>
      <c r="O929" t="n">
        <v>0</v>
      </c>
      <c r="P929" t="n">
        <v>0</v>
      </c>
      <c r="Q929" t="n">
        <v>0</v>
      </c>
      <c r="R929" s="2" t="inlineStr"/>
    </row>
    <row r="930" ht="15" customHeight="1">
      <c r="A930" t="inlineStr">
        <is>
          <t>A 64825-2020</t>
        </is>
      </c>
      <c r="B930" s="1" t="n">
        <v>44169</v>
      </c>
      <c r="C930" s="1" t="n">
        <v>45718</v>
      </c>
      <c r="D930" t="inlineStr">
        <is>
          <t>JÄMTLANDS LÄN</t>
        </is>
      </c>
      <c r="E930" t="inlineStr">
        <is>
          <t>STRÖMSUND</t>
        </is>
      </c>
      <c r="F930" t="inlineStr">
        <is>
          <t>SCA</t>
        </is>
      </c>
      <c r="G930" t="n">
        <v>8.1</v>
      </c>
      <c r="H930" t="n">
        <v>0</v>
      </c>
      <c r="I930" t="n">
        <v>0</v>
      </c>
      <c r="J930" t="n">
        <v>0</v>
      </c>
      <c r="K930" t="n">
        <v>0</v>
      </c>
      <c r="L930" t="n">
        <v>0</v>
      </c>
      <c r="M930" t="n">
        <v>0</v>
      </c>
      <c r="N930" t="n">
        <v>0</v>
      </c>
      <c r="O930" t="n">
        <v>0</v>
      </c>
      <c r="P930" t="n">
        <v>0</v>
      </c>
      <c r="Q930" t="n">
        <v>0</v>
      </c>
      <c r="R930" s="2" t="inlineStr"/>
    </row>
    <row r="931" ht="15" customHeight="1">
      <c r="A931" t="inlineStr">
        <is>
          <t>A 64828-2020</t>
        </is>
      </c>
      <c r="B931" s="1" t="n">
        <v>44169</v>
      </c>
      <c r="C931" s="1" t="n">
        <v>45718</v>
      </c>
      <c r="D931" t="inlineStr">
        <is>
          <t>JÄMTLANDS LÄN</t>
        </is>
      </c>
      <c r="E931" t="inlineStr">
        <is>
          <t>STRÖMSUND</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65530-2020</t>
        </is>
      </c>
      <c r="B932" s="1" t="n">
        <v>44173</v>
      </c>
      <c r="C932" s="1" t="n">
        <v>45718</v>
      </c>
      <c r="D932" t="inlineStr">
        <is>
          <t>JÄMTLANDS LÄN</t>
        </is>
      </c>
      <c r="E932" t="inlineStr">
        <is>
          <t>STRÖMSUND</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65618-2020</t>
        </is>
      </c>
      <c r="B933" s="1" t="n">
        <v>44173</v>
      </c>
      <c r="C933" s="1" t="n">
        <v>45718</v>
      </c>
      <c r="D933" t="inlineStr">
        <is>
          <t>JÄMTLANDS LÄN</t>
        </is>
      </c>
      <c r="E933" t="inlineStr">
        <is>
          <t>STRÖMSUND</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65797-2020</t>
        </is>
      </c>
      <c r="B934" s="1" t="n">
        <v>44174</v>
      </c>
      <c r="C934" s="1" t="n">
        <v>45718</v>
      </c>
      <c r="D934" t="inlineStr">
        <is>
          <t>JÄMTLANDS LÄN</t>
        </is>
      </c>
      <c r="E934" t="inlineStr">
        <is>
          <t>STRÖMSUND</t>
        </is>
      </c>
      <c r="F934" t="inlineStr">
        <is>
          <t>Holmen skog AB</t>
        </is>
      </c>
      <c r="G934" t="n">
        <v>24</v>
      </c>
      <c r="H934" t="n">
        <v>0</v>
      </c>
      <c r="I934" t="n">
        <v>0</v>
      </c>
      <c r="J934" t="n">
        <v>0</v>
      </c>
      <c r="K934" t="n">
        <v>0</v>
      </c>
      <c r="L934" t="n">
        <v>0</v>
      </c>
      <c r="M934" t="n">
        <v>0</v>
      </c>
      <c r="N934" t="n">
        <v>0</v>
      </c>
      <c r="O934" t="n">
        <v>0</v>
      </c>
      <c r="P934" t="n">
        <v>0</v>
      </c>
      <c r="Q934" t="n">
        <v>0</v>
      </c>
      <c r="R934" s="2" t="inlineStr"/>
    </row>
    <row r="935" ht="15" customHeight="1">
      <c r="A935" t="inlineStr">
        <is>
          <t>A 65762-2020</t>
        </is>
      </c>
      <c r="B935" s="1" t="n">
        <v>44174</v>
      </c>
      <c r="C935" s="1" t="n">
        <v>45718</v>
      </c>
      <c r="D935" t="inlineStr">
        <is>
          <t>JÄMTLANDS LÄN</t>
        </is>
      </c>
      <c r="E935" t="inlineStr">
        <is>
          <t>STRÖMSUND</t>
        </is>
      </c>
      <c r="F935" t="inlineStr">
        <is>
          <t>Holmen skog AB</t>
        </is>
      </c>
      <c r="G935" t="n">
        <v>8.5</v>
      </c>
      <c r="H935" t="n">
        <v>0</v>
      </c>
      <c r="I935" t="n">
        <v>0</v>
      </c>
      <c r="J935" t="n">
        <v>0</v>
      </c>
      <c r="K935" t="n">
        <v>0</v>
      </c>
      <c r="L935" t="n">
        <v>0</v>
      </c>
      <c r="M935" t="n">
        <v>0</v>
      </c>
      <c r="N935" t="n">
        <v>0</v>
      </c>
      <c r="O935" t="n">
        <v>0</v>
      </c>
      <c r="P935" t="n">
        <v>0</v>
      </c>
      <c r="Q935" t="n">
        <v>0</v>
      </c>
      <c r="R935" s="2" t="inlineStr"/>
    </row>
    <row r="936" ht="15" customHeight="1">
      <c r="A936" t="inlineStr">
        <is>
          <t>A 65768-2020</t>
        </is>
      </c>
      <c r="B936" s="1" t="n">
        <v>44174</v>
      </c>
      <c r="C936" s="1" t="n">
        <v>45718</v>
      </c>
      <c r="D936" t="inlineStr">
        <is>
          <t>JÄMTLANDS LÄN</t>
        </is>
      </c>
      <c r="E936" t="inlineStr">
        <is>
          <t>STRÖMSUND</t>
        </is>
      </c>
      <c r="F936" t="inlineStr">
        <is>
          <t>Holmen skog AB</t>
        </is>
      </c>
      <c r="G936" t="n">
        <v>21.7</v>
      </c>
      <c r="H936" t="n">
        <v>0</v>
      </c>
      <c r="I936" t="n">
        <v>0</v>
      </c>
      <c r="J936" t="n">
        <v>0</v>
      </c>
      <c r="K936" t="n">
        <v>0</v>
      </c>
      <c r="L936" t="n">
        <v>0</v>
      </c>
      <c r="M936" t="n">
        <v>0</v>
      </c>
      <c r="N936" t="n">
        <v>0</v>
      </c>
      <c r="O936" t="n">
        <v>0</v>
      </c>
      <c r="P936" t="n">
        <v>0</v>
      </c>
      <c r="Q936" t="n">
        <v>0</v>
      </c>
      <c r="R936" s="2" t="inlineStr"/>
    </row>
    <row r="937" ht="15" customHeight="1">
      <c r="A937" t="inlineStr">
        <is>
          <t>A 66130-2020</t>
        </is>
      </c>
      <c r="B937" s="1" t="n">
        <v>44175</v>
      </c>
      <c r="C937" s="1" t="n">
        <v>45718</v>
      </c>
      <c r="D937" t="inlineStr">
        <is>
          <t>JÄMTLANDS LÄN</t>
        </is>
      </c>
      <c r="E937" t="inlineStr">
        <is>
          <t>STRÖMSUND</t>
        </is>
      </c>
      <c r="F937" t="inlineStr">
        <is>
          <t>Holmen skog AB</t>
        </is>
      </c>
      <c r="G937" t="n">
        <v>20.1</v>
      </c>
      <c r="H937" t="n">
        <v>0</v>
      </c>
      <c r="I937" t="n">
        <v>0</v>
      </c>
      <c r="J937" t="n">
        <v>0</v>
      </c>
      <c r="K937" t="n">
        <v>0</v>
      </c>
      <c r="L937" t="n">
        <v>0</v>
      </c>
      <c r="M937" t="n">
        <v>0</v>
      </c>
      <c r="N937" t="n">
        <v>0</v>
      </c>
      <c r="O937" t="n">
        <v>0</v>
      </c>
      <c r="P937" t="n">
        <v>0</v>
      </c>
      <c r="Q937" t="n">
        <v>0</v>
      </c>
      <c r="R937" s="2" t="inlineStr"/>
    </row>
    <row r="938" ht="15" customHeight="1">
      <c r="A938" t="inlineStr">
        <is>
          <t>A 65997-2020</t>
        </is>
      </c>
      <c r="B938" s="1" t="n">
        <v>44175</v>
      </c>
      <c r="C938" s="1" t="n">
        <v>45718</v>
      </c>
      <c r="D938" t="inlineStr">
        <is>
          <t>JÄMTLANDS LÄN</t>
        </is>
      </c>
      <c r="E938" t="inlineStr">
        <is>
          <t>STRÖMSUND</t>
        </is>
      </c>
      <c r="F938" t="inlineStr">
        <is>
          <t>Kyrkan</t>
        </is>
      </c>
      <c r="G938" t="n">
        <v>3.7</v>
      </c>
      <c r="H938" t="n">
        <v>0</v>
      </c>
      <c r="I938" t="n">
        <v>0</v>
      </c>
      <c r="J938" t="n">
        <v>0</v>
      </c>
      <c r="K938" t="n">
        <v>0</v>
      </c>
      <c r="L938" t="n">
        <v>0</v>
      </c>
      <c r="M938" t="n">
        <v>0</v>
      </c>
      <c r="N938" t="n">
        <v>0</v>
      </c>
      <c r="O938" t="n">
        <v>0</v>
      </c>
      <c r="P938" t="n">
        <v>0</v>
      </c>
      <c r="Q938" t="n">
        <v>0</v>
      </c>
      <c r="R938" s="2" t="inlineStr"/>
    </row>
    <row r="939" ht="15" customHeight="1">
      <c r="A939" t="inlineStr">
        <is>
          <t>A 66982-2020</t>
        </is>
      </c>
      <c r="B939" s="1" t="n">
        <v>44176</v>
      </c>
      <c r="C939" s="1" t="n">
        <v>45718</v>
      </c>
      <c r="D939" t="inlineStr">
        <is>
          <t>JÄMTLANDS LÄN</t>
        </is>
      </c>
      <c r="E939" t="inlineStr">
        <is>
          <t>STRÖMSUND</t>
        </is>
      </c>
      <c r="G939" t="n">
        <v>2.4</v>
      </c>
      <c r="H939" t="n">
        <v>0</v>
      </c>
      <c r="I939" t="n">
        <v>0</v>
      </c>
      <c r="J939" t="n">
        <v>0</v>
      </c>
      <c r="K939" t="n">
        <v>0</v>
      </c>
      <c r="L939" t="n">
        <v>0</v>
      </c>
      <c r="M939" t="n">
        <v>0</v>
      </c>
      <c r="N939" t="n">
        <v>0</v>
      </c>
      <c r="O939" t="n">
        <v>0</v>
      </c>
      <c r="P939" t="n">
        <v>0</v>
      </c>
      <c r="Q939" t="n">
        <v>0</v>
      </c>
      <c r="R939" s="2" t="inlineStr"/>
    </row>
    <row r="940" ht="15" customHeight="1">
      <c r="A940" t="inlineStr">
        <is>
          <t>A 66983-2020</t>
        </is>
      </c>
      <c r="B940" s="1" t="n">
        <v>44176</v>
      </c>
      <c r="C940" s="1" t="n">
        <v>45718</v>
      </c>
      <c r="D940" t="inlineStr">
        <is>
          <t>JÄMTLANDS LÄN</t>
        </is>
      </c>
      <c r="E940" t="inlineStr">
        <is>
          <t>STRÖMSUND</t>
        </is>
      </c>
      <c r="G940" t="n">
        <v>4.8</v>
      </c>
      <c r="H940" t="n">
        <v>0</v>
      </c>
      <c r="I940" t="n">
        <v>0</v>
      </c>
      <c r="J940" t="n">
        <v>0</v>
      </c>
      <c r="K940" t="n">
        <v>0</v>
      </c>
      <c r="L940" t="n">
        <v>0</v>
      </c>
      <c r="M940" t="n">
        <v>0</v>
      </c>
      <c r="N940" t="n">
        <v>0</v>
      </c>
      <c r="O940" t="n">
        <v>0</v>
      </c>
      <c r="P940" t="n">
        <v>0</v>
      </c>
      <c r="Q940" t="n">
        <v>0</v>
      </c>
      <c r="R940" s="2" t="inlineStr"/>
    </row>
    <row r="941" ht="15" customHeight="1">
      <c r="A941" t="inlineStr">
        <is>
          <t>A 66770-2020</t>
        </is>
      </c>
      <c r="B941" s="1" t="n">
        <v>44179</v>
      </c>
      <c r="C941" s="1" t="n">
        <v>45718</v>
      </c>
      <c r="D941" t="inlineStr">
        <is>
          <t>JÄMTLANDS LÄN</t>
        </is>
      </c>
      <c r="E941" t="inlineStr">
        <is>
          <t>STRÖMSUND</t>
        </is>
      </c>
      <c r="F941" t="inlineStr">
        <is>
          <t>Holmen skog AB</t>
        </is>
      </c>
      <c r="G941" t="n">
        <v>17.9</v>
      </c>
      <c r="H941" t="n">
        <v>0</v>
      </c>
      <c r="I941" t="n">
        <v>0</v>
      </c>
      <c r="J941" t="n">
        <v>0</v>
      </c>
      <c r="K941" t="n">
        <v>0</v>
      </c>
      <c r="L941" t="n">
        <v>0</v>
      </c>
      <c r="M941" t="n">
        <v>0</v>
      </c>
      <c r="N941" t="n">
        <v>0</v>
      </c>
      <c r="O941" t="n">
        <v>0</v>
      </c>
      <c r="P941" t="n">
        <v>0</v>
      </c>
      <c r="Q941" t="n">
        <v>0</v>
      </c>
      <c r="R941" s="2" t="inlineStr"/>
    </row>
    <row r="942" ht="15" customHeight="1">
      <c r="A942" t="inlineStr">
        <is>
          <t>A 66653-2020</t>
        </is>
      </c>
      <c r="B942" s="1" t="n">
        <v>44179</v>
      </c>
      <c r="C942" s="1" t="n">
        <v>45718</v>
      </c>
      <c r="D942" t="inlineStr">
        <is>
          <t>JÄMTLANDS LÄN</t>
        </is>
      </c>
      <c r="E942" t="inlineStr">
        <is>
          <t>STRÖMSUND</t>
        </is>
      </c>
      <c r="F942" t="inlineStr">
        <is>
          <t>SCA</t>
        </is>
      </c>
      <c r="G942" t="n">
        <v>27.7</v>
      </c>
      <c r="H942" t="n">
        <v>0</v>
      </c>
      <c r="I942" t="n">
        <v>0</v>
      </c>
      <c r="J942" t="n">
        <v>0</v>
      </c>
      <c r="K942" t="n">
        <v>0</v>
      </c>
      <c r="L942" t="n">
        <v>0</v>
      </c>
      <c r="M942" t="n">
        <v>0</v>
      </c>
      <c r="N942" t="n">
        <v>0</v>
      </c>
      <c r="O942" t="n">
        <v>0</v>
      </c>
      <c r="P942" t="n">
        <v>0</v>
      </c>
      <c r="Q942" t="n">
        <v>0</v>
      </c>
      <c r="R942" s="2" t="inlineStr"/>
    </row>
    <row r="943" ht="15" customHeight="1">
      <c r="A943" t="inlineStr">
        <is>
          <t>A 66702-2020</t>
        </is>
      </c>
      <c r="B943" s="1" t="n">
        <v>44179</v>
      </c>
      <c r="C943" s="1" t="n">
        <v>45718</v>
      </c>
      <c r="D943" t="inlineStr">
        <is>
          <t>JÄMTLANDS LÄN</t>
        </is>
      </c>
      <c r="E943" t="inlineStr">
        <is>
          <t>STRÖMSUND</t>
        </is>
      </c>
      <c r="F943" t="inlineStr">
        <is>
          <t>SCA</t>
        </is>
      </c>
      <c r="G943" t="n">
        <v>23.5</v>
      </c>
      <c r="H943" t="n">
        <v>0</v>
      </c>
      <c r="I943" t="n">
        <v>0</v>
      </c>
      <c r="J943" t="n">
        <v>0</v>
      </c>
      <c r="K943" t="n">
        <v>0</v>
      </c>
      <c r="L943" t="n">
        <v>0</v>
      </c>
      <c r="M943" t="n">
        <v>0</v>
      </c>
      <c r="N943" t="n">
        <v>0</v>
      </c>
      <c r="O943" t="n">
        <v>0</v>
      </c>
      <c r="P943" t="n">
        <v>0</v>
      </c>
      <c r="Q943" t="n">
        <v>0</v>
      </c>
      <c r="R943" s="2" t="inlineStr"/>
    </row>
    <row r="944" ht="15" customHeight="1">
      <c r="A944" t="inlineStr">
        <is>
          <t>A 66739-2020</t>
        </is>
      </c>
      <c r="B944" s="1" t="n">
        <v>44179</v>
      </c>
      <c r="C944" s="1" t="n">
        <v>45718</v>
      </c>
      <c r="D944" t="inlineStr">
        <is>
          <t>JÄMTLANDS LÄN</t>
        </is>
      </c>
      <c r="E944" t="inlineStr">
        <is>
          <t>STRÖMSUND</t>
        </is>
      </c>
      <c r="F944" t="inlineStr">
        <is>
          <t>SCA</t>
        </is>
      </c>
      <c r="G944" t="n">
        <v>23.7</v>
      </c>
      <c r="H944" t="n">
        <v>0</v>
      </c>
      <c r="I944" t="n">
        <v>0</v>
      </c>
      <c r="J944" t="n">
        <v>0</v>
      </c>
      <c r="K944" t="n">
        <v>0</v>
      </c>
      <c r="L944" t="n">
        <v>0</v>
      </c>
      <c r="M944" t="n">
        <v>0</v>
      </c>
      <c r="N944" t="n">
        <v>0</v>
      </c>
      <c r="O944" t="n">
        <v>0</v>
      </c>
      <c r="P944" t="n">
        <v>0</v>
      </c>
      <c r="Q944" t="n">
        <v>0</v>
      </c>
      <c r="R944" s="2" t="inlineStr"/>
    </row>
    <row r="945" ht="15" customHeight="1">
      <c r="A945" t="inlineStr">
        <is>
          <t>A 67620-2020</t>
        </is>
      </c>
      <c r="B945" s="1" t="n">
        <v>44181</v>
      </c>
      <c r="C945" s="1" t="n">
        <v>45718</v>
      </c>
      <c r="D945" t="inlineStr">
        <is>
          <t>JÄMTLANDS LÄN</t>
        </is>
      </c>
      <c r="E945" t="inlineStr">
        <is>
          <t>STRÖMSUND</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67621-2020</t>
        </is>
      </c>
      <c r="B946" s="1" t="n">
        <v>44181</v>
      </c>
      <c r="C946" s="1" t="n">
        <v>45718</v>
      </c>
      <c r="D946" t="inlineStr">
        <is>
          <t>JÄMTLANDS LÄN</t>
        </is>
      </c>
      <c r="E946" t="inlineStr">
        <is>
          <t>STRÖMSUND</t>
        </is>
      </c>
      <c r="F946" t="inlineStr">
        <is>
          <t>SCA</t>
        </is>
      </c>
      <c r="G946" t="n">
        <v>7</v>
      </c>
      <c r="H946" t="n">
        <v>0</v>
      </c>
      <c r="I946" t="n">
        <v>0</v>
      </c>
      <c r="J946" t="n">
        <v>0</v>
      </c>
      <c r="K946" t="n">
        <v>0</v>
      </c>
      <c r="L946" t="n">
        <v>0</v>
      </c>
      <c r="M946" t="n">
        <v>0</v>
      </c>
      <c r="N946" t="n">
        <v>0</v>
      </c>
      <c r="O946" t="n">
        <v>0</v>
      </c>
      <c r="P946" t="n">
        <v>0</v>
      </c>
      <c r="Q946" t="n">
        <v>0</v>
      </c>
      <c r="R946" s="2" t="inlineStr"/>
    </row>
    <row r="947" ht="15" customHeight="1">
      <c r="A947" t="inlineStr">
        <is>
          <t>A 67618-2020</t>
        </is>
      </c>
      <c r="B947" s="1" t="n">
        <v>44181</v>
      </c>
      <c r="C947" s="1" t="n">
        <v>45718</v>
      </c>
      <c r="D947" t="inlineStr">
        <is>
          <t>JÄMTLANDS LÄN</t>
        </is>
      </c>
      <c r="E947" t="inlineStr">
        <is>
          <t>STRÖMSUND</t>
        </is>
      </c>
      <c r="F947" t="inlineStr">
        <is>
          <t>SCA</t>
        </is>
      </c>
      <c r="G947" t="n">
        <v>8.4</v>
      </c>
      <c r="H947" t="n">
        <v>0</v>
      </c>
      <c r="I947" t="n">
        <v>0</v>
      </c>
      <c r="J947" t="n">
        <v>0</v>
      </c>
      <c r="K947" t="n">
        <v>0</v>
      </c>
      <c r="L947" t="n">
        <v>0</v>
      </c>
      <c r="M947" t="n">
        <v>0</v>
      </c>
      <c r="N947" t="n">
        <v>0</v>
      </c>
      <c r="O947" t="n">
        <v>0</v>
      </c>
      <c r="P947" t="n">
        <v>0</v>
      </c>
      <c r="Q947" t="n">
        <v>0</v>
      </c>
      <c r="R947" s="2" t="inlineStr"/>
    </row>
    <row r="948" ht="15" customHeight="1">
      <c r="A948" t="inlineStr">
        <is>
          <t>A 68006-2020</t>
        </is>
      </c>
      <c r="B948" s="1" t="n">
        <v>44182</v>
      </c>
      <c r="C948" s="1" t="n">
        <v>45718</v>
      </c>
      <c r="D948" t="inlineStr">
        <is>
          <t>JÄMTLANDS LÄN</t>
        </is>
      </c>
      <c r="E948" t="inlineStr">
        <is>
          <t>STRÖMSUND</t>
        </is>
      </c>
      <c r="G948" t="n">
        <v>1.3</v>
      </c>
      <c r="H948" t="n">
        <v>0</v>
      </c>
      <c r="I948" t="n">
        <v>0</v>
      </c>
      <c r="J948" t="n">
        <v>0</v>
      </c>
      <c r="K948" t="n">
        <v>0</v>
      </c>
      <c r="L948" t="n">
        <v>0</v>
      </c>
      <c r="M948" t="n">
        <v>0</v>
      </c>
      <c r="N948" t="n">
        <v>0</v>
      </c>
      <c r="O948" t="n">
        <v>0</v>
      </c>
      <c r="P948" t="n">
        <v>0</v>
      </c>
      <c r="Q948" t="n">
        <v>0</v>
      </c>
      <c r="R948" s="2" t="inlineStr"/>
    </row>
    <row r="949" ht="15" customHeight="1">
      <c r="A949" t="inlineStr">
        <is>
          <t>A 68522-2020</t>
        </is>
      </c>
      <c r="B949" s="1" t="n">
        <v>44186</v>
      </c>
      <c r="C949" s="1" t="n">
        <v>45718</v>
      </c>
      <c r="D949" t="inlineStr">
        <is>
          <t>JÄMTLANDS LÄN</t>
        </is>
      </c>
      <c r="E949" t="inlineStr">
        <is>
          <t>STRÖMSUND</t>
        </is>
      </c>
      <c r="G949" t="n">
        <v>1.1</v>
      </c>
      <c r="H949" t="n">
        <v>0</v>
      </c>
      <c r="I949" t="n">
        <v>0</v>
      </c>
      <c r="J949" t="n">
        <v>0</v>
      </c>
      <c r="K949" t="n">
        <v>0</v>
      </c>
      <c r="L949" t="n">
        <v>0</v>
      </c>
      <c r="M949" t="n">
        <v>0</v>
      </c>
      <c r="N949" t="n">
        <v>0</v>
      </c>
      <c r="O949" t="n">
        <v>0</v>
      </c>
      <c r="P949" t="n">
        <v>0</v>
      </c>
      <c r="Q949" t="n">
        <v>0</v>
      </c>
      <c r="R949" s="2" t="inlineStr"/>
    </row>
    <row r="950" ht="15" customHeight="1">
      <c r="A950" t="inlineStr">
        <is>
          <t>A 68568-2020</t>
        </is>
      </c>
      <c r="B950" s="1" t="n">
        <v>44186</v>
      </c>
      <c r="C950" s="1" t="n">
        <v>45718</v>
      </c>
      <c r="D950" t="inlineStr">
        <is>
          <t>JÄMTLANDS LÄN</t>
        </is>
      </c>
      <c r="E950" t="inlineStr">
        <is>
          <t>STRÖMSUND</t>
        </is>
      </c>
      <c r="F950" t="inlineStr">
        <is>
          <t>Holmen skog AB</t>
        </is>
      </c>
      <c r="G950" t="n">
        <v>39.3</v>
      </c>
      <c r="H950" t="n">
        <v>0</v>
      </c>
      <c r="I950" t="n">
        <v>0</v>
      </c>
      <c r="J950" t="n">
        <v>0</v>
      </c>
      <c r="K950" t="n">
        <v>0</v>
      </c>
      <c r="L950" t="n">
        <v>0</v>
      </c>
      <c r="M950" t="n">
        <v>0</v>
      </c>
      <c r="N950" t="n">
        <v>0</v>
      </c>
      <c r="O950" t="n">
        <v>0</v>
      </c>
      <c r="P950" t="n">
        <v>0</v>
      </c>
      <c r="Q950" t="n">
        <v>0</v>
      </c>
      <c r="R950" s="2" t="inlineStr"/>
    </row>
    <row r="951" ht="15" customHeight="1">
      <c r="A951" t="inlineStr">
        <is>
          <t>A 68783-2020</t>
        </is>
      </c>
      <c r="B951" s="1" t="n">
        <v>44186</v>
      </c>
      <c r="C951" s="1" t="n">
        <v>45718</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68653-2020</t>
        </is>
      </c>
      <c r="B952" s="1" t="n">
        <v>44186</v>
      </c>
      <c r="C952" s="1" t="n">
        <v>45718</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69282-2020</t>
        </is>
      </c>
      <c r="B953" s="1" t="n">
        <v>44188</v>
      </c>
      <c r="C953" s="1" t="n">
        <v>45718</v>
      </c>
      <c r="D953" t="inlineStr">
        <is>
          <t>JÄMTLANDS LÄN</t>
        </is>
      </c>
      <c r="E953" t="inlineStr">
        <is>
          <t>STRÖMSUND</t>
        </is>
      </c>
      <c r="G953" t="n">
        <v>13.8</v>
      </c>
      <c r="H953" t="n">
        <v>0</v>
      </c>
      <c r="I953" t="n">
        <v>0</v>
      </c>
      <c r="J953" t="n">
        <v>0</v>
      </c>
      <c r="K953" t="n">
        <v>0</v>
      </c>
      <c r="L953" t="n">
        <v>0</v>
      </c>
      <c r="M953" t="n">
        <v>0</v>
      </c>
      <c r="N953" t="n">
        <v>0</v>
      </c>
      <c r="O953" t="n">
        <v>0</v>
      </c>
      <c r="P953" t="n">
        <v>0</v>
      </c>
      <c r="Q953" t="n">
        <v>0</v>
      </c>
      <c r="R953" s="2" t="inlineStr"/>
    </row>
    <row r="954" ht="15" customHeight="1">
      <c r="A954" t="inlineStr">
        <is>
          <t>A 69346-2020</t>
        </is>
      </c>
      <c r="B954" s="1" t="n">
        <v>44193</v>
      </c>
      <c r="C954" s="1" t="n">
        <v>45718</v>
      </c>
      <c r="D954" t="inlineStr">
        <is>
          <t>JÄMTLANDS LÄN</t>
        </is>
      </c>
      <c r="E954" t="inlineStr">
        <is>
          <t>STRÖMSUND</t>
        </is>
      </c>
      <c r="G954" t="n">
        <v>1.6</v>
      </c>
      <c r="H954" t="n">
        <v>0</v>
      </c>
      <c r="I954" t="n">
        <v>0</v>
      </c>
      <c r="J954" t="n">
        <v>0</v>
      </c>
      <c r="K954" t="n">
        <v>0</v>
      </c>
      <c r="L954" t="n">
        <v>0</v>
      </c>
      <c r="M954" t="n">
        <v>0</v>
      </c>
      <c r="N954" t="n">
        <v>0</v>
      </c>
      <c r="O954" t="n">
        <v>0</v>
      </c>
      <c r="P954" t="n">
        <v>0</v>
      </c>
      <c r="Q954" t="n">
        <v>0</v>
      </c>
      <c r="R954" s="2" t="inlineStr"/>
    </row>
    <row r="955" ht="15" customHeight="1">
      <c r="A955" t="inlineStr">
        <is>
          <t>A 69508-2020</t>
        </is>
      </c>
      <c r="B955" s="1" t="n">
        <v>44193</v>
      </c>
      <c r="C955" s="1" t="n">
        <v>45718</v>
      </c>
      <c r="D955" t="inlineStr">
        <is>
          <t>JÄMTLANDS LÄN</t>
        </is>
      </c>
      <c r="E955" t="inlineStr">
        <is>
          <t>STRÖMSUND</t>
        </is>
      </c>
      <c r="F955" t="inlineStr">
        <is>
          <t>Övriga statliga verk och myndigheter</t>
        </is>
      </c>
      <c r="G955" t="n">
        <v>6.1</v>
      </c>
      <c r="H955" t="n">
        <v>0</v>
      </c>
      <c r="I955" t="n">
        <v>0</v>
      </c>
      <c r="J955" t="n">
        <v>0</v>
      </c>
      <c r="K955" t="n">
        <v>0</v>
      </c>
      <c r="L955" t="n">
        <v>0</v>
      </c>
      <c r="M955" t="n">
        <v>0</v>
      </c>
      <c r="N955" t="n">
        <v>0</v>
      </c>
      <c r="O955" t="n">
        <v>0</v>
      </c>
      <c r="P955" t="n">
        <v>0</v>
      </c>
      <c r="Q955" t="n">
        <v>0</v>
      </c>
      <c r="R955" s="2" t="inlineStr"/>
    </row>
    <row r="956" ht="15" customHeight="1">
      <c r="A956" t="inlineStr">
        <is>
          <t>A 69506-2020</t>
        </is>
      </c>
      <c r="B956" s="1" t="n">
        <v>44193</v>
      </c>
      <c r="C956" s="1" t="n">
        <v>45718</v>
      </c>
      <c r="D956" t="inlineStr">
        <is>
          <t>JÄMTLANDS LÄN</t>
        </is>
      </c>
      <c r="E956" t="inlineStr">
        <is>
          <t>STRÖMSUND</t>
        </is>
      </c>
      <c r="F956" t="inlineStr">
        <is>
          <t>Övriga statliga verk och myndigheter</t>
        </is>
      </c>
      <c r="G956" t="n">
        <v>14.1</v>
      </c>
      <c r="H956" t="n">
        <v>0</v>
      </c>
      <c r="I956" t="n">
        <v>0</v>
      </c>
      <c r="J956" t="n">
        <v>0</v>
      </c>
      <c r="K956" t="n">
        <v>0</v>
      </c>
      <c r="L956" t="n">
        <v>0</v>
      </c>
      <c r="M956" t="n">
        <v>0</v>
      </c>
      <c r="N956" t="n">
        <v>0</v>
      </c>
      <c r="O956" t="n">
        <v>0</v>
      </c>
      <c r="P956" t="n">
        <v>0</v>
      </c>
      <c r="Q956" t="n">
        <v>0</v>
      </c>
      <c r="R956" s="2" t="inlineStr"/>
    </row>
    <row r="957" ht="15" customHeight="1">
      <c r="A957" t="inlineStr">
        <is>
          <t>A 108-2021</t>
        </is>
      </c>
      <c r="B957" s="1" t="n">
        <v>44195</v>
      </c>
      <c r="C957" s="1" t="n">
        <v>45718</v>
      </c>
      <c r="D957" t="inlineStr">
        <is>
          <t>JÄMTLANDS LÄN</t>
        </is>
      </c>
      <c r="E957" t="inlineStr">
        <is>
          <t>STRÖMSUND</t>
        </is>
      </c>
      <c r="G957" t="n">
        <v>3.3</v>
      </c>
      <c r="H957" t="n">
        <v>0</v>
      </c>
      <c r="I957" t="n">
        <v>0</v>
      </c>
      <c r="J957" t="n">
        <v>0</v>
      </c>
      <c r="K957" t="n">
        <v>0</v>
      </c>
      <c r="L957" t="n">
        <v>0</v>
      </c>
      <c r="M957" t="n">
        <v>0</v>
      </c>
      <c r="N957" t="n">
        <v>0</v>
      </c>
      <c r="O957" t="n">
        <v>0</v>
      </c>
      <c r="P957" t="n">
        <v>0</v>
      </c>
      <c r="Q957" t="n">
        <v>0</v>
      </c>
      <c r="R957" s="2" t="inlineStr"/>
    </row>
    <row r="958" ht="15" customHeight="1">
      <c r="A958" t="inlineStr">
        <is>
          <t>A 135-2021</t>
        </is>
      </c>
      <c r="B958" s="1" t="n">
        <v>44196</v>
      </c>
      <c r="C958" s="1" t="n">
        <v>45718</v>
      </c>
      <c r="D958" t="inlineStr">
        <is>
          <t>JÄMTLANDS LÄN</t>
        </is>
      </c>
      <c r="E958" t="inlineStr">
        <is>
          <t>STRÖMSUND</t>
        </is>
      </c>
      <c r="G958" t="n">
        <v>2.5</v>
      </c>
      <c r="H958" t="n">
        <v>0</v>
      </c>
      <c r="I958" t="n">
        <v>0</v>
      </c>
      <c r="J958" t="n">
        <v>0</v>
      </c>
      <c r="K958" t="n">
        <v>0</v>
      </c>
      <c r="L958" t="n">
        <v>0</v>
      </c>
      <c r="M958" t="n">
        <v>0</v>
      </c>
      <c r="N958" t="n">
        <v>0</v>
      </c>
      <c r="O958" t="n">
        <v>0</v>
      </c>
      <c r="P958" t="n">
        <v>0</v>
      </c>
      <c r="Q958" t="n">
        <v>0</v>
      </c>
      <c r="R958" s="2" t="inlineStr"/>
    </row>
    <row r="959" ht="15" customHeight="1">
      <c r="A959" t="inlineStr">
        <is>
          <t>A 142-2021</t>
        </is>
      </c>
      <c r="B959" s="1" t="n">
        <v>44196</v>
      </c>
      <c r="C959" s="1" t="n">
        <v>45718</v>
      </c>
      <c r="D959" t="inlineStr">
        <is>
          <t>JÄMTLANDS LÄN</t>
        </is>
      </c>
      <c r="E959" t="inlineStr">
        <is>
          <t>STRÖMSUND</t>
        </is>
      </c>
      <c r="G959" t="n">
        <v>6.1</v>
      </c>
      <c r="H959" t="n">
        <v>0</v>
      </c>
      <c r="I959" t="n">
        <v>0</v>
      </c>
      <c r="J959" t="n">
        <v>0</v>
      </c>
      <c r="K959" t="n">
        <v>0</v>
      </c>
      <c r="L959" t="n">
        <v>0</v>
      </c>
      <c r="M959" t="n">
        <v>0</v>
      </c>
      <c r="N959" t="n">
        <v>0</v>
      </c>
      <c r="O959" t="n">
        <v>0</v>
      </c>
      <c r="P959" t="n">
        <v>0</v>
      </c>
      <c r="Q959" t="n">
        <v>0</v>
      </c>
      <c r="R959" s="2" t="inlineStr"/>
    </row>
    <row r="960" ht="15" customHeight="1">
      <c r="A960" t="inlineStr">
        <is>
          <t>A 138-2021</t>
        </is>
      </c>
      <c r="B960" s="1" t="n">
        <v>44196</v>
      </c>
      <c r="C960" s="1" t="n">
        <v>45718</v>
      </c>
      <c r="D960" t="inlineStr">
        <is>
          <t>JÄMTLANDS LÄN</t>
        </is>
      </c>
      <c r="E960" t="inlineStr">
        <is>
          <t>STRÖMSUND</t>
        </is>
      </c>
      <c r="G960" t="n">
        <v>3.3</v>
      </c>
      <c r="H960" t="n">
        <v>0</v>
      </c>
      <c r="I960" t="n">
        <v>0</v>
      </c>
      <c r="J960" t="n">
        <v>0</v>
      </c>
      <c r="K960" t="n">
        <v>0</v>
      </c>
      <c r="L960" t="n">
        <v>0</v>
      </c>
      <c r="M960" t="n">
        <v>0</v>
      </c>
      <c r="N960" t="n">
        <v>0</v>
      </c>
      <c r="O960" t="n">
        <v>0</v>
      </c>
      <c r="P960" t="n">
        <v>0</v>
      </c>
      <c r="Q960" t="n">
        <v>0</v>
      </c>
      <c r="R960" s="2" t="inlineStr"/>
    </row>
    <row r="961" ht="15" customHeight="1">
      <c r="A961" t="inlineStr">
        <is>
          <t>A 326-2021</t>
        </is>
      </c>
      <c r="B961" s="1" t="n">
        <v>44201</v>
      </c>
      <c r="C961" s="1" t="n">
        <v>45718</v>
      </c>
      <c r="D961" t="inlineStr">
        <is>
          <t>JÄMTLANDS LÄN</t>
        </is>
      </c>
      <c r="E961" t="inlineStr">
        <is>
          <t>STRÖMSUND</t>
        </is>
      </c>
      <c r="F961" t="inlineStr">
        <is>
          <t>SCA</t>
        </is>
      </c>
      <c r="G961" t="n">
        <v>88.09999999999999</v>
      </c>
      <c r="H961" t="n">
        <v>0</v>
      </c>
      <c r="I961" t="n">
        <v>0</v>
      </c>
      <c r="J961" t="n">
        <v>0</v>
      </c>
      <c r="K961" t="n">
        <v>0</v>
      </c>
      <c r="L961" t="n">
        <v>0</v>
      </c>
      <c r="M961" t="n">
        <v>0</v>
      </c>
      <c r="N961" t="n">
        <v>0</v>
      </c>
      <c r="O961" t="n">
        <v>0</v>
      </c>
      <c r="P961" t="n">
        <v>0</v>
      </c>
      <c r="Q961" t="n">
        <v>0</v>
      </c>
      <c r="R961" s="2" t="inlineStr"/>
    </row>
    <row r="962" ht="15" customHeight="1">
      <c r="A962" t="inlineStr">
        <is>
          <t>A 363-2021</t>
        </is>
      </c>
      <c r="B962" s="1" t="n">
        <v>44201</v>
      </c>
      <c r="C962" s="1" t="n">
        <v>45718</v>
      </c>
      <c r="D962" t="inlineStr">
        <is>
          <t>JÄMTLANDS LÄN</t>
        </is>
      </c>
      <c r="E962" t="inlineStr">
        <is>
          <t>STRÖMSUND</t>
        </is>
      </c>
      <c r="F962" t="inlineStr">
        <is>
          <t>SCA</t>
        </is>
      </c>
      <c r="G962" t="n">
        <v>52.4</v>
      </c>
      <c r="H962" t="n">
        <v>0</v>
      </c>
      <c r="I962" t="n">
        <v>0</v>
      </c>
      <c r="J962" t="n">
        <v>0</v>
      </c>
      <c r="K962" t="n">
        <v>0</v>
      </c>
      <c r="L962" t="n">
        <v>0</v>
      </c>
      <c r="M962" t="n">
        <v>0</v>
      </c>
      <c r="N962" t="n">
        <v>0</v>
      </c>
      <c r="O962" t="n">
        <v>0</v>
      </c>
      <c r="P962" t="n">
        <v>0</v>
      </c>
      <c r="Q962" t="n">
        <v>0</v>
      </c>
      <c r="R962" s="2" t="inlineStr"/>
    </row>
    <row r="963" ht="15" customHeight="1">
      <c r="A963" t="inlineStr">
        <is>
          <t>A 457-2021</t>
        </is>
      </c>
      <c r="B963" s="1" t="n">
        <v>44202</v>
      </c>
      <c r="C963" s="1" t="n">
        <v>45718</v>
      </c>
      <c r="D963" t="inlineStr">
        <is>
          <t>JÄMTLANDS LÄN</t>
        </is>
      </c>
      <c r="E963" t="inlineStr">
        <is>
          <t>STRÖMSUND</t>
        </is>
      </c>
      <c r="G963" t="n">
        <v>2.3</v>
      </c>
      <c r="H963" t="n">
        <v>0</v>
      </c>
      <c r="I963" t="n">
        <v>0</v>
      </c>
      <c r="J963" t="n">
        <v>0</v>
      </c>
      <c r="K963" t="n">
        <v>0</v>
      </c>
      <c r="L963" t="n">
        <v>0</v>
      </c>
      <c r="M963" t="n">
        <v>0</v>
      </c>
      <c r="N963" t="n">
        <v>0</v>
      </c>
      <c r="O963" t="n">
        <v>0</v>
      </c>
      <c r="P963" t="n">
        <v>0</v>
      </c>
      <c r="Q963" t="n">
        <v>0</v>
      </c>
      <c r="R963" s="2" t="inlineStr"/>
    </row>
    <row r="964" ht="15" customHeight="1">
      <c r="A964" t="inlineStr">
        <is>
          <t>A 582-2021</t>
        </is>
      </c>
      <c r="B964" s="1" t="n">
        <v>44203</v>
      </c>
      <c r="C964" s="1" t="n">
        <v>45718</v>
      </c>
      <c r="D964" t="inlineStr">
        <is>
          <t>JÄMTLANDS LÄN</t>
        </is>
      </c>
      <c r="E964" t="inlineStr">
        <is>
          <t>STRÖMSUND</t>
        </is>
      </c>
      <c r="F964" t="inlineStr">
        <is>
          <t>SCA</t>
        </is>
      </c>
      <c r="G964" t="n">
        <v>54.9</v>
      </c>
      <c r="H964" t="n">
        <v>0</v>
      </c>
      <c r="I964" t="n">
        <v>0</v>
      </c>
      <c r="J964" t="n">
        <v>0</v>
      </c>
      <c r="K964" t="n">
        <v>0</v>
      </c>
      <c r="L964" t="n">
        <v>0</v>
      </c>
      <c r="M964" t="n">
        <v>0</v>
      </c>
      <c r="N964" t="n">
        <v>0</v>
      </c>
      <c r="O964" t="n">
        <v>0</v>
      </c>
      <c r="P964" t="n">
        <v>0</v>
      </c>
      <c r="Q964" t="n">
        <v>0</v>
      </c>
      <c r="R964" s="2" t="inlineStr"/>
    </row>
    <row r="965" ht="15" customHeight="1">
      <c r="A965" t="inlineStr">
        <is>
          <t>A 647-2021</t>
        </is>
      </c>
      <c r="B965" s="1" t="n">
        <v>44203</v>
      </c>
      <c r="C965" s="1" t="n">
        <v>45718</v>
      </c>
      <c r="D965" t="inlineStr">
        <is>
          <t>JÄMTLANDS LÄN</t>
        </is>
      </c>
      <c r="E965" t="inlineStr">
        <is>
          <t>STRÖMSUND</t>
        </is>
      </c>
      <c r="F965" t="inlineStr">
        <is>
          <t>SCA</t>
        </is>
      </c>
      <c r="G965" t="n">
        <v>151.3</v>
      </c>
      <c r="H965" t="n">
        <v>0</v>
      </c>
      <c r="I965" t="n">
        <v>0</v>
      </c>
      <c r="J965" t="n">
        <v>0</v>
      </c>
      <c r="K965" t="n">
        <v>0</v>
      </c>
      <c r="L965" t="n">
        <v>0</v>
      </c>
      <c r="M965" t="n">
        <v>0</v>
      </c>
      <c r="N965" t="n">
        <v>0</v>
      </c>
      <c r="O965" t="n">
        <v>0</v>
      </c>
      <c r="P965" t="n">
        <v>0</v>
      </c>
      <c r="Q965" t="n">
        <v>0</v>
      </c>
      <c r="R965" s="2" t="inlineStr"/>
    </row>
    <row r="966" ht="15" customHeight="1">
      <c r="A966" t="inlineStr">
        <is>
          <t>A 742-2021</t>
        </is>
      </c>
      <c r="B966" s="1" t="n">
        <v>44204</v>
      </c>
      <c r="C966" s="1" t="n">
        <v>45718</v>
      </c>
      <c r="D966" t="inlineStr">
        <is>
          <t>JÄMTLANDS LÄN</t>
        </is>
      </c>
      <c r="E966" t="inlineStr">
        <is>
          <t>STRÖMSUND</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1305-2021</t>
        </is>
      </c>
      <c r="B967" s="1" t="n">
        <v>44207</v>
      </c>
      <c r="C967" s="1" t="n">
        <v>45718</v>
      </c>
      <c r="D967" t="inlineStr">
        <is>
          <t>JÄMTLANDS LÄN</t>
        </is>
      </c>
      <c r="E967" t="inlineStr">
        <is>
          <t>STRÖMSUND</t>
        </is>
      </c>
      <c r="G967" t="n">
        <v>0.8</v>
      </c>
      <c r="H967" t="n">
        <v>0</v>
      </c>
      <c r="I967" t="n">
        <v>0</v>
      </c>
      <c r="J967" t="n">
        <v>0</v>
      </c>
      <c r="K967" t="n">
        <v>0</v>
      </c>
      <c r="L967" t="n">
        <v>0</v>
      </c>
      <c r="M967" t="n">
        <v>0</v>
      </c>
      <c r="N967" t="n">
        <v>0</v>
      </c>
      <c r="O967" t="n">
        <v>0</v>
      </c>
      <c r="P967" t="n">
        <v>0</v>
      </c>
      <c r="Q967" t="n">
        <v>0</v>
      </c>
      <c r="R967" s="2" t="inlineStr"/>
    </row>
    <row r="968" ht="15" customHeight="1">
      <c r="A968" t="inlineStr">
        <is>
          <t>A 2159-2021</t>
        </is>
      </c>
      <c r="B968" s="1" t="n">
        <v>44211</v>
      </c>
      <c r="C968" s="1" t="n">
        <v>45718</v>
      </c>
      <c r="D968" t="inlineStr">
        <is>
          <t>JÄMTLANDS LÄN</t>
        </is>
      </c>
      <c r="E968" t="inlineStr">
        <is>
          <t>STRÖMSUND</t>
        </is>
      </c>
      <c r="G968" t="n">
        <v>0.6</v>
      </c>
      <c r="H968" t="n">
        <v>0</v>
      </c>
      <c r="I968" t="n">
        <v>0</v>
      </c>
      <c r="J968" t="n">
        <v>0</v>
      </c>
      <c r="K968" t="n">
        <v>0</v>
      </c>
      <c r="L968" t="n">
        <v>0</v>
      </c>
      <c r="M968" t="n">
        <v>0</v>
      </c>
      <c r="N968" t="n">
        <v>0</v>
      </c>
      <c r="O968" t="n">
        <v>0</v>
      </c>
      <c r="P968" t="n">
        <v>0</v>
      </c>
      <c r="Q968" t="n">
        <v>0</v>
      </c>
      <c r="R968" s="2" t="inlineStr"/>
    </row>
    <row r="969" ht="15" customHeight="1">
      <c r="A969" t="inlineStr">
        <is>
          <t>A 2432-2021</t>
        </is>
      </c>
      <c r="B969" s="1" t="n">
        <v>44211</v>
      </c>
      <c r="C969" s="1" t="n">
        <v>45718</v>
      </c>
      <c r="D969" t="inlineStr">
        <is>
          <t>JÄMTLANDS LÄN</t>
        </is>
      </c>
      <c r="E969" t="inlineStr">
        <is>
          <t>STRÖMSUND</t>
        </is>
      </c>
      <c r="G969" t="n">
        <v>1.5</v>
      </c>
      <c r="H969" t="n">
        <v>0</v>
      </c>
      <c r="I969" t="n">
        <v>0</v>
      </c>
      <c r="J969" t="n">
        <v>0</v>
      </c>
      <c r="K969" t="n">
        <v>0</v>
      </c>
      <c r="L969" t="n">
        <v>0</v>
      </c>
      <c r="M969" t="n">
        <v>0</v>
      </c>
      <c r="N969" t="n">
        <v>0</v>
      </c>
      <c r="O969" t="n">
        <v>0</v>
      </c>
      <c r="P969" t="n">
        <v>0</v>
      </c>
      <c r="Q969" t="n">
        <v>0</v>
      </c>
      <c r="R969" s="2" t="inlineStr"/>
    </row>
    <row r="970" ht="15" customHeight="1">
      <c r="A970" t="inlineStr">
        <is>
          <t>A 2549-2021</t>
        </is>
      </c>
      <c r="B970" s="1" t="n">
        <v>44214</v>
      </c>
      <c r="C970" s="1" t="n">
        <v>45718</v>
      </c>
      <c r="D970" t="inlineStr">
        <is>
          <t>JÄMTLANDS LÄN</t>
        </is>
      </c>
      <c r="E970" t="inlineStr">
        <is>
          <t>STRÖMSUND</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2660-2021</t>
        </is>
      </c>
      <c r="B971" s="1" t="n">
        <v>44215</v>
      </c>
      <c r="C971" s="1" t="n">
        <v>45718</v>
      </c>
      <c r="D971" t="inlineStr">
        <is>
          <t>JÄMTLANDS LÄN</t>
        </is>
      </c>
      <c r="E971" t="inlineStr">
        <is>
          <t>STRÖMSUND</t>
        </is>
      </c>
      <c r="G971" t="n">
        <v>11.2</v>
      </c>
      <c r="H971" t="n">
        <v>0</v>
      </c>
      <c r="I971" t="n">
        <v>0</v>
      </c>
      <c r="J971" t="n">
        <v>0</v>
      </c>
      <c r="K971" t="n">
        <v>0</v>
      </c>
      <c r="L971" t="n">
        <v>0</v>
      </c>
      <c r="M971" t="n">
        <v>0</v>
      </c>
      <c r="N971" t="n">
        <v>0</v>
      </c>
      <c r="O971" t="n">
        <v>0</v>
      </c>
      <c r="P971" t="n">
        <v>0</v>
      </c>
      <c r="Q971" t="n">
        <v>0</v>
      </c>
      <c r="R971" s="2" t="inlineStr"/>
    </row>
    <row r="972" ht="15" customHeight="1">
      <c r="A972" t="inlineStr">
        <is>
          <t>A 3186-2021</t>
        </is>
      </c>
      <c r="B972" s="1" t="n">
        <v>44217</v>
      </c>
      <c r="C972" s="1" t="n">
        <v>45718</v>
      </c>
      <c r="D972" t="inlineStr">
        <is>
          <t>JÄMTLANDS LÄN</t>
        </is>
      </c>
      <c r="E972" t="inlineStr">
        <is>
          <t>STRÖMSUND</t>
        </is>
      </c>
      <c r="G972" t="n">
        <v>13.7</v>
      </c>
      <c r="H972" t="n">
        <v>0</v>
      </c>
      <c r="I972" t="n">
        <v>0</v>
      </c>
      <c r="J972" t="n">
        <v>0</v>
      </c>
      <c r="K972" t="n">
        <v>0</v>
      </c>
      <c r="L972" t="n">
        <v>0</v>
      </c>
      <c r="M972" t="n">
        <v>0</v>
      </c>
      <c r="N972" t="n">
        <v>0</v>
      </c>
      <c r="O972" t="n">
        <v>0</v>
      </c>
      <c r="P972" t="n">
        <v>0</v>
      </c>
      <c r="Q972" t="n">
        <v>0</v>
      </c>
      <c r="R972" s="2" t="inlineStr"/>
    </row>
    <row r="973" ht="15" customHeight="1">
      <c r="A973" t="inlineStr">
        <is>
          <t>A 4004-2021</t>
        </is>
      </c>
      <c r="B973" s="1" t="n">
        <v>44222</v>
      </c>
      <c r="C973" s="1" t="n">
        <v>45718</v>
      </c>
      <c r="D973" t="inlineStr">
        <is>
          <t>JÄMTLANDS LÄN</t>
        </is>
      </c>
      <c r="E973" t="inlineStr">
        <is>
          <t>STRÖMSUND</t>
        </is>
      </c>
      <c r="F973" t="inlineStr">
        <is>
          <t>Kyrkan</t>
        </is>
      </c>
      <c r="G973" t="n">
        <v>5.9</v>
      </c>
      <c r="H973" t="n">
        <v>0</v>
      </c>
      <c r="I973" t="n">
        <v>0</v>
      </c>
      <c r="J973" t="n">
        <v>0</v>
      </c>
      <c r="K973" t="n">
        <v>0</v>
      </c>
      <c r="L973" t="n">
        <v>0</v>
      </c>
      <c r="M973" t="n">
        <v>0</v>
      </c>
      <c r="N973" t="n">
        <v>0</v>
      </c>
      <c r="O973" t="n">
        <v>0</v>
      </c>
      <c r="P973" t="n">
        <v>0</v>
      </c>
      <c r="Q973" t="n">
        <v>0</v>
      </c>
      <c r="R973" s="2" t="inlineStr"/>
    </row>
    <row r="974" ht="15" customHeight="1">
      <c r="A974" t="inlineStr">
        <is>
          <t>A 4135-2021</t>
        </is>
      </c>
      <c r="B974" s="1" t="n">
        <v>44223</v>
      </c>
      <c r="C974" s="1" t="n">
        <v>45718</v>
      </c>
      <c r="D974" t="inlineStr">
        <is>
          <t>JÄMTLANDS LÄN</t>
        </is>
      </c>
      <c r="E974" t="inlineStr">
        <is>
          <t>STRÖMSUND</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4662-2021</t>
        </is>
      </c>
      <c r="B975" s="1" t="n">
        <v>44224</v>
      </c>
      <c r="C975" s="1" t="n">
        <v>45718</v>
      </c>
      <c r="D975" t="inlineStr">
        <is>
          <t>JÄMTLANDS LÄN</t>
        </is>
      </c>
      <c r="E975" t="inlineStr">
        <is>
          <t>STRÖMSUND</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4661-2021</t>
        </is>
      </c>
      <c r="B976" s="1" t="n">
        <v>44224</v>
      </c>
      <c r="C976" s="1" t="n">
        <v>45718</v>
      </c>
      <c r="D976" t="inlineStr">
        <is>
          <t>JÄMTLANDS LÄN</t>
        </is>
      </c>
      <c r="E976" t="inlineStr">
        <is>
          <t>STRÖMSUND</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5034-2021</t>
        </is>
      </c>
      <c r="B977" s="1" t="n">
        <v>44228</v>
      </c>
      <c r="C977" s="1" t="n">
        <v>45718</v>
      </c>
      <c r="D977" t="inlineStr">
        <is>
          <t>JÄMTLANDS LÄN</t>
        </is>
      </c>
      <c r="E977" t="inlineStr">
        <is>
          <t>STRÖMSUND</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5384-2021</t>
        </is>
      </c>
      <c r="B978" s="1" t="n">
        <v>44228</v>
      </c>
      <c r="C978" s="1" t="n">
        <v>45718</v>
      </c>
      <c r="D978" t="inlineStr">
        <is>
          <t>JÄMTLANDS LÄN</t>
        </is>
      </c>
      <c r="E978" t="inlineStr">
        <is>
          <t>STRÖMSUND</t>
        </is>
      </c>
      <c r="G978" t="n">
        <v>18.3</v>
      </c>
      <c r="H978" t="n">
        <v>0</v>
      </c>
      <c r="I978" t="n">
        <v>0</v>
      </c>
      <c r="J978" t="n">
        <v>0</v>
      </c>
      <c r="K978" t="n">
        <v>0</v>
      </c>
      <c r="L978" t="n">
        <v>0</v>
      </c>
      <c r="M978" t="n">
        <v>0</v>
      </c>
      <c r="N978" t="n">
        <v>0</v>
      </c>
      <c r="O978" t="n">
        <v>0</v>
      </c>
      <c r="P978" t="n">
        <v>0</v>
      </c>
      <c r="Q978" t="n">
        <v>0</v>
      </c>
      <c r="R978" s="2" t="inlineStr"/>
    </row>
    <row r="979" ht="15" customHeight="1">
      <c r="A979" t="inlineStr">
        <is>
          <t>A 5464-2021</t>
        </is>
      </c>
      <c r="B979" s="1" t="n">
        <v>44229</v>
      </c>
      <c r="C979" s="1" t="n">
        <v>45718</v>
      </c>
      <c r="D979" t="inlineStr">
        <is>
          <t>JÄMTLANDS LÄN</t>
        </is>
      </c>
      <c r="E979" t="inlineStr">
        <is>
          <t>STRÖMSUND</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5470-2021</t>
        </is>
      </c>
      <c r="B980" s="1" t="n">
        <v>44229</v>
      </c>
      <c r="C980" s="1" t="n">
        <v>45718</v>
      </c>
      <c r="D980" t="inlineStr">
        <is>
          <t>JÄMTLANDS LÄN</t>
        </is>
      </c>
      <c r="E980" t="inlineStr">
        <is>
          <t>STRÖMSUND</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5795-2021</t>
        </is>
      </c>
      <c r="B981" s="1" t="n">
        <v>44230</v>
      </c>
      <c r="C981" s="1" t="n">
        <v>45718</v>
      </c>
      <c r="D981" t="inlineStr">
        <is>
          <t>JÄMTLANDS LÄN</t>
        </is>
      </c>
      <c r="E981" t="inlineStr">
        <is>
          <t>STRÖMSUND</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5794-2021</t>
        </is>
      </c>
      <c r="B982" s="1" t="n">
        <v>44230</v>
      </c>
      <c r="C982" s="1" t="n">
        <v>45718</v>
      </c>
      <c r="D982" t="inlineStr">
        <is>
          <t>JÄMTLANDS LÄN</t>
        </is>
      </c>
      <c r="E982" t="inlineStr">
        <is>
          <t>STRÖMSUND</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6386-2021</t>
        </is>
      </c>
      <c r="B983" s="1" t="n">
        <v>44232</v>
      </c>
      <c r="C983" s="1" t="n">
        <v>45718</v>
      </c>
      <c r="D983" t="inlineStr">
        <is>
          <t>JÄMTLANDS LÄN</t>
        </is>
      </c>
      <c r="E983" t="inlineStr">
        <is>
          <t>STRÖMSUND</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6394-2021</t>
        </is>
      </c>
      <c r="B984" s="1" t="n">
        <v>44232</v>
      </c>
      <c r="C984" s="1" t="n">
        <v>45718</v>
      </c>
      <c r="D984" t="inlineStr">
        <is>
          <t>JÄMTLANDS LÄN</t>
        </is>
      </c>
      <c r="E984" t="inlineStr">
        <is>
          <t>STRÖMSUND</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6371-2021</t>
        </is>
      </c>
      <c r="B985" s="1" t="n">
        <v>44232</v>
      </c>
      <c r="C985" s="1" t="n">
        <v>45718</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7268-2021</t>
        </is>
      </c>
      <c r="B986" s="1" t="n">
        <v>44238</v>
      </c>
      <c r="C986" s="1" t="n">
        <v>45718</v>
      </c>
      <c r="D986" t="inlineStr">
        <is>
          <t>JÄMTLANDS LÄN</t>
        </is>
      </c>
      <c r="E986" t="inlineStr">
        <is>
          <t>STRÖMSUND</t>
        </is>
      </c>
      <c r="G986" t="n">
        <v>5.2</v>
      </c>
      <c r="H986" t="n">
        <v>0</v>
      </c>
      <c r="I986" t="n">
        <v>0</v>
      </c>
      <c r="J986" t="n">
        <v>0</v>
      </c>
      <c r="K986" t="n">
        <v>0</v>
      </c>
      <c r="L986" t="n">
        <v>0</v>
      </c>
      <c r="M986" t="n">
        <v>0</v>
      </c>
      <c r="N986" t="n">
        <v>0</v>
      </c>
      <c r="O986" t="n">
        <v>0</v>
      </c>
      <c r="P986" t="n">
        <v>0</v>
      </c>
      <c r="Q986" t="n">
        <v>0</v>
      </c>
      <c r="R986" s="2" t="inlineStr"/>
    </row>
    <row r="987" ht="15" customHeight="1">
      <c r="A987" t="inlineStr">
        <is>
          <t>A 7697-2021</t>
        </is>
      </c>
      <c r="B987" s="1" t="n">
        <v>44239</v>
      </c>
      <c r="C987" s="1" t="n">
        <v>45718</v>
      </c>
      <c r="D987" t="inlineStr">
        <is>
          <t>JÄMTLANDS LÄN</t>
        </is>
      </c>
      <c r="E987" t="inlineStr">
        <is>
          <t>STRÖMSUND</t>
        </is>
      </c>
      <c r="G987" t="n">
        <v>2.7</v>
      </c>
      <c r="H987" t="n">
        <v>0</v>
      </c>
      <c r="I987" t="n">
        <v>0</v>
      </c>
      <c r="J987" t="n">
        <v>0</v>
      </c>
      <c r="K987" t="n">
        <v>0</v>
      </c>
      <c r="L987" t="n">
        <v>0</v>
      </c>
      <c r="M987" t="n">
        <v>0</v>
      </c>
      <c r="N987" t="n">
        <v>0</v>
      </c>
      <c r="O987" t="n">
        <v>0</v>
      </c>
      <c r="P987" t="n">
        <v>0</v>
      </c>
      <c r="Q987" t="n">
        <v>0</v>
      </c>
      <c r="R987" s="2" t="inlineStr"/>
    </row>
    <row r="988" ht="15" customHeight="1">
      <c r="A988" t="inlineStr">
        <is>
          <t>A 8016-2021</t>
        </is>
      </c>
      <c r="B988" s="1" t="n">
        <v>44243</v>
      </c>
      <c r="C988" s="1" t="n">
        <v>45718</v>
      </c>
      <c r="D988" t="inlineStr">
        <is>
          <t>JÄMTLANDS LÄN</t>
        </is>
      </c>
      <c r="E988" t="inlineStr">
        <is>
          <t>STRÖMSUND</t>
        </is>
      </c>
      <c r="G988" t="n">
        <v>2.8</v>
      </c>
      <c r="H988" t="n">
        <v>0</v>
      </c>
      <c r="I988" t="n">
        <v>0</v>
      </c>
      <c r="J988" t="n">
        <v>0</v>
      </c>
      <c r="K988" t="n">
        <v>0</v>
      </c>
      <c r="L988" t="n">
        <v>0</v>
      </c>
      <c r="M988" t="n">
        <v>0</v>
      </c>
      <c r="N988" t="n">
        <v>0</v>
      </c>
      <c r="O988" t="n">
        <v>0</v>
      </c>
      <c r="P988" t="n">
        <v>0</v>
      </c>
      <c r="Q988" t="n">
        <v>0</v>
      </c>
      <c r="R988" s="2" t="inlineStr"/>
    </row>
    <row r="989" ht="15" customHeight="1">
      <c r="A989" t="inlineStr">
        <is>
          <t>A 8020-2021</t>
        </is>
      </c>
      <c r="B989" s="1" t="n">
        <v>44243</v>
      </c>
      <c r="C989" s="1" t="n">
        <v>45718</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8364-2021</t>
        </is>
      </c>
      <c r="B990" s="1" t="n">
        <v>44244</v>
      </c>
      <c r="C990" s="1" t="n">
        <v>45718</v>
      </c>
      <c r="D990" t="inlineStr">
        <is>
          <t>JÄMTLANDS LÄN</t>
        </is>
      </c>
      <c r="E990" t="inlineStr">
        <is>
          <t>STRÖMSUND</t>
        </is>
      </c>
      <c r="G990" t="n">
        <v>1</v>
      </c>
      <c r="H990" t="n">
        <v>0</v>
      </c>
      <c r="I990" t="n">
        <v>0</v>
      </c>
      <c r="J990" t="n">
        <v>0</v>
      </c>
      <c r="K990" t="n">
        <v>0</v>
      </c>
      <c r="L990" t="n">
        <v>0</v>
      </c>
      <c r="M990" t="n">
        <v>0</v>
      </c>
      <c r="N990" t="n">
        <v>0</v>
      </c>
      <c r="O990" t="n">
        <v>0</v>
      </c>
      <c r="P990" t="n">
        <v>0</v>
      </c>
      <c r="Q990" t="n">
        <v>0</v>
      </c>
      <c r="R990" s="2" t="inlineStr"/>
    </row>
    <row r="991" ht="15" customHeight="1">
      <c r="A991" t="inlineStr">
        <is>
          <t>A 8979-2021</t>
        </is>
      </c>
      <c r="B991" s="1" t="n">
        <v>44246</v>
      </c>
      <c r="C991" s="1" t="n">
        <v>45718</v>
      </c>
      <c r="D991" t="inlineStr">
        <is>
          <t>JÄMTLANDS LÄN</t>
        </is>
      </c>
      <c r="E991" t="inlineStr">
        <is>
          <t>STRÖMSUND</t>
        </is>
      </c>
      <c r="G991" t="n">
        <v>40.4</v>
      </c>
      <c r="H991" t="n">
        <v>0</v>
      </c>
      <c r="I991" t="n">
        <v>0</v>
      </c>
      <c r="J991" t="n">
        <v>0</v>
      </c>
      <c r="K991" t="n">
        <v>0</v>
      </c>
      <c r="L991" t="n">
        <v>0</v>
      </c>
      <c r="M991" t="n">
        <v>0</v>
      </c>
      <c r="N991" t="n">
        <v>0</v>
      </c>
      <c r="O991" t="n">
        <v>0</v>
      </c>
      <c r="P991" t="n">
        <v>0</v>
      </c>
      <c r="Q991" t="n">
        <v>0</v>
      </c>
      <c r="R991" s="2" t="inlineStr"/>
    </row>
    <row r="992" ht="15" customHeight="1">
      <c r="A992" t="inlineStr">
        <is>
          <t>A 10528-2021</t>
        </is>
      </c>
      <c r="B992" s="1" t="n">
        <v>44257</v>
      </c>
      <c r="C992" s="1" t="n">
        <v>45718</v>
      </c>
      <c r="D992" t="inlineStr">
        <is>
          <t>JÄMTLANDS LÄN</t>
        </is>
      </c>
      <c r="E992" t="inlineStr">
        <is>
          <t>STRÖMSUND</t>
        </is>
      </c>
      <c r="G992" t="n">
        <v>12.8</v>
      </c>
      <c r="H992" t="n">
        <v>0</v>
      </c>
      <c r="I992" t="n">
        <v>0</v>
      </c>
      <c r="J992" t="n">
        <v>0</v>
      </c>
      <c r="K992" t="n">
        <v>0</v>
      </c>
      <c r="L992" t="n">
        <v>0</v>
      </c>
      <c r="M992" t="n">
        <v>0</v>
      </c>
      <c r="N992" t="n">
        <v>0</v>
      </c>
      <c r="O992" t="n">
        <v>0</v>
      </c>
      <c r="P992" t="n">
        <v>0</v>
      </c>
      <c r="Q992" t="n">
        <v>0</v>
      </c>
      <c r="R992" s="2" t="inlineStr"/>
    </row>
    <row r="993" ht="15" customHeight="1">
      <c r="A993" t="inlineStr">
        <is>
          <t>A 11034-2021</t>
        </is>
      </c>
      <c r="B993" s="1" t="n">
        <v>44260</v>
      </c>
      <c r="C993" s="1" t="n">
        <v>45718</v>
      </c>
      <c r="D993" t="inlineStr">
        <is>
          <t>JÄMTLANDS LÄN</t>
        </is>
      </c>
      <c r="E993" t="inlineStr">
        <is>
          <t>STRÖMSUND</t>
        </is>
      </c>
      <c r="G993" t="n">
        <v>8.5</v>
      </c>
      <c r="H993" t="n">
        <v>0</v>
      </c>
      <c r="I993" t="n">
        <v>0</v>
      </c>
      <c r="J993" t="n">
        <v>0</v>
      </c>
      <c r="K993" t="n">
        <v>0</v>
      </c>
      <c r="L993" t="n">
        <v>0</v>
      </c>
      <c r="M993" t="n">
        <v>0</v>
      </c>
      <c r="N993" t="n">
        <v>0</v>
      </c>
      <c r="O993" t="n">
        <v>0</v>
      </c>
      <c r="P993" t="n">
        <v>0</v>
      </c>
      <c r="Q993" t="n">
        <v>0</v>
      </c>
      <c r="R993" s="2" t="inlineStr"/>
    </row>
    <row r="994" ht="15" customHeight="1">
      <c r="A994" t="inlineStr">
        <is>
          <t>A 11508-2021</t>
        </is>
      </c>
      <c r="B994" s="1" t="n">
        <v>44264</v>
      </c>
      <c r="C994" s="1" t="n">
        <v>45718</v>
      </c>
      <c r="D994" t="inlineStr">
        <is>
          <t>JÄMTLANDS LÄN</t>
        </is>
      </c>
      <c r="E994" t="inlineStr">
        <is>
          <t>STRÖMSUND</t>
        </is>
      </c>
      <c r="F994" t="inlineStr">
        <is>
          <t>Kyrkan</t>
        </is>
      </c>
      <c r="G994" t="n">
        <v>3.5</v>
      </c>
      <c r="H994" t="n">
        <v>0</v>
      </c>
      <c r="I994" t="n">
        <v>0</v>
      </c>
      <c r="J994" t="n">
        <v>0</v>
      </c>
      <c r="K994" t="n">
        <v>0</v>
      </c>
      <c r="L994" t="n">
        <v>0</v>
      </c>
      <c r="M994" t="n">
        <v>0</v>
      </c>
      <c r="N994" t="n">
        <v>0</v>
      </c>
      <c r="O994" t="n">
        <v>0</v>
      </c>
      <c r="P994" t="n">
        <v>0</v>
      </c>
      <c r="Q994" t="n">
        <v>0</v>
      </c>
      <c r="R994" s="2" t="inlineStr"/>
    </row>
    <row r="995" ht="15" customHeight="1">
      <c r="A995" t="inlineStr">
        <is>
          <t>A 12250-2021</t>
        </is>
      </c>
      <c r="B995" s="1" t="n">
        <v>44266</v>
      </c>
      <c r="C995" s="1" t="n">
        <v>45718</v>
      </c>
      <c r="D995" t="inlineStr">
        <is>
          <t>JÄMTLANDS LÄN</t>
        </is>
      </c>
      <c r="E995" t="inlineStr">
        <is>
          <t>STRÖMSUND</t>
        </is>
      </c>
      <c r="G995" t="n">
        <v>5</v>
      </c>
      <c r="H995" t="n">
        <v>0</v>
      </c>
      <c r="I995" t="n">
        <v>0</v>
      </c>
      <c r="J995" t="n">
        <v>0</v>
      </c>
      <c r="K995" t="n">
        <v>0</v>
      </c>
      <c r="L995" t="n">
        <v>0</v>
      </c>
      <c r="M995" t="n">
        <v>0</v>
      </c>
      <c r="N995" t="n">
        <v>0</v>
      </c>
      <c r="O995" t="n">
        <v>0</v>
      </c>
      <c r="P995" t="n">
        <v>0</v>
      </c>
      <c r="Q995" t="n">
        <v>0</v>
      </c>
      <c r="R995" s="2" t="inlineStr"/>
    </row>
    <row r="996" ht="15" customHeight="1">
      <c r="A996" t="inlineStr">
        <is>
          <t>A 12186-2021</t>
        </is>
      </c>
      <c r="B996" s="1" t="n">
        <v>44266</v>
      </c>
      <c r="C996" s="1" t="n">
        <v>45718</v>
      </c>
      <c r="D996" t="inlineStr">
        <is>
          <t>JÄMTLANDS LÄN</t>
        </is>
      </c>
      <c r="E996" t="inlineStr">
        <is>
          <t>STRÖMSUND</t>
        </is>
      </c>
      <c r="G996" t="n">
        <v>3</v>
      </c>
      <c r="H996" t="n">
        <v>0</v>
      </c>
      <c r="I996" t="n">
        <v>0</v>
      </c>
      <c r="J996" t="n">
        <v>0</v>
      </c>
      <c r="K996" t="n">
        <v>0</v>
      </c>
      <c r="L996" t="n">
        <v>0</v>
      </c>
      <c r="M996" t="n">
        <v>0</v>
      </c>
      <c r="N996" t="n">
        <v>0</v>
      </c>
      <c r="O996" t="n">
        <v>0</v>
      </c>
      <c r="P996" t="n">
        <v>0</v>
      </c>
      <c r="Q996" t="n">
        <v>0</v>
      </c>
      <c r="R996" s="2" t="inlineStr"/>
    </row>
    <row r="997" ht="15" customHeight="1">
      <c r="A997" t="inlineStr">
        <is>
          <t>A 12428-2021</t>
        </is>
      </c>
      <c r="B997" s="1" t="n">
        <v>44267</v>
      </c>
      <c r="C997" s="1" t="n">
        <v>45718</v>
      </c>
      <c r="D997" t="inlineStr">
        <is>
          <t>JÄMTLANDS LÄN</t>
        </is>
      </c>
      <c r="E997" t="inlineStr">
        <is>
          <t>STRÖMSUND</t>
        </is>
      </c>
      <c r="G997" t="n">
        <v>19.6</v>
      </c>
      <c r="H997" t="n">
        <v>0</v>
      </c>
      <c r="I997" t="n">
        <v>0</v>
      </c>
      <c r="J997" t="n">
        <v>0</v>
      </c>
      <c r="K997" t="n">
        <v>0</v>
      </c>
      <c r="L997" t="n">
        <v>0</v>
      </c>
      <c r="M997" t="n">
        <v>0</v>
      </c>
      <c r="N997" t="n">
        <v>0</v>
      </c>
      <c r="O997" t="n">
        <v>0</v>
      </c>
      <c r="P997" t="n">
        <v>0</v>
      </c>
      <c r="Q997" t="n">
        <v>0</v>
      </c>
      <c r="R997" s="2" t="inlineStr"/>
    </row>
    <row r="998" ht="15" customHeight="1">
      <c r="A998" t="inlineStr">
        <is>
          <t>A 12840-2021</t>
        </is>
      </c>
      <c r="B998" s="1" t="n">
        <v>44270</v>
      </c>
      <c r="C998" s="1" t="n">
        <v>45718</v>
      </c>
      <c r="D998" t="inlineStr">
        <is>
          <t>JÄMTLANDS LÄN</t>
        </is>
      </c>
      <c r="E998" t="inlineStr">
        <is>
          <t>STRÖMSUND</t>
        </is>
      </c>
      <c r="G998" t="n">
        <v>15.5</v>
      </c>
      <c r="H998" t="n">
        <v>0</v>
      </c>
      <c r="I998" t="n">
        <v>0</v>
      </c>
      <c r="J998" t="n">
        <v>0</v>
      </c>
      <c r="K998" t="n">
        <v>0</v>
      </c>
      <c r="L998" t="n">
        <v>0</v>
      </c>
      <c r="M998" t="n">
        <v>0</v>
      </c>
      <c r="N998" t="n">
        <v>0</v>
      </c>
      <c r="O998" t="n">
        <v>0</v>
      </c>
      <c r="P998" t="n">
        <v>0</v>
      </c>
      <c r="Q998" t="n">
        <v>0</v>
      </c>
      <c r="R998" s="2" t="inlineStr"/>
    </row>
    <row r="999" ht="15" customHeight="1">
      <c r="A999" t="inlineStr">
        <is>
          <t>A 13041-2021</t>
        </is>
      </c>
      <c r="B999" s="1" t="n">
        <v>44271</v>
      </c>
      <c r="C999" s="1" t="n">
        <v>45718</v>
      </c>
      <c r="D999" t="inlineStr">
        <is>
          <t>JÄMTLANDS LÄN</t>
        </is>
      </c>
      <c r="E999" t="inlineStr">
        <is>
          <t>STRÖMSUND</t>
        </is>
      </c>
      <c r="G999" t="n">
        <v>0.7</v>
      </c>
      <c r="H999" t="n">
        <v>0</v>
      </c>
      <c r="I999" t="n">
        <v>0</v>
      </c>
      <c r="J999" t="n">
        <v>0</v>
      </c>
      <c r="K999" t="n">
        <v>0</v>
      </c>
      <c r="L999" t="n">
        <v>0</v>
      </c>
      <c r="M999" t="n">
        <v>0</v>
      </c>
      <c r="N999" t="n">
        <v>0</v>
      </c>
      <c r="O999" t="n">
        <v>0</v>
      </c>
      <c r="P999" t="n">
        <v>0</v>
      </c>
      <c r="Q999" t="n">
        <v>0</v>
      </c>
      <c r="R999" s="2" t="inlineStr"/>
    </row>
    <row r="1000" ht="15" customHeight="1">
      <c r="A1000" t="inlineStr">
        <is>
          <t>A 13563-2021</t>
        </is>
      </c>
      <c r="B1000" s="1" t="n">
        <v>44273</v>
      </c>
      <c r="C1000" s="1" t="n">
        <v>45718</v>
      </c>
      <c r="D1000" t="inlineStr">
        <is>
          <t>JÄMTLANDS LÄN</t>
        </is>
      </c>
      <c r="E1000" t="inlineStr">
        <is>
          <t>STRÖMSUND</t>
        </is>
      </c>
      <c r="G1000" t="n">
        <v>27.1</v>
      </c>
      <c r="H1000" t="n">
        <v>0</v>
      </c>
      <c r="I1000" t="n">
        <v>0</v>
      </c>
      <c r="J1000" t="n">
        <v>0</v>
      </c>
      <c r="K1000" t="n">
        <v>0</v>
      </c>
      <c r="L1000" t="n">
        <v>0</v>
      </c>
      <c r="M1000" t="n">
        <v>0</v>
      </c>
      <c r="N1000" t="n">
        <v>0</v>
      </c>
      <c r="O1000" t="n">
        <v>0</v>
      </c>
      <c r="P1000" t="n">
        <v>0</v>
      </c>
      <c r="Q1000" t="n">
        <v>0</v>
      </c>
      <c r="R1000" s="2" t="inlineStr"/>
    </row>
    <row r="1001" ht="15" customHeight="1">
      <c r="A1001" t="inlineStr">
        <is>
          <t>A 14067-2021</t>
        </is>
      </c>
      <c r="B1001" s="1" t="n">
        <v>44277</v>
      </c>
      <c r="C1001" s="1" t="n">
        <v>45718</v>
      </c>
      <c r="D1001" t="inlineStr">
        <is>
          <t>JÄMTLANDS LÄN</t>
        </is>
      </c>
      <c r="E1001" t="inlineStr">
        <is>
          <t>STRÖMSUND</t>
        </is>
      </c>
      <c r="G1001" t="n">
        <v>27.7</v>
      </c>
      <c r="H1001" t="n">
        <v>0</v>
      </c>
      <c r="I1001" t="n">
        <v>0</v>
      </c>
      <c r="J1001" t="n">
        <v>0</v>
      </c>
      <c r="K1001" t="n">
        <v>0</v>
      </c>
      <c r="L1001" t="n">
        <v>0</v>
      </c>
      <c r="M1001" t="n">
        <v>0</v>
      </c>
      <c r="N1001" t="n">
        <v>0</v>
      </c>
      <c r="O1001" t="n">
        <v>0</v>
      </c>
      <c r="P1001" t="n">
        <v>0</v>
      </c>
      <c r="Q1001" t="n">
        <v>0</v>
      </c>
      <c r="R1001" s="2" t="inlineStr"/>
    </row>
    <row r="1002" ht="15" customHeight="1">
      <c r="A1002" t="inlineStr">
        <is>
          <t>A 14147-2021</t>
        </is>
      </c>
      <c r="B1002" s="1" t="n">
        <v>44278</v>
      </c>
      <c r="C1002" s="1" t="n">
        <v>45718</v>
      </c>
      <c r="D1002" t="inlineStr">
        <is>
          <t>JÄMTLANDS LÄN</t>
        </is>
      </c>
      <c r="E1002" t="inlineStr">
        <is>
          <t>STRÖMSUND</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15118-2021</t>
        </is>
      </c>
      <c r="B1003" s="1" t="n">
        <v>44282</v>
      </c>
      <c r="C1003" s="1" t="n">
        <v>45718</v>
      </c>
      <c r="D1003" t="inlineStr">
        <is>
          <t>JÄMTLANDS LÄN</t>
        </is>
      </c>
      <c r="E1003" t="inlineStr">
        <is>
          <t>STRÖMSUND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15355-2021</t>
        </is>
      </c>
      <c r="B1004" s="1" t="n">
        <v>44284</v>
      </c>
      <c r="C1004" s="1" t="n">
        <v>45718</v>
      </c>
      <c r="D1004" t="inlineStr">
        <is>
          <t>JÄMTLANDS LÄN</t>
        </is>
      </c>
      <c r="E1004" t="inlineStr">
        <is>
          <t>STRÖMSUND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15360-2021</t>
        </is>
      </c>
      <c r="B1005" s="1" t="n">
        <v>44284</v>
      </c>
      <c r="C1005" s="1" t="n">
        <v>45718</v>
      </c>
      <c r="D1005" t="inlineStr">
        <is>
          <t>JÄMTLANDS LÄN</t>
        </is>
      </c>
      <c r="E1005" t="inlineStr">
        <is>
          <t>STRÖMSUND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15371-2021</t>
        </is>
      </c>
      <c r="B1006" s="1" t="n">
        <v>44284</v>
      </c>
      <c r="C1006" s="1" t="n">
        <v>45718</v>
      </c>
      <c r="D1006" t="inlineStr">
        <is>
          <t>JÄMTLANDS LÄN</t>
        </is>
      </c>
      <c r="E1006" t="inlineStr">
        <is>
          <t>STRÖMSUND</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15650-2021</t>
        </is>
      </c>
      <c r="B1007" s="1" t="n">
        <v>44285</v>
      </c>
      <c r="C1007" s="1" t="n">
        <v>45718</v>
      </c>
      <c r="D1007" t="inlineStr">
        <is>
          <t>JÄMTLANDS LÄN</t>
        </is>
      </c>
      <c r="E1007" t="inlineStr">
        <is>
          <t>STRÖMSUND</t>
        </is>
      </c>
      <c r="F1007" t="inlineStr">
        <is>
          <t>SCA</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16128-2021</t>
        </is>
      </c>
      <c r="B1008" s="1" t="n">
        <v>44291</v>
      </c>
      <c r="C1008" s="1" t="n">
        <v>45718</v>
      </c>
      <c r="D1008" t="inlineStr">
        <is>
          <t>JÄMTLANDS LÄN</t>
        </is>
      </c>
      <c r="E1008" t="inlineStr">
        <is>
          <t>STRÖMSUND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16774-2021</t>
        </is>
      </c>
      <c r="B1009" s="1" t="n">
        <v>44294</v>
      </c>
      <c r="C1009" s="1" t="n">
        <v>45718</v>
      </c>
      <c r="D1009" t="inlineStr">
        <is>
          <t>JÄMTLANDS LÄN</t>
        </is>
      </c>
      <c r="E1009" t="inlineStr">
        <is>
          <t>STRÖMSUND</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17368-2021</t>
        </is>
      </c>
      <c r="B1010" s="1" t="n">
        <v>44299</v>
      </c>
      <c r="C1010" s="1" t="n">
        <v>45718</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17373-2021</t>
        </is>
      </c>
      <c r="B1011" s="1" t="n">
        <v>44299</v>
      </c>
      <c r="C1011" s="1" t="n">
        <v>45718</v>
      </c>
      <c r="D1011" t="inlineStr">
        <is>
          <t>JÄMTLANDS LÄN</t>
        </is>
      </c>
      <c r="E1011" t="inlineStr">
        <is>
          <t>STRÖMSUND</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17808-2021</t>
        </is>
      </c>
      <c r="B1012" s="1" t="n">
        <v>44300</v>
      </c>
      <c r="C1012" s="1" t="n">
        <v>45718</v>
      </c>
      <c r="D1012" t="inlineStr">
        <is>
          <t>JÄMTLANDS LÄN</t>
        </is>
      </c>
      <c r="E1012" t="inlineStr">
        <is>
          <t>STRÖMSUND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17857-2021</t>
        </is>
      </c>
      <c r="B1013" s="1" t="n">
        <v>44300</v>
      </c>
      <c r="C1013" s="1" t="n">
        <v>45718</v>
      </c>
      <c r="D1013" t="inlineStr">
        <is>
          <t>JÄMTLANDS LÄN</t>
        </is>
      </c>
      <c r="E1013" t="inlineStr">
        <is>
          <t>STRÖMSUND</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17933-2021</t>
        </is>
      </c>
      <c r="B1014" s="1" t="n">
        <v>44301</v>
      </c>
      <c r="C1014" s="1" t="n">
        <v>45718</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18220-2021</t>
        </is>
      </c>
      <c r="B1015" s="1" t="n">
        <v>44302</v>
      </c>
      <c r="C1015" s="1" t="n">
        <v>45718</v>
      </c>
      <c r="D1015" t="inlineStr">
        <is>
          <t>JÄMTLANDS LÄN</t>
        </is>
      </c>
      <c r="E1015" t="inlineStr">
        <is>
          <t>STRÖMSUND</t>
        </is>
      </c>
      <c r="F1015" t="inlineStr">
        <is>
          <t>SCA</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18775-2021</t>
        </is>
      </c>
      <c r="B1016" s="1" t="n">
        <v>44307</v>
      </c>
      <c r="C1016" s="1" t="n">
        <v>45718</v>
      </c>
      <c r="D1016" t="inlineStr">
        <is>
          <t>JÄMTLANDS LÄN</t>
        </is>
      </c>
      <c r="E1016" t="inlineStr">
        <is>
          <t>STRÖMSUND</t>
        </is>
      </c>
      <c r="G1016" t="n">
        <v>39.7</v>
      </c>
      <c r="H1016" t="n">
        <v>0</v>
      </c>
      <c r="I1016" t="n">
        <v>0</v>
      </c>
      <c r="J1016" t="n">
        <v>0</v>
      </c>
      <c r="K1016" t="n">
        <v>0</v>
      </c>
      <c r="L1016" t="n">
        <v>0</v>
      </c>
      <c r="M1016" t="n">
        <v>0</v>
      </c>
      <c r="N1016" t="n">
        <v>0</v>
      </c>
      <c r="O1016" t="n">
        <v>0</v>
      </c>
      <c r="P1016" t="n">
        <v>0</v>
      </c>
      <c r="Q1016" t="n">
        <v>0</v>
      </c>
      <c r="R1016" s="2" t="inlineStr"/>
    </row>
    <row r="1017" ht="15" customHeight="1">
      <c r="A1017" t="inlineStr">
        <is>
          <t>A 20413-2021</t>
        </is>
      </c>
      <c r="B1017" s="1" t="n">
        <v>44312</v>
      </c>
      <c r="C1017" s="1" t="n">
        <v>45718</v>
      </c>
      <c r="D1017" t="inlineStr">
        <is>
          <t>JÄMTLANDS LÄN</t>
        </is>
      </c>
      <c r="E1017" t="inlineStr">
        <is>
          <t>STRÖMSUND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19726-2021</t>
        </is>
      </c>
      <c r="B1018" s="1" t="n">
        <v>44312</v>
      </c>
      <c r="C1018" s="1" t="n">
        <v>45718</v>
      </c>
      <c r="D1018" t="inlineStr">
        <is>
          <t>JÄMTLANDS LÄN</t>
        </is>
      </c>
      <c r="E1018" t="inlineStr">
        <is>
          <t>STRÖMSUND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19556-2021</t>
        </is>
      </c>
      <c r="B1019" s="1" t="n">
        <v>44312</v>
      </c>
      <c r="C1019" s="1" t="n">
        <v>45718</v>
      </c>
      <c r="D1019" t="inlineStr">
        <is>
          <t>JÄMTLANDS LÄN</t>
        </is>
      </c>
      <c r="E1019" t="inlineStr">
        <is>
          <t>STRÖMSUND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19572-2021</t>
        </is>
      </c>
      <c r="B1020" s="1" t="n">
        <v>44312</v>
      </c>
      <c r="C1020" s="1" t="n">
        <v>45718</v>
      </c>
      <c r="D1020" t="inlineStr">
        <is>
          <t>JÄMTLANDS LÄN</t>
        </is>
      </c>
      <c r="E1020" t="inlineStr">
        <is>
          <t>STRÖMSUND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19567-2021</t>
        </is>
      </c>
      <c r="B1021" s="1" t="n">
        <v>44312</v>
      </c>
      <c r="C1021" s="1" t="n">
        <v>45718</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20295-2021</t>
        </is>
      </c>
      <c r="B1022" s="1" t="n">
        <v>44314</v>
      </c>
      <c r="C1022" s="1" t="n">
        <v>45718</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21095-2021</t>
        </is>
      </c>
      <c r="B1023" s="1" t="n">
        <v>44319</v>
      </c>
      <c r="C1023" s="1" t="n">
        <v>45718</v>
      </c>
      <c r="D1023" t="inlineStr">
        <is>
          <t>JÄMTLANDS LÄN</t>
        </is>
      </c>
      <c r="E1023" t="inlineStr">
        <is>
          <t>STRÖMSUND</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21103-2021</t>
        </is>
      </c>
      <c r="B1024" s="1" t="n">
        <v>44320</v>
      </c>
      <c r="C1024" s="1" t="n">
        <v>45718</v>
      </c>
      <c r="D1024" t="inlineStr">
        <is>
          <t>JÄMTLANDS LÄN</t>
        </is>
      </c>
      <c r="E1024" t="inlineStr">
        <is>
          <t>STRÖMSUND</t>
        </is>
      </c>
      <c r="F1024" t="inlineStr">
        <is>
          <t>SCA</t>
        </is>
      </c>
      <c r="G1024" t="n">
        <v>14.8</v>
      </c>
      <c r="H1024" t="n">
        <v>0</v>
      </c>
      <c r="I1024" t="n">
        <v>0</v>
      </c>
      <c r="J1024" t="n">
        <v>0</v>
      </c>
      <c r="K1024" t="n">
        <v>0</v>
      </c>
      <c r="L1024" t="n">
        <v>0</v>
      </c>
      <c r="M1024" t="n">
        <v>0</v>
      </c>
      <c r="N1024" t="n">
        <v>0</v>
      </c>
      <c r="O1024" t="n">
        <v>0</v>
      </c>
      <c r="P1024" t="n">
        <v>0</v>
      </c>
      <c r="Q1024" t="n">
        <v>0</v>
      </c>
      <c r="R1024" s="2" t="inlineStr"/>
    </row>
    <row r="1025" ht="15" customHeight="1">
      <c r="A1025" t="inlineStr">
        <is>
          <t>A 21097-2021</t>
        </is>
      </c>
      <c r="B1025" s="1" t="n">
        <v>44319</v>
      </c>
      <c r="C1025" s="1" t="n">
        <v>45718</v>
      </c>
      <c r="D1025" t="inlineStr">
        <is>
          <t>JÄMTLANDS LÄN</t>
        </is>
      </c>
      <c r="E1025" t="inlineStr">
        <is>
          <t>STRÖMSUND</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21093-2021</t>
        </is>
      </c>
      <c r="B1026" s="1" t="n">
        <v>44319</v>
      </c>
      <c r="C1026" s="1" t="n">
        <v>45718</v>
      </c>
      <c r="D1026" t="inlineStr">
        <is>
          <t>JÄMTLANDS LÄN</t>
        </is>
      </c>
      <c r="E1026" t="inlineStr">
        <is>
          <t>STRÖMSUND</t>
        </is>
      </c>
      <c r="F1026" t="inlineStr">
        <is>
          <t>SCA</t>
        </is>
      </c>
      <c r="G1026" t="n">
        <v>11.7</v>
      </c>
      <c r="H1026" t="n">
        <v>0</v>
      </c>
      <c r="I1026" t="n">
        <v>0</v>
      </c>
      <c r="J1026" t="n">
        <v>0</v>
      </c>
      <c r="K1026" t="n">
        <v>0</v>
      </c>
      <c r="L1026" t="n">
        <v>0</v>
      </c>
      <c r="M1026" t="n">
        <v>0</v>
      </c>
      <c r="N1026" t="n">
        <v>0</v>
      </c>
      <c r="O1026" t="n">
        <v>0</v>
      </c>
      <c r="P1026" t="n">
        <v>0</v>
      </c>
      <c r="Q1026" t="n">
        <v>0</v>
      </c>
      <c r="R1026" s="2" t="inlineStr"/>
    </row>
    <row r="1027" ht="15" customHeight="1">
      <c r="A1027" t="inlineStr">
        <is>
          <t>A 22318-2021</t>
        </is>
      </c>
      <c r="B1027" s="1" t="n">
        <v>44321</v>
      </c>
      <c r="C1027" s="1" t="n">
        <v>45718</v>
      </c>
      <c r="D1027" t="inlineStr">
        <is>
          <t>JÄMTLANDS LÄN</t>
        </is>
      </c>
      <c r="E1027" t="inlineStr">
        <is>
          <t>STRÖMSUND</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22527-2021</t>
        </is>
      </c>
      <c r="B1028" s="1" t="n">
        <v>44326</v>
      </c>
      <c r="C1028" s="1" t="n">
        <v>45718</v>
      </c>
      <c r="D1028" t="inlineStr">
        <is>
          <t>JÄMTLANDS LÄN</t>
        </is>
      </c>
      <c r="E1028" t="inlineStr">
        <is>
          <t>STRÖMSUND</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22632-2021</t>
        </is>
      </c>
      <c r="B1029" s="1" t="n">
        <v>44327</v>
      </c>
      <c r="C1029" s="1" t="n">
        <v>45718</v>
      </c>
      <c r="D1029" t="inlineStr">
        <is>
          <t>JÄMTLANDS LÄN</t>
        </is>
      </c>
      <c r="E1029" t="inlineStr">
        <is>
          <t>STRÖMSUND</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22783-2021</t>
        </is>
      </c>
      <c r="B1030" s="1" t="n">
        <v>44327</v>
      </c>
      <c r="C1030" s="1" t="n">
        <v>45718</v>
      </c>
      <c r="D1030" t="inlineStr">
        <is>
          <t>JÄMTLANDS LÄN</t>
        </is>
      </c>
      <c r="E1030" t="inlineStr">
        <is>
          <t>STRÖMSUND</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23103-2021</t>
        </is>
      </c>
      <c r="B1031" s="1" t="n">
        <v>44330</v>
      </c>
      <c r="C1031" s="1" t="n">
        <v>45718</v>
      </c>
      <c r="D1031" t="inlineStr">
        <is>
          <t>JÄMTLANDS LÄN</t>
        </is>
      </c>
      <c r="E1031" t="inlineStr">
        <is>
          <t>STRÖMSUND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23486-2021</t>
        </is>
      </c>
      <c r="B1032" s="1" t="n">
        <v>44333</v>
      </c>
      <c r="C1032" s="1" t="n">
        <v>45718</v>
      </c>
      <c r="D1032" t="inlineStr">
        <is>
          <t>JÄMTLANDS LÄN</t>
        </is>
      </c>
      <c r="E1032" t="inlineStr">
        <is>
          <t>STRÖMSUND</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23498-2021</t>
        </is>
      </c>
      <c r="B1033" s="1" t="n">
        <v>44334</v>
      </c>
      <c r="C1033" s="1" t="n">
        <v>45718</v>
      </c>
      <c r="D1033" t="inlineStr">
        <is>
          <t>JÄMTLANDS LÄN</t>
        </is>
      </c>
      <c r="E1033" t="inlineStr">
        <is>
          <t>STRÖMSUND</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23484-2021</t>
        </is>
      </c>
      <c r="B1034" s="1" t="n">
        <v>44334</v>
      </c>
      <c r="C1034" s="1" t="n">
        <v>45718</v>
      </c>
      <c r="D1034" t="inlineStr">
        <is>
          <t>JÄMTLANDS LÄN</t>
        </is>
      </c>
      <c r="E1034" t="inlineStr">
        <is>
          <t>STRÖMSUND</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23501-2021</t>
        </is>
      </c>
      <c r="B1035" s="1" t="n">
        <v>44333</v>
      </c>
      <c r="C1035" s="1" t="n">
        <v>45718</v>
      </c>
      <c r="D1035" t="inlineStr">
        <is>
          <t>JÄMTLANDS LÄN</t>
        </is>
      </c>
      <c r="E1035" t="inlineStr">
        <is>
          <t>STRÖMSUND</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24197-2021</t>
        </is>
      </c>
      <c r="B1036" s="1" t="n">
        <v>44336</v>
      </c>
      <c r="C1036" s="1" t="n">
        <v>45718</v>
      </c>
      <c r="D1036" t="inlineStr">
        <is>
          <t>JÄMTLANDS LÄN</t>
        </is>
      </c>
      <c r="E1036" t="inlineStr">
        <is>
          <t>STRÖMSUND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24744-2021</t>
        </is>
      </c>
      <c r="B1037" s="1" t="n">
        <v>44340</v>
      </c>
      <c r="C1037" s="1" t="n">
        <v>45718</v>
      </c>
      <c r="D1037" t="inlineStr">
        <is>
          <t>JÄMTLANDS LÄN</t>
        </is>
      </c>
      <c r="E1037" t="inlineStr">
        <is>
          <t>STRÖMSUND</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25510-2021</t>
        </is>
      </c>
      <c r="B1038" s="1" t="n">
        <v>44343</v>
      </c>
      <c r="C1038" s="1" t="n">
        <v>45718</v>
      </c>
      <c r="D1038" t="inlineStr">
        <is>
          <t>JÄMTLANDS LÄN</t>
        </is>
      </c>
      <c r="E1038" t="inlineStr">
        <is>
          <t>STRÖMSUND</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25888-2021</t>
        </is>
      </c>
      <c r="B1039" s="1" t="n">
        <v>44344</v>
      </c>
      <c r="C1039" s="1" t="n">
        <v>45718</v>
      </c>
      <c r="D1039" t="inlineStr">
        <is>
          <t>JÄMTLANDS LÄN</t>
        </is>
      </c>
      <c r="E1039" t="inlineStr">
        <is>
          <t>STRÖMSUND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25963-2021</t>
        </is>
      </c>
      <c r="B1040" s="1" t="n">
        <v>44344</v>
      </c>
      <c r="C1040" s="1" t="n">
        <v>45718</v>
      </c>
      <c r="D1040" t="inlineStr">
        <is>
          <t>JÄMTLANDS LÄN</t>
        </is>
      </c>
      <c r="E1040" t="inlineStr">
        <is>
          <t>STRÖMSUND</t>
        </is>
      </c>
      <c r="F1040" t="inlineStr">
        <is>
          <t>Sveaskog</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25960-2021</t>
        </is>
      </c>
      <c r="B1041" s="1" t="n">
        <v>44344</v>
      </c>
      <c r="C1041" s="1" t="n">
        <v>45718</v>
      </c>
      <c r="D1041" t="inlineStr">
        <is>
          <t>JÄMTLANDS LÄN</t>
        </is>
      </c>
      <c r="E1041" t="inlineStr">
        <is>
          <t>STRÖMSUND</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26101-2021</t>
        </is>
      </c>
      <c r="B1042" s="1" t="n">
        <v>44344</v>
      </c>
      <c r="C1042" s="1" t="n">
        <v>45718</v>
      </c>
      <c r="D1042" t="inlineStr">
        <is>
          <t>JÄMTLANDS LÄN</t>
        </is>
      </c>
      <c r="E1042" t="inlineStr">
        <is>
          <t>STRÖMSUND</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26104-2021</t>
        </is>
      </c>
      <c r="B1043" s="1" t="n">
        <v>44344</v>
      </c>
      <c r="C1043" s="1" t="n">
        <v>45718</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26127-2021</t>
        </is>
      </c>
      <c r="B1044" s="1" t="n">
        <v>44346</v>
      </c>
      <c r="C1044" s="1" t="n">
        <v>45718</v>
      </c>
      <c r="D1044" t="inlineStr">
        <is>
          <t>JÄMTLANDS LÄN</t>
        </is>
      </c>
      <c r="E1044" t="inlineStr">
        <is>
          <t>STRÖMSUND</t>
        </is>
      </c>
      <c r="F1044" t="inlineStr">
        <is>
          <t>SCA</t>
        </is>
      </c>
      <c r="G1044" t="n">
        <v>9.4</v>
      </c>
      <c r="H1044" t="n">
        <v>0</v>
      </c>
      <c r="I1044" t="n">
        <v>0</v>
      </c>
      <c r="J1044" t="n">
        <v>0</v>
      </c>
      <c r="K1044" t="n">
        <v>0</v>
      </c>
      <c r="L1044" t="n">
        <v>0</v>
      </c>
      <c r="M1044" t="n">
        <v>0</v>
      </c>
      <c r="N1044" t="n">
        <v>0</v>
      </c>
      <c r="O1044" t="n">
        <v>0</v>
      </c>
      <c r="P1044" t="n">
        <v>0</v>
      </c>
      <c r="Q1044" t="n">
        <v>0</v>
      </c>
      <c r="R1044" s="2" t="inlineStr"/>
    </row>
    <row r="1045" ht="15" customHeight="1">
      <c r="A1045" t="inlineStr">
        <is>
          <t>A 26131-2021</t>
        </is>
      </c>
      <c r="B1045" s="1" t="n">
        <v>44346</v>
      </c>
      <c r="C1045" s="1" t="n">
        <v>45718</v>
      </c>
      <c r="D1045" t="inlineStr">
        <is>
          <t>JÄMTLANDS LÄN</t>
        </is>
      </c>
      <c r="E1045" t="inlineStr">
        <is>
          <t>STRÖMSUND</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26142-2021</t>
        </is>
      </c>
      <c r="B1046" s="1" t="n">
        <v>44346</v>
      </c>
      <c r="C1046" s="1" t="n">
        <v>45718</v>
      </c>
      <c r="D1046" t="inlineStr">
        <is>
          <t>JÄMTLANDS LÄN</t>
        </is>
      </c>
      <c r="E1046" t="inlineStr">
        <is>
          <t>STRÖMSUND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26660-2021</t>
        </is>
      </c>
      <c r="B1047" s="1" t="n">
        <v>44349</v>
      </c>
      <c r="C1047" s="1" t="n">
        <v>45718</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26961-2021</t>
        </is>
      </c>
      <c r="B1048" s="1" t="n">
        <v>44350</v>
      </c>
      <c r="C1048" s="1" t="n">
        <v>45718</v>
      </c>
      <c r="D1048" t="inlineStr">
        <is>
          <t>JÄMTLANDS LÄN</t>
        </is>
      </c>
      <c r="E1048" t="inlineStr">
        <is>
          <t>STRÖMSUND</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27148-2021</t>
        </is>
      </c>
      <c r="B1049" s="1" t="n">
        <v>44350</v>
      </c>
      <c r="C1049" s="1" t="n">
        <v>45718</v>
      </c>
      <c r="D1049" t="inlineStr">
        <is>
          <t>JÄMTLANDS LÄN</t>
        </is>
      </c>
      <c r="E1049" t="inlineStr">
        <is>
          <t>STRÖMSUND</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27160-2021</t>
        </is>
      </c>
      <c r="B1050" s="1" t="n">
        <v>44350</v>
      </c>
      <c r="C1050" s="1" t="n">
        <v>45718</v>
      </c>
      <c r="D1050" t="inlineStr">
        <is>
          <t>JÄMTLANDS LÄN</t>
        </is>
      </c>
      <c r="E1050" t="inlineStr">
        <is>
          <t>STRÖMSUND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27231-2021</t>
        </is>
      </c>
      <c r="B1051" s="1" t="n">
        <v>44350</v>
      </c>
      <c r="C1051" s="1" t="n">
        <v>45718</v>
      </c>
      <c r="D1051" t="inlineStr">
        <is>
          <t>JÄMTLANDS LÄN</t>
        </is>
      </c>
      <c r="E1051" t="inlineStr">
        <is>
          <t>STRÖMSUND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27233-2021</t>
        </is>
      </c>
      <c r="B1052" s="1" t="n">
        <v>44350</v>
      </c>
      <c r="C1052" s="1" t="n">
        <v>45718</v>
      </c>
      <c r="D1052" t="inlineStr">
        <is>
          <t>JÄMTLANDS LÄN</t>
        </is>
      </c>
      <c r="E1052" t="inlineStr">
        <is>
          <t>STRÖMSUND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27232-2021</t>
        </is>
      </c>
      <c r="B1053" s="1" t="n">
        <v>44350</v>
      </c>
      <c r="C1053" s="1" t="n">
        <v>45718</v>
      </c>
      <c r="D1053" t="inlineStr">
        <is>
          <t>JÄMTLANDS LÄN</t>
        </is>
      </c>
      <c r="E1053" t="inlineStr">
        <is>
          <t>STRÖMSUND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27559-2021</t>
        </is>
      </c>
      <c r="B1054" s="1" t="n">
        <v>44352</v>
      </c>
      <c r="C1054" s="1" t="n">
        <v>45718</v>
      </c>
      <c r="D1054" t="inlineStr">
        <is>
          <t>JÄMTLANDS LÄN</t>
        </is>
      </c>
      <c r="E1054" t="inlineStr">
        <is>
          <t>STRÖMSUND</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27979-2021</t>
        </is>
      </c>
      <c r="B1055" s="1" t="n">
        <v>44354</v>
      </c>
      <c r="C1055" s="1" t="n">
        <v>45718</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27978-2021</t>
        </is>
      </c>
      <c r="B1056" s="1" t="n">
        <v>44354</v>
      </c>
      <c r="C1056" s="1" t="n">
        <v>45718</v>
      </c>
      <c r="D1056" t="inlineStr">
        <is>
          <t>JÄMTLANDS LÄN</t>
        </is>
      </c>
      <c r="E1056" t="inlineStr">
        <is>
          <t>STRÖMSUND</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27980-2021</t>
        </is>
      </c>
      <c r="B1057" s="1" t="n">
        <v>44354</v>
      </c>
      <c r="C1057" s="1" t="n">
        <v>45718</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29552-2021</t>
        </is>
      </c>
      <c r="B1058" s="1" t="n">
        <v>44361</v>
      </c>
      <c r="C1058" s="1" t="n">
        <v>45718</v>
      </c>
      <c r="D1058" t="inlineStr">
        <is>
          <t>JÄMTLANDS LÄN</t>
        </is>
      </c>
      <c r="E1058" t="inlineStr">
        <is>
          <t>STRÖMSUND</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29628-2021</t>
        </is>
      </c>
      <c r="B1059" s="1" t="n">
        <v>44361</v>
      </c>
      <c r="C1059" s="1" t="n">
        <v>45718</v>
      </c>
      <c r="D1059" t="inlineStr">
        <is>
          <t>JÄMTLANDS LÄN</t>
        </is>
      </c>
      <c r="E1059" t="inlineStr">
        <is>
          <t>STRÖMSUND</t>
        </is>
      </c>
      <c r="F1059" t="inlineStr">
        <is>
          <t>SCA</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29594-2021</t>
        </is>
      </c>
      <c r="B1060" s="1" t="n">
        <v>44361</v>
      </c>
      <c r="C1060" s="1" t="n">
        <v>45718</v>
      </c>
      <c r="D1060" t="inlineStr">
        <is>
          <t>JÄMTLANDS LÄN</t>
        </is>
      </c>
      <c r="E1060" t="inlineStr">
        <is>
          <t>STRÖMSUND</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29601-2021</t>
        </is>
      </c>
      <c r="B1061" s="1" t="n">
        <v>44362</v>
      </c>
      <c r="C1061" s="1" t="n">
        <v>45718</v>
      </c>
      <c r="D1061" t="inlineStr">
        <is>
          <t>JÄMTLANDS LÄN</t>
        </is>
      </c>
      <c r="E1061" t="inlineStr">
        <is>
          <t>STRÖMSUND</t>
        </is>
      </c>
      <c r="F1061" t="inlineStr">
        <is>
          <t>SCA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29625-2021</t>
        </is>
      </c>
      <c r="B1062" s="1" t="n">
        <v>44362</v>
      </c>
      <c r="C1062" s="1" t="n">
        <v>45718</v>
      </c>
      <c r="D1062" t="inlineStr">
        <is>
          <t>JÄMTLANDS LÄN</t>
        </is>
      </c>
      <c r="E1062" t="inlineStr">
        <is>
          <t>STRÖMSUND</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29624-2021</t>
        </is>
      </c>
      <c r="B1063" s="1" t="n">
        <v>44362</v>
      </c>
      <c r="C1063" s="1" t="n">
        <v>45718</v>
      </c>
      <c r="D1063" t="inlineStr">
        <is>
          <t>JÄMTLANDS LÄN</t>
        </is>
      </c>
      <c r="E1063" t="inlineStr">
        <is>
          <t>STRÖMSUND</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29637-2021</t>
        </is>
      </c>
      <c r="B1064" s="1" t="n">
        <v>44362</v>
      </c>
      <c r="C1064" s="1" t="n">
        <v>45718</v>
      </c>
      <c r="D1064" t="inlineStr">
        <is>
          <t>JÄMTLANDS LÄN</t>
        </is>
      </c>
      <c r="E1064" t="inlineStr">
        <is>
          <t>STRÖMSUND</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29841-2021</t>
        </is>
      </c>
      <c r="B1065" s="1" t="n">
        <v>44362</v>
      </c>
      <c r="C1065" s="1" t="n">
        <v>45718</v>
      </c>
      <c r="D1065" t="inlineStr">
        <is>
          <t>JÄMTLANDS LÄN</t>
        </is>
      </c>
      <c r="E1065" t="inlineStr">
        <is>
          <t>STRÖMSUND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29903-2021</t>
        </is>
      </c>
      <c r="B1066" s="1" t="n">
        <v>44363</v>
      </c>
      <c r="C1066" s="1" t="n">
        <v>45718</v>
      </c>
      <c r="D1066" t="inlineStr">
        <is>
          <t>JÄMTLANDS LÄN</t>
        </is>
      </c>
      <c r="E1066" t="inlineStr">
        <is>
          <t>STRÖMSUND</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29916-2021</t>
        </is>
      </c>
      <c r="B1067" s="1" t="n">
        <v>44363</v>
      </c>
      <c r="C1067" s="1" t="n">
        <v>45718</v>
      </c>
      <c r="D1067" t="inlineStr">
        <is>
          <t>JÄMTLANDS LÄN</t>
        </is>
      </c>
      <c r="E1067" t="inlineStr">
        <is>
          <t>STRÖMSUND</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29905-2021</t>
        </is>
      </c>
      <c r="B1068" s="1" t="n">
        <v>44363</v>
      </c>
      <c r="C1068" s="1" t="n">
        <v>45718</v>
      </c>
      <c r="D1068" t="inlineStr">
        <is>
          <t>JÄMTLANDS LÄN</t>
        </is>
      </c>
      <c r="E1068" t="inlineStr">
        <is>
          <t>STRÖMSUND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30580-2021</t>
        </is>
      </c>
      <c r="B1069" s="1" t="n">
        <v>44365</v>
      </c>
      <c r="C1069" s="1" t="n">
        <v>45718</v>
      </c>
      <c r="D1069" t="inlineStr">
        <is>
          <t>JÄMTLANDS LÄN</t>
        </is>
      </c>
      <c r="E1069" t="inlineStr">
        <is>
          <t>STRÖMSUND</t>
        </is>
      </c>
      <c r="F1069" t="inlineStr">
        <is>
          <t>SCA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30985-2021</t>
        </is>
      </c>
      <c r="B1070" s="1" t="n">
        <v>44366</v>
      </c>
      <c r="C1070" s="1" t="n">
        <v>45718</v>
      </c>
      <c r="D1070" t="inlineStr">
        <is>
          <t>JÄMTLANDS LÄN</t>
        </is>
      </c>
      <c r="E1070" t="inlineStr">
        <is>
          <t>STRÖMSUND</t>
        </is>
      </c>
      <c r="F1070" t="inlineStr">
        <is>
          <t>SCA</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31077-2021</t>
        </is>
      </c>
      <c r="B1071" s="1" t="n">
        <v>44365</v>
      </c>
      <c r="C1071" s="1" t="n">
        <v>45718</v>
      </c>
      <c r="D1071" t="inlineStr">
        <is>
          <t>JÄMTLANDS LÄN</t>
        </is>
      </c>
      <c r="E1071" t="inlineStr">
        <is>
          <t>STRÖMSUND</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31089-2021</t>
        </is>
      </c>
      <c r="B1072" s="1" t="n">
        <v>44368</v>
      </c>
      <c r="C1072" s="1" t="n">
        <v>45718</v>
      </c>
      <c r="D1072" t="inlineStr">
        <is>
          <t>JÄMTLANDS LÄN</t>
        </is>
      </c>
      <c r="E1072" t="inlineStr">
        <is>
          <t>STRÖMSUND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33787-2021</t>
        </is>
      </c>
      <c r="B1073" s="1" t="n">
        <v>44368</v>
      </c>
      <c r="C1073" s="1" t="n">
        <v>45718</v>
      </c>
      <c r="D1073" t="inlineStr">
        <is>
          <t>JÄMTLANDS LÄN</t>
        </is>
      </c>
      <c r="E1073" t="inlineStr">
        <is>
          <t>STRÖMSUND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31739-2021</t>
        </is>
      </c>
      <c r="B1074" s="1" t="n">
        <v>44369</v>
      </c>
      <c r="C1074" s="1" t="n">
        <v>45718</v>
      </c>
      <c r="D1074" t="inlineStr">
        <is>
          <t>JÄMTLANDS LÄN</t>
        </is>
      </c>
      <c r="E1074" t="inlineStr">
        <is>
          <t>STRÖMSUND</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31740-2021</t>
        </is>
      </c>
      <c r="B1075" s="1" t="n">
        <v>44370</v>
      </c>
      <c r="C1075" s="1" t="n">
        <v>45718</v>
      </c>
      <c r="D1075" t="inlineStr">
        <is>
          <t>JÄMTLANDS LÄN</t>
        </is>
      </c>
      <c r="E1075" t="inlineStr">
        <is>
          <t>STRÖMSUND</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32359-2021</t>
        </is>
      </c>
      <c r="B1076" s="1" t="n">
        <v>44371</v>
      </c>
      <c r="C1076" s="1" t="n">
        <v>45718</v>
      </c>
      <c r="D1076" t="inlineStr">
        <is>
          <t>JÄMTLANDS LÄN</t>
        </is>
      </c>
      <c r="E1076" t="inlineStr">
        <is>
          <t>STRÖMSUND</t>
        </is>
      </c>
      <c r="F1076" t="inlineStr">
        <is>
          <t>SCA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32259-2021</t>
        </is>
      </c>
      <c r="B1077" s="1" t="n">
        <v>44371</v>
      </c>
      <c r="C1077" s="1" t="n">
        <v>45718</v>
      </c>
      <c r="D1077" t="inlineStr">
        <is>
          <t>JÄMTLANDS LÄN</t>
        </is>
      </c>
      <c r="E1077" t="inlineStr">
        <is>
          <t>STRÖMSUND</t>
        </is>
      </c>
      <c r="F1077" t="inlineStr">
        <is>
          <t>SCA</t>
        </is>
      </c>
      <c r="G1077" t="n">
        <v>22.4</v>
      </c>
      <c r="H1077" t="n">
        <v>0</v>
      </c>
      <c r="I1077" t="n">
        <v>0</v>
      </c>
      <c r="J1077" t="n">
        <v>0</v>
      </c>
      <c r="K1077" t="n">
        <v>0</v>
      </c>
      <c r="L1077" t="n">
        <v>0</v>
      </c>
      <c r="M1077" t="n">
        <v>0</v>
      </c>
      <c r="N1077" t="n">
        <v>0</v>
      </c>
      <c r="O1077" t="n">
        <v>0</v>
      </c>
      <c r="P1077" t="n">
        <v>0</v>
      </c>
      <c r="Q1077" t="n">
        <v>0</v>
      </c>
      <c r="R1077" s="2" t="inlineStr"/>
    </row>
    <row r="1078" ht="15" customHeight="1">
      <c r="A1078" t="inlineStr">
        <is>
          <t>A 32460-2021</t>
        </is>
      </c>
      <c r="B1078" s="1" t="n">
        <v>44371</v>
      </c>
      <c r="C1078" s="1" t="n">
        <v>45718</v>
      </c>
      <c r="D1078" t="inlineStr">
        <is>
          <t>JÄMTLANDS LÄN</t>
        </is>
      </c>
      <c r="E1078" t="inlineStr">
        <is>
          <t>STRÖMSUND</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32465-2021</t>
        </is>
      </c>
      <c r="B1079" s="1" t="n">
        <v>44371</v>
      </c>
      <c r="C1079" s="1" t="n">
        <v>45718</v>
      </c>
      <c r="D1079" t="inlineStr">
        <is>
          <t>JÄMTLANDS LÄN</t>
        </is>
      </c>
      <c r="E1079" t="inlineStr">
        <is>
          <t>STRÖMSUND</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32536-2021</t>
        </is>
      </c>
      <c r="B1080" s="1" t="n">
        <v>44374</v>
      </c>
      <c r="C1080" s="1" t="n">
        <v>45718</v>
      </c>
      <c r="D1080" t="inlineStr">
        <is>
          <t>JÄMTLANDS LÄN</t>
        </is>
      </c>
      <c r="E1080" t="inlineStr">
        <is>
          <t>STRÖMSUND</t>
        </is>
      </c>
      <c r="F1080" t="inlineStr">
        <is>
          <t>SCA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32531-2021</t>
        </is>
      </c>
      <c r="B1081" s="1" t="n">
        <v>44375</v>
      </c>
      <c r="C1081" s="1" t="n">
        <v>45718</v>
      </c>
      <c r="D1081" t="inlineStr">
        <is>
          <t>JÄMTLANDS LÄN</t>
        </is>
      </c>
      <c r="E1081" t="inlineStr">
        <is>
          <t>STRÖMSUND</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32539-2021</t>
        </is>
      </c>
      <c r="B1082" s="1" t="n">
        <v>44375</v>
      </c>
      <c r="C1082" s="1" t="n">
        <v>45718</v>
      </c>
      <c r="D1082" t="inlineStr">
        <is>
          <t>JÄMTLANDS LÄN</t>
        </is>
      </c>
      <c r="E1082" t="inlineStr">
        <is>
          <t>STRÖMSUND</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32533-2021</t>
        </is>
      </c>
      <c r="B1083" s="1" t="n">
        <v>44375</v>
      </c>
      <c r="C1083" s="1" t="n">
        <v>45718</v>
      </c>
      <c r="D1083" t="inlineStr">
        <is>
          <t>JÄMTLANDS LÄN</t>
        </is>
      </c>
      <c r="E1083" t="inlineStr">
        <is>
          <t>STRÖMSUND</t>
        </is>
      </c>
      <c r="F1083" t="inlineStr">
        <is>
          <t>SCA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32538-2021</t>
        </is>
      </c>
      <c r="B1084" s="1" t="n">
        <v>44374</v>
      </c>
      <c r="C1084" s="1" t="n">
        <v>45718</v>
      </c>
      <c r="D1084" t="inlineStr">
        <is>
          <t>JÄMTLANDS LÄN</t>
        </is>
      </c>
      <c r="E1084" t="inlineStr">
        <is>
          <t>STRÖMSUND</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33104-2021</t>
        </is>
      </c>
      <c r="B1085" s="1" t="n">
        <v>44376</v>
      </c>
      <c r="C1085" s="1" t="n">
        <v>45718</v>
      </c>
      <c r="D1085" t="inlineStr">
        <is>
          <t>JÄMTLANDS LÄN</t>
        </is>
      </c>
      <c r="E1085" t="inlineStr">
        <is>
          <t>STRÖMSUND</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33223-2021</t>
        </is>
      </c>
      <c r="B1086" s="1" t="n">
        <v>44377</v>
      </c>
      <c r="C1086" s="1" t="n">
        <v>45718</v>
      </c>
      <c r="D1086" t="inlineStr">
        <is>
          <t>JÄMTLANDS LÄN</t>
        </is>
      </c>
      <c r="E1086" t="inlineStr">
        <is>
          <t>STRÖMSUND</t>
        </is>
      </c>
      <c r="F1086" t="inlineStr">
        <is>
          <t>SCA</t>
        </is>
      </c>
      <c r="G1086" t="n">
        <v>17.8</v>
      </c>
      <c r="H1086" t="n">
        <v>0</v>
      </c>
      <c r="I1086" t="n">
        <v>0</v>
      </c>
      <c r="J1086" t="n">
        <v>0</v>
      </c>
      <c r="K1086" t="n">
        <v>0</v>
      </c>
      <c r="L1086" t="n">
        <v>0</v>
      </c>
      <c r="M1086" t="n">
        <v>0</v>
      </c>
      <c r="N1086" t="n">
        <v>0</v>
      </c>
      <c r="O1086" t="n">
        <v>0</v>
      </c>
      <c r="P1086" t="n">
        <v>0</v>
      </c>
      <c r="Q1086" t="n">
        <v>0</v>
      </c>
      <c r="R1086" s="2" t="inlineStr"/>
    </row>
    <row r="1087" ht="15" customHeight="1">
      <c r="A1087" t="inlineStr">
        <is>
          <t>A 33225-2021</t>
        </is>
      </c>
      <c r="B1087" s="1" t="n">
        <v>44376</v>
      </c>
      <c r="C1087" s="1" t="n">
        <v>45718</v>
      </c>
      <c r="D1087" t="inlineStr">
        <is>
          <t>JÄMTLANDS LÄN</t>
        </is>
      </c>
      <c r="E1087" t="inlineStr">
        <is>
          <t>STRÖMSUND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33216-2021</t>
        </is>
      </c>
      <c r="B1088" s="1" t="n">
        <v>44376</v>
      </c>
      <c r="C1088" s="1" t="n">
        <v>45718</v>
      </c>
      <c r="D1088" t="inlineStr">
        <is>
          <t>JÄMTLANDS LÄN</t>
        </is>
      </c>
      <c r="E1088" t="inlineStr">
        <is>
          <t>STRÖMSUND</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33549-2021</t>
        </is>
      </c>
      <c r="B1089" s="1" t="n">
        <v>44377</v>
      </c>
      <c r="C1089" s="1" t="n">
        <v>45718</v>
      </c>
      <c r="D1089" t="inlineStr">
        <is>
          <t>JÄMTLANDS LÄN</t>
        </is>
      </c>
      <c r="E1089" t="inlineStr">
        <is>
          <t>STRÖMSUND</t>
        </is>
      </c>
      <c r="F1089" t="inlineStr">
        <is>
          <t>SCA</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33562-2021</t>
        </is>
      </c>
      <c r="B1090" s="1" t="n">
        <v>44377</v>
      </c>
      <c r="C1090" s="1" t="n">
        <v>45718</v>
      </c>
      <c r="D1090" t="inlineStr">
        <is>
          <t>JÄMTLANDS LÄN</t>
        </is>
      </c>
      <c r="E1090" t="inlineStr">
        <is>
          <t>STRÖMSUND</t>
        </is>
      </c>
      <c r="F1090" t="inlineStr">
        <is>
          <t>SCA</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33554-2021</t>
        </is>
      </c>
      <c r="B1091" s="1" t="n">
        <v>44377</v>
      </c>
      <c r="C1091" s="1" t="n">
        <v>45718</v>
      </c>
      <c r="D1091" t="inlineStr">
        <is>
          <t>JÄMTLANDS LÄN</t>
        </is>
      </c>
      <c r="E1091" t="inlineStr">
        <is>
          <t>STRÖMSUND</t>
        </is>
      </c>
      <c r="F1091" t="inlineStr">
        <is>
          <t>SCA</t>
        </is>
      </c>
      <c r="G1091" t="n">
        <v>12.9</v>
      </c>
      <c r="H1091" t="n">
        <v>0</v>
      </c>
      <c r="I1091" t="n">
        <v>0</v>
      </c>
      <c r="J1091" t="n">
        <v>0</v>
      </c>
      <c r="K1091" t="n">
        <v>0</v>
      </c>
      <c r="L1091" t="n">
        <v>0</v>
      </c>
      <c r="M1091" t="n">
        <v>0</v>
      </c>
      <c r="N1091" t="n">
        <v>0</v>
      </c>
      <c r="O1091" t="n">
        <v>0</v>
      </c>
      <c r="P1091" t="n">
        <v>0</v>
      </c>
      <c r="Q1091" t="n">
        <v>0</v>
      </c>
      <c r="R1091" s="2" t="inlineStr"/>
    </row>
    <row r="1092" ht="15" customHeight="1">
      <c r="A1092" t="inlineStr">
        <is>
          <t>A 35061-2021</t>
        </is>
      </c>
      <c r="B1092" s="1" t="n">
        <v>44383</v>
      </c>
      <c r="C1092" s="1" t="n">
        <v>45718</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35044-2021</t>
        </is>
      </c>
      <c r="B1093" s="1" t="n">
        <v>44384</v>
      </c>
      <c r="C1093" s="1" t="n">
        <v>45718</v>
      </c>
      <c r="D1093" t="inlineStr">
        <is>
          <t>JÄMTLANDS LÄN</t>
        </is>
      </c>
      <c r="E1093" t="inlineStr">
        <is>
          <t>STRÖMSUND</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35064-2021</t>
        </is>
      </c>
      <c r="B1094" s="1" t="n">
        <v>44383</v>
      </c>
      <c r="C1094" s="1" t="n">
        <v>45718</v>
      </c>
      <c r="D1094" t="inlineStr">
        <is>
          <t>JÄMTLANDS LÄN</t>
        </is>
      </c>
      <c r="E1094" t="inlineStr">
        <is>
          <t>STRÖMSUND</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35342-2021</t>
        </is>
      </c>
      <c r="B1095" s="1" t="n">
        <v>44385</v>
      </c>
      <c r="C1095" s="1" t="n">
        <v>45718</v>
      </c>
      <c r="D1095" t="inlineStr">
        <is>
          <t>JÄMTLANDS LÄN</t>
        </is>
      </c>
      <c r="E1095" t="inlineStr">
        <is>
          <t>STRÖMSUND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35352-2021</t>
        </is>
      </c>
      <c r="B1096" s="1" t="n">
        <v>44384</v>
      </c>
      <c r="C1096" s="1" t="n">
        <v>45718</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35565-2021</t>
        </is>
      </c>
      <c r="B1097" s="1" t="n">
        <v>44386</v>
      </c>
      <c r="C1097" s="1" t="n">
        <v>45718</v>
      </c>
      <c r="D1097" t="inlineStr">
        <is>
          <t>JÄMTLANDS LÄN</t>
        </is>
      </c>
      <c r="E1097" t="inlineStr">
        <is>
          <t>STRÖMSUND</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35522-2021</t>
        </is>
      </c>
      <c r="B1098" s="1" t="n">
        <v>44385</v>
      </c>
      <c r="C1098" s="1" t="n">
        <v>45718</v>
      </c>
      <c r="D1098" t="inlineStr">
        <is>
          <t>JÄMTLANDS LÄN</t>
        </is>
      </c>
      <c r="E1098" t="inlineStr">
        <is>
          <t>STRÖMSUND</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35916-2021</t>
        </is>
      </c>
      <c r="B1099" s="1" t="n">
        <v>44388</v>
      </c>
      <c r="C1099" s="1" t="n">
        <v>45718</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35915-2021</t>
        </is>
      </c>
      <c r="B1100" s="1" t="n">
        <v>44388</v>
      </c>
      <c r="C1100" s="1" t="n">
        <v>45718</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35914-2021</t>
        </is>
      </c>
      <c r="B1101" s="1" t="n">
        <v>44388</v>
      </c>
      <c r="C1101" s="1" t="n">
        <v>45718</v>
      </c>
      <c r="D1101" t="inlineStr">
        <is>
          <t>JÄMTLANDS LÄN</t>
        </is>
      </c>
      <c r="E1101" t="inlineStr">
        <is>
          <t>STRÖMSUND</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35918-2021</t>
        </is>
      </c>
      <c r="B1102" s="1" t="n">
        <v>44388</v>
      </c>
      <c r="C1102" s="1" t="n">
        <v>45718</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36176-2021</t>
        </is>
      </c>
      <c r="B1103" s="1" t="n">
        <v>44389</v>
      </c>
      <c r="C1103" s="1" t="n">
        <v>45718</v>
      </c>
      <c r="D1103" t="inlineStr">
        <is>
          <t>JÄMTLANDS LÄN</t>
        </is>
      </c>
      <c r="E1103" t="inlineStr">
        <is>
          <t>STRÖMSUND</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36453-2021</t>
        </is>
      </c>
      <c r="B1104" s="1" t="n">
        <v>44391</v>
      </c>
      <c r="C1104" s="1" t="n">
        <v>45718</v>
      </c>
      <c r="D1104" t="inlineStr">
        <is>
          <t>JÄMTLANDS LÄN</t>
        </is>
      </c>
      <c r="E1104" t="inlineStr">
        <is>
          <t>STRÖMSUND</t>
        </is>
      </c>
      <c r="F1104" t="inlineStr">
        <is>
          <t>SCA</t>
        </is>
      </c>
      <c r="G1104" t="n">
        <v>13.1</v>
      </c>
      <c r="H1104" t="n">
        <v>0</v>
      </c>
      <c r="I1104" t="n">
        <v>0</v>
      </c>
      <c r="J1104" t="n">
        <v>0</v>
      </c>
      <c r="K1104" t="n">
        <v>0</v>
      </c>
      <c r="L1104" t="n">
        <v>0</v>
      </c>
      <c r="M1104" t="n">
        <v>0</v>
      </c>
      <c r="N1104" t="n">
        <v>0</v>
      </c>
      <c r="O1104" t="n">
        <v>0</v>
      </c>
      <c r="P1104" t="n">
        <v>0</v>
      </c>
      <c r="Q1104" t="n">
        <v>0</v>
      </c>
      <c r="R1104" s="2" t="inlineStr"/>
    </row>
    <row r="1105" ht="15" customHeight="1">
      <c r="A1105" t="inlineStr">
        <is>
          <t>A 36706-2021</t>
        </is>
      </c>
      <c r="B1105" s="1" t="n">
        <v>44392</v>
      </c>
      <c r="C1105" s="1" t="n">
        <v>45718</v>
      </c>
      <c r="D1105" t="inlineStr">
        <is>
          <t>JÄMTLANDS LÄN</t>
        </is>
      </c>
      <c r="E1105" t="inlineStr">
        <is>
          <t>STRÖMSUND</t>
        </is>
      </c>
      <c r="F1105" t="inlineStr">
        <is>
          <t>Holmen skog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37047-2021</t>
        </is>
      </c>
      <c r="B1106" s="1" t="n">
        <v>44393</v>
      </c>
      <c r="C1106" s="1" t="n">
        <v>45718</v>
      </c>
      <c r="D1106" t="inlineStr">
        <is>
          <t>JÄMTLANDS LÄN</t>
        </is>
      </c>
      <c r="E1106" t="inlineStr">
        <is>
          <t>STRÖMSUND</t>
        </is>
      </c>
      <c r="F1106" t="inlineStr">
        <is>
          <t>SCA</t>
        </is>
      </c>
      <c r="G1106" t="n">
        <v>12.3</v>
      </c>
      <c r="H1106" t="n">
        <v>0</v>
      </c>
      <c r="I1106" t="n">
        <v>0</v>
      </c>
      <c r="J1106" t="n">
        <v>0</v>
      </c>
      <c r="K1106" t="n">
        <v>0</v>
      </c>
      <c r="L1106" t="n">
        <v>0</v>
      </c>
      <c r="M1106" t="n">
        <v>0</v>
      </c>
      <c r="N1106" t="n">
        <v>0</v>
      </c>
      <c r="O1106" t="n">
        <v>0</v>
      </c>
      <c r="P1106" t="n">
        <v>0</v>
      </c>
      <c r="Q1106" t="n">
        <v>0</v>
      </c>
      <c r="R1106" s="2" t="inlineStr"/>
    </row>
    <row r="1107" ht="15" customHeight="1">
      <c r="A1107" t="inlineStr">
        <is>
          <t>A 37229-2021</t>
        </is>
      </c>
      <c r="B1107" s="1" t="n">
        <v>44397</v>
      </c>
      <c r="C1107" s="1" t="n">
        <v>45718</v>
      </c>
      <c r="D1107" t="inlineStr">
        <is>
          <t>JÄMTLANDS LÄN</t>
        </is>
      </c>
      <c r="E1107" t="inlineStr">
        <is>
          <t>STRÖMSUND</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37373-2021</t>
        </is>
      </c>
      <c r="B1108" s="1" t="n">
        <v>44398</v>
      </c>
      <c r="C1108" s="1" t="n">
        <v>45718</v>
      </c>
      <c r="D1108" t="inlineStr">
        <is>
          <t>JÄMTLANDS LÄN</t>
        </is>
      </c>
      <c r="E1108" t="inlineStr">
        <is>
          <t>STRÖMSUND</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37370-2021</t>
        </is>
      </c>
      <c r="B1109" s="1" t="n">
        <v>44397</v>
      </c>
      <c r="C1109" s="1" t="n">
        <v>45718</v>
      </c>
      <c r="D1109" t="inlineStr">
        <is>
          <t>JÄMTLANDS LÄN</t>
        </is>
      </c>
      <c r="E1109" t="inlineStr">
        <is>
          <t>STRÖMSUND</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37371-2021</t>
        </is>
      </c>
      <c r="B1110" s="1" t="n">
        <v>44398</v>
      </c>
      <c r="C1110" s="1" t="n">
        <v>45718</v>
      </c>
      <c r="D1110" t="inlineStr">
        <is>
          <t>JÄMTLANDS LÄN</t>
        </is>
      </c>
      <c r="E1110" t="inlineStr">
        <is>
          <t>STRÖMSUND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38219-2021</t>
        </is>
      </c>
      <c r="B1111" s="1" t="n">
        <v>44405</v>
      </c>
      <c r="C1111" s="1" t="n">
        <v>45718</v>
      </c>
      <c r="D1111" t="inlineStr">
        <is>
          <t>JÄMTLANDS LÄN</t>
        </is>
      </c>
      <c r="E1111" t="inlineStr">
        <is>
          <t>STRÖMSUND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38583-2021</t>
        </is>
      </c>
      <c r="B1112" s="1" t="n">
        <v>44408</v>
      </c>
      <c r="C1112" s="1" t="n">
        <v>45718</v>
      </c>
      <c r="D1112" t="inlineStr">
        <is>
          <t>JÄMTLANDS LÄN</t>
        </is>
      </c>
      <c r="E1112" t="inlineStr">
        <is>
          <t>STRÖMSUND</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38578-2021</t>
        </is>
      </c>
      <c r="B1113" s="1" t="n">
        <v>44407</v>
      </c>
      <c r="C1113" s="1" t="n">
        <v>45718</v>
      </c>
      <c r="D1113" t="inlineStr">
        <is>
          <t>JÄMTLANDS LÄN</t>
        </is>
      </c>
      <c r="E1113" t="inlineStr">
        <is>
          <t>STRÖMSUND</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38587-2021</t>
        </is>
      </c>
      <c r="B1114" s="1" t="n">
        <v>44408</v>
      </c>
      <c r="C1114" s="1" t="n">
        <v>45718</v>
      </c>
      <c r="D1114" t="inlineStr">
        <is>
          <t>JÄMTLANDS LÄN</t>
        </is>
      </c>
      <c r="E1114" t="inlineStr">
        <is>
          <t>STRÖMSUND</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38586-2021</t>
        </is>
      </c>
      <c r="B1115" s="1" t="n">
        <v>44407</v>
      </c>
      <c r="C1115" s="1" t="n">
        <v>45718</v>
      </c>
      <c r="D1115" t="inlineStr">
        <is>
          <t>JÄMTLANDS LÄN</t>
        </is>
      </c>
      <c r="E1115" t="inlineStr">
        <is>
          <t>STRÖMSUND</t>
        </is>
      </c>
      <c r="F1115" t="inlineStr">
        <is>
          <t>SCA</t>
        </is>
      </c>
      <c r="G1115" t="n">
        <v>1.4</v>
      </c>
      <c r="H1115" t="n">
        <v>0</v>
      </c>
      <c r="I1115" t="n">
        <v>0</v>
      </c>
      <c r="J1115" t="n">
        <v>0</v>
      </c>
      <c r="K1115" t="n">
        <v>0</v>
      </c>
      <c r="L1115" t="n">
        <v>0</v>
      </c>
      <c r="M1115" t="n">
        <v>0</v>
      </c>
      <c r="N1115" t="n">
        <v>0</v>
      </c>
      <c r="O1115" t="n">
        <v>0</v>
      </c>
      <c r="P1115" t="n">
        <v>0</v>
      </c>
      <c r="Q1115" t="n">
        <v>0</v>
      </c>
      <c r="R1115" s="2" t="inlineStr"/>
      <c r="U1115">
        <f>HYPERLINK("https://klasma.github.io/Logging_2313/knärot/A 38586-2021 karta knärot.png", "A 38586-2021")</f>
        <v/>
      </c>
      <c r="V1115">
        <f>HYPERLINK("https://klasma.github.io/Logging_2313/klagomål/A 38586-2021 FSC-klagomål.docx", "A 38586-2021")</f>
        <v/>
      </c>
      <c r="W1115">
        <f>HYPERLINK("https://klasma.github.io/Logging_2313/klagomålsmail/A 38586-2021 FSC-klagomål mail.docx", "A 38586-2021")</f>
        <v/>
      </c>
      <c r="X1115">
        <f>HYPERLINK("https://klasma.github.io/Logging_2313/tillsyn/A 38586-2021 tillsynsbegäran.docx", "A 38586-2021")</f>
        <v/>
      </c>
      <c r="Y1115">
        <f>HYPERLINK("https://klasma.github.io/Logging_2313/tillsynsmail/A 38586-2021 tillsynsbegäran mail.docx", "A 38586-2021")</f>
        <v/>
      </c>
    </row>
    <row r="1116" ht="15" customHeight="1">
      <c r="A1116" t="inlineStr">
        <is>
          <t>A 38629-2021</t>
        </is>
      </c>
      <c r="B1116" s="1" t="n">
        <v>44410</v>
      </c>
      <c r="C1116" s="1" t="n">
        <v>45718</v>
      </c>
      <c r="D1116" t="inlineStr">
        <is>
          <t>JÄMTLANDS LÄN</t>
        </is>
      </c>
      <c r="E1116" t="inlineStr">
        <is>
          <t>STRÖMSUND</t>
        </is>
      </c>
      <c r="F1116" t="inlineStr">
        <is>
          <t>SCA</t>
        </is>
      </c>
      <c r="G1116" t="n">
        <v>18.3</v>
      </c>
      <c r="H1116" t="n">
        <v>0</v>
      </c>
      <c r="I1116" t="n">
        <v>0</v>
      </c>
      <c r="J1116" t="n">
        <v>0</v>
      </c>
      <c r="K1116" t="n">
        <v>0</v>
      </c>
      <c r="L1116" t="n">
        <v>0</v>
      </c>
      <c r="M1116" t="n">
        <v>0</v>
      </c>
      <c r="N1116" t="n">
        <v>0</v>
      </c>
      <c r="O1116" t="n">
        <v>0</v>
      </c>
      <c r="P1116" t="n">
        <v>0</v>
      </c>
      <c r="Q1116" t="n">
        <v>0</v>
      </c>
      <c r="R1116" s="2" t="inlineStr"/>
    </row>
    <row r="1117" ht="15" customHeight="1">
      <c r="A1117" t="inlineStr">
        <is>
          <t>A 38763-2021</t>
        </is>
      </c>
      <c r="B1117" s="1" t="n">
        <v>44410</v>
      </c>
      <c r="C1117" s="1" t="n">
        <v>45718</v>
      </c>
      <c r="D1117" t="inlineStr">
        <is>
          <t>JÄMTLANDS LÄN</t>
        </is>
      </c>
      <c r="E1117" t="inlineStr">
        <is>
          <t>STRÖMSUND</t>
        </is>
      </c>
      <c r="F1117" t="inlineStr">
        <is>
          <t>Kyrkan</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38786-2021</t>
        </is>
      </c>
      <c r="B1118" s="1" t="n">
        <v>44410</v>
      </c>
      <c r="C1118" s="1" t="n">
        <v>45718</v>
      </c>
      <c r="D1118" t="inlineStr">
        <is>
          <t>JÄMTLANDS LÄN</t>
        </is>
      </c>
      <c r="E1118" t="inlineStr">
        <is>
          <t>STRÖMSUND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39331-2021</t>
        </is>
      </c>
      <c r="B1119" s="1" t="n">
        <v>44414</v>
      </c>
      <c r="C1119" s="1" t="n">
        <v>45718</v>
      </c>
      <c r="D1119" t="inlineStr">
        <is>
          <t>JÄMTLANDS LÄN</t>
        </is>
      </c>
      <c r="E1119" t="inlineStr">
        <is>
          <t>STRÖMSUND</t>
        </is>
      </c>
      <c r="F1119" t="inlineStr">
        <is>
          <t>SCA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39332-2021</t>
        </is>
      </c>
      <c r="B1120" s="1" t="n">
        <v>44413</v>
      </c>
      <c r="C1120" s="1" t="n">
        <v>45718</v>
      </c>
      <c r="D1120" t="inlineStr">
        <is>
          <t>JÄMTLANDS LÄN</t>
        </is>
      </c>
      <c r="E1120" t="inlineStr">
        <is>
          <t>STRÖMSUND</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39511-2021</t>
        </is>
      </c>
      <c r="B1121" s="1" t="n">
        <v>44414</v>
      </c>
      <c r="C1121" s="1" t="n">
        <v>45718</v>
      </c>
      <c r="D1121" t="inlineStr">
        <is>
          <t>JÄMTLANDS LÄN</t>
        </is>
      </c>
      <c r="E1121" t="inlineStr">
        <is>
          <t>STRÖMSUND</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39510-2021</t>
        </is>
      </c>
      <c r="B1122" s="1" t="n">
        <v>44414</v>
      </c>
      <c r="C1122" s="1" t="n">
        <v>45718</v>
      </c>
      <c r="D1122" t="inlineStr">
        <is>
          <t>JÄMTLANDS LÄN</t>
        </is>
      </c>
      <c r="E1122" t="inlineStr">
        <is>
          <t>STRÖMSUND</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39945-2021</t>
        </is>
      </c>
      <c r="B1123" s="1" t="n">
        <v>44417</v>
      </c>
      <c r="C1123" s="1" t="n">
        <v>45718</v>
      </c>
      <c r="D1123" t="inlineStr">
        <is>
          <t>JÄMTLANDS LÄN</t>
        </is>
      </c>
      <c r="E1123" t="inlineStr">
        <is>
          <t>STRÖMSUND</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39944-2021</t>
        </is>
      </c>
      <c r="B1124" s="1" t="n">
        <v>44417</v>
      </c>
      <c r="C1124" s="1" t="n">
        <v>45718</v>
      </c>
      <c r="D1124" t="inlineStr">
        <is>
          <t>JÄMTLANDS LÄN</t>
        </is>
      </c>
      <c r="E1124" t="inlineStr">
        <is>
          <t>STRÖMSUND</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40354-2021</t>
        </is>
      </c>
      <c r="B1125" s="1" t="n">
        <v>44419</v>
      </c>
      <c r="C1125" s="1" t="n">
        <v>45718</v>
      </c>
      <c r="D1125" t="inlineStr">
        <is>
          <t>JÄMTLANDS LÄN</t>
        </is>
      </c>
      <c r="E1125" t="inlineStr">
        <is>
          <t>STRÖMSUND</t>
        </is>
      </c>
      <c r="G1125" t="n">
        <v>10</v>
      </c>
      <c r="H1125" t="n">
        <v>0</v>
      </c>
      <c r="I1125" t="n">
        <v>0</v>
      </c>
      <c r="J1125" t="n">
        <v>0</v>
      </c>
      <c r="K1125" t="n">
        <v>0</v>
      </c>
      <c r="L1125" t="n">
        <v>0</v>
      </c>
      <c r="M1125" t="n">
        <v>0</v>
      </c>
      <c r="N1125" t="n">
        <v>0</v>
      </c>
      <c r="O1125" t="n">
        <v>0</v>
      </c>
      <c r="P1125" t="n">
        <v>0</v>
      </c>
      <c r="Q1125" t="n">
        <v>0</v>
      </c>
      <c r="R1125" s="2" t="inlineStr"/>
    </row>
    <row r="1126" ht="15" customHeight="1">
      <c r="A1126" t="inlineStr">
        <is>
          <t>A 40657-2021</t>
        </is>
      </c>
      <c r="B1126" s="1" t="n">
        <v>44420</v>
      </c>
      <c r="C1126" s="1" t="n">
        <v>45718</v>
      </c>
      <c r="D1126" t="inlineStr">
        <is>
          <t>JÄMTLANDS LÄN</t>
        </is>
      </c>
      <c r="E1126" t="inlineStr">
        <is>
          <t>STRÖMSUND</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40827-2021</t>
        </is>
      </c>
      <c r="B1127" s="1" t="n">
        <v>44421</v>
      </c>
      <c r="C1127" s="1" t="n">
        <v>45718</v>
      </c>
      <c r="D1127" t="inlineStr">
        <is>
          <t>JÄMTLANDS LÄN</t>
        </is>
      </c>
      <c r="E1127" t="inlineStr">
        <is>
          <t>STRÖMSUND</t>
        </is>
      </c>
      <c r="F1127" t="inlineStr">
        <is>
          <t>Holmen skog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40857-2021</t>
        </is>
      </c>
      <c r="B1128" s="1" t="n">
        <v>44421</v>
      </c>
      <c r="C1128" s="1" t="n">
        <v>45718</v>
      </c>
      <c r="D1128" t="inlineStr">
        <is>
          <t>JÄMTLANDS LÄN</t>
        </is>
      </c>
      <c r="E1128" t="inlineStr">
        <is>
          <t>STRÖMSUND</t>
        </is>
      </c>
      <c r="F1128" t="inlineStr">
        <is>
          <t>Holmen skog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40806-2021</t>
        </is>
      </c>
      <c r="B1129" s="1" t="n">
        <v>44421</v>
      </c>
      <c r="C1129" s="1" t="n">
        <v>45718</v>
      </c>
      <c r="D1129" t="inlineStr">
        <is>
          <t>JÄMTLANDS LÄN</t>
        </is>
      </c>
      <c r="E1129" t="inlineStr">
        <is>
          <t>STRÖMSUND</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41059-2021</t>
        </is>
      </c>
      <c r="B1130" s="1" t="n">
        <v>44422</v>
      </c>
      <c r="C1130" s="1" t="n">
        <v>45718</v>
      </c>
      <c r="D1130" t="inlineStr">
        <is>
          <t>JÄMTLANDS LÄN</t>
        </is>
      </c>
      <c r="E1130" t="inlineStr">
        <is>
          <t>STRÖMSUND</t>
        </is>
      </c>
      <c r="F1130" t="inlineStr">
        <is>
          <t>SCA</t>
        </is>
      </c>
      <c r="G1130" t="n">
        <v>17.6</v>
      </c>
      <c r="H1130" t="n">
        <v>0</v>
      </c>
      <c r="I1130" t="n">
        <v>0</v>
      </c>
      <c r="J1130" t="n">
        <v>0</v>
      </c>
      <c r="K1130" t="n">
        <v>0</v>
      </c>
      <c r="L1130" t="n">
        <v>0</v>
      </c>
      <c r="M1130" t="n">
        <v>0</v>
      </c>
      <c r="N1130" t="n">
        <v>0</v>
      </c>
      <c r="O1130" t="n">
        <v>0</v>
      </c>
      <c r="P1130" t="n">
        <v>0</v>
      </c>
      <c r="Q1130" t="n">
        <v>0</v>
      </c>
      <c r="R1130" s="2" t="inlineStr"/>
    </row>
    <row r="1131" ht="15" customHeight="1">
      <c r="A1131" t="inlineStr">
        <is>
          <t>A 41491-2021</t>
        </is>
      </c>
      <c r="B1131" s="1" t="n">
        <v>44424</v>
      </c>
      <c r="C1131" s="1" t="n">
        <v>45718</v>
      </c>
      <c r="D1131" t="inlineStr">
        <is>
          <t>JÄMTLANDS LÄN</t>
        </is>
      </c>
      <c r="E1131" t="inlineStr">
        <is>
          <t>STRÖMSUND</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41490-2021</t>
        </is>
      </c>
      <c r="B1132" s="1" t="n">
        <v>44425</v>
      </c>
      <c r="C1132" s="1" t="n">
        <v>45718</v>
      </c>
      <c r="D1132" t="inlineStr">
        <is>
          <t>JÄMTLANDS LÄN</t>
        </is>
      </c>
      <c r="E1132" t="inlineStr">
        <is>
          <t>STRÖMSUND</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41639-2021</t>
        </is>
      </c>
      <c r="B1133" s="1" t="n">
        <v>44425</v>
      </c>
      <c r="C1133" s="1" t="n">
        <v>45718</v>
      </c>
      <c r="D1133" t="inlineStr">
        <is>
          <t>JÄMTLANDS LÄN</t>
        </is>
      </c>
      <c r="E1133" t="inlineStr">
        <is>
          <t>STRÖMSUND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42247-2021</t>
        </is>
      </c>
      <c r="B1134" s="1" t="n">
        <v>44426</v>
      </c>
      <c r="C1134" s="1" t="n">
        <v>45718</v>
      </c>
      <c r="D1134" t="inlineStr">
        <is>
          <t>JÄMTLANDS LÄN</t>
        </is>
      </c>
      <c r="E1134" t="inlineStr">
        <is>
          <t>STRÖMSUND</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42549-2021</t>
        </is>
      </c>
      <c r="B1135" s="1" t="n">
        <v>44427</v>
      </c>
      <c r="C1135" s="1" t="n">
        <v>45718</v>
      </c>
      <c r="D1135" t="inlineStr">
        <is>
          <t>JÄMTLANDS LÄN</t>
        </is>
      </c>
      <c r="E1135" t="inlineStr">
        <is>
          <t>STRÖMSUND</t>
        </is>
      </c>
      <c r="F1135" t="inlineStr">
        <is>
          <t>SCA</t>
        </is>
      </c>
      <c r="G1135" t="n">
        <v>10.7</v>
      </c>
      <c r="H1135" t="n">
        <v>0</v>
      </c>
      <c r="I1135" t="n">
        <v>0</v>
      </c>
      <c r="J1135" t="n">
        <v>0</v>
      </c>
      <c r="K1135" t="n">
        <v>0</v>
      </c>
      <c r="L1135" t="n">
        <v>0</v>
      </c>
      <c r="M1135" t="n">
        <v>0</v>
      </c>
      <c r="N1135" t="n">
        <v>0</v>
      </c>
      <c r="O1135" t="n">
        <v>0</v>
      </c>
      <c r="P1135" t="n">
        <v>0</v>
      </c>
      <c r="Q1135" t="n">
        <v>0</v>
      </c>
      <c r="R1135" s="2" t="inlineStr"/>
    </row>
    <row r="1136" ht="15" customHeight="1">
      <c r="A1136" t="inlineStr">
        <is>
          <t>A 42545-2021</t>
        </is>
      </c>
      <c r="B1136" s="1" t="n">
        <v>44428</v>
      </c>
      <c r="C1136" s="1" t="n">
        <v>45718</v>
      </c>
      <c r="D1136" t="inlineStr">
        <is>
          <t>JÄMTLANDS LÄN</t>
        </is>
      </c>
      <c r="E1136" t="inlineStr">
        <is>
          <t>STRÖMSUND</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42551-2021</t>
        </is>
      </c>
      <c r="B1137" s="1" t="n">
        <v>44427</v>
      </c>
      <c r="C1137" s="1" t="n">
        <v>45718</v>
      </c>
      <c r="D1137" t="inlineStr">
        <is>
          <t>JÄMTLANDS LÄN</t>
        </is>
      </c>
      <c r="E1137" t="inlineStr">
        <is>
          <t>STRÖMSUND</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42794-2021</t>
        </is>
      </c>
      <c r="B1138" s="1" t="n">
        <v>44429</v>
      </c>
      <c r="C1138" s="1" t="n">
        <v>45718</v>
      </c>
      <c r="D1138" t="inlineStr">
        <is>
          <t>JÄMTLANDS LÄN</t>
        </is>
      </c>
      <c r="E1138" t="inlineStr">
        <is>
          <t>STRÖMSUND</t>
        </is>
      </c>
      <c r="F1138" t="inlineStr">
        <is>
          <t>SCA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43072-2021</t>
        </is>
      </c>
      <c r="B1139" s="1" t="n">
        <v>44431</v>
      </c>
      <c r="C1139" s="1" t="n">
        <v>45718</v>
      </c>
      <c r="D1139" t="inlineStr">
        <is>
          <t>JÄMTLANDS LÄN</t>
        </is>
      </c>
      <c r="E1139" t="inlineStr">
        <is>
          <t>STRÖMSUND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43839-2021</t>
        </is>
      </c>
      <c r="B1140" s="1" t="n">
        <v>44434</v>
      </c>
      <c r="C1140" s="1" t="n">
        <v>45718</v>
      </c>
      <c r="D1140" t="inlineStr">
        <is>
          <t>JÄMTLANDS LÄN</t>
        </is>
      </c>
      <c r="E1140" t="inlineStr">
        <is>
          <t>STRÖMSUND</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43754-2021</t>
        </is>
      </c>
      <c r="B1141" s="1" t="n">
        <v>44433</v>
      </c>
      <c r="C1141" s="1" t="n">
        <v>45718</v>
      </c>
      <c r="D1141" t="inlineStr">
        <is>
          <t>JÄMTLANDS LÄN</t>
        </is>
      </c>
      <c r="E1141" t="inlineStr">
        <is>
          <t>STRÖMSUND</t>
        </is>
      </c>
      <c r="F1141" t="inlineStr">
        <is>
          <t>Sveaskog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43752-2021</t>
        </is>
      </c>
      <c r="B1142" s="1" t="n">
        <v>44433</v>
      </c>
      <c r="C1142" s="1" t="n">
        <v>45718</v>
      </c>
      <c r="D1142" t="inlineStr">
        <is>
          <t>JÄMTLANDS LÄN</t>
        </is>
      </c>
      <c r="E1142" t="inlineStr">
        <is>
          <t>STRÖMSUND</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43842-2021</t>
        </is>
      </c>
      <c r="B1143" s="1" t="n">
        <v>44433</v>
      </c>
      <c r="C1143" s="1" t="n">
        <v>45718</v>
      </c>
      <c r="D1143" t="inlineStr">
        <is>
          <t>JÄMTLANDS LÄN</t>
        </is>
      </c>
      <c r="E1143" t="inlineStr">
        <is>
          <t>STRÖMSUND</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43846-2021</t>
        </is>
      </c>
      <c r="B1144" s="1" t="n">
        <v>44434</v>
      </c>
      <c r="C1144" s="1" t="n">
        <v>45718</v>
      </c>
      <c r="D1144" t="inlineStr">
        <is>
          <t>JÄMTLANDS LÄN</t>
        </is>
      </c>
      <c r="E1144" t="inlineStr">
        <is>
          <t>STRÖMSUND</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43844-2021</t>
        </is>
      </c>
      <c r="B1145" s="1" t="n">
        <v>44433</v>
      </c>
      <c r="C1145" s="1" t="n">
        <v>45718</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44025-2021</t>
        </is>
      </c>
      <c r="B1146" s="1" t="n">
        <v>44434</v>
      </c>
      <c r="C1146" s="1" t="n">
        <v>45718</v>
      </c>
      <c r="D1146" t="inlineStr">
        <is>
          <t>JÄMTLANDS LÄN</t>
        </is>
      </c>
      <c r="E1146" t="inlineStr">
        <is>
          <t>STRÖMSUND</t>
        </is>
      </c>
      <c r="F1146" t="inlineStr">
        <is>
          <t>Holmen skog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44104-2021</t>
        </is>
      </c>
      <c r="B1147" s="1" t="n">
        <v>44434</v>
      </c>
      <c r="C1147" s="1" t="n">
        <v>45718</v>
      </c>
      <c r="D1147" t="inlineStr">
        <is>
          <t>JÄMTLANDS LÄN</t>
        </is>
      </c>
      <c r="E1147" t="inlineStr">
        <is>
          <t>STRÖMSUND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44229-2021</t>
        </is>
      </c>
      <c r="B1148" s="1" t="n">
        <v>44434</v>
      </c>
      <c r="C1148" s="1" t="n">
        <v>45718</v>
      </c>
      <c r="D1148" t="inlineStr">
        <is>
          <t>JÄMTLANDS LÄN</t>
        </is>
      </c>
      <c r="E1148" t="inlineStr">
        <is>
          <t>STRÖMSUND</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44410-2021</t>
        </is>
      </c>
      <c r="B1149" s="1" t="n">
        <v>44435</v>
      </c>
      <c r="C1149" s="1" t="n">
        <v>45718</v>
      </c>
      <c r="D1149" t="inlineStr">
        <is>
          <t>JÄMTLANDS LÄN</t>
        </is>
      </c>
      <c r="E1149" t="inlineStr">
        <is>
          <t>STRÖMSUND</t>
        </is>
      </c>
      <c r="F1149" t="inlineStr">
        <is>
          <t>Holmen skog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44436-2021</t>
        </is>
      </c>
      <c r="B1150" s="1" t="n">
        <v>44435</v>
      </c>
      <c r="C1150" s="1" t="n">
        <v>45718</v>
      </c>
      <c r="D1150" t="inlineStr">
        <is>
          <t>JÄMTLANDS LÄN</t>
        </is>
      </c>
      <c r="E1150" t="inlineStr">
        <is>
          <t>STRÖMSUND</t>
        </is>
      </c>
      <c r="F1150" t="inlineStr">
        <is>
          <t>Holmen skog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44602-2021</t>
        </is>
      </c>
      <c r="B1151" s="1" t="n">
        <v>44436</v>
      </c>
      <c r="C1151" s="1" t="n">
        <v>45718</v>
      </c>
      <c r="D1151" t="inlineStr">
        <is>
          <t>JÄMTLANDS LÄN</t>
        </is>
      </c>
      <c r="E1151" t="inlineStr">
        <is>
          <t>STRÖMSUND</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44600-2021</t>
        </is>
      </c>
      <c r="B1152" s="1" t="n">
        <v>44436</v>
      </c>
      <c r="C1152" s="1" t="n">
        <v>45718</v>
      </c>
      <c r="D1152" t="inlineStr">
        <is>
          <t>JÄMTLANDS LÄN</t>
        </is>
      </c>
      <c r="E1152" t="inlineStr">
        <is>
          <t>STRÖMSUND</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44605-2021</t>
        </is>
      </c>
      <c r="B1153" s="1" t="n">
        <v>44436</v>
      </c>
      <c r="C1153" s="1" t="n">
        <v>45718</v>
      </c>
      <c r="D1153" t="inlineStr">
        <is>
          <t>JÄMTLANDS LÄN</t>
        </is>
      </c>
      <c r="E1153" t="inlineStr">
        <is>
          <t>STRÖMSUND</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44606-2021</t>
        </is>
      </c>
      <c r="B1154" s="1" t="n">
        <v>44436</v>
      </c>
      <c r="C1154" s="1" t="n">
        <v>45718</v>
      </c>
      <c r="D1154" t="inlineStr">
        <is>
          <t>JÄMTLANDS LÄN</t>
        </is>
      </c>
      <c r="E1154" t="inlineStr">
        <is>
          <t>STRÖMSUND</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45011-2021</t>
        </is>
      </c>
      <c r="B1155" s="1" t="n">
        <v>44439</v>
      </c>
      <c r="C1155" s="1" t="n">
        <v>45718</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45230-2021</t>
        </is>
      </c>
      <c r="B1156" s="1" t="n">
        <v>44439</v>
      </c>
      <c r="C1156" s="1" t="n">
        <v>45718</v>
      </c>
      <c r="D1156" t="inlineStr">
        <is>
          <t>JÄMTLANDS LÄN</t>
        </is>
      </c>
      <c r="E1156" t="inlineStr">
        <is>
          <t>STRÖMSUND</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45351-2021</t>
        </is>
      </c>
      <c r="B1157" s="1" t="n">
        <v>44440</v>
      </c>
      <c r="C1157" s="1" t="n">
        <v>45718</v>
      </c>
      <c r="D1157" t="inlineStr">
        <is>
          <t>JÄMTLANDS LÄN</t>
        </is>
      </c>
      <c r="E1157" t="inlineStr">
        <is>
          <t>STRÖMSUND</t>
        </is>
      </c>
      <c r="F1157" t="inlineStr">
        <is>
          <t>SCA</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45333-2021</t>
        </is>
      </c>
      <c r="B1158" s="1" t="n">
        <v>44439</v>
      </c>
      <c r="C1158" s="1" t="n">
        <v>45718</v>
      </c>
      <c r="D1158" t="inlineStr">
        <is>
          <t>JÄMTLANDS LÄN</t>
        </is>
      </c>
      <c r="E1158" t="inlineStr">
        <is>
          <t>STRÖMSUND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45340-2021</t>
        </is>
      </c>
      <c r="B1159" s="1" t="n">
        <v>44440</v>
      </c>
      <c r="C1159" s="1" t="n">
        <v>45718</v>
      </c>
      <c r="D1159" t="inlineStr">
        <is>
          <t>JÄMTLANDS LÄN</t>
        </is>
      </c>
      <c r="E1159" t="inlineStr">
        <is>
          <t>STRÖMSUND</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45622-2021</t>
        </is>
      </c>
      <c r="B1160" s="1" t="n">
        <v>44441</v>
      </c>
      <c r="C1160" s="1" t="n">
        <v>45718</v>
      </c>
      <c r="D1160" t="inlineStr">
        <is>
          <t>JÄMTLANDS LÄN</t>
        </is>
      </c>
      <c r="E1160" t="inlineStr">
        <is>
          <t>STRÖMSUND</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45640-2021</t>
        </is>
      </c>
      <c r="B1161" s="1" t="n">
        <v>44440</v>
      </c>
      <c r="C1161" s="1" t="n">
        <v>45718</v>
      </c>
      <c r="D1161" t="inlineStr">
        <is>
          <t>JÄMTLANDS LÄN</t>
        </is>
      </c>
      <c r="E1161" t="inlineStr">
        <is>
          <t>STRÖMSUND</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45628-2021</t>
        </is>
      </c>
      <c r="B1162" s="1" t="n">
        <v>44441</v>
      </c>
      <c r="C1162" s="1" t="n">
        <v>45718</v>
      </c>
      <c r="D1162" t="inlineStr">
        <is>
          <t>JÄMTLANDS LÄN</t>
        </is>
      </c>
      <c r="E1162" t="inlineStr">
        <is>
          <t>STRÖMSUND</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45635-2021</t>
        </is>
      </c>
      <c r="B1163" s="1" t="n">
        <v>44440</v>
      </c>
      <c r="C1163" s="1" t="n">
        <v>45718</v>
      </c>
      <c r="D1163" t="inlineStr">
        <is>
          <t>JÄMTLANDS LÄN</t>
        </is>
      </c>
      <c r="E1163" t="inlineStr">
        <is>
          <t>STRÖMSUND</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45641-2021</t>
        </is>
      </c>
      <c r="B1164" s="1" t="n">
        <v>44440</v>
      </c>
      <c r="C1164" s="1" t="n">
        <v>45718</v>
      </c>
      <c r="D1164" t="inlineStr">
        <is>
          <t>JÄMTLANDS LÄN</t>
        </is>
      </c>
      <c r="E1164" t="inlineStr">
        <is>
          <t>STRÖMSUND</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45630-2021</t>
        </is>
      </c>
      <c r="B1165" s="1" t="n">
        <v>44440</v>
      </c>
      <c r="C1165" s="1" t="n">
        <v>45718</v>
      </c>
      <c r="D1165" t="inlineStr">
        <is>
          <t>JÄMTLANDS LÄN</t>
        </is>
      </c>
      <c r="E1165" t="inlineStr">
        <is>
          <t>STRÖMSUND</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45638-2021</t>
        </is>
      </c>
      <c r="B1166" s="1" t="n">
        <v>44440</v>
      </c>
      <c r="C1166" s="1" t="n">
        <v>45718</v>
      </c>
      <c r="D1166" t="inlineStr">
        <is>
          <t>JÄMTLANDS LÄN</t>
        </is>
      </c>
      <c r="E1166" t="inlineStr">
        <is>
          <t>STRÖMSUND</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45627-2021</t>
        </is>
      </c>
      <c r="B1167" s="1" t="n">
        <v>44441</v>
      </c>
      <c r="C1167" s="1" t="n">
        <v>45718</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45626-2021</t>
        </is>
      </c>
      <c r="B1168" s="1" t="n">
        <v>44441</v>
      </c>
      <c r="C1168" s="1" t="n">
        <v>45718</v>
      </c>
      <c r="D1168" t="inlineStr">
        <is>
          <t>JÄMTLANDS LÄN</t>
        </is>
      </c>
      <c r="E1168" t="inlineStr">
        <is>
          <t>STRÖMSUND</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45639-2021</t>
        </is>
      </c>
      <c r="B1169" s="1" t="n">
        <v>44440</v>
      </c>
      <c r="C1169" s="1" t="n">
        <v>45718</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46969-2021</t>
        </is>
      </c>
      <c r="B1170" s="1" t="n">
        <v>44446</v>
      </c>
      <c r="C1170" s="1" t="n">
        <v>45718</v>
      </c>
      <c r="D1170" t="inlineStr">
        <is>
          <t>JÄMTLANDS LÄN</t>
        </is>
      </c>
      <c r="E1170" t="inlineStr">
        <is>
          <t>STRÖMSUND</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47261-2021</t>
        </is>
      </c>
      <c r="B1171" s="1" t="n">
        <v>44447</v>
      </c>
      <c r="C1171" s="1" t="n">
        <v>45718</v>
      </c>
      <c r="D1171" t="inlineStr">
        <is>
          <t>JÄMTLANDS LÄN</t>
        </is>
      </c>
      <c r="E1171" t="inlineStr">
        <is>
          <t>STRÖMSUND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47607-2021</t>
        </is>
      </c>
      <c r="B1172" s="1" t="n">
        <v>44447</v>
      </c>
      <c r="C1172" s="1" t="n">
        <v>45718</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47847-2021</t>
        </is>
      </c>
      <c r="B1173" s="1" t="n">
        <v>44448</v>
      </c>
      <c r="C1173" s="1" t="n">
        <v>45718</v>
      </c>
      <c r="D1173" t="inlineStr">
        <is>
          <t>JÄMTLANDS LÄN</t>
        </is>
      </c>
      <c r="E1173" t="inlineStr">
        <is>
          <t>STRÖMSUND</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47938-2021</t>
        </is>
      </c>
      <c r="B1174" s="1" t="n">
        <v>44449</v>
      </c>
      <c r="C1174" s="1" t="n">
        <v>45718</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47936-2021</t>
        </is>
      </c>
      <c r="B1175" s="1" t="n">
        <v>44448</v>
      </c>
      <c r="C1175" s="1" t="n">
        <v>45718</v>
      </c>
      <c r="D1175" t="inlineStr">
        <is>
          <t>JÄMTLANDS LÄN</t>
        </is>
      </c>
      <c r="E1175" t="inlineStr">
        <is>
          <t>STRÖMSUND</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47941-2021</t>
        </is>
      </c>
      <c r="B1176" s="1" t="n">
        <v>44449</v>
      </c>
      <c r="C1176" s="1" t="n">
        <v>45718</v>
      </c>
      <c r="D1176" t="inlineStr">
        <is>
          <t>JÄMTLANDS LÄN</t>
        </is>
      </c>
      <c r="E1176" t="inlineStr">
        <is>
          <t>STRÖMSUND</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47943-2021</t>
        </is>
      </c>
      <c r="B1177" s="1" t="n">
        <v>44448</v>
      </c>
      <c r="C1177" s="1" t="n">
        <v>45718</v>
      </c>
      <c r="D1177" t="inlineStr">
        <is>
          <t>JÄMTLANDS LÄN</t>
        </is>
      </c>
      <c r="E1177" t="inlineStr">
        <is>
          <t>STRÖMSUND</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47934-2021</t>
        </is>
      </c>
      <c r="B1178" s="1" t="n">
        <v>44448</v>
      </c>
      <c r="C1178" s="1" t="n">
        <v>45718</v>
      </c>
      <c r="D1178" t="inlineStr">
        <is>
          <t>JÄMTLANDS LÄN</t>
        </is>
      </c>
      <c r="E1178" t="inlineStr">
        <is>
          <t>STRÖMSUND</t>
        </is>
      </c>
      <c r="F1178" t="inlineStr">
        <is>
          <t>SCA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47940-2021</t>
        </is>
      </c>
      <c r="B1179" s="1" t="n">
        <v>44449</v>
      </c>
      <c r="C1179" s="1" t="n">
        <v>45718</v>
      </c>
      <c r="D1179" t="inlineStr">
        <is>
          <t>JÄMTLANDS LÄN</t>
        </is>
      </c>
      <c r="E1179" t="inlineStr">
        <is>
          <t>STRÖMSUND</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48508-2021</t>
        </is>
      </c>
      <c r="B1180" s="1" t="n">
        <v>44451</v>
      </c>
      <c r="C1180" s="1" t="n">
        <v>45718</v>
      </c>
      <c r="D1180" t="inlineStr">
        <is>
          <t>JÄMTLANDS LÄN</t>
        </is>
      </c>
      <c r="E1180" t="inlineStr">
        <is>
          <t>STRÖMSUND</t>
        </is>
      </c>
      <c r="G1180" t="n">
        <v>11.1</v>
      </c>
      <c r="H1180" t="n">
        <v>0</v>
      </c>
      <c r="I1180" t="n">
        <v>0</v>
      </c>
      <c r="J1180" t="n">
        <v>0</v>
      </c>
      <c r="K1180" t="n">
        <v>0</v>
      </c>
      <c r="L1180" t="n">
        <v>0</v>
      </c>
      <c r="M1180" t="n">
        <v>0</v>
      </c>
      <c r="N1180" t="n">
        <v>0</v>
      </c>
      <c r="O1180" t="n">
        <v>0</v>
      </c>
      <c r="P1180" t="n">
        <v>0</v>
      </c>
      <c r="Q1180" t="n">
        <v>0</v>
      </c>
      <c r="R1180" s="2" t="inlineStr"/>
    </row>
    <row r="1181" ht="15" customHeight="1">
      <c r="A1181" t="inlineStr">
        <is>
          <t>A 48863-2021</t>
        </is>
      </c>
      <c r="B1181" s="1" t="n">
        <v>44453</v>
      </c>
      <c r="C1181" s="1" t="n">
        <v>45718</v>
      </c>
      <c r="D1181" t="inlineStr">
        <is>
          <t>JÄMTLANDS LÄN</t>
        </is>
      </c>
      <c r="E1181" t="inlineStr">
        <is>
          <t>STRÖMSUND</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49166-2021</t>
        </is>
      </c>
      <c r="B1182" s="1" t="n">
        <v>44454</v>
      </c>
      <c r="C1182" s="1" t="n">
        <v>45718</v>
      </c>
      <c r="D1182" t="inlineStr">
        <is>
          <t>JÄMTLANDS LÄN</t>
        </is>
      </c>
      <c r="E1182" t="inlineStr">
        <is>
          <t>STRÖMSUND</t>
        </is>
      </c>
      <c r="F1182" t="inlineStr">
        <is>
          <t>SCA</t>
        </is>
      </c>
      <c r="G1182" t="n">
        <v>3.3</v>
      </c>
      <c r="H1182" t="n">
        <v>0</v>
      </c>
      <c r="I1182" t="n">
        <v>0</v>
      </c>
      <c r="J1182" t="n">
        <v>0</v>
      </c>
      <c r="K1182" t="n">
        <v>0</v>
      </c>
      <c r="L1182" t="n">
        <v>0</v>
      </c>
      <c r="M1182" t="n">
        <v>0</v>
      </c>
      <c r="N1182" t="n">
        <v>0</v>
      </c>
      <c r="O1182" t="n">
        <v>0</v>
      </c>
      <c r="P1182" t="n">
        <v>0</v>
      </c>
      <c r="Q1182" t="n">
        <v>0</v>
      </c>
      <c r="R1182" s="2" t="inlineStr"/>
      <c r="U1182">
        <f>HYPERLINK("https://klasma.github.io/Logging_2313/knärot/A 49166-2021 karta knärot.png", "A 49166-2021")</f>
        <v/>
      </c>
      <c r="V1182">
        <f>HYPERLINK("https://klasma.github.io/Logging_2313/klagomål/A 49166-2021 FSC-klagomål.docx", "A 49166-2021")</f>
        <v/>
      </c>
      <c r="W1182">
        <f>HYPERLINK("https://klasma.github.io/Logging_2313/klagomålsmail/A 49166-2021 FSC-klagomål mail.docx", "A 49166-2021")</f>
        <v/>
      </c>
      <c r="X1182">
        <f>HYPERLINK("https://klasma.github.io/Logging_2313/tillsyn/A 49166-2021 tillsynsbegäran.docx", "A 49166-2021")</f>
        <v/>
      </c>
      <c r="Y1182">
        <f>HYPERLINK("https://klasma.github.io/Logging_2313/tillsynsmail/A 49166-2021 tillsynsbegäran mail.docx", "A 49166-2021")</f>
        <v/>
      </c>
    </row>
    <row r="1183" ht="15" customHeight="1">
      <c r="A1183" t="inlineStr">
        <is>
          <t>A 49204-2021</t>
        </is>
      </c>
      <c r="B1183" s="1" t="n">
        <v>44454</v>
      </c>
      <c r="C1183" s="1" t="n">
        <v>45718</v>
      </c>
      <c r="D1183" t="inlineStr">
        <is>
          <t>JÄMTLANDS LÄN</t>
        </is>
      </c>
      <c r="E1183" t="inlineStr">
        <is>
          <t>STRÖMSUND</t>
        </is>
      </c>
      <c r="F1183" t="inlineStr">
        <is>
          <t>Sveaskog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49210-2021</t>
        </is>
      </c>
      <c r="B1184" s="1" t="n">
        <v>44454</v>
      </c>
      <c r="C1184" s="1" t="n">
        <v>45718</v>
      </c>
      <c r="D1184" t="inlineStr">
        <is>
          <t>JÄMTLANDS LÄN</t>
        </is>
      </c>
      <c r="E1184" t="inlineStr">
        <is>
          <t>STRÖMSUND</t>
        </is>
      </c>
      <c r="F1184" t="inlineStr">
        <is>
          <t>Sveaskog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49208-2021</t>
        </is>
      </c>
      <c r="B1185" s="1" t="n">
        <v>44454</v>
      </c>
      <c r="C1185" s="1" t="n">
        <v>45718</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49212-2021</t>
        </is>
      </c>
      <c r="B1186" s="1" t="n">
        <v>44454</v>
      </c>
      <c r="C1186" s="1" t="n">
        <v>45718</v>
      </c>
      <c r="D1186" t="inlineStr">
        <is>
          <t>JÄMTLANDS LÄN</t>
        </is>
      </c>
      <c r="E1186" t="inlineStr">
        <is>
          <t>STRÖMSUND</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49206-2021</t>
        </is>
      </c>
      <c r="B1187" s="1" t="n">
        <v>44454</v>
      </c>
      <c r="C1187" s="1" t="n">
        <v>45718</v>
      </c>
      <c r="D1187" t="inlineStr">
        <is>
          <t>JÄMTLANDS LÄN</t>
        </is>
      </c>
      <c r="E1187" t="inlineStr">
        <is>
          <t>STRÖMSUND</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49620-2021</t>
        </is>
      </c>
      <c r="B1188" s="1" t="n">
        <v>44455</v>
      </c>
      <c r="C1188" s="1" t="n">
        <v>45718</v>
      </c>
      <c r="D1188" t="inlineStr">
        <is>
          <t>JÄMTLANDS LÄN</t>
        </is>
      </c>
      <c r="E1188" t="inlineStr">
        <is>
          <t>STRÖMSUND</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49929-2021</t>
        </is>
      </c>
      <c r="B1189" s="1" t="n">
        <v>44456</v>
      </c>
      <c r="C1189" s="1" t="n">
        <v>45718</v>
      </c>
      <c r="D1189" t="inlineStr">
        <is>
          <t>JÄMTLANDS LÄN</t>
        </is>
      </c>
      <c r="E1189" t="inlineStr">
        <is>
          <t>STRÖMSUND</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50020-2021</t>
        </is>
      </c>
      <c r="B1190" s="1" t="n">
        <v>44456</v>
      </c>
      <c r="C1190" s="1" t="n">
        <v>45718</v>
      </c>
      <c r="D1190" t="inlineStr">
        <is>
          <t>JÄMTLANDS LÄN</t>
        </is>
      </c>
      <c r="E1190" t="inlineStr">
        <is>
          <t>STRÖMSUND</t>
        </is>
      </c>
      <c r="F1190" t="inlineStr">
        <is>
          <t>Sveaskog</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50025-2021</t>
        </is>
      </c>
      <c r="B1191" s="1" t="n">
        <v>44456</v>
      </c>
      <c r="C1191" s="1" t="n">
        <v>45718</v>
      </c>
      <c r="D1191" t="inlineStr">
        <is>
          <t>JÄMTLANDS LÄN</t>
        </is>
      </c>
      <c r="E1191" t="inlineStr">
        <is>
          <t>STRÖMSUND</t>
        </is>
      </c>
      <c r="F1191" t="inlineStr">
        <is>
          <t>Sveaskog</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50034-2021</t>
        </is>
      </c>
      <c r="B1192" s="1" t="n">
        <v>44456</v>
      </c>
      <c r="C1192" s="1" t="n">
        <v>45718</v>
      </c>
      <c r="D1192" t="inlineStr">
        <is>
          <t>JÄMTLANDS LÄN</t>
        </is>
      </c>
      <c r="E1192" t="inlineStr">
        <is>
          <t>STRÖMSUND</t>
        </is>
      </c>
      <c r="F1192" t="inlineStr">
        <is>
          <t>Sveaskog</t>
        </is>
      </c>
      <c r="G1192" t="n">
        <v>12.9</v>
      </c>
      <c r="H1192" t="n">
        <v>0</v>
      </c>
      <c r="I1192" t="n">
        <v>0</v>
      </c>
      <c r="J1192" t="n">
        <v>0</v>
      </c>
      <c r="K1192" t="n">
        <v>0</v>
      </c>
      <c r="L1192" t="n">
        <v>0</v>
      </c>
      <c r="M1192" t="n">
        <v>0</v>
      </c>
      <c r="N1192" t="n">
        <v>0</v>
      </c>
      <c r="O1192" t="n">
        <v>0</v>
      </c>
      <c r="P1192" t="n">
        <v>0</v>
      </c>
      <c r="Q1192" t="n">
        <v>0</v>
      </c>
      <c r="R1192" s="2" t="inlineStr"/>
    </row>
    <row r="1193" ht="15" customHeight="1">
      <c r="A1193" t="inlineStr">
        <is>
          <t>A 50029-2021</t>
        </is>
      </c>
      <c r="B1193" s="1" t="n">
        <v>44456</v>
      </c>
      <c r="C1193" s="1" t="n">
        <v>45718</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50037-2021</t>
        </is>
      </c>
      <c r="B1194" s="1" t="n">
        <v>44456</v>
      </c>
      <c r="C1194" s="1" t="n">
        <v>45718</v>
      </c>
      <c r="D1194" t="inlineStr">
        <is>
          <t>JÄMTLANDS LÄN</t>
        </is>
      </c>
      <c r="E1194" t="inlineStr">
        <is>
          <t>STRÖMSUND</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50022-2021</t>
        </is>
      </c>
      <c r="B1195" s="1" t="n">
        <v>44456</v>
      </c>
      <c r="C1195" s="1" t="n">
        <v>45718</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50028-2021</t>
        </is>
      </c>
      <c r="B1196" s="1" t="n">
        <v>44456</v>
      </c>
      <c r="C1196" s="1" t="n">
        <v>45718</v>
      </c>
      <c r="D1196" t="inlineStr">
        <is>
          <t>JÄMTLANDS LÄN</t>
        </is>
      </c>
      <c r="E1196" t="inlineStr">
        <is>
          <t>STRÖMSUND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50176-2021</t>
        </is>
      </c>
      <c r="B1197" s="1" t="n">
        <v>44457</v>
      </c>
      <c r="C1197" s="1" t="n">
        <v>45718</v>
      </c>
      <c r="D1197" t="inlineStr">
        <is>
          <t>JÄMTLANDS LÄN</t>
        </is>
      </c>
      <c r="E1197" t="inlineStr">
        <is>
          <t>STRÖMSUND</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50179-2021</t>
        </is>
      </c>
      <c r="B1198" s="1" t="n">
        <v>44456</v>
      </c>
      <c r="C1198" s="1" t="n">
        <v>45718</v>
      </c>
      <c r="D1198" t="inlineStr">
        <is>
          <t>JÄMTLANDS LÄN</t>
        </is>
      </c>
      <c r="E1198" t="inlineStr">
        <is>
          <t>STRÖMSUND</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50180-2021</t>
        </is>
      </c>
      <c r="B1199" s="1" t="n">
        <v>44456</v>
      </c>
      <c r="C1199" s="1" t="n">
        <v>45718</v>
      </c>
      <c r="D1199" t="inlineStr">
        <is>
          <t>JÄMTLANDS LÄN</t>
        </is>
      </c>
      <c r="E1199" t="inlineStr">
        <is>
          <t>STRÖMSUND</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50023-2021</t>
        </is>
      </c>
      <c r="B1200" s="1" t="n">
        <v>44456</v>
      </c>
      <c r="C1200" s="1" t="n">
        <v>45718</v>
      </c>
      <c r="D1200" t="inlineStr">
        <is>
          <t>JÄMTLANDS LÄN</t>
        </is>
      </c>
      <c r="E1200" t="inlineStr">
        <is>
          <t>STRÖMSUND</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50890-2021</t>
        </is>
      </c>
      <c r="B1201" s="1" t="n">
        <v>44460</v>
      </c>
      <c r="C1201" s="1" t="n">
        <v>45718</v>
      </c>
      <c r="D1201" t="inlineStr">
        <is>
          <t>JÄMTLANDS LÄN</t>
        </is>
      </c>
      <c r="E1201" t="inlineStr">
        <is>
          <t>STRÖMSUND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51446-2021</t>
        </is>
      </c>
      <c r="B1202" s="1" t="n">
        <v>44461</v>
      </c>
      <c r="C1202" s="1" t="n">
        <v>45718</v>
      </c>
      <c r="D1202" t="inlineStr">
        <is>
          <t>JÄMTLANDS LÄN</t>
        </is>
      </c>
      <c r="E1202" t="inlineStr">
        <is>
          <t>STRÖMSUND</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51954-2021</t>
        </is>
      </c>
      <c r="B1203" s="1" t="n">
        <v>44463</v>
      </c>
      <c r="C1203" s="1" t="n">
        <v>45718</v>
      </c>
      <c r="D1203" t="inlineStr">
        <is>
          <t>JÄMTLANDS LÄN</t>
        </is>
      </c>
      <c r="E1203" t="inlineStr">
        <is>
          <t>STRÖMSUND</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51953-2021</t>
        </is>
      </c>
      <c r="B1204" s="1" t="n">
        <v>44463</v>
      </c>
      <c r="C1204" s="1" t="n">
        <v>45718</v>
      </c>
      <c r="D1204" t="inlineStr">
        <is>
          <t>JÄMTLANDS LÄN</t>
        </is>
      </c>
      <c r="E1204" t="inlineStr">
        <is>
          <t>STRÖMSUND</t>
        </is>
      </c>
      <c r="F1204" t="inlineStr">
        <is>
          <t>SCA</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52327-2021</t>
        </is>
      </c>
      <c r="B1205" s="1" t="n">
        <v>44463</v>
      </c>
      <c r="C1205" s="1" t="n">
        <v>45718</v>
      </c>
      <c r="D1205" t="inlineStr">
        <is>
          <t>JÄMTLANDS LÄN</t>
        </is>
      </c>
      <c r="E1205" t="inlineStr">
        <is>
          <t>STRÖMSUND</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52397-2021</t>
        </is>
      </c>
      <c r="B1206" s="1" t="n">
        <v>44463</v>
      </c>
      <c r="C1206" s="1" t="n">
        <v>45718</v>
      </c>
      <c r="D1206" t="inlineStr">
        <is>
          <t>JÄMTLANDS LÄN</t>
        </is>
      </c>
      <c r="E1206" t="inlineStr">
        <is>
          <t>STRÖMSUND</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52332-2021</t>
        </is>
      </c>
      <c r="B1207" s="1" t="n">
        <v>44463</v>
      </c>
      <c r="C1207" s="1" t="n">
        <v>45718</v>
      </c>
      <c r="D1207" t="inlineStr">
        <is>
          <t>JÄMTLANDS LÄN</t>
        </is>
      </c>
      <c r="E1207" t="inlineStr">
        <is>
          <t>STRÖMSUND</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52399-2021</t>
        </is>
      </c>
      <c r="B1208" s="1" t="n">
        <v>44466</v>
      </c>
      <c r="C1208" s="1" t="n">
        <v>45718</v>
      </c>
      <c r="D1208" t="inlineStr">
        <is>
          <t>JÄMTLANDS LÄN</t>
        </is>
      </c>
      <c r="E1208" t="inlineStr">
        <is>
          <t>STRÖMSUND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52718-2021</t>
        </is>
      </c>
      <c r="B1209" s="1" t="n">
        <v>44467</v>
      </c>
      <c r="C1209" s="1" t="n">
        <v>45718</v>
      </c>
      <c r="D1209" t="inlineStr">
        <is>
          <t>JÄMTLANDS LÄN</t>
        </is>
      </c>
      <c r="E1209" t="inlineStr">
        <is>
          <t>STRÖMSUND</t>
        </is>
      </c>
      <c r="F1209" t="inlineStr">
        <is>
          <t>SCA</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52707-2021</t>
        </is>
      </c>
      <c r="B1210" s="1" t="n">
        <v>44467</v>
      </c>
      <c r="C1210" s="1" t="n">
        <v>45718</v>
      </c>
      <c r="D1210" t="inlineStr">
        <is>
          <t>JÄMTLANDS LÄN</t>
        </is>
      </c>
      <c r="E1210" t="inlineStr">
        <is>
          <t>STRÖMSUND</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52969-2021</t>
        </is>
      </c>
      <c r="B1211" s="1" t="n">
        <v>44466</v>
      </c>
      <c r="C1211" s="1" t="n">
        <v>45718</v>
      </c>
      <c r="D1211" t="inlineStr">
        <is>
          <t>JÄMTLANDS LÄN</t>
        </is>
      </c>
      <c r="E1211" t="inlineStr">
        <is>
          <t>STRÖMSUND</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53420-2021</t>
        </is>
      </c>
      <c r="B1212" s="1" t="n">
        <v>44468</v>
      </c>
      <c r="C1212" s="1" t="n">
        <v>45718</v>
      </c>
      <c r="D1212" t="inlineStr">
        <is>
          <t>JÄMTLANDS LÄN</t>
        </is>
      </c>
      <c r="E1212" t="inlineStr">
        <is>
          <t>STRÖMSUND</t>
        </is>
      </c>
      <c r="F1212" t="inlineStr">
        <is>
          <t>Holmen skog AB</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53518-2021</t>
        </is>
      </c>
      <c r="B1213" s="1" t="n">
        <v>44468</v>
      </c>
      <c r="C1213" s="1" t="n">
        <v>45718</v>
      </c>
      <c r="D1213" t="inlineStr">
        <is>
          <t>JÄMTLANDS LÄN</t>
        </is>
      </c>
      <c r="E1213" t="inlineStr">
        <is>
          <t>STRÖMSUND</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53513-2021</t>
        </is>
      </c>
      <c r="B1214" s="1" t="n">
        <v>44468</v>
      </c>
      <c r="C1214" s="1" t="n">
        <v>45718</v>
      </c>
      <c r="D1214" t="inlineStr">
        <is>
          <t>JÄMTLANDS LÄN</t>
        </is>
      </c>
      <c r="E1214" t="inlineStr">
        <is>
          <t>STRÖMSUND</t>
        </is>
      </c>
      <c r="F1214" t="inlineStr">
        <is>
          <t>SCA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54050-2021</t>
        </is>
      </c>
      <c r="B1215" s="1" t="n">
        <v>44470</v>
      </c>
      <c r="C1215" s="1" t="n">
        <v>45718</v>
      </c>
      <c r="D1215" t="inlineStr">
        <is>
          <t>JÄMTLANDS LÄN</t>
        </is>
      </c>
      <c r="E1215" t="inlineStr">
        <is>
          <t>STRÖMSUND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54117-2021</t>
        </is>
      </c>
      <c r="B1216" s="1" t="n">
        <v>44470</v>
      </c>
      <c r="C1216" s="1" t="n">
        <v>45718</v>
      </c>
      <c r="D1216" t="inlineStr">
        <is>
          <t>JÄMTLANDS LÄN</t>
        </is>
      </c>
      <c r="E1216" t="inlineStr">
        <is>
          <t>STRÖMSUND</t>
        </is>
      </c>
      <c r="F1216" t="inlineStr">
        <is>
          <t>Holmen skog AB</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55608-2021</t>
        </is>
      </c>
      <c r="B1217" s="1" t="n">
        <v>44475</v>
      </c>
      <c r="C1217" s="1" t="n">
        <v>45718</v>
      </c>
      <c r="D1217" t="inlineStr">
        <is>
          <t>JÄMTLANDS LÄN</t>
        </is>
      </c>
      <c r="E1217" t="inlineStr">
        <is>
          <t>STRÖMSUND</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55918-2021</t>
        </is>
      </c>
      <c r="B1218" s="1" t="n">
        <v>44476</v>
      </c>
      <c r="C1218" s="1" t="n">
        <v>45718</v>
      </c>
      <c r="D1218" t="inlineStr">
        <is>
          <t>JÄMTLANDS LÄN</t>
        </is>
      </c>
      <c r="E1218" t="inlineStr">
        <is>
          <t>STRÖMSUND</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55920-2021</t>
        </is>
      </c>
      <c r="B1219" s="1" t="n">
        <v>44476</v>
      </c>
      <c r="C1219" s="1" t="n">
        <v>45718</v>
      </c>
      <c r="D1219" t="inlineStr">
        <is>
          <t>JÄMTLANDS LÄN</t>
        </is>
      </c>
      <c r="E1219" t="inlineStr">
        <is>
          <t>STRÖMSUND</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55927-2021</t>
        </is>
      </c>
      <c r="B1220" s="1" t="n">
        <v>44476</v>
      </c>
      <c r="C1220" s="1" t="n">
        <v>45718</v>
      </c>
      <c r="D1220" t="inlineStr">
        <is>
          <t>JÄMTLANDS LÄN</t>
        </is>
      </c>
      <c r="E1220" t="inlineStr">
        <is>
          <t>STRÖMSUND</t>
        </is>
      </c>
      <c r="F1220" t="inlineStr">
        <is>
          <t>SCA</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55919-2021</t>
        </is>
      </c>
      <c r="B1221" s="1" t="n">
        <v>44477</v>
      </c>
      <c r="C1221" s="1" t="n">
        <v>45718</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55939-2021</t>
        </is>
      </c>
      <c r="B1222" s="1" t="n">
        <v>44476</v>
      </c>
      <c r="C1222" s="1" t="n">
        <v>45718</v>
      </c>
      <c r="D1222" t="inlineStr">
        <is>
          <t>JÄMTLANDS LÄN</t>
        </is>
      </c>
      <c r="E1222" t="inlineStr">
        <is>
          <t>STRÖMSUND</t>
        </is>
      </c>
      <c r="F1222" t="inlineStr">
        <is>
          <t>SCA</t>
        </is>
      </c>
      <c r="G1222" t="n">
        <v>19.3</v>
      </c>
      <c r="H1222" t="n">
        <v>0</v>
      </c>
      <c r="I1222" t="n">
        <v>0</v>
      </c>
      <c r="J1222" t="n">
        <v>0</v>
      </c>
      <c r="K1222" t="n">
        <v>0</v>
      </c>
      <c r="L1222" t="n">
        <v>0</v>
      </c>
      <c r="M1222" t="n">
        <v>0</v>
      </c>
      <c r="N1222" t="n">
        <v>0</v>
      </c>
      <c r="O1222" t="n">
        <v>0</v>
      </c>
      <c r="P1222" t="n">
        <v>0</v>
      </c>
      <c r="Q1222" t="n">
        <v>0</v>
      </c>
      <c r="R1222" s="2" t="inlineStr"/>
    </row>
    <row r="1223" ht="15" customHeight="1">
      <c r="A1223" t="inlineStr">
        <is>
          <t>A 56213-2021</t>
        </is>
      </c>
      <c r="B1223" s="1" t="n">
        <v>44478</v>
      </c>
      <c r="C1223" s="1" t="n">
        <v>45718</v>
      </c>
      <c r="D1223" t="inlineStr">
        <is>
          <t>JÄMTLANDS LÄN</t>
        </is>
      </c>
      <c r="E1223" t="inlineStr">
        <is>
          <t>STRÖMSUND</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56208-2021</t>
        </is>
      </c>
      <c r="B1224" s="1" t="n">
        <v>44477</v>
      </c>
      <c r="C1224" s="1" t="n">
        <v>45718</v>
      </c>
      <c r="D1224" t="inlineStr">
        <is>
          <t>JÄMTLANDS LÄN</t>
        </is>
      </c>
      <c r="E1224" t="inlineStr">
        <is>
          <t>STRÖMSUND</t>
        </is>
      </c>
      <c r="F1224" t="inlineStr">
        <is>
          <t>SCA</t>
        </is>
      </c>
      <c r="G1224" t="n">
        <v>23.9</v>
      </c>
      <c r="H1224" t="n">
        <v>0</v>
      </c>
      <c r="I1224" t="n">
        <v>0</v>
      </c>
      <c r="J1224" t="n">
        <v>0</v>
      </c>
      <c r="K1224" t="n">
        <v>0</v>
      </c>
      <c r="L1224" t="n">
        <v>0</v>
      </c>
      <c r="M1224" t="n">
        <v>0</v>
      </c>
      <c r="N1224" t="n">
        <v>0</v>
      </c>
      <c r="O1224" t="n">
        <v>0</v>
      </c>
      <c r="P1224" t="n">
        <v>0</v>
      </c>
      <c r="Q1224" t="n">
        <v>0</v>
      </c>
      <c r="R1224" s="2" t="inlineStr"/>
    </row>
    <row r="1225" ht="15" customHeight="1">
      <c r="A1225" t="inlineStr">
        <is>
          <t>A 56655-2021</t>
        </is>
      </c>
      <c r="B1225" s="1" t="n">
        <v>44480</v>
      </c>
      <c r="C1225" s="1" t="n">
        <v>45718</v>
      </c>
      <c r="D1225" t="inlineStr">
        <is>
          <t>JÄMTLANDS LÄN</t>
        </is>
      </c>
      <c r="E1225" t="inlineStr">
        <is>
          <t>STRÖMSUND</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56654-2021</t>
        </is>
      </c>
      <c r="B1226" s="1" t="n">
        <v>44480</v>
      </c>
      <c r="C1226" s="1" t="n">
        <v>45718</v>
      </c>
      <c r="D1226" t="inlineStr">
        <is>
          <t>JÄMTLANDS LÄN</t>
        </is>
      </c>
      <c r="E1226" t="inlineStr">
        <is>
          <t>STRÖMSUND</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57433-2021</t>
        </is>
      </c>
      <c r="B1227" s="1" t="n">
        <v>44483</v>
      </c>
      <c r="C1227" s="1" t="n">
        <v>45718</v>
      </c>
      <c r="D1227" t="inlineStr">
        <is>
          <t>JÄMTLANDS LÄN</t>
        </is>
      </c>
      <c r="E1227" t="inlineStr">
        <is>
          <t>STRÖMSUND</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57547-2021</t>
        </is>
      </c>
      <c r="B1228" s="1" t="n">
        <v>44484</v>
      </c>
      <c r="C1228" s="1" t="n">
        <v>45718</v>
      </c>
      <c r="D1228" t="inlineStr">
        <is>
          <t>JÄMTLANDS LÄN</t>
        </is>
      </c>
      <c r="E1228" t="inlineStr">
        <is>
          <t>STRÖMSUND</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57560-2021</t>
        </is>
      </c>
      <c r="B1229" s="1" t="n">
        <v>44483</v>
      </c>
      <c r="C1229" s="1" t="n">
        <v>45718</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58260-2021</t>
        </is>
      </c>
      <c r="B1230" s="1" t="n">
        <v>44487</v>
      </c>
      <c r="C1230" s="1" t="n">
        <v>45718</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58022-2021</t>
        </is>
      </c>
      <c r="B1231" s="1" t="n">
        <v>44487</v>
      </c>
      <c r="C1231" s="1" t="n">
        <v>45718</v>
      </c>
      <c r="D1231" t="inlineStr">
        <is>
          <t>JÄMTLANDS LÄN</t>
        </is>
      </c>
      <c r="E1231" t="inlineStr">
        <is>
          <t>STRÖMSUND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59126-2021</t>
        </is>
      </c>
      <c r="B1232" s="1" t="n">
        <v>44487</v>
      </c>
      <c r="C1232" s="1" t="n">
        <v>45718</v>
      </c>
      <c r="D1232" t="inlineStr">
        <is>
          <t>JÄMTLANDS LÄN</t>
        </is>
      </c>
      <c r="E1232" t="inlineStr">
        <is>
          <t>STRÖMSUND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58972-2021</t>
        </is>
      </c>
      <c r="B1233" s="1" t="n">
        <v>44490</v>
      </c>
      <c r="C1233" s="1" t="n">
        <v>45718</v>
      </c>
      <c r="D1233" t="inlineStr">
        <is>
          <t>JÄMTLANDS LÄN</t>
        </is>
      </c>
      <c r="E1233" t="inlineStr">
        <is>
          <t>STRÖMSUND</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58973-2021</t>
        </is>
      </c>
      <c r="B1234" s="1" t="n">
        <v>44489</v>
      </c>
      <c r="C1234" s="1" t="n">
        <v>45718</v>
      </c>
      <c r="D1234" t="inlineStr">
        <is>
          <t>JÄMTLANDS LÄN</t>
        </is>
      </c>
      <c r="E1234" t="inlineStr">
        <is>
          <t>STRÖMSUND</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58971-2021</t>
        </is>
      </c>
      <c r="B1235" s="1" t="n">
        <v>44490</v>
      </c>
      <c r="C1235" s="1" t="n">
        <v>45718</v>
      </c>
      <c r="D1235" t="inlineStr">
        <is>
          <t>JÄMTLANDS LÄN</t>
        </is>
      </c>
      <c r="E1235" t="inlineStr">
        <is>
          <t>STRÖMSUND</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59139-2021</t>
        </is>
      </c>
      <c r="B1236" s="1" t="n">
        <v>44490</v>
      </c>
      <c r="C1236" s="1" t="n">
        <v>45718</v>
      </c>
      <c r="D1236" t="inlineStr">
        <is>
          <t>JÄMTLANDS LÄN</t>
        </is>
      </c>
      <c r="E1236" t="inlineStr">
        <is>
          <t>STRÖMSUND</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59313-2021</t>
        </is>
      </c>
      <c r="B1237" s="1" t="n">
        <v>44491</v>
      </c>
      <c r="C1237" s="1" t="n">
        <v>45718</v>
      </c>
      <c r="D1237" t="inlineStr">
        <is>
          <t>JÄMTLANDS LÄN</t>
        </is>
      </c>
      <c r="E1237" t="inlineStr">
        <is>
          <t>STRÖMSUND</t>
        </is>
      </c>
      <c r="F1237" t="inlineStr">
        <is>
          <t>SCA</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59969-2021</t>
        </is>
      </c>
      <c r="B1238" s="1" t="n">
        <v>44495</v>
      </c>
      <c r="C1238" s="1" t="n">
        <v>45718</v>
      </c>
      <c r="D1238" t="inlineStr">
        <is>
          <t>JÄMTLANDS LÄN</t>
        </is>
      </c>
      <c r="E1238" t="inlineStr">
        <is>
          <t>STRÖMSUND</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60011-2021</t>
        </is>
      </c>
      <c r="B1239" s="1" t="n">
        <v>44495</v>
      </c>
      <c r="C1239" s="1" t="n">
        <v>45718</v>
      </c>
      <c r="D1239" t="inlineStr">
        <is>
          <t>JÄMTLANDS LÄN</t>
        </is>
      </c>
      <c r="E1239" t="inlineStr">
        <is>
          <t>STRÖMSUND</t>
        </is>
      </c>
      <c r="F1239" t="inlineStr">
        <is>
          <t>SCA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60319-2021</t>
        </is>
      </c>
      <c r="B1240" s="1" t="n">
        <v>44495</v>
      </c>
      <c r="C1240" s="1" t="n">
        <v>45718</v>
      </c>
      <c r="D1240" t="inlineStr">
        <is>
          <t>JÄMTLANDS LÄN</t>
        </is>
      </c>
      <c r="E1240" t="inlineStr">
        <is>
          <t>STRÖMSUND</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60939-2021</t>
        </is>
      </c>
      <c r="B1241" s="1" t="n">
        <v>44496</v>
      </c>
      <c r="C1241" s="1" t="n">
        <v>45718</v>
      </c>
      <c r="D1241" t="inlineStr">
        <is>
          <t>JÄMTLANDS LÄN</t>
        </is>
      </c>
      <c r="E1241" t="inlineStr">
        <is>
          <t>STRÖMSUND</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60775-2021</t>
        </is>
      </c>
      <c r="B1242" s="1" t="n">
        <v>44496</v>
      </c>
      <c r="C1242" s="1" t="n">
        <v>45718</v>
      </c>
      <c r="D1242" t="inlineStr">
        <is>
          <t>JÄMTLANDS LÄN</t>
        </is>
      </c>
      <c r="E1242" t="inlineStr">
        <is>
          <t>STRÖMSUND</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60789-2021</t>
        </is>
      </c>
      <c r="B1243" s="1" t="n">
        <v>44496</v>
      </c>
      <c r="C1243" s="1" t="n">
        <v>45718</v>
      </c>
      <c r="D1243" t="inlineStr">
        <is>
          <t>JÄMTLANDS LÄN</t>
        </is>
      </c>
      <c r="E1243" t="inlineStr">
        <is>
          <t>STRÖMSUND</t>
        </is>
      </c>
      <c r="F1243" t="inlineStr">
        <is>
          <t>SCA</t>
        </is>
      </c>
      <c r="G1243" t="n">
        <v>14.7</v>
      </c>
      <c r="H1243" t="n">
        <v>0</v>
      </c>
      <c r="I1243" t="n">
        <v>0</v>
      </c>
      <c r="J1243" t="n">
        <v>0</v>
      </c>
      <c r="K1243" t="n">
        <v>0</v>
      </c>
      <c r="L1243" t="n">
        <v>0</v>
      </c>
      <c r="M1243" t="n">
        <v>0</v>
      </c>
      <c r="N1243" t="n">
        <v>0</v>
      </c>
      <c r="O1243" t="n">
        <v>0</v>
      </c>
      <c r="P1243" t="n">
        <v>0</v>
      </c>
      <c r="Q1243" t="n">
        <v>0</v>
      </c>
      <c r="R1243" s="2" t="inlineStr"/>
    </row>
    <row r="1244" ht="15" customHeight="1">
      <c r="A1244" t="inlineStr">
        <is>
          <t>A 60801-2021</t>
        </is>
      </c>
      <c r="B1244" s="1" t="n">
        <v>44497</v>
      </c>
      <c r="C1244" s="1" t="n">
        <v>45718</v>
      </c>
      <c r="D1244" t="inlineStr">
        <is>
          <t>JÄMTLANDS LÄN</t>
        </is>
      </c>
      <c r="E1244" t="inlineStr">
        <is>
          <t>STRÖMSUND</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61612-2021</t>
        </is>
      </c>
      <c r="B1245" s="1" t="n">
        <v>44498</v>
      </c>
      <c r="C1245" s="1" t="n">
        <v>45718</v>
      </c>
      <c r="D1245" t="inlineStr">
        <is>
          <t>JÄMTLANDS LÄN</t>
        </is>
      </c>
      <c r="E1245" t="inlineStr">
        <is>
          <t>STRÖMSUND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61439-2021</t>
        </is>
      </c>
      <c r="B1246" s="1" t="n">
        <v>44500</v>
      </c>
      <c r="C1246" s="1" t="n">
        <v>45718</v>
      </c>
      <c r="D1246" t="inlineStr">
        <is>
          <t>JÄMTLANDS LÄN</t>
        </is>
      </c>
      <c r="E1246" t="inlineStr">
        <is>
          <t>STRÖMSUND</t>
        </is>
      </c>
      <c r="F1246" t="inlineStr">
        <is>
          <t>SCA</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61449-2021</t>
        </is>
      </c>
      <c r="B1247" s="1" t="n">
        <v>44500</v>
      </c>
      <c r="C1247" s="1" t="n">
        <v>45718</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61420-2021</t>
        </is>
      </c>
      <c r="B1248" s="1" t="n">
        <v>44500</v>
      </c>
      <c r="C1248" s="1" t="n">
        <v>45718</v>
      </c>
      <c r="D1248" t="inlineStr">
        <is>
          <t>JÄMTLANDS LÄN</t>
        </is>
      </c>
      <c r="E1248" t="inlineStr">
        <is>
          <t>STRÖMSUND</t>
        </is>
      </c>
      <c r="F1248" t="inlineStr">
        <is>
          <t>SCA</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61434-2021</t>
        </is>
      </c>
      <c r="B1249" s="1" t="n">
        <v>44500</v>
      </c>
      <c r="C1249" s="1" t="n">
        <v>45718</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61455-2021</t>
        </is>
      </c>
      <c r="B1250" s="1" t="n">
        <v>44500</v>
      </c>
      <c r="C1250" s="1" t="n">
        <v>45718</v>
      </c>
      <c r="D1250" t="inlineStr">
        <is>
          <t>JÄMTLANDS LÄN</t>
        </is>
      </c>
      <c r="E1250" t="inlineStr">
        <is>
          <t>STRÖMSUND</t>
        </is>
      </c>
      <c r="F1250" t="inlineStr">
        <is>
          <t>SCA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61422-2021</t>
        </is>
      </c>
      <c r="B1251" s="1" t="n">
        <v>44500</v>
      </c>
      <c r="C1251" s="1" t="n">
        <v>45718</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61419-2021</t>
        </is>
      </c>
      <c r="B1252" s="1" t="n">
        <v>44500</v>
      </c>
      <c r="C1252" s="1" t="n">
        <v>45718</v>
      </c>
      <c r="D1252" t="inlineStr">
        <is>
          <t>JÄMTLANDS LÄN</t>
        </is>
      </c>
      <c r="E1252" t="inlineStr">
        <is>
          <t>STRÖMSUND</t>
        </is>
      </c>
      <c r="F1252" t="inlineStr">
        <is>
          <t>SCA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61433-2021</t>
        </is>
      </c>
      <c r="B1253" s="1" t="n">
        <v>44500</v>
      </c>
      <c r="C1253" s="1" t="n">
        <v>45718</v>
      </c>
      <c r="D1253" t="inlineStr">
        <is>
          <t>JÄMTLANDS LÄN</t>
        </is>
      </c>
      <c r="E1253" t="inlineStr">
        <is>
          <t>STRÖMSUND</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61450-2021</t>
        </is>
      </c>
      <c r="B1254" s="1" t="n">
        <v>44500</v>
      </c>
      <c r="C1254" s="1" t="n">
        <v>45718</v>
      </c>
      <c r="D1254" t="inlineStr">
        <is>
          <t>JÄMTLANDS LÄN</t>
        </is>
      </c>
      <c r="E1254" t="inlineStr">
        <is>
          <t>STRÖMSUND</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61731-2021</t>
        </is>
      </c>
      <c r="B1255" s="1" t="n">
        <v>44501</v>
      </c>
      <c r="C1255" s="1" t="n">
        <v>45718</v>
      </c>
      <c r="D1255" t="inlineStr">
        <is>
          <t>JÄMTLANDS LÄN</t>
        </is>
      </c>
      <c r="E1255" t="inlineStr">
        <is>
          <t>STRÖMSUND</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62203-2021</t>
        </is>
      </c>
      <c r="B1256" s="1" t="n">
        <v>44502</v>
      </c>
      <c r="C1256" s="1" t="n">
        <v>45718</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62194-2021</t>
        </is>
      </c>
      <c r="B1257" s="1" t="n">
        <v>44502</v>
      </c>
      <c r="C1257" s="1" t="n">
        <v>45718</v>
      </c>
      <c r="D1257" t="inlineStr">
        <is>
          <t>JÄMTLANDS LÄN</t>
        </is>
      </c>
      <c r="E1257" t="inlineStr">
        <is>
          <t>STRÖMSUND</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62234-2021</t>
        </is>
      </c>
      <c r="B1258" s="1" t="n">
        <v>44503</v>
      </c>
      <c r="C1258" s="1" t="n">
        <v>45718</v>
      </c>
      <c r="D1258" t="inlineStr">
        <is>
          <t>JÄMTLANDS LÄN</t>
        </is>
      </c>
      <c r="E1258" t="inlineStr">
        <is>
          <t>STRÖMSUND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62431-2021</t>
        </is>
      </c>
      <c r="B1259" s="1" t="n">
        <v>44503</v>
      </c>
      <c r="C1259" s="1" t="n">
        <v>45718</v>
      </c>
      <c r="D1259" t="inlineStr">
        <is>
          <t>JÄMTLANDS LÄN</t>
        </is>
      </c>
      <c r="E1259" t="inlineStr">
        <is>
          <t>STRÖMSUND</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62667-2021</t>
        </is>
      </c>
      <c r="B1260" s="1" t="n">
        <v>44503</v>
      </c>
      <c r="C1260" s="1" t="n">
        <v>45718</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62666-2021</t>
        </is>
      </c>
      <c r="B1261" s="1" t="n">
        <v>44503</v>
      </c>
      <c r="C1261" s="1" t="n">
        <v>45718</v>
      </c>
      <c r="D1261" t="inlineStr">
        <is>
          <t>JÄMTLANDS LÄN</t>
        </is>
      </c>
      <c r="E1261" t="inlineStr">
        <is>
          <t>STRÖMSUND</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62669-2021</t>
        </is>
      </c>
      <c r="B1262" s="1" t="n">
        <v>44503</v>
      </c>
      <c r="C1262" s="1" t="n">
        <v>45718</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62668-2021</t>
        </is>
      </c>
      <c r="B1263" s="1" t="n">
        <v>44503</v>
      </c>
      <c r="C1263" s="1" t="n">
        <v>45718</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64744-2021</t>
        </is>
      </c>
      <c r="B1264" s="1" t="n">
        <v>44503</v>
      </c>
      <c r="C1264" s="1" t="n">
        <v>45718</v>
      </c>
      <c r="D1264" t="inlineStr">
        <is>
          <t>JÄMTLANDS LÄN</t>
        </is>
      </c>
      <c r="E1264" t="inlineStr">
        <is>
          <t>STRÖMSUND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64760-2021</t>
        </is>
      </c>
      <c r="B1265" s="1" t="n">
        <v>44503</v>
      </c>
      <c r="C1265" s="1" t="n">
        <v>45718</v>
      </c>
      <c r="D1265" t="inlineStr">
        <is>
          <t>JÄMTLANDS LÄN</t>
        </is>
      </c>
      <c r="E1265" t="inlineStr">
        <is>
          <t>STRÖMSUND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63070-2021</t>
        </is>
      </c>
      <c r="B1266" s="1" t="n">
        <v>44505</v>
      </c>
      <c r="C1266" s="1" t="n">
        <v>45718</v>
      </c>
      <c r="D1266" t="inlineStr">
        <is>
          <t>JÄMTLANDS LÄN</t>
        </is>
      </c>
      <c r="E1266" t="inlineStr">
        <is>
          <t>STRÖMSUND</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63498-2021</t>
        </is>
      </c>
      <c r="B1267" s="1" t="n">
        <v>44508</v>
      </c>
      <c r="C1267" s="1" t="n">
        <v>45718</v>
      </c>
      <c r="D1267" t="inlineStr">
        <is>
          <t>JÄMTLANDS LÄN</t>
        </is>
      </c>
      <c r="E1267" t="inlineStr">
        <is>
          <t>STRÖMSUND</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63875-2021</t>
        </is>
      </c>
      <c r="B1268" s="1" t="n">
        <v>44509</v>
      </c>
      <c r="C1268" s="1" t="n">
        <v>45718</v>
      </c>
      <c r="D1268" t="inlineStr">
        <is>
          <t>JÄMTLANDS LÄN</t>
        </is>
      </c>
      <c r="E1268" t="inlineStr">
        <is>
          <t>STRÖMSUND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64000-2021</t>
        </is>
      </c>
      <c r="B1269" s="1" t="n">
        <v>44510</v>
      </c>
      <c r="C1269" s="1" t="n">
        <v>45718</v>
      </c>
      <c r="D1269" t="inlineStr">
        <is>
          <t>JÄMTLANDS LÄN</t>
        </is>
      </c>
      <c r="E1269" t="inlineStr">
        <is>
          <t>STRÖMSUND</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63999-2021</t>
        </is>
      </c>
      <c r="B1270" s="1" t="n">
        <v>44510</v>
      </c>
      <c r="C1270" s="1" t="n">
        <v>45718</v>
      </c>
      <c r="D1270" t="inlineStr">
        <is>
          <t>JÄMTLANDS LÄN</t>
        </is>
      </c>
      <c r="E1270" t="inlineStr">
        <is>
          <t>STRÖMSUND</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63988-2021</t>
        </is>
      </c>
      <c r="B1271" s="1" t="n">
        <v>44509</v>
      </c>
      <c r="C1271" s="1" t="n">
        <v>45718</v>
      </c>
      <c r="D1271" t="inlineStr">
        <is>
          <t>JÄMTLANDS LÄN</t>
        </is>
      </c>
      <c r="E1271" t="inlineStr">
        <is>
          <t>STRÖMSUND</t>
        </is>
      </c>
      <c r="F1271" t="inlineStr">
        <is>
          <t>SCA</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64001-2021</t>
        </is>
      </c>
      <c r="B1272" s="1" t="n">
        <v>44509</v>
      </c>
      <c r="C1272" s="1" t="n">
        <v>45718</v>
      </c>
      <c r="D1272" t="inlineStr">
        <is>
          <t>JÄMTLANDS LÄN</t>
        </is>
      </c>
      <c r="E1272" t="inlineStr">
        <is>
          <t>STRÖMSUND</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64200-2021</t>
        </is>
      </c>
      <c r="B1273" s="1" t="n">
        <v>44510</v>
      </c>
      <c r="C1273" s="1" t="n">
        <v>45718</v>
      </c>
      <c r="D1273" t="inlineStr">
        <is>
          <t>JÄMTLANDS LÄN</t>
        </is>
      </c>
      <c r="E1273" t="inlineStr">
        <is>
          <t>STRÖMSUND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64186-2021</t>
        </is>
      </c>
      <c r="B1274" s="1" t="n">
        <v>44510</v>
      </c>
      <c r="C1274" s="1" t="n">
        <v>45718</v>
      </c>
      <c r="D1274" t="inlineStr">
        <is>
          <t>JÄMTLANDS LÄN</t>
        </is>
      </c>
      <c r="E1274" t="inlineStr">
        <is>
          <t>STRÖMSUND</t>
        </is>
      </c>
      <c r="G1274" t="n">
        <v>18.2</v>
      </c>
      <c r="H1274" t="n">
        <v>0</v>
      </c>
      <c r="I1274" t="n">
        <v>0</v>
      </c>
      <c r="J1274" t="n">
        <v>0</v>
      </c>
      <c r="K1274" t="n">
        <v>0</v>
      </c>
      <c r="L1274" t="n">
        <v>0</v>
      </c>
      <c r="M1274" t="n">
        <v>0</v>
      </c>
      <c r="N1274" t="n">
        <v>0</v>
      </c>
      <c r="O1274" t="n">
        <v>0</v>
      </c>
      <c r="P1274" t="n">
        <v>0</v>
      </c>
      <c r="Q1274" t="n">
        <v>0</v>
      </c>
      <c r="R1274" s="2" t="inlineStr"/>
    </row>
    <row r="1275" ht="15" customHeight="1">
      <c r="A1275" t="inlineStr">
        <is>
          <t>A 64291-2021</t>
        </is>
      </c>
      <c r="B1275" s="1" t="n">
        <v>44510</v>
      </c>
      <c r="C1275" s="1" t="n">
        <v>45718</v>
      </c>
      <c r="D1275" t="inlineStr">
        <is>
          <t>JÄMTLANDS LÄN</t>
        </is>
      </c>
      <c r="E1275" t="inlineStr">
        <is>
          <t>STRÖMSUND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64310-2021</t>
        </is>
      </c>
      <c r="B1276" s="1" t="n">
        <v>44510</v>
      </c>
      <c r="C1276" s="1" t="n">
        <v>45718</v>
      </c>
      <c r="D1276" t="inlineStr">
        <is>
          <t>JÄMTLANDS LÄN</t>
        </is>
      </c>
      <c r="E1276" t="inlineStr">
        <is>
          <t>STRÖMSUND</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64309-2021</t>
        </is>
      </c>
      <c r="B1277" s="1" t="n">
        <v>44510</v>
      </c>
      <c r="C1277" s="1" t="n">
        <v>45718</v>
      </c>
      <c r="D1277" t="inlineStr">
        <is>
          <t>JÄMTLANDS LÄN</t>
        </is>
      </c>
      <c r="E1277" t="inlineStr">
        <is>
          <t>STRÖMSUND</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64505-2021</t>
        </is>
      </c>
      <c r="B1278" s="1" t="n">
        <v>44511</v>
      </c>
      <c r="C1278" s="1" t="n">
        <v>45718</v>
      </c>
      <c r="D1278" t="inlineStr">
        <is>
          <t>JÄMTLANDS LÄN</t>
        </is>
      </c>
      <c r="E1278" t="inlineStr">
        <is>
          <t>STRÖMSUND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64655-2021</t>
        </is>
      </c>
      <c r="B1279" s="1" t="n">
        <v>44511</v>
      </c>
      <c r="C1279" s="1" t="n">
        <v>45718</v>
      </c>
      <c r="D1279" t="inlineStr">
        <is>
          <t>JÄMTLANDS LÄN</t>
        </is>
      </c>
      <c r="E1279" t="inlineStr">
        <is>
          <t>STRÖMSUND</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64656-2021</t>
        </is>
      </c>
      <c r="B1280" s="1" t="n">
        <v>44511</v>
      </c>
      <c r="C1280" s="1" t="n">
        <v>45718</v>
      </c>
      <c r="D1280" t="inlineStr">
        <is>
          <t>JÄMTLANDS LÄN</t>
        </is>
      </c>
      <c r="E1280" t="inlineStr">
        <is>
          <t>STRÖMSUND</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64660-2021</t>
        </is>
      </c>
      <c r="B1281" s="1" t="n">
        <v>44511</v>
      </c>
      <c r="C1281" s="1" t="n">
        <v>45718</v>
      </c>
      <c r="D1281" t="inlineStr">
        <is>
          <t>JÄMTLANDS LÄN</t>
        </is>
      </c>
      <c r="E1281" t="inlineStr">
        <is>
          <t>STRÖMSUND</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64657-2021</t>
        </is>
      </c>
      <c r="B1282" s="1" t="n">
        <v>44511</v>
      </c>
      <c r="C1282" s="1" t="n">
        <v>45718</v>
      </c>
      <c r="D1282" t="inlineStr">
        <is>
          <t>JÄMTLANDS LÄN</t>
        </is>
      </c>
      <c r="E1282" t="inlineStr">
        <is>
          <t>STRÖMSUND</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64723-2021</t>
        </is>
      </c>
      <c r="B1283" s="1" t="n">
        <v>44512</v>
      </c>
      <c r="C1283" s="1" t="n">
        <v>45718</v>
      </c>
      <c r="D1283" t="inlineStr">
        <is>
          <t>JÄMTLANDS LÄN</t>
        </is>
      </c>
      <c r="E1283" t="inlineStr">
        <is>
          <t>STRÖMSUND</t>
        </is>
      </c>
      <c r="F1283" t="inlineStr">
        <is>
          <t>Holmen skog AB</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64913-2021</t>
        </is>
      </c>
      <c r="B1284" s="1" t="n">
        <v>44512</v>
      </c>
      <c r="C1284" s="1" t="n">
        <v>45718</v>
      </c>
      <c r="D1284" t="inlineStr">
        <is>
          <t>JÄMTLANDS LÄN</t>
        </is>
      </c>
      <c r="E1284" t="inlineStr">
        <is>
          <t>STRÖMSUND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64955-2021</t>
        </is>
      </c>
      <c r="B1285" s="1" t="n">
        <v>44512</v>
      </c>
      <c r="C1285" s="1" t="n">
        <v>45718</v>
      </c>
      <c r="D1285" t="inlineStr">
        <is>
          <t>JÄMTLANDS LÄN</t>
        </is>
      </c>
      <c r="E1285" t="inlineStr">
        <is>
          <t>STRÖMSUND</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65412-2021</t>
        </is>
      </c>
      <c r="B1286" s="1" t="n">
        <v>44515</v>
      </c>
      <c r="C1286" s="1" t="n">
        <v>45718</v>
      </c>
      <c r="D1286" t="inlineStr">
        <is>
          <t>JÄMTLANDS LÄN</t>
        </is>
      </c>
      <c r="E1286" t="inlineStr">
        <is>
          <t>STRÖMSUND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65430-2021</t>
        </is>
      </c>
      <c r="B1287" s="1" t="n">
        <v>44515</v>
      </c>
      <c r="C1287" s="1" t="n">
        <v>45718</v>
      </c>
      <c r="D1287" t="inlineStr">
        <is>
          <t>JÄMTLANDS LÄN</t>
        </is>
      </c>
      <c r="E1287" t="inlineStr">
        <is>
          <t>STRÖMSUND</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65442-2021</t>
        </is>
      </c>
      <c r="B1288" s="1" t="n">
        <v>44515</v>
      </c>
      <c r="C1288" s="1" t="n">
        <v>45718</v>
      </c>
      <c r="D1288" t="inlineStr">
        <is>
          <t>JÄMTLANDS LÄN</t>
        </is>
      </c>
      <c r="E1288" t="inlineStr">
        <is>
          <t>STRÖMSUND</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65776-2021</t>
        </is>
      </c>
      <c r="B1289" s="1" t="n">
        <v>44516</v>
      </c>
      <c r="C1289" s="1" t="n">
        <v>45718</v>
      </c>
      <c r="D1289" t="inlineStr">
        <is>
          <t>JÄMTLANDS LÄN</t>
        </is>
      </c>
      <c r="E1289" t="inlineStr">
        <is>
          <t>STRÖMSUND</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65787-2021</t>
        </is>
      </c>
      <c r="B1290" s="1" t="n">
        <v>44516</v>
      </c>
      <c r="C1290" s="1" t="n">
        <v>45718</v>
      </c>
      <c r="D1290" t="inlineStr">
        <is>
          <t>JÄMTLANDS LÄN</t>
        </is>
      </c>
      <c r="E1290" t="inlineStr">
        <is>
          <t>STRÖMSUND</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66088-2021</t>
        </is>
      </c>
      <c r="B1291" s="1" t="n">
        <v>44517</v>
      </c>
      <c r="C1291" s="1" t="n">
        <v>45718</v>
      </c>
      <c r="D1291" t="inlineStr">
        <is>
          <t>JÄMTLANDS LÄN</t>
        </is>
      </c>
      <c r="E1291" t="inlineStr">
        <is>
          <t>STRÖMSUND</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66166-2021</t>
        </is>
      </c>
      <c r="B1292" s="1" t="n">
        <v>44517</v>
      </c>
      <c r="C1292" s="1" t="n">
        <v>45718</v>
      </c>
      <c r="D1292" t="inlineStr">
        <is>
          <t>JÄMTLANDS LÄN</t>
        </is>
      </c>
      <c r="E1292" t="inlineStr">
        <is>
          <t>STRÖMSUND</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66475-2021</t>
        </is>
      </c>
      <c r="B1293" s="1" t="n">
        <v>44518</v>
      </c>
      <c r="C1293" s="1" t="n">
        <v>45718</v>
      </c>
      <c r="D1293" t="inlineStr">
        <is>
          <t>JÄMTLANDS LÄN</t>
        </is>
      </c>
      <c r="E1293" t="inlineStr">
        <is>
          <t>STRÖMSUND</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66485-2021</t>
        </is>
      </c>
      <c r="B1294" s="1" t="n">
        <v>44518</v>
      </c>
      <c r="C1294" s="1" t="n">
        <v>45718</v>
      </c>
      <c r="D1294" t="inlineStr">
        <is>
          <t>JÄMTLANDS LÄN</t>
        </is>
      </c>
      <c r="E1294" t="inlineStr">
        <is>
          <t>STRÖMSUND</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66488-2021</t>
        </is>
      </c>
      <c r="B1295" s="1" t="n">
        <v>44518</v>
      </c>
      <c r="C1295" s="1" t="n">
        <v>45718</v>
      </c>
      <c r="D1295" t="inlineStr">
        <is>
          <t>JÄMTLANDS LÄN</t>
        </is>
      </c>
      <c r="E1295" t="inlineStr">
        <is>
          <t>STRÖMSUND</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66486-2021</t>
        </is>
      </c>
      <c r="B1296" s="1" t="n">
        <v>44518</v>
      </c>
      <c r="C1296" s="1" t="n">
        <v>45718</v>
      </c>
      <c r="D1296" t="inlineStr">
        <is>
          <t>JÄMTLANDS LÄN</t>
        </is>
      </c>
      <c r="E1296" t="inlineStr">
        <is>
          <t>STRÖMSUND</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66487-2021</t>
        </is>
      </c>
      <c r="B1297" s="1" t="n">
        <v>44518</v>
      </c>
      <c r="C1297" s="1" t="n">
        <v>45718</v>
      </c>
      <c r="D1297" t="inlineStr">
        <is>
          <t>JÄMTLANDS LÄN</t>
        </is>
      </c>
      <c r="E1297" t="inlineStr">
        <is>
          <t>STRÖMSUND</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66784-2021</t>
        </is>
      </c>
      <c r="B1298" s="1" t="n">
        <v>44519</v>
      </c>
      <c r="C1298" s="1" t="n">
        <v>45718</v>
      </c>
      <c r="D1298" t="inlineStr">
        <is>
          <t>JÄMTLANDS LÄN</t>
        </is>
      </c>
      <c r="E1298" t="inlineStr">
        <is>
          <t>STRÖMSUND</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66742-2021</t>
        </is>
      </c>
      <c r="B1299" s="1" t="n">
        <v>44520</v>
      </c>
      <c r="C1299" s="1" t="n">
        <v>45718</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67096-2021</t>
        </is>
      </c>
      <c r="B1300" s="1" t="n">
        <v>44522</v>
      </c>
      <c r="C1300" s="1" t="n">
        <v>45718</v>
      </c>
      <c r="D1300" t="inlineStr">
        <is>
          <t>JÄMTLANDS LÄN</t>
        </is>
      </c>
      <c r="E1300" t="inlineStr">
        <is>
          <t>STRÖMSUND</t>
        </is>
      </c>
      <c r="F1300" t="inlineStr">
        <is>
          <t>SCA</t>
        </is>
      </c>
      <c r="G1300" t="n">
        <v>9.300000000000001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67099-2021</t>
        </is>
      </c>
      <c r="B1301" s="1" t="n">
        <v>44522</v>
      </c>
      <c r="C1301" s="1" t="n">
        <v>45718</v>
      </c>
      <c r="D1301" t="inlineStr">
        <is>
          <t>JÄMTLANDS LÄN</t>
        </is>
      </c>
      <c r="E1301" t="inlineStr">
        <is>
          <t>STRÖMSUND</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67097-2021</t>
        </is>
      </c>
      <c r="B1302" s="1" t="n">
        <v>44522</v>
      </c>
      <c r="C1302" s="1" t="n">
        <v>45718</v>
      </c>
      <c r="D1302" t="inlineStr">
        <is>
          <t>JÄMTLANDS LÄN</t>
        </is>
      </c>
      <c r="E1302" t="inlineStr">
        <is>
          <t>STRÖMSUND</t>
        </is>
      </c>
      <c r="F1302" t="inlineStr">
        <is>
          <t>SCA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67114-2021</t>
        </is>
      </c>
      <c r="B1303" s="1" t="n">
        <v>44523</v>
      </c>
      <c r="C1303" s="1" t="n">
        <v>45718</v>
      </c>
      <c r="D1303" t="inlineStr">
        <is>
          <t>JÄMTLANDS LÄN</t>
        </is>
      </c>
      <c r="E1303" t="inlineStr">
        <is>
          <t>STRÖMSUND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67696-2021</t>
        </is>
      </c>
      <c r="B1304" s="1" t="n">
        <v>44524</v>
      </c>
      <c r="C1304" s="1" t="n">
        <v>45718</v>
      </c>
      <c r="D1304" t="inlineStr">
        <is>
          <t>JÄMTLANDS LÄN</t>
        </is>
      </c>
      <c r="E1304" t="inlineStr">
        <is>
          <t>STRÖMSUND</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67903-2021</t>
        </is>
      </c>
      <c r="B1305" s="1" t="n">
        <v>44525</v>
      </c>
      <c r="C1305" s="1" t="n">
        <v>45718</v>
      </c>
      <c r="D1305" t="inlineStr">
        <is>
          <t>JÄMTLANDS LÄN</t>
        </is>
      </c>
      <c r="E1305" t="inlineStr">
        <is>
          <t>STRÖMSUND</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67906-2021</t>
        </is>
      </c>
      <c r="B1306" s="1" t="n">
        <v>44525</v>
      </c>
      <c r="C1306" s="1" t="n">
        <v>45718</v>
      </c>
      <c r="D1306" t="inlineStr">
        <is>
          <t>JÄMTLANDS LÄN</t>
        </is>
      </c>
      <c r="E1306" t="inlineStr">
        <is>
          <t>STRÖMSUND</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68646-2021</t>
        </is>
      </c>
      <c r="B1307" s="1" t="n">
        <v>44529</v>
      </c>
      <c r="C1307" s="1" t="n">
        <v>45718</v>
      </c>
      <c r="D1307" t="inlineStr">
        <is>
          <t>JÄMTLANDS LÄN</t>
        </is>
      </c>
      <c r="E1307" t="inlineStr">
        <is>
          <t>STRÖMSUND</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68675-2021</t>
        </is>
      </c>
      <c r="B1308" s="1" t="n">
        <v>44529</v>
      </c>
      <c r="C1308" s="1" t="n">
        <v>45718</v>
      </c>
      <c r="D1308" t="inlineStr">
        <is>
          <t>JÄMTLANDS LÄN</t>
        </is>
      </c>
      <c r="E1308" t="inlineStr">
        <is>
          <t>STRÖMSUND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68424-2021</t>
        </is>
      </c>
      <c r="B1309" s="1" t="n">
        <v>44529</v>
      </c>
      <c r="C1309" s="1" t="n">
        <v>45718</v>
      </c>
      <c r="D1309" t="inlineStr">
        <is>
          <t>JÄMTLANDS LÄN</t>
        </is>
      </c>
      <c r="E1309" t="inlineStr">
        <is>
          <t>STRÖMSUND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68442-2021</t>
        </is>
      </c>
      <c r="B1310" s="1" t="n">
        <v>44529</v>
      </c>
      <c r="C1310" s="1" t="n">
        <v>45718</v>
      </c>
      <c r="D1310" t="inlineStr">
        <is>
          <t>JÄMTLANDS LÄN</t>
        </is>
      </c>
      <c r="E1310" t="inlineStr">
        <is>
          <t>STRÖMSUND</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68776-2021</t>
        </is>
      </c>
      <c r="B1311" s="1" t="n">
        <v>44529</v>
      </c>
      <c r="C1311" s="1" t="n">
        <v>45718</v>
      </c>
      <c r="D1311" t="inlineStr">
        <is>
          <t>JÄMTLANDS LÄN</t>
        </is>
      </c>
      <c r="E1311" t="inlineStr">
        <is>
          <t>STRÖMSUND</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68777-2021</t>
        </is>
      </c>
      <c r="B1312" s="1" t="n">
        <v>44529</v>
      </c>
      <c r="C1312" s="1" t="n">
        <v>45718</v>
      </c>
      <c r="D1312" t="inlineStr">
        <is>
          <t>JÄMTLANDS LÄN</t>
        </is>
      </c>
      <c r="E1312" t="inlineStr">
        <is>
          <t>STRÖMSUND</t>
        </is>
      </c>
      <c r="F1312" t="inlineStr">
        <is>
          <t>SCA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69139-2021</t>
        </is>
      </c>
      <c r="B1313" s="1" t="n">
        <v>44530</v>
      </c>
      <c r="C1313" s="1" t="n">
        <v>45718</v>
      </c>
      <c r="D1313" t="inlineStr">
        <is>
          <t>JÄMTLANDS LÄN</t>
        </is>
      </c>
      <c r="E1313" t="inlineStr">
        <is>
          <t>STRÖMSUND</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69132-2021</t>
        </is>
      </c>
      <c r="B1314" s="1" t="n">
        <v>44530</v>
      </c>
      <c r="C1314" s="1" t="n">
        <v>45718</v>
      </c>
      <c r="D1314" t="inlineStr">
        <is>
          <t>JÄMTLANDS LÄN</t>
        </is>
      </c>
      <c r="E1314" t="inlineStr">
        <is>
          <t>STRÖMSUND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69144-2021</t>
        </is>
      </c>
      <c r="B1315" s="1" t="n">
        <v>44530</v>
      </c>
      <c r="C1315" s="1" t="n">
        <v>45718</v>
      </c>
      <c r="D1315" t="inlineStr">
        <is>
          <t>JÄMTLANDS LÄN</t>
        </is>
      </c>
      <c r="E1315" t="inlineStr">
        <is>
          <t>STRÖMSUND</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69143-2021</t>
        </is>
      </c>
      <c r="B1316" s="1" t="n">
        <v>44530</v>
      </c>
      <c r="C1316" s="1" t="n">
        <v>45718</v>
      </c>
      <c r="D1316" t="inlineStr">
        <is>
          <t>JÄMTLANDS LÄN</t>
        </is>
      </c>
      <c r="E1316" t="inlineStr">
        <is>
          <t>STRÖMSUND</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70079-2021</t>
        </is>
      </c>
      <c r="B1317" s="1" t="n">
        <v>44533</v>
      </c>
      <c r="C1317" s="1" t="n">
        <v>45718</v>
      </c>
      <c r="D1317" t="inlineStr">
        <is>
          <t>JÄMTLANDS LÄN</t>
        </is>
      </c>
      <c r="E1317" t="inlineStr">
        <is>
          <t>STRÖMSUND</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70530-2021</t>
        </is>
      </c>
      <c r="B1318" s="1" t="n">
        <v>44536</v>
      </c>
      <c r="C1318" s="1" t="n">
        <v>45718</v>
      </c>
      <c r="D1318" t="inlineStr">
        <is>
          <t>JÄMTLANDS LÄN</t>
        </is>
      </c>
      <c r="E1318" t="inlineStr">
        <is>
          <t>STRÖMSUND</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70531-2021</t>
        </is>
      </c>
      <c r="B1319" s="1" t="n">
        <v>44536</v>
      </c>
      <c r="C1319" s="1" t="n">
        <v>45718</v>
      </c>
      <c r="D1319" t="inlineStr">
        <is>
          <t>JÄMTLANDS LÄN</t>
        </is>
      </c>
      <c r="E1319" t="inlineStr">
        <is>
          <t>STRÖMSUND</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70511-2021</t>
        </is>
      </c>
      <c r="B1320" s="1" t="n">
        <v>44536</v>
      </c>
      <c r="C1320" s="1" t="n">
        <v>45718</v>
      </c>
      <c r="D1320" t="inlineStr">
        <is>
          <t>JÄMTLANDS LÄN</t>
        </is>
      </c>
      <c r="E1320" t="inlineStr">
        <is>
          <t>STRÖMSUND</t>
        </is>
      </c>
      <c r="F1320" t="inlineStr">
        <is>
          <t>SCA</t>
        </is>
      </c>
      <c r="G1320" t="n">
        <v>401.6</v>
      </c>
      <c r="H1320" t="n">
        <v>0</v>
      </c>
      <c r="I1320" t="n">
        <v>0</v>
      </c>
      <c r="J1320" t="n">
        <v>0</v>
      </c>
      <c r="K1320" t="n">
        <v>0</v>
      </c>
      <c r="L1320" t="n">
        <v>0</v>
      </c>
      <c r="M1320" t="n">
        <v>0</v>
      </c>
      <c r="N1320" t="n">
        <v>0</v>
      </c>
      <c r="O1320" t="n">
        <v>0</v>
      </c>
      <c r="P1320" t="n">
        <v>0</v>
      </c>
      <c r="Q1320" t="n">
        <v>0</v>
      </c>
      <c r="R1320" s="2" t="inlineStr"/>
    </row>
    <row r="1321" ht="15" customHeight="1">
      <c r="A1321" t="inlineStr">
        <is>
          <t>A 70529-2021</t>
        </is>
      </c>
      <c r="B1321" s="1" t="n">
        <v>44536</v>
      </c>
      <c r="C1321" s="1" t="n">
        <v>45718</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71352-2021</t>
        </is>
      </c>
      <c r="B1322" s="1" t="n">
        <v>44539</v>
      </c>
      <c r="C1322" s="1" t="n">
        <v>45718</v>
      </c>
      <c r="D1322" t="inlineStr">
        <is>
          <t>JÄMTLANDS LÄN</t>
        </is>
      </c>
      <c r="E1322" t="inlineStr">
        <is>
          <t>STRÖMSUND</t>
        </is>
      </c>
      <c r="G1322" t="n">
        <v>0.2</v>
      </c>
      <c r="H1322" t="n">
        <v>0</v>
      </c>
      <c r="I1322" t="n">
        <v>0</v>
      </c>
      <c r="J1322" t="n">
        <v>0</v>
      </c>
      <c r="K1322" t="n">
        <v>0</v>
      </c>
      <c r="L1322" t="n">
        <v>0</v>
      </c>
      <c r="M1322" t="n">
        <v>0</v>
      </c>
      <c r="N1322" t="n">
        <v>0</v>
      </c>
      <c r="O1322" t="n">
        <v>0</v>
      </c>
      <c r="P1322" t="n">
        <v>0</v>
      </c>
      <c r="Q1322" t="n">
        <v>0</v>
      </c>
      <c r="R1322" s="2" t="inlineStr"/>
      <c r="U1322">
        <f>HYPERLINK("https://klasma.github.io/Logging_2313/knärot/A 71352-2021 karta knärot.png", "A 71352-2021")</f>
        <v/>
      </c>
      <c r="V1322">
        <f>HYPERLINK("https://klasma.github.io/Logging_2313/klagomål/A 71352-2021 FSC-klagomål.docx", "A 71352-2021")</f>
        <v/>
      </c>
      <c r="W1322">
        <f>HYPERLINK("https://klasma.github.io/Logging_2313/klagomålsmail/A 71352-2021 FSC-klagomål mail.docx", "A 71352-2021")</f>
        <v/>
      </c>
      <c r="X1322">
        <f>HYPERLINK("https://klasma.github.io/Logging_2313/tillsyn/A 71352-2021 tillsynsbegäran.docx", "A 71352-2021")</f>
        <v/>
      </c>
      <c r="Y1322">
        <f>HYPERLINK("https://klasma.github.io/Logging_2313/tillsynsmail/A 71352-2021 tillsynsbegäran mail.docx", "A 71352-2021")</f>
        <v/>
      </c>
    </row>
    <row r="1323" ht="15" customHeight="1">
      <c r="A1323" t="inlineStr">
        <is>
          <t>A 71353-2021</t>
        </is>
      </c>
      <c r="B1323" s="1" t="n">
        <v>44539</v>
      </c>
      <c r="C1323" s="1" t="n">
        <v>45718</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71376-2021</t>
        </is>
      </c>
      <c r="B1324" s="1" t="n">
        <v>44539</v>
      </c>
      <c r="C1324" s="1" t="n">
        <v>45718</v>
      </c>
      <c r="D1324" t="inlineStr">
        <is>
          <t>JÄMTLANDS LÄN</t>
        </is>
      </c>
      <c r="E1324" t="inlineStr">
        <is>
          <t>STRÖMSUND</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71377-2021</t>
        </is>
      </c>
      <c r="B1325" s="1" t="n">
        <v>44539</v>
      </c>
      <c r="C1325" s="1" t="n">
        <v>45718</v>
      </c>
      <c r="D1325" t="inlineStr">
        <is>
          <t>JÄMTLANDS LÄN</t>
        </is>
      </c>
      <c r="E1325" t="inlineStr">
        <is>
          <t>STRÖMSUND</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71912-2021</t>
        </is>
      </c>
      <c r="B1326" s="1" t="n">
        <v>44543</v>
      </c>
      <c r="C1326" s="1" t="n">
        <v>45718</v>
      </c>
      <c r="D1326" t="inlineStr">
        <is>
          <t>JÄMTLANDS LÄN</t>
        </is>
      </c>
      <c r="E1326" t="inlineStr">
        <is>
          <t>STRÖMSUND</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71911-2021</t>
        </is>
      </c>
      <c r="B1327" s="1" t="n">
        <v>44543</v>
      </c>
      <c r="C1327" s="1" t="n">
        <v>45718</v>
      </c>
      <c r="D1327" t="inlineStr">
        <is>
          <t>JÄMTLANDS LÄN</t>
        </is>
      </c>
      <c r="E1327" t="inlineStr">
        <is>
          <t>STRÖMSUND</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72629-2021</t>
        </is>
      </c>
      <c r="B1328" s="1" t="n">
        <v>44545</v>
      </c>
      <c r="C1328" s="1" t="n">
        <v>45718</v>
      </c>
      <c r="D1328" t="inlineStr">
        <is>
          <t>JÄMTLANDS LÄN</t>
        </is>
      </c>
      <c r="E1328" t="inlineStr">
        <is>
          <t>STRÖMSUND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72497-2021</t>
        </is>
      </c>
      <c r="B1329" s="1" t="n">
        <v>44545</v>
      </c>
      <c r="C1329" s="1" t="n">
        <v>45718</v>
      </c>
      <c r="D1329" t="inlineStr">
        <is>
          <t>JÄMTLANDS LÄN</t>
        </is>
      </c>
      <c r="E1329" t="inlineStr">
        <is>
          <t>STRÖMSUND</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72543-2021</t>
        </is>
      </c>
      <c r="B1330" s="1" t="n">
        <v>44546</v>
      </c>
      <c r="C1330" s="1" t="n">
        <v>45718</v>
      </c>
      <c r="D1330" t="inlineStr">
        <is>
          <t>JÄMTLANDS LÄN</t>
        </is>
      </c>
      <c r="E1330" t="inlineStr">
        <is>
          <t>STRÖMSUND</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72749-2021</t>
        </is>
      </c>
      <c r="B1331" s="1" t="n">
        <v>44546</v>
      </c>
      <c r="C1331" s="1" t="n">
        <v>45718</v>
      </c>
      <c r="D1331" t="inlineStr">
        <is>
          <t>JÄMTLANDS LÄN</t>
        </is>
      </c>
      <c r="E1331" t="inlineStr">
        <is>
          <t>STRÖMSUND</t>
        </is>
      </c>
      <c r="G1331" t="n">
        <v>35.6</v>
      </c>
      <c r="H1331" t="n">
        <v>0</v>
      </c>
      <c r="I1331" t="n">
        <v>0</v>
      </c>
      <c r="J1331" t="n">
        <v>0</v>
      </c>
      <c r="K1331" t="n">
        <v>0</v>
      </c>
      <c r="L1331" t="n">
        <v>0</v>
      </c>
      <c r="M1331" t="n">
        <v>0</v>
      </c>
      <c r="N1331" t="n">
        <v>0</v>
      </c>
      <c r="O1331" t="n">
        <v>0</v>
      </c>
      <c r="P1331" t="n">
        <v>0</v>
      </c>
      <c r="Q1331" t="n">
        <v>0</v>
      </c>
      <c r="R1331" s="2" t="inlineStr"/>
    </row>
    <row r="1332" ht="15" customHeight="1">
      <c r="A1332" t="inlineStr">
        <is>
          <t>A 72753-2021</t>
        </is>
      </c>
      <c r="B1332" s="1" t="n">
        <v>44546</v>
      </c>
      <c r="C1332" s="1" t="n">
        <v>45718</v>
      </c>
      <c r="D1332" t="inlineStr">
        <is>
          <t>JÄMTLANDS LÄN</t>
        </is>
      </c>
      <c r="E1332" t="inlineStr">
        <is>
          <t>STRÖMSUND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72827-2021</t>
        </is>
      </c>
      <c r="B1333" s="1" t="n">
        <v>44547</v>
      </c>
      <c r="C1333" s="1" t="n">
        <v>45718</v>
      </c>
      <c r="D1333" t="inlineStr">
        <is>
          <t>JÄMTLANDS LÄN</t>
        </is>
      </c>
      <c r="E1333" t="inlineStr">
        <is>
          <t>STRÖMSUND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72957-2021</t>
        </is>
      </c>
      <c r="B1334" s="1" t="n">
        <v>44547</v>
      </c>
      <c r="C1334" s="1" t="n">
        <v>45718</v>
      </c>
      <c r="D1334" t="inlineStr">
        <is>
          <t>JÄMTLANDS LÄN</t>
        </is>
      </c>
      <c r="E1334" t="inlineStr">
        <is>
          <t>STRÖMSUND</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72956-2021</t>
        </is>
      </c>
      <c r="B1335" s="1" t="n">
        <v>44547</v>
      </c>
      <c r="C1335" s="1" t="n">
        <v>45718</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73288-2021</t>
        </is>
      </c>
      <c r="B1336" s="1" t="n">
        <v>44550</v>
      </c>
      <c r="C1336" s="1" t="n">
        <v>45718</v>
      </c>
      <c r="D1336" t="inlineStr">
        <is>
          <t>JÄMTLANDS LÄN</t>
        </is>
      </c>
      <c r="E1336" t="inlineStr">
        <is>
          <t>STRÖMSUND</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73291-2021</t>
        </is>
      </c>
      <c r="B1337" s="1" t="n">
        <v>44550</v>
      </c>
      <c r="C1337" s="1" t="n">
        <v>45718</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73289-2021</t>
        </is>
      </c>
      <c r="B1338" s="1" t="n">
        <v>44550</v>
      </c>
      <c r="C1338" s="1" t="n">
        <v>45718</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364-2022</t>
        </is>
      </c>
      <c r="B1339" s="1" t="n">
        <v>44565</v>
      </c>
      <c r="C1339" s="1" t="n">
        <v>45718</v>
      </c>
      <c r="D1339" t="inlineStr">
        <is>
          <t>JÄMTLANDS LÄN</t>
        </is>
      </c>
      <c r="E1339" t="inlineStr">
        <is>
          <t>STRÖMSUND</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585-2022</t>
        </is>
      </c>
      <c r="B1340" s="1" t="n">
        <v>44566</v>
      </c>
      <c r="C1340" s="1" t="n">
        <v>45718</v>
      </c>
      <c r="D1340" t="inlineStr">
        <is>
          <t>JÄMTLANDS LÄN</t>
        </is>
      </c>
      <c r="E1340" t="inlineStr">
        <is>
          <t>STRÖMSUND</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583-2022</t>
        </is>
      </c>
      <c r="B1341" s="1" t="n">
        <v>44566</v>
      </c>
      <c r="C1341" s="1" t="n">
        <v>45718</v>
      </c>
      <c r="D1341" t="inlineStr">
        <is>
          <t>JÄMTLANDS LÄN</t>
        </is>
      </c>
      <c r="E1341" t="inlineStr">
        <is>
          <t>STRÖMSUND</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829-2022</t>
        </is>
      </c>
      <c r="B1342" s="1" t="n">
        <v>44568</v>
      </c>
      <c r="C1342" s="1" t="n">
        <v>45718</v>
      </c>
      <c r="D1342" t="inlineStr">
        <is>
          <t>JÄMTLANDS LÄN</t>
        </is>
      </c>
      <c r="E1342" t="inlineStr">
        <is>
          <t>STRÖMSUND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1083-2022</t>
        </is>
      </c>
      <c r="B1343" s="1" t="n">
        <v>44571</v>
      </c>
      <c r="C1343" s="1" t="n">
        <v>45718</v>
      </c>
      <c r="D1343" t="inlineStr">
        <is>
          <t>JÄMTLANDS LÄN</t>
        </is>
      </c>
      <c r="E1343" t="inlineStr">
        <is>
          <t>STRÖMSUND</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1107-2022</t>
        </is>
      </c>
      <c r="B1344" s="1" t="n">
        <v>44571</v>
      </c>
      <c r="C1344" s="1" t="n">
        <v>45718</v>
      </c>
      <c r="D1344" t="inlineStr">
        <is>
          <t>JÄMTLANDS LÄN</t>
        </is>
      </c>
      <c r="E1344" t="inlineStr">
        <is>
          <t>STRÖMSUND</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1339-2022</t>
        </is>
      </c>
      <c r="B1345" s="1" t="n">
        <v>44572</v>
      </c>
      <c r="C1345" s="1" t="n">
        <v>45718</v>
      </c>
      <c r="D1345" t="inlineStr">
        <is>
          <t>JÄMTLANDS LÄN</t>
        </is>
      </c>
      <c r="E1345" t="inlineStr">
        <is>
          <t>STRÖMSUND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2485-2022</t>
        </is>
      </c>
      <c r="B1346" s="1" t="n">
        <v>44579</v>
      </c>
      <c r="C1346" s="1" t="n">
        <v>45718</v>
      </c>
      <c r="D1346" t="inlineStr">
        <is>
          <t>JÄMTLANDS LÄN</t>
        </is>
      </c>
      <c r="E1346" t="inlineStr">
        <is>
          <t>STRÖMSUND</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2760-2022</t>
        </is>
      </c>
      <c r="B1347" s="1" t="n">
        <v>44580</v>
      </c>
      <c r="C1347" s="1" t="n">
        <v>45718</v>
      </c>
      <c r="D1347" t="inlineStr">
        <is>
          <t>JÄMTLANDS LÄN</t>
        </is>
      </c>
      <c r="E1347" t="inlineStr">
        <is>
          <t>STRÖMSUND</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2759-2022</t>
        </is>
      </c>
      <c r="B1348" s="1" t="n">
        <v>44580</v>
      </c>
      <c r="C1348" s="1" t="n">
        <v>45718</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3114-2022</t>
        </is>
      </c>
      <c r="B1349" s="1" t="n">
        <v>44582</v>
      </c>
      <c r="C1349" s="1" t="n">
        <v>45718</v>
      </c>
      <c r="D1349" t="inlineStr">
        <is>
          <t>JÄMTLANDS LÄN</t>
        </is>
      </c>
      <c r="E1349" t="inlineStr">
        <is>
          <t>STRÖMSUND</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3165-2022</t>
        </is>
      </c>
      <c r="B1350" s="1" t="n">
        <v>44582</v>
      </c>
      <c r="C1350" s="1" t="n">
        <v>45718</v>
      </c>
      <c r="D1350" t="inlineStr">
        <is>
          <t>JÄMTLANDS LÄN</t>
        </is>
      </c>
      <c r="E1350" t="inlineStr">
        <is>
          <t>STRÖMSUND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3230-2022</t>
        </is>
      </c>
      <c r="B1351" s="1" t="n">
        <v>44582</v>
      </c>
      <c r="C1351" s="1" t="n">
        <v>45718</v>
      </c>
      <c r="D1351" t="inlineStr">
        <is>
          <t>JÄMTLANDS LÄN</t>
        </is>
      </c>
      <c r="E1351" t="inlineStr">
        <is>
          <t>STRÖMSUND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3269-2022</t>
        </is>
      </c>
      <c r="B1352" s="1" t="n">
        <v>44583</v>
      </c>
      <c r="C1352" s="1" t="n">
        <v>45718</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3538-2022</t>
        </is>
      </c>
      <c r="B1353" s="1" t="n">
        <v>44585</v>
      </c>
      <c r="C1353" s="1" t="n">
        <v>45718</v>
      </c>
      <c r="D1353" t="inlineStr">
        <is>
          <t>JÄMTLANDS LÄN</t>
        </is>
      </c>
      <c r="E1353" t="inlineStr">
        <is>
          <t>STRÖMSUND</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3539-2022</t>
        </is>
      </c>
      <c r="B1354" s="1" t="n">
        <v>44585</v>
      </c>
      <c r="C1354" s="1" t="n">
        <v>45718</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3719-2022</t>
        </is>
      </c>
      <c r="B1355" s="1" t="n">
        <v>44586</v>
      </c>
      <c r="C1355" s="1" t="n">
        <v>45718</v>
      </c>
      <c r="D1355" t="inlineStr">
        <is>
          <t>JÄMTLANDS LÄN</t>
        </is>
      </c>
      <c r="E1355" t="inlineStr">
        <is>
          <t>STRÖMSUND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3721-2022</t>
        </is>
      </c>
      <c r="B1356" s="1" t="n">
        <v>44586</v>
      </c>
      <c r="C1356" s="1" t="n">
        <v>45718</v>
      </c>
      <c r="D1356" t="inlineStr">
        <is>
          <t>JÄMTLANDS LÄN</t>
        </is>
      </c>
      <c r="E1356" t="inlineStr">
        <is>
          <t>STRÖMSUND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3875-2022</t>
        </is>
      </c>
      <c r="B1357" s="1" t="n">
        <v>44587</v>
      </c>
      <c r="C1357" s="1" t="n">
        <v>45718</v>
      </c>
      <c r="D1357" t="inlineStr">
        <is>
          <t>JÄMTLANDS LÄN</t>
        </is>
      </c>
      <c r="E1357" t="inlineStr">
        <is>
          <t>STRÖMSUND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4024-2022</t>
        </is>
      </c>
      <c r="B1358" s="1" t="n">
        <v>44587</v>
      </c>
      <c r="C1358" s="1" t="n">
        <v>45718</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4460-2022</t>
        </is>
      </c>
      <c r="B1359" s="1" t="n">
        <v>44589</v>
      </c>
      <c r="C1359" s="1" t="n">
        <v>45718</v>
      </c>
      <c r="D1359" t="inlineStr">
        <is>
          <t>JÄMTLANDS LÄN</t>
        </is>
      </c>
      <c r="E1359" t="inlineStr">
        <is>
          <t>STRÖMSUND</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4455-2022</t>
        </is>
      </c>
      <c r="B1360" s="1" t="n">
        <v>44589</v>
      </c>
      <c r="C1360" s="1" t="n">
        <v>45718</v>
      </c>
      <c r="D1360" t="inlineStr">
        <is>
          <t>JÄMTLANDS LÄN</t>
        </is>
      </c>
      <c r="E1360" t="inlineStr">
        <is>
          <t>STRÖMSUND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4464-2022</t>
        </is>
      </c>
      <c r="B1361" s="1" t="n">
        <v>44589</v>
      </c>
      <c r="C1361" s="1" t="n">
        <v>45718</v>
      </c>
      <c r="D1361" t="inlineStr">
        <is>
          <t>JÄMTLANDS LÄN</t>
        </is>
      </c>
      <c r="E1361" t="inlineStr">
        <is>
          <t>STRÖMSUND</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4602-2022</t>
        </is>
      </c>
      <c r="B1362" s="1" t="n">
        <v>44589</v>
      </c>
      <c r="C1362" s="1" t="n">
        <v>45718</v>
      </c>
      <c r="D1362" t="inlineStr">
        <is>
          <t>JÄMTLANDS LÄN</t>
        </is>
      </c>
      <c r="E1362" t="inlineStr">
        <is>
          <t>STRÖMSUND</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4858-2022</t>
        </is>
      </c>
      <c r="B1363" s="1" t="n">
        <v>44592</v>
      </c>
      <c r="C1363" s="1" t="n">
        <v>45718</v>
      </c>
      <c r="D1363" t="inlineStr">
        <is>
          <t>JÄMTLANDS LÄN</t>
        </is>
      </c>
      <c r="E1363" t="inlineStr">
        <is>
          <t>STRÖMSUND</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4931-2022</t>
        </is>
      </c>
      <c r="B1364" s="1" t="n">
        <v>44593</v>
      </c>
      <c r="C1364" s="1" t="n">
        <v>45718</v>
      </c>
      <c r="D1364" t="inlineStr">
        <is>
          <t>JÄMTLANDS LÄN</t>
        </is>
      </c>
      <c r="E1364" t="inlineStr">
        <is>
          <t>STRÖMSUND</t>
        </is>
      </c>
      <c r="G1364" t="n">
        <v>41.9</v>
      </c>
      <c r="H1364" t="n">
        <v>0</v>
      </c>
      <c r="I1364" t="n">
        <v>0</v>
      </c>
      <c r="J1364" t="n">
        <v>0</v>
      </c>
      <c r="K1364" t="n">
        <v>0</v>
      </c>
      <c r="L1364" t="n">
        <v>0</v>
      </c>
      <c r="M1364" t="n">
        <v>0</v>
      </c>
      <c r="N1364" t="n">
        <v>0</v>
      </c>
      <c r="O1364" t="n">
        <v>0</v>
      </c>
      <c r="P1364" t="n">
        <v>0</v>
      </c>
      <c r="Q1364" t="n">
        <v>0</v>
      </c>
      <c r="R1364" s="2" t="inlineStr"/>
    </row>
    <row r="1365" ht="15" customHeight="1">
      <c r="A1365" t="inlineStr">
        <is>
          <t>A 5117-2022</t>
        </is>
      </c>
      <c r="B1365" s="1" t="n">
        <v>44593</v>
      </c>
      <c r="C1365" s="1" t="n">
        <v>45718</v>
      </c>
      <c r="D1365" t="inlineStr">
        <is>
          <t>JÄMTLANDS LÄN</t>
        </is>
      </c>
      <c r="E1365" t="inlineStr">
        <is>
          <t>STRÖMSUND</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5116-2022</t>
        </is>
      </c>
      <c r="B1366" s="1" t="n">
        <v>44593</v>
      </c>
      <c r="C1366" s="1" t="n">
        <v>45718</v>
      </c>
      <c r="D1366" t="inlineStr">
        <is>
          <t>JÄMTLANDS LÄN</t>
        </is>
      </c>
      <c r="E1366" t="inlineStr">
        <is>
          <t>STRÖMSUND</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5416-2022</t>
        </is>
      </c>
      <c r="B1367" s="1" t="n">
        <v>44595</v>
      </c>
      <c r="C1367" s="1" t="n">
        <v>45718</v>
      </c>
      <c r="D1367" t="inlineStr">
        <is>
          <t>JÄMTLANDS LÄN</t>
        </is>
      </c>
      <c r="E1367" t="inlineStr">
        <is>
          <t>STRÖMSUND</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5642-2022</t>
        </is>
      </c>
      <c r="B1368" s="1" t="n">
        <v>44595</v>
      </c>
      <c r="C1368" s="1" t="n">
        <v>45718</v>
      </c>
      <c r="D1368" t="inlineStr">
        <is>
          <t>JÄMTLANDS LÄN</t>
        </is>
      </c>
      <c r="E1368" t="inlineStr">
        <is>
          <t>STRÖMSUND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6055-2022</t>
        </is>
      </c>
      <c r="B1369" s="1" t="n">
        <v>44599</v>
      </c>
      <c r="C1369" s="1" t="n">
        <v>45718</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6150-2022</t>
        </is>
      </c>
      <c r="B1370" s="1" t="n">
        <v>44599</v>
      </c>
      <c r="C1370" s="1" t="n">
        <v>45718</v>
      </c>
      <c r="D1370" t="inlineStr">
        <is>
          <t>JÄMTLANDS LÄN</t>
        </is>
      </c>
      <c r="E1370" t="inlineStr">
        <is>
          <t>STRÖMSUND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6202-2022</t>
        </is>
      </c>
      <c r="B1371" s="1" t="n">
        <v>44600</v>
      </c>
      <c r="C1371" s="1" t="n">
        <v>45718</v>
      </c>
      <c r="D1371" t="inlineStr">
        <is>
          <t>JÄMTLANDS LÄN</t>
        </is>
      </c>
      <c r="E1371" t="inlineStr">
        <is>
          <t>STRÖMSUND</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7023-2022</t>
        </is>
      </c>
      <c r="B1372" s="1" t="n">
        <v>44603</v>
      </c>
      <c r="C1372" s="1" t="n">
        <v>45718</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7157-2022</t>
        </is>
      </c>
      <c r="B1373" s="1" t="n">
        <v>44604</v>
      </c>
      <c r="C1373" s="1" t="n">
        <v>45718</v>
      </c>
      <c r="D1373" t="inlineStr">
        <is>
          <t>JÄMTLANDS LÄN</t>
        </is>
      </c>
      <c r="E1373" t="inlineStr">
        <is>
          <t>STRÖMSUND</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7260-2022</t>
        </is>
      </c>
      <c r="B1374" s="1" t="n">
        <v>44606</v>
      </c>
      <c r="C1374" s="1" t="n">
        <v>45718</v>
      </c>
      <c r="D1374" t="inlineStr">
        <is>
          <t>JÄMTLANDS LÄN</t>
        </is>
      </c>
      <c r="E1374" t="inlineStr">
        <is>
          <t>STRÖMSUND</t>
        </is>
      </c>
      <c r="F1374" t="inlineStr">
        <is>
          <t>SCA</t>
        </is>
      </c>
      <c r="G1374" t="n">
        <v>76.40000000000001</v>
      </c>
      <c r="H1374" t="n">
        <v>0</v>
      </c>
      <c r="I1374" t="n">
        <v>0</v>
      </c>
      <c r="J1374" t="n">
        <v>0</v>
      </c>
      <c r="K1374" t="n">
        <v>0</v>
      </c>
      <c r="L1374" t="n">
        <v>0</v>
      </c>
      <c r="M1374" t="n">
        <v>0</v>
      </c>
      <c r="N1374" t="n">
        <v>0</v>
      </c>
      <c r="O1374" t="n">
        <v>0</v>
      </c>
      <c r="P1374" t="n">
        <v>0</v>
      </c>
      <c r="Q1374" t="n">
        <v>0</v>
      </c>
      <c r="R1374" s="2" t="inlineStr"/>
    </row>
    <row r="1375" ht="15" customHeight="1">
      <c r="A1375" t="inlineStr">
        <is>
          <t>A 8066-2022</t>
        </is>
      </c>
      <c r="B1375" s="1" t="n">
        <v>44609</v>
      </c>
      <c r="C1375" s="1" t="n">
        <v>45718</v>
      </c>
      <c r="D1375" t="inlineStr">
        <is>
          <t>JÄMTLANDS LÄN</t>
        </is>
      </c>
      <c r="E1375" t="inlineStr">
        <is>
          <t>STRÖMSUND</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8239-2022</t>
        </is>
      </c>
      <c r="B1376" s="1" t="n">
        <v>44609</v>
      </c>
      <c r="C1376" s="1" t="n">
        <v>45718</v>
      </c>
      <c r="D1376" t="inlineStr">
        <is>
          <t>JÄMTLANDS LÄN</t>
        </is>
      </c>
      <c r="E1376" t="inlineStr">
        <is>
          <t>STRÖMSUND</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8421-2022</t>
        </is>
      </c>
      <c r="B1377" s="1" t="n">
        <v>44610</v>
      </c>
      <c r="C1377" s="1" t="n">
        <v>45718</v>
      </c>
      <c r="D1377" t="inlineStr">
        <is>
          <t>JÄMTLANDS LÄN</t>
        </is>
      </c>
      <c r="E1377" t="inlineStr">
        <is>
          <t>STRÖMSUND</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9370-2022</t>
        </is>
      </c>
      <c r="B1378" s="1" t="n">
        <v>44616</v>
      </c>
      <c r="C1378" s="1" t="n">
        <v>45718</v>
      </c>
      <c r="D1378" t="inlineStr">
        <is>
          <t>JÄMTLANDS LÄN</t>
        </is>
      </c>
      <c r="E1378" t="inlineStr">
        <is>
          <t>STRÖMSUND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9379-2022</t>
        </is>
      </c>
      <c r="B1379" s="1" t="n">
        <v>44616</v>
      </c>
      <c r="C1379" s="1" t="n">
        <v>45718</v>
      </c>
      <c r="D1379" t="inlineStr">
        <is>
          <t>JÄMTLANDS LÄN</t>
        </is>
      </c>
      <c r="E1379" t="inlineStr">
        <is>
          <t>STRÖMSUND</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9934-2022</t>
        </is>
      </c>
      <c r="B1380" s="1" t="n">
        <v>44620</v>
      </c>
      <c r="C1380" s="1" t="n">
        <v>45718</v>
      </c>
      <c r="D1380" t="inlineStr">
        <is>
          <t>JÄMTLANDS LÄN</t>
        </is>
      </c>
      <c r="E1380" t="inlineStr">
        <is>
          <t>STRÖMSUND</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9957-2022</t>
        </is>
      </c>
      <c r="B1381" s="1" t="n">
        <v>44620</v>
      </c>
      <c r="C1381" s="1" t="n">
        <v>45718</v>
      </c>
      <c r="D1381" t="inlineStr">
        <is>
          <t>JÄMTLANDS LÄN</t>
        </is>
      </c>
      <c r="E1381" t="inlineStr">
        <is>
          <t>STRÖMSUND</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10077-2022</t>
        </is>
      </c>
      <c r="B1382" s="1" t="n">
        <v>44621</v>
      </c>
      <c r="C1382" s="1" t="n">
        <v>45718</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10144-2022</t>
        </is>
      </c>
      <c r="B1383" s="1" t="n">
        <v>44621</v>
      </c>
      <c r="C1383" s="1" t="n">
        <v>45718</v>
      </c>
      <c r="D1383" t="inlineStr">
        <is>
          <t>JÄMTLANDS LÄN</t>
        </is>
      </c>
      <c r="E1383" t="inlineStr">
        <is>
          <t>STRÖMSUND</t>
        </is>
      </c>
      <c r="F1383" t="inlineStr">
        <is>
          <t>SCA</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10136-2022</t>
        </is>
      </c>
      <c r="B1384" s="1" t="n">
        <v>44621</v>
      </c>
      <c r="C1384" s="1" t="n">
        <v>45718</v>
      </c>
      <c r="D1384" t="inlineStr">
        <is>
          <t>JÄMTLANDS LÄN</t>
        </is>
      </c>
      <c r="E1384" t="inlineStr">
        <is>
          <t>STRÖMSUND</t>
        </is>
      </c>
      <c r="F1384" t="inlineStr">
        <is>
          <t>SCA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10249-2022</t>
        </is>
      </c>
      <c r="B1385" s="1" t="n">
        <v>44622</v>
      </c>
      <c r="C1385" s="1" t="n">
        <v>45718</v>
      </c>
      <c r="D1385" t="inlineStr">
        <is>
          <t>JÄMTLANDS LÄN</t>
        </is>
      </c>
      <c r="E1385" t="inlineStr">
        <is>
          <t>STRÖMSUND</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10322-2022</t>
        </is>
      </c>
      <c r="B1386" s="1" t="n">
        <v>44622</v>
      </c>
      <c r="C1386" s="1" t="n">
        <v>45718</v>
      </c>
      <c r="D1386" t="inlineStr">
        <is>
          <t>JÄMTLANDS LÄN</t>
        </is>
      </c>
      <c r="E1386" t="inlineStr">
        <is>
          <t>STRÖMSUND</t>
        </is>
      </c>
      <c r="F1386" t="inlineStr">
        <is>
          <t>SCA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10323-2022</t>
        </is>
      </c>
      <c r="B1387" s="1" t="n">
        <v>44622</v>
      </c>
      <c r="C1387" s="1" t="n">
        <v>45718</v>
      </c>
      <c r="D1387" t="inlineStr">
        <is>
          <t>JÄMTLANDS LÄN</t>
        </is>
      </c>
      <c r="E1387" t="inlineStr">
        <is>
          <t>STRÖMSUND</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10319-2022</t>
        </is>
      </c>
      <c r="B1388" s="1" t="n">
        <v>44622</v>
      </c>
      <c r="C1388" s="1" t="n">
        <v>45718</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10527-2022</t>
        </is>
      </c>
      <c r="B1389" s="1" t="n">
        <v>44623</v>
      </c>
      <c r="C1389" s="1" t="n">
        <v>45718</v>
      </c>
      <c r="D1389" t="inlineStr">
        <is>
          <t>JÄMTLANDS LÄN</t>
        </is>
      </c>
      <c r="E1389" t="inlineStr">
        <is>
          <t>STRÖMSUND</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10647-2022</t>
        </is>
      </c>
      <c r="B1390" s="1" t="n">
        <v>44624</v>
      </c>
      <c r="C1390" s="1" t="n">
        <v>45718</v>
      </c>
      <c r="D1390" t="inlineStr">
        <is>
          <t>JÄMTLANDS LÄN</t>
        </is>
      </c>
      <c r="E1390" t="inlineStr">
        <is>
          <t>STRÖMSUND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10656-2022</t>
        </is>
      </c>
      <c r="B1391" s="1" t="n">
        <v>44624</v>
      </c>
      <c r="C1391" s="1" t="n">
        <v>45718</v>
      </c>
      <c r="D1391" t="inlineStr">
        <is>
          <t>JÄMTLANDS LÄN</t>
        </is>
      </c>
      <c r="E1391" t="inlineStr">
        <is>
          <t>STRÖMSUND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10698-2022</t>
        </is>
      </c>
      <c r="B1392" s="1" t="n">
        <v>44624</v>
      </c>
      <c r="C1392" s="1" t="n">
        <v>45718</v>
      </c>
      <c r="D1392" t="inlineStr">
        <is>
          <t>JÄMTLANDS LÄN</t>
        </is>
      </c>
      <c r="E1392" t="inlineStr">
        <is>
          <t>STRÖMSUND</t>
        </is>
      </c>
      <c r="F1392" t="inlineStr">
        <is>
          <t>SCA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10904-2022</t>
        </is>
      </c>
      <c r="B1393" s="1" t="n">
        <v>44627</v>
      </c>
      <c r="C1393" s="1" t="n">
        <v>45718</v>
      </c>
      <c r="D1393" t="inlineStr">
        <is>
          <t>JÄMTLANDS LÄN</t>
        </is>
      </c>
      <c r="E1393" t="inlineStr">
        <is>
          <t>STRÖMSUND</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11158-2022</t>
        </is>
      </c>
      <c r="B1394" s="1" t="n">
        <v>44629</v>
      </c>
      <c r="C1394" s="1" t="n">
        <v>45718</v>
      </c>
      <c r="D1394" t="inlineStr">
        <is>
          <t>JÄMTLANDS LÄN</t>
        </is>
      </c>
      <c r="E1394" t="inlineStr">
        <is>
          <t>STRÖMSUND</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11578-2022</t>
        </is>
      </c>
      <c r="B1395" s="1" t="n">
        <v>44631</v>
      </c>
      <c r="C1395" s="1" t="n">
        <v>45718</v>
      </c>
      <c r="D1395" t="inlineStr">
        <is>
          <t>JÄMTLANDS LÄN</t>
        </is>
      </c>
      <c r="E1395" t="inlineStr">
        <is>
          <t>STRÖMSUND</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11856-2022</t>
        </is>
      </c>
      <c r="B1396" s="1" t="n">
        <v>44635</v>
      </c>
      <c r="C1396" s="1" t="n">
        <v>45718</v>
      </c>
      <c r="D1396" t="inlineStr">
        <is>
          <t>JÄMTLANDS LÄN</t>
        </is>
      </c>
      <c r="E1396" t="inlineStr">
        <is>
          <t>STRÖMSUND</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12018-2022</t>
        </is>
      </c>
      <c r="B1397" s="1" t="n">
        <v>44635</v>
      </c>
      <c r="C1397" s="1" t="n">
        <v>45718</v>
      </c>
      <c r="D1397" t="inlineStr">
        <is>
          <t>JÄMTLANDS LÄN</t>
        </is>
      </c>
      <c r="E1397" t="inlineStr">
        <is>
          <t>STRÖMSUND</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12198-2022</t>
        </is>
      </c>
      <c r="B1398" s="1" t="n">
        <v>44636</v>
      </c>
      <c r="C1398" s="1" t="n">
        <v>45718</v>
      </c>
      <c r="D1398" t="inlineStr">
        <is>
          <t>JÄMTLANDS LÄN</t>
        </is>
      </c>
      <c r="E1398" t="inlineStr">
        <is>
          <t>STRÖMSUND</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12405-2022</t>
        </is>
      </c>
      <c r="B1399" s="1" t="n">
        <v>44637</v>
      </c>
      <c r="C1399" s="1" t="n">
        <v>45718</v>
      </c>
      <c r="D1399" t="inlineStr">
        <is>
          <t>JÄMTLANDS LÄN</t>
        </is>
      </c>
      <c r="E1399" t="inlineStr">
        <is>
          <t>STRÖMSUND</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12404-2022</t>
        </is>
      </c>
      <c r="B1400" s="1" t="n">
        <v>44637</v>
      </c>
      <c r="C1400" s="1" t="n">
        <v>45718</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12762-2022</t>
        </is>
      </c>
      <c r="B1401" s="1" t="n">
        <v>44641</v>
      </c>
      <c r="C1401" s="1" t="n">
        <v>45718</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12822-2022</t>
        </is>
      </c>
      <c r="B1402" s="1" t="n">
        <v>44642</v>
      </c>
      <c r="C1402" s="1" t="n">
        <v>45718</v>
      </c>
      <c r="D1402" t="inlineStr">
        <is>
          <t>JÄMTLANDS LÄN</t>
        </is>
      </c>
      <c r="E1402" t="inlineStr">
        <is>
          <t>STRÖMSUND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13098-2022</t>
        </is>
      </c>
      <c r="B1403" s="1" t="n">
        <v>44643</v>
      </c>
      <c r="C1403" s="1" t="n">
        <v>45718</v>
      </c>
      <c r="D1403" t="inlineStr">
        <is>
          <t>JÄMTLANDS LÄN</t>
        </is>
      </c>
      <c r="E1403" t="inlineStr">
        <is>
          <t>STRÖMSUND</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13099-2022</t>
        </is>
      </c>
      <c r="B1404" s="1" t="n">
        <v>44643</v>
      </c>
      <c r="C1404" s="1" t="n">
        <v>45718</v>
      </c>
      <c r="D1404" t="inlineStr">
        <is>
          <t>JÄMTLANDS LÄN</t>
        </is>
      </c>
      <c r="E1404" t="inlineStr">
        <is>
          <t>STRÖMSUND</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13513-2022</t>
        </is>
      </c>
      <c r="B1405" s="1" t="n">
        <v>44648</v>
      </c>
      <c r="C1405" s="1" t="n">
        <v>45718</v>
      </c>
      <c r="D1405" t="inlineStr">
        <is>
          <t>JÄMTLANDS LÄN</t>
        </is>
      </c>
      <c r="E1405" t="inlineStr">
        <is>
          <t>STRÖMSUND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14043-2022</t>
        </is>
      </c>
      <c r="B1406" s="1" t="n">
        <v>44650</v>
      </c>
      <c r="C1406" s="1" t="n">
        <v>45718</v>
      </c>
      <c r="D1406" t="inlineStr">
        <is>
          <t>JÄMTLANDS LÄN</t>
        </is>
      </c>
      <c r="E1406" t="inlineStr">
        <is>
          <t>STRÖMSUND</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14283-2022</t>
        </is>
      </c>
      <c r="B1407" s="1" t="n">
        <v>44651</v>
      </c>
      <c r="C1407" s="1" t="n">
        <v>45718</v>
      </c>
      <c r="D1407" t="inlineStr">
        <is>
          <t>JÄMTLANDS LÄN</t>
        </is>
      </c>
      <c r="E1407" t="inlineStr">
        <is>
          <t>STRÖMSUND</t>
        </is>
      </c>
      <c r="F1407" t="inlineStr">
        <is>
          <t>SCA</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14288-2022</t>
        </is>
      </c>
      <c r="B1408" s="1" t="n">
        <v>44651</v>
      </c>
      <c r="C1408" s="1" t="n">
        <v>45718</v>
      </c>
      <c r="D1408" t="inlineStr">
        <is>
          <t>JÄMTLANDS LÄN</t>
        </is>
      </c>
      <c r="E1408" t="inlineStr">
        <is>
          <t>STRÖMSUND</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14292-2022</t>
        </is>
      </c>
      <c r="B1409" s="1" t="n">
        <v>44651</v>
      </c>
      <c r="C1409" s="1" t="n">
        <v>45718</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14294-2022</t>
        </is>
      </c>
      <c r="B1410" s="1" t="n">
        <v>44652</v>
      </c>
      <c r="C1410" s="1" t="n">
        <v>45718</v>
      </c>
      <c r="D1410" t="inlineStr">
        <is>
          <t>JÄMTLANDS LÄN</t>
        </is>
      </c>
      <c r="E1410" t="inlineStr">
        <is>
          <t>STRÖMSUND</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14281-2022</t>
        </is>
      </c>
      <c r="B1411" s="1" t="n">
        <v>44651</v>
      </c>
      <c r="C1411" s="1" t="n">
        <v>45718</v>
      </c>
      <c r="D1411" t="inlineStr">
        <is>
          <t>JÄMTLANDS LÄN</t>
        </is>
      </c>
      <c r="E1411" t="inlineStr">
        <is>
          <t>STRÖMSUND</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14289-2022</t>
        </is>
      </c>
      <c r="B1412" s="1" t="n">
        <v>44651</v>
      </c>
      <c r="C1412" s="1" t="n">
        <v>45718</v>
      </c>
      <c r="D1412" t="inlineStr">
        <is>
          <t>JÄMTLANDS LÄN</t>
        </is>
      </c>
      <c r="E1412" t="inlineStr">
        <is>
          <t>STRÖMSUND</t>
        </is>
      </c>
      <c r="F1412" t="inlineStr">
        <is>
          <t>SCA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14441-2022</t>
        </is>
      </c>
      <c r="B1413" s="1" t="n">
        <v>44652</v>
      </c>
      <c r="C1413" s="1" t="n">
        <v>45718</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14443-2022</t>
        </is>
      </c>
      <c r="B1414" s="1" t="n">
        <v>44653</v>
      </c>
      <c r="C1414" s="1" t="n">
        <v>45718</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14445-2022</t>
        </is>
      </c>
      <c r="B1415" s="1" t="n">
        <v>44653</v>
      </c>
      <c r="C1415" s="1" t="n">
        <v>45718</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14442-2022</t>
        </is>
      </c>
      <c r="B1416" s="1" t="n">
        <v>44653</v>
      </c>
      <c r="C1416" s="1" t="n">
        <v>45718</v>
      </c>
      <c r="D1416" t="inlineStr">
        <is>
          <t>JÄMTLANDS LÄN</t>
        </is>
      </c>
      <c r="E1416" t="inlineStr">
        <is>
          <t>STRÖMSUND</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14460-2022</t>
        </is>
      </c>
      <c r="B1417" s="1" t="n">
        <v>44654</v>
      </c>
      <c r="C1417" s="1" t="n">
        <v>45718</v>
      </c>
      <c r="D1417" t="inlineStr">
        <is>
          <t>JÄMTLANDS LÄN</t>
        </is>
      </c>
      <c r="E1417" t="inlineStr">
        <is>
          <t>STRÖMSUND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14550-2022</t>
        </is>
      </c>
      <c r="B1418" s="1" t="n">
        <v>44655</v>
      </c>
      <c r="C1418" s="1" t="n">
        <v>45718</v>
      </c>
      <c r="D1418" t="inlineStr">
        <is>
          <t>JÄMTLANDS LÄN</t>
        </is>
      </c>
      <c r="E1418" t="inlineStr">
        <is>
          <t>STRÖMSUND</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14557-2022</t>
        </is>
      </c>
      <c r="B1419" s="1" t="n">
        <v>44655</v>
      </c>
      <c r="C1419" s="1" t="n">
        <v>45718</v>
      </c>
      <c r="D1419" t="inlineStr">
        <is>
          <t>JÄMTLANDS LÄN</t>
        </is>
      </c>
      <c r="E1419" t="inlineStr">
        <is>
          <t>STRÖMSUND</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14703-2022</t>
        </is>
      </c>
      <c r="B1420" s="1" t="n">
        <v>44655</v>
      </c>
      <c r="C1420" s="1" t="n">
        <v>45718</v>
      </c>
      <c r="D1420" t="inlineStr">
        <is>
          <t>JÄMTLANDS LÄN</t>
        </is>
      </c>
      <c r="E1420" t="inlineStr">
        <is>
          <t>STRÖMSUND</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14894-2022</t>
        </is>
      </c>
      <c r="B1421" s="1" t="n">
        <v>44657</v>
      </c>
      <c r="C1421" s="1" t="n">
        <v>45718</v>
      </c>
      <c r="D1421" t="inlineStr">
        <is>
          <t>JÄMTLANDS LÄN</t>
        </is>
      </c>
      <c r="E1421" t="inlineStr">
        <is>
          <t>STRÖMSUND</t>
        </is>
      </c>
      <c r="F1421" t="inlineStr">
        <is>
          <t>SCA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15238-2022</t>
        </is>
      </c>
      <c r="B1422" s="1" t="n">
        <v>44659</v>
      </c>
      <c r="C1422" s="1" t="n">
        <v>45718</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15141-2022</t>
        </is>
      </c>
      <c r="B1423" s="1" t="n">
        <v>44658</v>
      </c>
      <c r="C1423" s="1" t="n">
        <v>45718</v>
      </c>
      <c r="D1423" t="inlineStr">
        <is>
          <t>JÄMTLANDS LÄN</t>
        </is>
      </c>
      <c r="E1423" t="inlineStr">
        <is>
          <t>STRÖMSUND</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15239-2022</t>
        </is>
      </c>
      <c r="B1424" s="1" t="n">
        <v>44659</v>
      </c>
      <c r="C1424" s="1" t="n">
        <v>45718</v>
      </c>
      <c r="D1424" t="inlineStr">
        <is>
          <t>JÄMTLANDS LÄN</t>
        </is>
      </c>
      <c r="E1424" t="inlineStr">
        <is>
          <t>STRÖMSUND</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15259-2022</t>
        </is>
      </c>
      <c r="B1425" s="1" t="n">
        <v>44659</v>
      </c>
      <c r="C1425" s="1" t="n">
        <v>45718</v>
      </c>
      <c r="D1425" t="inlineStr">
        <is>
          <t>JÄMTLANDS LÄN</t>
        </is>
      </c>
      <c r="E1425" t="inlineStr">
        <is>
          <t>STRÖMSUND</t>
        </is>
      </c>
      <c r="G1425" t="n">
        <v>52.4</v>
      </c>
      <c r="H1425" t="n">
        <v>0</v>
      </c>
      <c r="I1425" t="n">
        <v>0</v>
      </c>
      <c r="J1425" t="n">
        <v>0</v>
      </c>
      <c r="K1425" t="n">
        <v>0</v>
      </c>
      <c r="L1425" t="n">
        <v>0</v>
      </c>
      <c r="M1425" t="n">
        <v>0</v>
      </c>
      <c r="N1425" t="n">
        <v>0</v>
      </c>
      <c r="O1425" t="n">
        <v>0</v>
      </c>
      <c r="P1425" t="n">
        <v>0</v>
      </c>
      <c r="Q1425" t="n">
        <v>0</v>
      </c>
      <c r="R1425" s="2" t="inlineStr"/>
    </row>
    <row r="1426" ht="15" customHeight="1">
      <c r="A1426" t="inlineStr">
        <is>
          <t>A 15546-2022</t>
        </is>
      </c>
      <c r="B1426" s="1" t="n">
        <v>44662</v>
      </c>
      <c r="C1426" s="1" t="n">
        <v>45718</v>
      </c>
      <c r="D1426" t="inlineStr">
        <is>
          <t>JÄMTLANDS LÄN</t>
        </is>
      </c>
      <c r="E1426" t="inlineStr">
        <is>
          <t>STRÖMSUND</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15522-2022</t>
        </is>
      </c>
      <c r="B1427" s="1" t="n">
        <v>44662</v>
      </c>
      <c r="C1427" s="1" t="n">
        <v>45718</v>
      </c>
      <c r="D1427" t="inlineStr">
        <is>
          <t>JÄMTLANDS LÄN</t>
        </is>
      </c>
      <c r="E1427" t="inlineStr">
        <is>
          <t>STRÖMSUND</t>
        </is>
      </c>
      <c r="G1427" t="n">
        <v>41.8</v>
      </c>
      <c r="H1427" t="n">
        <v>0</v>
      </c>
      <c r="I1427" t="n">
        <v>0</v>
      </c>
      <c r="J1427" t="n">
        <v>0</v>
      </c>
      <c r="K1427" t="n">
        <v>0</v>
      </c>
      <c r="L1427" t="n">
        <v>0</v>
      </c>
      <c r="M1427" t="n">
        <v>0</v>
      </c>
      <c r="N1427" t="n">
        <v>0</v>
      </c>
      <c r="O1427" t="n">
        <v>0</v>
      </c>
      <c r="P1427" t="n">
        <v>0</v>
      </c>
      <c r="Q1427" t="n">
        <v>0</v>
      </c>
      <c r="R1427" s="2" t="inlineStr"/>
    </row>
    <row r="1428" ht="15" customHeight="1">
      <c r="A1428" t="inlineStr">
        <is>
          <t>A 15407-2022</t>
        </is>
      </c>
      <c r="B1428" s="1" t="n">
        <v>44662</v>
      </c>
      <c r="C1428" s="1" t="n">
        <v>45718</v>
      </c>
      <c r="D1428" t="inlineStr">
        <is>
          <t>JÄMTLANDS LÄN</t>
        </is>
      </c>
      <c r="E1428" t="inlineStr">
        <is>
          <t>STRÖMSUND</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15668-2022</t>
        </is>
      </c>
      <c r="B1429" s="1" t="n">
        <v>44663</v>
      </c>
      <c r="C1429" s="1" t="n">
        <v>45718</v>
      </c>
      <c r="D1429" t="inlineStr">
        <is>
          <t>JÄMTLANDS LÄN</t>
        </is>
      </c>
      <c r="E1429" t="inlineStr">
        <is>
          <t>STRÖMSUND</t>
        </is>
      </c>
      <c r="F1429" t="inlineStr">
        <is>
          <t>SCA</t>
        </is>
      </c>
      <c r="G1429" t="n">
        <v>14.7</v>
      </c>
      <c r="H1429" t="n">
        <v>0</v>
      </c>
      <c r="I1429" t="n">
        <v>0</v>
      </c>
      <c r="J1429" t="n">
        <v>0</v>
      </c>
      <c r="K1429" t="n">
        <v>0</v>
      </c>
      <c r="L1429" t="n">
        <v>0</v>
      </c>
      <c r="M1429" t="n">
        <v>0</v>
      </c>
      <c r="N1429" t="n">
        <v>0</v>
      </c>
      <c r="O1429" t="n">
        <v>0</v>
      </c>
      <c r="P1429" t="n">
        <v>0</v>
      </c>
      <c r="Q1429" t="n">
        <v>0</v>
      </c>
      <c r="R1429" s="2" t="inlineStr"/>
    </row>
    <row r="1430" ht="15" customHeight="1">
      <c r="A1430" t="inlineStr">
        <is>
          <t>A 15865-2022</t>
        </is>
      </c>
      <c r="B1430" s="1" t="n">
        <v>44664</v>
      </c>
      <c r="C1430" s="1" t="n">
        <v>45718</v>
      </c>
      <c r="D1430" t="inlineStr">
        <is>
          <t>JÄMTLANDS LÄN</t>
        </is>
      </c>
      <c r="E1430" t="inlineStr">
        <is>
          <t>STRÖMSUND</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15971-2022</t>
        </is>
      </c>
      <c r="B1431" s="1" t="n">
        <v>44664</v>
      </c>
      <c r="C1431" s="1" t="n">
        <v>45718</v>
      </c>
      <c r="D1431" t="inlineStr">
        <is>
          <t>JÄMTLANDS LÄN</t>
        </is>
      </c>
      <c r="E1431" t="inlineStr">
        <is>
          <t>STRÖMSUND</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16311-2022</t>
        </is>
      </c>
      <c r="B1432" s="1" t="n">
        <v>44670</v>
      </c>
      <c r="C1432" s="1" t="n">
        <v>45718</v>
      </c>
      <c r="D1432" t="inlineStr">
        <is>
          <t>JÄMTLANDS LÄN</t>
        </is>
      </c>
      <c r="E1432" t="inlineStr">
        <is>
          <t>STRÖMSUND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16317-2022</t>
        </is>
      </c>
      <c r="B1433" s="1" t="n">
        <v>44670</v>
      </c>
      <c r="C1433" s="1" t="n">
        <v>45718</v>
      </c>
      <c r="D1433" t="inlineStr">
        <is>
          <t>JÄMTLANDS LÄN</t>
        </is>
      </c>
      <c r="E1433" t="inlineStr">
        <is>
          <t>STRÖMSUND</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16359-2022</t>
        </is>
      </c>
      <c r="B1434" s="1" t="n">
        <v>44671</v>
      </c>
      <c r="C1434" s="1" t="n">
        <v>45718</v>
      </c>
      <c r="D1434" t="inlineStr">
        <is>
          <t>JÄMTLANDS LÄN</t>
        </is>
      </c>
      <c r="E1434" t="inlineStr">
        <is>
          <t>STRÖMSUND</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16358-2022</t>
        </is>
      </c>
      <c r="B1435" s="1" t="n">
        <v>44671</v>
      </c>
      <c r="C1435" s="1" t="n">
        <v>45718</v>
      </c>
      <c r="D1435" t="inlineStr">
        <is>
          <t>JÄMTLANDS LÄN</t>
        </is>
      </c>
      <c r="E1435" t="inlineStr">
        <is>
          <t>STRÖMSUND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16518-2022</t>
        </is>
      </c>
      <c r="B1436" s="1" t="n">
        <v>44672</v>
      </c>
      <c r="C1436" s="1" t="n">
        <v>45718</v>
      </c>
      <c r="D1436" t="inlineStr">
        <is>
          <t>JÄMTLANDS LÄN</t>
        </is>
      </c>
      <c r="E1436" t="inlineStr">
        <is>
          <t>STRÖMSUND</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16516-2022</t>
        </is>
      </c>
      <c r="B1437" s="1" t="n">
        <v>44672</v>
      </c>
      <c r="C1437" s="1" t="n">
        <v>45718</v>
      </c>
      <c r="D1437" t="inlineStr">
        <is>
          <t>JÄMTLANDS LÄN</t>
        </is>
      </c>
      <c r="E1437" t="inlineStr">
        <is>
          <t>STRÖMSUND</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16848-2022</t>
        </is>
      </c>
      <c r="B1438" s="1" t="n">
        <v>44674</v>
      </c>
      <c r="C1438" s="1" t="n">
        <v>45718</v>
      </c>
      <c r="D1438" t="inlineStr">
        <is>
          <t>JÄMTLANDS LÄN</t>
        </is>
      </c>
      <c r="E1438" t="inlineStr">
        <is>
          <t>STRÖMSUND</t>
        </is>
      </c>
      <c r="F1438" t="inlineStr">
        <is>
          <t>SCA</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21844-2022</t>
        </is>
      </c>
      <c r="B1439" s="1" t="n">
        <v>44678</v>
      </c>
      <c r="C1439" s="1" t="n">
        <v>45718</v>
      </c>
      <c r="D1439" t="inlineStr">
        <is>
          <t>JÄMTLANDS LÄN</t>
        </is>
      </c>
      <c r="E1439" t="inlineStr">
        <is>
          <t>STRÖMSUND</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17753-2022</t>
        </is>
      </c>
      <c r="B1440" s="1" t="n">
        <v>44681</v>
      </c>
      <c r="C1440" s="1" t="n">
        <v>45718</v>
      </c>
      <c r="D1440" t="inlineStr">
        <is>
          <t>JÄMTLANDS LÄN</t>
        </is>
      </c>
      <c r="E1440" t="inlineStr">
        <is>
          <t>STRÖMSUND</t>
        </is>
      </c>
      <c r="F1440" t="inlineStr">
        <is>
          <t>SCA</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17754-2022</t>
        </is>
      </c>
      <c r="B1441" s="1" t="n">
        <v>44680</v>
      </c>
      <c r="C1441" s="1" t="n">
        <v>45718</v>
      </c>
      <c r="D1441" t="inlineStr">
        <is>
          <t>JÄMTLANDS LÄN</t>
        </is>
      </c>
      <c r="E1441" t="inlineStr">
        <is>
          <t>STRÖMSUND</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17752-2022</t>
        </is>
      </c>
      <c r="B1442" s="1" t="n">
        <v>44680</v>
      </c>
      <c r="C1442" s="1" t="n">
        <v>45718</v>
      </c>
      <c r="D1442" t="inlineStr">
        <is>
          <t>JÄMTLANDS LÄN</t>
        </is>
      </c>
      <c r="E1442" t="inlineStr">
        <is>
          <t>STRÖMSUND</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18205-2022</t>
        </is>
      </c>
      <c r="B1443" s="1" t="n">
        <v>44684</v>
      </c>
      <c r="C1443" s="1" t="n">
        <v>45718</v>
      </c>
      <c r="D1443" t="inlineStr">
        <is>
          <t>JÄMTLANDS LÄN</t>
        </is>
      </c>
      <c r="E1443" t="inlineStr">
        <is>
          <t>STRÖMSUND</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18553-2022</t>
        </is>
      </c>
      <c r="B1444" s="1" t="n">
        <v>44687</v>
      </c>
      <c r="C1444" s="1" t="n">
        <v>45718</v>
      </c>
      <c r="D1444" t="inlineStr">
        <is>
          <t>JÄMTLANDS LÄN</t>
        </is>
      </c>
      <c r="E1444" t="inlineStr">
        <is>
          <t>STRÖMSUND</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18573-2022</t>
        </is>
      </c>
      <c r="B1445" s="1" t="n">
        <v>44687</v>
      </c>
      <c r="C1445" s="1" t="n">
        <v>45718</v>
      </c>
      <c r="D1445" t="inlineStr">
        <is>
          <t>JÄMTLANDS LÄN</t>
        </is>
      </c>
      <c r="E1445" t="inlineStr">
        <is>
          <t>STRÖMSUND</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18572-2022</t>
        </is>
      </c>
      <c r="B1446" s="1" t="n">
        <v>44686</v>
      </c>
      <c r="C1446" s="1" t="n">
        <v>45718</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18750-2022</t>
        </is>
      </c>
      <c r="B1447" s="1" t="n">
        <v>44688</v>
      </c>
      <c r="C1447" s="1" t="n">
        <v>45718</v>
      </c>
      <c r="D1447" t="inlineStr">
        <is>
          <t>JÄMTLANDS LÄN</t>
        </is>
      </c>
      <c r="E1447" t="inlineStr">
        <is>
          <t>STRÖMSUND</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18749-2022</t>
        </is>
      </c>
      <c r="B1448" s="1" t="n">
        <v>44688</v>
      </c>
      <c r="C1448" s="1" t="n">
        <v>45718</v>
      </c>
      <c r="D1448" t="inlineStr">
        <is>
          <t>JÄMTLANDS LÄN</t>
        </is>
      </c>
      <c r="E1448" t="inlineStr">
        <is>
          <t>STRÖMSUND</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18751-2022</t>
        </is>
      </c>
      <c r="B1449" s="1" t="n">
        <v>44688</v>
      </c>
      <c r="C1449" s="1" t="n">
        <v>45718</v>
      </c>
      <c r="D1449" t="inlineStr">
        <is>
          <t>JÄMTLANDS LÄN</t>
        </is>
      </c>
      <c r="E1449" t="inlineStr">
        <is>
          <t>STRÖMSUND</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18994-2022</t>
        </is>
      </c>
      <c r="B1450" s="1" t="n">
        <v>44691</v>
      </c>
      <c r="C1450" s="1" t="n">
        <v>45718</v>
      </c>
      <c r="D1450" t="inlineStr">
        <is>
          <t>JÄMTLANDS LÄN</t>
        </is>
      </c>
      <c r="E1450" t="inlineStr">
        <is>
          <t>STRÖMSUND</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19209-2022</t>
        </is>
      </c>
      <c r="B1451" s="1" t="n">
        <v>44691</v>
      </c>
      <c r="C1451" s="1" t="n">
        <v>45718</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19602-2022</t>
        </is>
      </c>
      <c r="B1452" s="1" t="n">
        <v>44694</v>
      </c>
      <c r="C1452" s="1" t="n">
        <v>45718</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20058-2022</t>
        </is>
      </c>
      <c r="B1453" s="1" t="n">
        <v>44698</v>
      </c>
      <c r="C1453" s="1" t="n">
        <v>45718</v>
      </c>
      <c r="D1453" t="inlineStr">
        <is>
          <t>JÄMTLANDS LÄN</t>
        </is>
      </c>
      <c r="E1453" t="inlineStr">
        <is>
          <t>STRÖMSUND</t>
        </is>
      </c>
      <c r="G1453" t="n">
        <v>29.5</v>
      </c>
      <c r="H1453" t="n">
        <v>0</v>
      </c>
      <c r="I1453" t="n">
        <v>0</v>
      </c>
      <c r="J1453" t="n">
        <v>0</v>
      </c>
      <c r="K1453" t="n">
        <v>0</v>
      </c>
      <c r="L1453" t="n">
        <v>0</v>
      </c>
      <c r="M1453" t="n">
        <v>0</v>
      </c>
      <c r="N1453" t="n">
        <v>0</v>
      </c>
      <c r="O1453" t="n">
        <v>0</v>
      </c>
      <c r="P1453" t="n">
        <v>0</v>
      </c>
      <c r="Q1453" t="n">
        <v>0</v>
      </c>
      <c r="R1453" s="2" t="inlineStr"/>
    </row>
    <row r="1454" ht="15" customHeight="1">
      <c r="A1454" t="inlineStr">
        <is>
          <t>A 20072-2022</t>
        </is>
      </c>
      <c r="B1454" s="1" t="n">
        <v>44697</v>
      </c>
      <c r="C1454" s="1" t="n">
        <v>45718</v>
      </c>
      <c r="D1454" t="inlineStr">
        <is>
          <t>JÄMTLANDS LÄN</t>
        </is>
      </c>
      <c r="E1454" t="inlineStr">
        <is>
          <t>STRÖMSUND</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20073-2022</t>
        </is>
      </c>
      <c r="B1455" s="1" t="n">
        <v>44697</v>
      </c>
      <c r="C1455" s="1" t="n">
        <v>45718</v>
      </c>
      <c r="D1455" t="inlineStr">
        <is>
          <t>JÄMTLANDS LÄN</t>
        </is>
      </c>
      <c r="E1455" t="inlineStr">
        <is>
          <t>STRÖMSUND</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20071-2022</t>
        </is>
      </c>
      <c r="B1456" s="1" t="n">
        <v>44698</v>
      </c>
      <c r="C1456" s="1" t="n">
        <v>45718</v>
      </c>
      <c r="D1456" t="inlineStr">
        <is>
          <t>JÄMTLANDS LÄN</t>
        </is>
      </c>
      <c r="E1456" t="inlineStr">
        <is>
          <t>STRÖMSUND</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19964-2022</t>
        </is>
      </c>
      <c r="B1457" s="1" t="n">
        <v>44697</v>
      </c>
      <c r="C1457" s="1" t="n">
        <v>45718</v>
      </c>
      <c r="D1457" t="inlineStr">
        <is>
          <t>JÄMTLANDS LÄN</t>
        </is>
      </c>
      <c r="E1457" t="inlineStr">
        <is>
          <t>STRÖMSUND</t>
        </is>
      </c>
      <c r="F1457" t="inlineStr">
        <is>
          <t>Holmen skog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20266-2022</t>
        </is>
      </c>
      <c r="B1458" s="1" t="n">
        <v>44698</v>
      </c>
      <c r="C1458" s="1" t="n">
        <v>45718</v>
      </c>
      <c r="D1458" t="inlineStr">
        <is>
          <t>JÄMTLANDS LÄN</t>
        </is>
      </c>
      <c r="E1458" t="inlineStr">
        <is>
          <t>STRÖMSUND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20334-2022</t>
        </is>
      </c>
      <c r="B1459" s="1" t="n">
        <v>44699</v>
      </c>
      <c r="C1459" s="1" t="n">
        <v>45718</v>
      </c>
      <c r="D1459" t="inlineStr">
        <is>
          <t>JÄMTLANDS LÄN</t>
        </is>
      </c>
      <c r="E1459" t="inlineStr">
        <is>
          <t>STRÖMSUND</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20339-2022</t>
        </is>
      </c>
      <c r="B1460" s="1" t="n">
        <v>44699</v>
      </c>
      <c r="C1460" s="1" t="n">
        <v>45718</v>
      </c>
      <c r="D1460" t="inlineStr">
        <is>
          <t>JÄMTLANDS LÄN</t>
        </is>
      </c>
      <c r="E1460" t="inlineStr">
        <is>
          <t>STRÖMSUND</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20432-2022</t>
        </is>
      </c>
      <c r="B1461" s="1" t="n">
        <v>44699</v>
      </c>
      <c r="C1461" s="1" t="n">
        <v>45718</v>
      </c>
      <c r="D1461" t="inlineStr">
        <is>
          <t>JÄMTLANDS LÄN</t>
        </is>
      </c>
      <c r="E1461" t="inlineStr">
        <is>
          <t>STRÖMSUND</t>
        </is>
      </c>
      <c r="F1461" t="inlineStr">
        <is>
          <t>SCA</t>
        </is>
      </c>
      <c r="G1461" t="n">
        <v>99.59999999999999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20331-2022</t>
        </is>
      </c>
      <c r="B1462" s="1" t="n">
        <v>44699</v>
      </c>
      <c r="C1462" s="1" t="n">
        <v>45718</v>
      </c>
      <c r="D1462" t="inlineStr">
        <is>
          <t>JÄMTLANDS LÄN</t>
        </is>
      </c>
      <c r="E1462" t="inlineStr">
        <is>
          <t>STRÖMSUND</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20707-2022</t>
        </is>
      </c>
      <c r="B1463" s="1" t="n">
        <v>44701</v>
      </c>
      <c r="C1463" s="1" t="n">
        <v>45718</v>
      </c>
      <c r="D1463" t="inlineStr">
        <is>
          <t>JÄMTLANDS LÄN</t>
        </is>
      </c>
      <c r="E1463" t="inlineStr">
        <is>
          <t>STRÖMSUND</t>
        </is>
      </c>
      <c r="F1463" t="inlineStr">
        <is>
          <t>SCA</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20706-2022</t>
        </is>
      </c>
      <c r="B1464" s="1" t="n">
        <v>44701</v>
      </c>
      <c r="C1464" s="1" t="n">
        <v>45718</v>
      </c>
      <c r="D1464" t="inlineStr">
        <is>
          <t>JÄMTLANDS LÄN</t>
        </is>
      </c>
      <c r="E1464" t="inlineStr">
        <is>
          <t>STRÖMSUND</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20708-2022</t>
        </is>
      </c>
      <c r="B1465" s="1" t="n">
        <v>44700</v>
      </c>
      <c r="C1465" s="1" t="n">
        <v>45718</v>
      </c>
      <c r="D1465" t="inlineStr">
        <is>
          <t>JÄMTLANDS LÄN</t>
        </is>
      </c>
      <c r="E1465" t="inlineStr">
        <is>
          <t>STRÖMSUND</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20865-2022</t>
        </is>
      </c>
      <c r="B1466" s="1" t="n">
        <v>44701</v>
      </c>
      <c r="C1466" s="1" t="n">
        <v>45718</v>
      </c>
      <c r="D1466" t="inlineStr">
        <is>
          <t>JÄMTLANDS LÄN</t>
        </is>
      </c>
      <c r="E1466" t="inlineStr">
        <is>
          <t>STRÖMSUND</t>
        </is>
      </c>
      <c r="F1466" t="inlineStr">
        <is>
          <t>Holmen skog AB</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20965-2022</t>
        </is>
      </c>
      <c r="B1467" s="1" t="n">
        <v>44701</v>
      </c>
      <c r="C1467" s="1" t="n">
        <v>45718</v>
      </c>
      <c r="D1467" t="inlineStr">
        <is>
          <t>JÄMTLANDS LÄN</t>
        </is>
      </c>
      <c r="E1467" t="inlineStr">
        <is>
          <t>STRÖMSUND</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20966-2022</t>
        </is>
      </c>
      <c r="B1468" s="1" t="n">
        <v>44702</v>
      </c>
      <c r="C1468" s="1" t="n">
        <v>45718</v>
      </c>
      <c r="D1468" t="inlineStr">
        <is>
          <t>JÄMTLANDS LÄN</t>
        </is>
      </c>
      <c r="E1468" t="inlineStr">
        <is>
          <t>STRÖMSUND</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21192-2022</t>
        </is>
      </c>
      <c r="B1469" s="1" t="n">
        <v>44705</v>
      </c>
      <c r="C1469" s="1" t="n">
        <v>45718</v>
      </c>
      <c r="D1469" t="inlineStr">
        <is>
          <t>JÄMTLANDS LÄN</t>
        </is>
      </c>
      <c r="E1469" t="inlineStr">
        <is>
          <t>STRÖMSUND</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21399-2022</t>
        </is>
      </c>
      <c r="B1470" s="1" t="n">
        <v>44706</v>
      </c>
      <c r="C1470" s="1" t="n">
        <v>45718</v>
      </c>
      <c r="D1470" t="inlineStr">
        <is>
          <t>JÄMTLANDS LÄN</t>
        </is>
      </c>
      <c r="E1470" t="inlineStr">
        <is>
          <t>STRÖMSUND</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21410-2022</t>
        </is>
      </c>
      <c r="B1471" s="1" t="n">
        <v>44706</v>
      </c>
      <c r="C1471" s="1" t="n">
        <v>45718</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21646-2022</t>
        </is>
      </c>
      <c r="B1472" s="1" t="n">
        <v>44707</v>
      </c>
      <c r="C1472" s="1" t="n">
        <v>45718</v>
      </c>
      <c r="D1472" t="inlineStr">
        <is>
          <t>JÄMTLANDS LÄN</t>
        </is>
      </c>
      <c r="E1472" t="inlineStr">
        <is>
          <t>STRÖMSUND</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21647-2022</t>
        </is>
      </c>
      <c r="B1473" s="1" t="n">
        <v>44707</v>
      </c>
      <c r="C1473" s="1" t="n">
        <v>45718</v>
      </c>
      <c r="D1473" t="inlineStr">
        <is>
          <t>JÄMTLANDS LÄN</t>
        </is>
      </c>
      <c r="E1473" t="inlineStr">
        <is>
          <t>STRÖMSUND</t>
        </is>
      </c>
      <c r="F1473" t="inlineStr">
        <is>
          <t>SCA</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21650-2022</t>
        </is>
      </c>
      <c r="B1474" s="1" t="n">
        <v>44706</v>
      </c>
      <c r="C1474" s="1" t="n">
        <v>45718</v>
      </c>
      <c r="D1474" t="inlineStr">
        <is>
          <t>JÄMTLANDS LÄN</t>
        </is>
      </c>
      <c r="E1474" t="inlineStr">
        <is>
          <t>STRÖMSUND</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21649-2022</t>
        </is>
      </c>
      <c r="B1475" s="1" t="n">
        <v>44707</v>
      </c>
      <c r="C1475" s="1" t="n">
        <v>45718</v>
      </c>
      <c r="D1475" t="inlineStr">
        <is>
          <t>JÄMTLANDS LÄN</t>
        </is>
      </c>
      <c r="E1475" t="inlineStr">
        <is>
          <t>STRÖMSUND</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21702-2022</t>
        </is>
      </c>
      <c r="B1476" s="1" t="n">
        <v>44708</v>
      </c>
      <c r="C1476" s="1" t="n">
        <v>45718</v>
      </c>
      <c r="D1476" t="inlineStr">
        <is>
          <t>JÄMTLANDS LÄN</t>
        </is>
      </c>
      <c r="E1476" t="inlineStr">
        <is>
          <t>STRÖMSUND</t>
        </is>
      </c>
      <c r="F1476" t="inlineStr">
        <is>
          <t>SCA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21700-2022</t>
        </is>
      </c>
      <c r="B1477" s="1" t="n">
        <v>44708</v>
      </c>
      <c r="C1477" s="1" t="n">
        <v>45718</v>
      </c>
      <c r="D1477" t="inlineStr">
        <is>
          <t>JÄMTLANDS LÄN</t>
        </is>
      </c>
      <c r="E1477" t="inlineStr">
        <is>
          <t>STRÖMSUND</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21701-2022</t>
        </is>
      </c>
      <c r="B1478" s="1" t="n">
        <v>44708</v>
      </c>
      <c r="C1478" s="1" t="n">
        <v>45718</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21771-2022</t>
        </is>
      </c>
      <c r="B1479" s="1" t="n">
        <v>44708</v>
      </c>
      <c r="C1479" s="1" t="n">
        <v>45718</v>
      </c>
      <c r="D1479" t="inlineStr">
        <is>
          <t>JÄMTLANDS LÄN</t>
        </is>
      </c>
      <c r="E1479" t="inlineStr">
        <is>
          <t>STRÖMSUND</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21812-2022</t>
        </is>
      </c>
      <c r="B1480" s="1" t="n">
        <v>44708</v>
      </c>
      <c r="C1480" s="1" t="n">
        <v>45718</v>
      </c>
      <c r="D1480" t="inlineStr">
        <is>
          <t>JÄMTLANDS LÄN</t>
        </is>
      </c>
      <c r="E1480" t="inlineStr">
        <is>
          <t>STRÖMSUND</t>
        </is>
      </c>
      <c r="F1480" t="inlineStr">
        <is>
          <t>SCA</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22026-2022</t>
        </is>
      </c>
      <c r="B1481" s="1" t="n">
        <v>44711</v>
      </c>
      <c r="C1481" s="1" t="n">
        <v>45718</v>
      </c>
      <c r="D1481" t="inlineStr">
        <is>
          <t>JÄMTLANDS LÄN</t>
        </is>
      </c>
      <c r="E1481" t="inlineStr">
        <is>
          <t>STRÖMSUND</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22096-2022</t>
        </is>
      </c>
      <c r="B1482" s="1" t="n">
        <v>44712</v>
      </c>
      <c r="C1482" s="1" t="n">
        <v>45718</v>
      </c>
      <c r="D1482" t="inlineStr">
        <is>
          <t>JÄMTLANDS LÄN</t>
        </is>
      </c>
      <c r="E1482" t="inlineStr">
        <is>
          <t>STRÖMSUND</t>
        </is>
      </c>
      <c r="F1482" t="inlineStr">
        <is>
          <t>SCA</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22338-2022</t>
        </is>
      </c>
      <c r="B1483" s="1" t="n">
        <v>44712</v>
      </c>
      <c r="C1483" s="1" t="n">
        <v>45718</v>
      </c>
      <c r="D1483" t="inlineStr">
        <is>
          <t>JÄMTLANDS LÄN</t>
        </is>
      </c>
      <c r="E1483" t="inlineStr">
        <is>
          <t>STRÖMSUND</t>
        </is>
      </c>
      <c r="F1483" t="inlineStr">
        <is>
          <t>SCA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22337-2022</t>
        </is>
      </c>
      <c r="B1484" s="1" t="n">
        <v>44713</v>
      </c>
      <c r="C1484" s="1" t="n">
        <v>45718</v>
      </c>
      <c r="D1484" t="inlineStr">
        <is>
          <t>JÄMTLANDS LÄN</t>
        </is>
      </c>
      <c r="E1484" t="inlineStr">
        <is>
          <t>STRÖMSUND</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22560-2022</t>
        </is>
      </c>
      <c r="B1485" s="1" t="n">
        <v>44714</v>
      </c>
      <c r="C1485" s="1" t="n">
        <v>45718</v>
      </c>
      <c r="D1485" t="inlineStr">
        <is>
          <t>JÄMTLANDS LÄN</t>
        </is>
      </c>
      <c r="E1485" t="inlineStr">
        <is>
          <t>STRÖMSUND</t>
        </is>
      </c>
      <c r="F1485" t="inlineStr">
        <is>
          <t>SCA</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22564-2022</t>
        </is>
      </c>
      <c r="B1486" s="1" t="n">
        <v>44713</v>
      </c>
      <c r="C1486" s="1" t="n">
        <v>45718</v>
      </c>
      <c r="D1486" t="inlineStr">
        <is>
          <t>JÄMTLANDS LÄN</t>
        </is>
      </c>
      <c r="E1486" t="inlineStr">
        <is>
          <t>STRÖMSUND</t>
        </is>
      </c>
      <c r="F1486" t="inlineStr">
        <is>
          <t>SCA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22558-2022</t>
        </is>
      </c>
      <c r="B1487" s="1" t="n">
        <v>44713</v>
      </c>
      <c r="C1487" s="1" t="n">
        <v>45718</v>
      </c>
      <c r="D1487" t="inlineStr">
        <is>
          <t>JÄMTLANDS LÄN</t>
        </is>
      </c>
      <c r="E1487" t="inlineStr">
        <is>
          <t>STRÖMSUND</t>
        </is>
      </c>
      <c r="F1487" t="inlineStr">
        <is>
          <t>SCA</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22561-2022</t>
        </is>
      </c>
      <c r="B1488" s="1" t="n">
        <v>44714</v>
      </c>
      <c r="C1488" s="1" t="n">
        <v>45718</v>
      </c>
      <c r="D1488" t="inlineStr">
        <is>
          <t>JÄMTLANDS LÄN</t>
        </is>
      </c>
      <c r="E1488" t="inlineStr">
        <is>
          <t>STRÖMSUND</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22559-2022</t>
        </is>
      </c>
      <c r="B1489" s="1" t="n">
        <v>44714</v>
      </c>
      <c r="C1489" s="1" t="n">
        <v>45718</v>
      </c>
      <c r="D1489" t="inlineStr">
        <is>
          <t>JÄMTLANDS LÄN</t>
        </is>
      </c>
      <c r="E1489" t="inlineStr">
        <is>
          <t>STRÖMSUND</t>
        </is>
      </c>
      <c r="F1489" t="inlineStr">
        <is>
          <t>SCA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22568-2022</t>
        </is>
      </c>
      <c r="B1490" s="1" t="n">
        <v>44714</v>
      </c>
      <c r="C1490" s="1" t="n">
        <v>45718</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22659-2022</t>
        </is>
      </c>
      <c r="B1491" s="1" t="n">
        <v>44714</v>
      </c>
      <c r="C1491" s="1" t="n">
        <v>45718</v>
      </c>
      <c r="D1491" t="inlineStr">
        <is>
          <t>JÄMTLANDS LÄN</t>
        </is>
      </c>
      <c r="E1491" t="inlineStr">
        <is>
          <t>STRÖMSUND</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22616-2022</t>
        </is>
      </c>
      <c r="B1492" s="1" t="n">
        <v>44714</v>
      </c>
      <c r="C1492" s="1" t="n">
        <v>45718</v>
      </c>
      <c r="D1492" t="inlineStr">
        <is>
          <t>JÄMTLANDS LÄN</t>
        </is>
      </c>
      <c r="E1492" t="inlineStr">
        <is>
          <t>STRÖMSUND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22966-2022</t>
        </is>
      </c>
      <c r="B1493" s="1" t="n">
        <v>44716</v>
      </c>
      <c r="C1493" s="1" t="n">
        <v>45718</v>
      </c>
      <c r="D1493" t="inlineStr">
        <is>
          <t>JÄMTLANDS LÄN</t>
        </is>
      </c>
      <c r="E1493" t="inlineStr">
        <is>
          <t>STRÖMSUND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22814-2022</t>
        </is>
      </c>
      <c r="B1494" s="1" t="n">
        <v>44715</v>
      </c>
      <c r="C1494" s="1" t="n">
        <v>45718</v>
      </c>
      <c r="D1494" t="inlineStr">
        <is>
          <t>JÄMTLANDS LÄN</t>
        </is>
      </c>
      <c r="E1494" t="inlineStr">
        <is>
          <t>STRÖMSUND</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22960-2022</t>
        </is>
      </c>
      <c r="B1495" s="1" t="n">
        <v>44716</v>
      </c>
      <c r="C1495" s="1" t="n">
        <v>45718</v>
      </c>
      <c r="D1495" t="inlineStr">
        <is>
          <t>JÄMTLANDS LÄN</t>
        </is>
      </c>
      <c r="E1495" t="inlineStr">
        <is>
          <t>STRÖMSUND</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22961-2022</t>
        </is>
      </c>
      <c r="B1496" s="1" t="n">
        <v>44715</v>
      </c>
      <c r="C1496" s="1" t="n">
        <v>45718</v>
      </c>
      <c r="D1496" t="inlineStr">
        <is>
          <t>JÄMTLANDS LÄN</t>
        </is>
      </c>
      <c r="E1496" t="inlineStr">
        <is>
          <t>STRÖMSUND</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23128-2022</t>
        </is>
      </c>
      <c r="B1497" s="1" t="n">
        <v>44719</v>
      </c>
      <c r="C1497" s="1" t="n">
        <v>45718</v>
      </c>
      <c r="D1497" t="inlineStr">
        <is>
          <t>JÄMTLANDS LÄN</t>
        </is>
      </c>
      <c r="E1497" t="inlineStr">
        <is>
          <t>STRÖMSUND</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23209-2022</t>
        </is>
      </c>
      <c r="B1498" s="1" t="n">
        <v>44719</v>
      </c>
      <c r="C1498" s="1" t="n">
        <v>45718</v>
      </c>
      <c r="D1498" t="inlineStr">
        <is>
          <t>JÄMTLANDS LÄN</t>
        </is>
      </c>
      <c r="E1498" t="inlineStr">
        <is>
          <t>STRÖMSUND</t>
        </is>
      </c>
      <c r="F1498" t="inlineStr">
        <is>
          <t>SCA</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23217-2022</t>
        </is>
      </c>
      <c r="B1499" s="1" t="n">
        <v>44720</v>
      </c>
      <c r="C1499" s="1" t="n">
        <v>45718</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23208-2022</t>
        </is>
      </c>
      <c r="B1500" s="1" t="n">
        <v>44719</v>
      </c>
      <c r="C1500" s="1" t="n">
        <v>45718</v>
      </c>
      <c r="D1500" t="inlineStr">
        <is>
          <t>JÄMTLANDS LÄN</t>
        </is>
      </c>
      <c r="E1500" t="inlineStr">
        <is>
          <t>STRÖMSUND</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23214-2022</t>
        </is>
      </c>
      <c r="B1501" s="1" t="n">
        <v>44720</v>
      </c>
      <c r="C1501" s="1" t="n">
        <v>45718</v>
      </c>
      <c r="D1501" t="inlineStr">
        <is>
          <t>JÄMTLANDS LÄN</t>
        </is>
      </c>
      <c r="E1501" t="inlineStr">
        <is>
          <t>STRÖMSUND</t>
        </is>
      </c>
      <c r="F1501" t="inlineStr">
        <is>
          <t>SCA</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23206-2022</t>
        </is>
      </c>
      <c r="B1502" s="1" t="n">
        <v>44719</v>
      </c>
      <c r="C1502" s="1" t="n">
        <v>45718</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23453-2022</t>
        </is>
      </c>
      <c r="B1503" s="1" t="n">
        <v>44721</v>
      </c>
      <c r="C1503" s="1" t="n">
        <v>45718</v>
      </c>
      <c r="D1503" t="inlineStr">
        <is>
          <t>JÄMTLANDS LÄN</t>
        </is>
      </c>
      <c r="E1503" t="inlineStr">
        <is>
          <t>STRÖMSUND</t>
        </is>
      </c>
      <c r="F1503" t="inlineStr">
        <is>
          <t>SCA</t>
        </is>
      </c>
      <c r="G1503" t="n">
        <v>48.2</v>
      </c>
      <c r="H1503" t="n">
        <v>0</v>
      </c>
      <c r="I1503" t="n">
        <v>0</v>
      </c>
      <c r="J1503" t="n">
        <v>0</v>
      </c>
      <c r="K1503" t="n">
        <v>0</v>
      </c>
      <c r="L1503" t="n">
        <v>0</v>
      </c>
      <c r="M1503" t="n">
        <v>0</v>
      </c>
      <c r="N1503" t="n">
        <v>0</v>
      </c>
      <c r="O1503" t="n">
        <v>0</v>
      </c>
      <c r="P1503" t="n">
        <v>0</v>
      </c>
      <c r="Q1503" t="n">
        <v>0</v>
      </c>
      <c r="R1503" s="2" t="inlineStr"/>
    </row>
    <row r="1504" ht="15" customHeight="1">
      <c r="A1504" t="inlineStr">
        <is>
          <t>A 23675-2022</t>
        </is>
      </c>
      <c r="B1504" s="1" t="n">
        <v>44722</v>
      </c>
      <c r="C1504" s="1" t="n">
        <v>45718</v>
      </c>
      <c r="D1504" t="inlineStr">
        <is>
          <t>JÄMTLANDS LÄN</t>
        </is>
      </c>
      <c r="E1504" t="inlineStr">
        <is>
          <t>STRÖMSUND</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24006-2022</t>
        </is>
      </c>
      <c r="B1505" s="1" t="n">
        <v>44723</v>
      </c>
      <c r="C1505" s="1" t="n">
        <v>45718</v>
      </c>
      <c r="D1505" t="inlineStr">
        <is>
          <t>JÄMTLANDS LÄN</t>
        </is>
      </c>
      <c r="E1505" t="inlineStr">
        <is>
          <t>STRÖMSUND</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24020-2022</t>
        </is>
      </c>
      <c r="B1506" s="1" t="n">
        <v>44723</v>
      </c>
      <c r="C1506" s="1" t="n">
        <v>45718</v>
      </c>
      <c r="D1506" t="inlineStr">
        <is>
          <t>JÄMTLANDS LÄN</t>
        </is>
      </c>
      <c r="E1506" t="inlineStr">
        <is>
          <t>STRÖMSUND</t>
        </is>
      </c>
      <c r="F1506" t="inlineStr">
        <is>
          <t>SCA</t>
        </is>
      </c>
      <c r="G1506" t="n">
        <v>20.2</v>
      </c>
      <c r="H1506" t="n">
        <v>0</v>
      </c>
      <c r="I1506" t="n">
        <v>0</v>
      </c>
      <c r="J1506" t="n">
        <v>0</v>
      </c>
      <c r="K1506" t="n">
        <v>0</v>
      </c>
      <c r="L1506" t="n">
        <v>0</v>
      </c>
      <c r="M1506" t="n">
        <v>0</v>
      </c>
      <c r="N1506" t="n">
        <v>0</v>
      </c>
      <c r="O1506" t="n">
        <v>0</v>
      </c>
      <c r="P1506" t="n">
        <v>0</v>
      </c>
      <c r="Q1506" t="n">
        <v>0</v>
      </c>
      <c r="R1506" s="2" t="inlineStr"/>
    </row>
    <row r="1507" ht="15" customHeight="1">
      <c r="A1507" t="inlineStr">
        <is>
          <t>A 24021-2022</t>
        </is>
      </c>
      <c r="B1507" s="1" t="n">
        <v>44723</v>
      </c>
      <c r="C1507" s="1" t="n">
        <v>45718</v>
      </c>
      <c r="D1507" t="inlineStr">
        <is>
          <t>JÄMTLANDS LÄN</t>
        </is>
      </c>
      <c r="E1507" t="inlineStr">
        <is>
          <t>STRÖMSUND</t>
        </is>
      </c>
      <c r="F1507" t="inlineStr">
        <is>
          <t>SCA</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24023-2022</t>
        </is>
      </c>
      <c r="B1508" s="1" t="n">
        <v>44723</v>
      </c>
      <c r="C1508" s="1" t="n">
        <v>45718</v>
      </c>
      <c r="D1508" t="inlineStr">
        <is>
          <t>JÄMTLANDS LÄN</t>
        </is>
      </c>
      <c r="E1508" t="inlineStr">
        <is>
          <t>STRÖMSUND</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24303-2022</t>
        </is>
      </c>
      <c r="B1509" s="1" t="n">
        <v>44726</v>
      </c>
      <c r="C1509" s="1" t="n">
        <v>45718</v>
      </c>
      <c r="D1509" t="inlineStr">
        <is>
          <t>JÄMTLANDS LÄN</t>
        </is>
      </c>
      <c r="E1509" t="inlineStr">
        <is>
          <t>STRÖMSUND</t>
        </is>
      </c>
      <c r="F1509" t="inlineStr">
        <is>
          <t>SCA</t>
        </is>
      </c>
      <c r="G1509" t="n">
        <v>20.2</v>
      </c>
      <c r="H1509" t="n">
        <v>0</v>
      </c>
      <c r="I1509" t="n">
        <v>0</v>
      </c>
      <c r="J1509" t="n">
        <v>0</v>
      </c>
      <c r="K1509" t="n">
        <v>0</v>
      </c>
      <c r="L1509" t="n">
        <v>0</v>
      </c>
      <c r="M1509" t="n">
        <v>0</v>
      </c>
      <c r="N1509" t="n">
        <v>0</v>
      </c>
      <c r="O1509" t="n">
        <v>0</v>
      </c>
      <c r="P1509" t="n">
        <v>0</v>
      </c>
      <c r="Q1509" t="n">
        <v>0</v>
      </c>
      <c r="R1509" s="2" t="inlineStr"/>
    </row>
    <row r="1510" ht="15" customHeight="1">
      <c r="A1510" t="inlineStr">
        <is>
          <t>A 24302-2022</t>
        </is>
      </c>
      <c r="B1510" s="1" t="n">
        <v>44726</v>
      </c>
      <c r="C1510" s="1" t="n">
        <v>45718</v>
      </c>
      <c r="D1510" t="inlineStr">
        <is>
          <t>JÄMTLANDS LÄN</t>
        </is>
      </c>
      <c r="E1510" t="inlineStr">
        <is>
          <t>STRÖMSUND</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24319-2022</t>
        </is>
      </c>
      <c r="B1511" s="1" t="n">
        <v>44726</v>
      </c>
      <c r="C1511" s="1" t="n">
        <v>45718</v>
      </c>
      <c r="D1511" t="inlineStr">
        <is>
          <t>JÄMTLANDS LÄN</t>
        </is>
      </c>
      <c r="E1511" t="inlineStr">
        <is>
          <t>STRÖMSUND</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24487-2022</t>
        </is>
      </c>
      <c r="B1512" s="1" t="n">
        <v>44726</v>
      </c>
      <c r="C1512" s="1" t="n">
        <v>45718</v>
      </c>
      <c r="D1512" t="inlineStr">
        <is>
          <t>JÄMTLANDS LÄN</t>
        </is>
      </c>
      <c r="E1512" t="inlineStr">
        <is>
          <t>STRÖMSUND</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24488-2022</t>
        </is>
      </c>
      <c r="B1513" s="1" t="n">
        <v>44726</v>
      </c>
      <c r="C1513" s="1" t="n">
        <v>45718</v>
      </c>
      <c r="D1513" t="inlineStr">
        <is>
          <t>JÄMTLANDS LÄN</t>
        </is>
      </c>
      <c r="E1513" t="inlineStr">
        <is>
          <t>STRÖMSUND</t>
        </is>
      </c>
      <c r="G1513" t="n">
        <v>19.1</v>
      </c>
      <c r="H1513" t="n">
        <v>0</v>
      </c>
      <c r="I1513" t="n">
        <v>0</v>
      </c>
      <c r="J1513" t="n">
        <v>0</v>
      </c>
      <c r="K1513" t="n">
        <v>0</v>
      </c>
      <c r="L1513" t="n">
        <v>0</v>
      </c>
      <c r="M1513" t="n">
        <v>0</v>
      </c>
      <c r="N1513" t="n">
        <v>0</v>
      </c>
      <c r="O1513" t="n">
        <v>0</v>
      </c>
      <c r="P1513" t="n">
        <v>0</v>
      </c>
      <c r="Q1513" t="n">
        <v>0</v>
      </c>
      <c r="R1513" s="2" t="inlineStr"/>
    </row>
    <row r="1514" ht="15" customHeight="1">
      <c r="A1514" t="inlineStr">
        <is>
          <t>A 24509-2022</t>
        </is>
      </c>
      <c r="B1514" s="1" t="n">
        <v>44726</v>
      </c>
      <c r="C1514" s="1" t="n">
        <v>45718</v>
      </c>
      <c r="D1514" t="inlineStr">
        <is>
          <t>JÄMTLANDS LÄN</t>
        </is>
      </c>
      <c r="E1514" t="inlineStr">
        <is>
          <t>STRÖMSUND</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24508-2022</t>
        </is>
      </c>
      <c r="B1515" s="1" t="n">
        <v>44726</v>
      </c>
      <c r="C1515" s="1" t="n">
        <v>45718</v>
      </c>
      <c r="D1515" t="inlineStr">
        <is>
          <t>JÄMTLANDS LÄN</t>
        </is>
      </c>
      <c r="E1515" t="inlineStr">
        <is>
          <t>STRÖMSUND</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24728-2022</t>
        </is>
      </c>
      <c r="B1516" s="1" t="n">
        <v>44727</v>
      </c>
      <c r="C1516" s="1" t="n">
        <v>45718</v>
      </c>
      <c r="D1516" t="inlineStr">
        <is>
          <t>JÄMTLANDS LÄN</t>
        </is>
      </c>
      <c r="E1516" t="inlineStr">
        <is>
          <t>STRÖMSUND</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24918-2022</t>
        </is>
      </c>
      <c r="B1517" s="1" t="n">
        <v>44728</v>
      </c>
      <c r="C1517" s="1" t="n">
        <v>45718</v>
      </c>
      <c r="D1517" t="inlineStr">
        <is>
          <t>JÄMTLANDS LÄN</t>
        </is>
      </c>
      <c r="E1517" t="inlineStr">
        <is>
          <t>STRÖMSUND</t>
        </is>
      </c>
      <c r="F1517" t="inlineStr">
        <is>
          <t>Kyrkan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24912-2022</t>
        </is>
      </c>
      <c r="B1518" s="1" t="n">
        <v>44728</v>
      </c>
      <c r="C1518" s="1" t="n">
        <v>45718</v>
      </c>
      <c r="D1518" t="inlineStr">
        <is>
          <t>JÄMTLANDS LÄN</t>
        </is>
      </c>
      <c r="E1518" t="inlineStr">
        <is>
          <t>STRÖMSUND</t>
        </is>
      </c>
      <c r="F1518" t="inlineStr">
        <is>
          <t>Kyrkan</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24965-2022</t>
        </is>
      </c>
      <c r="B1519" s="1" t="n">
        <v>44728</v>
      </c>
      <c r="C1519" s="1" t="n">
        <v>45718</v>
      </c>
      <c r="D1519" t="inlineStr">
        <is>
          <t>JÄMTLANDS LÄN</t>
        </is>
      </c>
      <c r="E1519" t="inlineStr">
        <is>
          <t>STRÖMSUND</t>
        </is>
      </c>
      <c r="G1519" t="n">
        <v>20.5</v>
      </c>
      <c r="H1519" t="n">
        <v>0</v>
      </c>
      <c r="I1519" t="n">
        <v>0</v>
      </c>
      <c r="J1519" t="n">
        <v>0</v>
      </c>
      <c r="K1519" t="n">
        <v>0</v>
      </c>
      <c r="L1519" t="n">
        <v>0</v>
      </c>
      <c r="M1519" t="n">
        <v>0</v>
      </c>
      <c r="N1519" t="n">
        <v>0</v>
      </c>
      <c r="O1519" t="n">
        <v>0</v>
      </c>
      <c r="P1519" t="n">
        <v>0</v>
      </c>
      <c r="Q1519" t="n">
        <v>0</v>
      </c>
      <c r="R1519" s="2" t="inlineStr"/>
    </row>
    <row r="1520" ht="15" customHeight="1">
      <c r="A1520" t="inlineStr">
        <is>
          <t>A 25018-2022</t>
        </is>
      </c>
      <c r="B1520" s="1" t="n">
        <v>44728</v>
      </c>
      <c r="C1520" s="1" t="n">
        <v>45718</v>
      </c>
      <c r="D1520" t="inlineStr">
        <is>
          <t>JÄMTLANDS LÄN</t>
        </is>
      </c>
      <c r="E1520" t="inlineStr">
        <is>
          <t>STRÖMSUND</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25016-2022</t>
        </is>
      </c>
      <c r="B1521" s="1" t="n">
        <v>44729</v>
      </c>
      <c r="C1521" s="1" t="n">
        <v>45718</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25085-2022</t>
        </is>
      </c>
      <c r="B1522" s="1" t="n">
        <v>44729</v>
      </c>
      <c r="C1522" s="1" t="n">
        <v>45718</v>
      </c>
      <c r="D1522" t="inlineStr">
        <is>
          <t>JÄMTLANDS LÄN</t>
        </is>
      </c>
      <c r="E1522" t="inlineStr">
        <is>
          <t>STRÖMSUND</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25662-2022</t>
        </is>
      </c>
      <c r="B1523" s="1" t="n">
        <v>44732</v>
      </c>
      <c r="C1523" s="1" t="n">
        <v>45718</v>
      </c>
      <c r="D1523" t="inlineStr">
        <is>
          <t>JÄMTLANDS LÄN</t>
        </is>
      </c>
      <c r="E1523" t="inlineStr">
        <is>
          <t>STRÖMSUND</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25847-2022</t>
        </is>
      </c>
      <c r="B1524" s="1" t="n">
        <v>44733</v>
      </c>
      <c r="C1524" s="1" t="n">
        <v>45718</v>
      </c>
      <c r="D1524" t="inlineStr">
        <is>
          <t>JÄMTLANDS LÄN</t>
        </is>
      </c>
      <c r="E1524" t="inlineStr">
        <is>
          <t>STRÖMSUND</t>
        </is>
      </c>
      <c r="F1524" t="inlineStr">
        <is>
          <t>Kyrkan</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25843-2022</t>
        </is>
      </c>
      <c r="B1525" s="1" t="n">
        <v>44733</v>
      </c>
      <c r="C1525" s="1" t="n">
        <v>45718</v>
      </c>
      <c r="D1525" t="inlineStr">
        <is>
          <t>JÄMTLANDS LÄN</t>
        </is>
      </c>
      <c r="E1525" t="inlineStr">
        <is>
          <t>STRÖMSUND</t>
        </is>
      </c>
      <c r="F1525" t="inlineStr">
        <is>
          <t>Kyrkan</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26117-2022</t>
        </is>
      </c>
      <c r="B1526" s="1" t="n">
        <v>44735</v>
      </c>
      <c r="C1526" s="1" t="n">
        <v>45718</v>
      </c>
      <c r="D1526" t="inlineStr">
        <is>
          <t>JÄMTLANDS LÄN</t>
        </is>
      </c>
      <c r="E1526" t="inlineStr">
        <is>
          <t>STRÖMSUND</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26116-2022</t>
        </is>
      </c>
      <c r="B1527" s="1" t="n">
        <v>44734</v>
      </c>
      <c r="C1527" s="1" t="n">
        <v>45718</v>
      </c>
      <c r="D1527" t="inlineStr">
        <is>
          <t>JÄMTLANDS LÄN</t>
        </is>
      </c>
      <c r="E1527" t="inlineStr">
        <is>
          <t>STRÖMSUND</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26130-2022</t>
        </is>
      </c>
      <c r="B1528" s="1" t="n">
        <v>44735</v>
      </c>
      <c r="C1528" s="1" t="n">
        <v>45718</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26133-2022</t>
        </is>
      </c>
      <c r="B1529" s="1" t="n">
        <v>44735</v>
      </c>
      <c r="C1529" s="1" t="n">
        <v>45718</v>
      </c>
      <c r="D1529" t="inlineStr">
        <is>
          <t>JÄMTLANDS LÄN</t>
        </is>
      </c>
      <c r="E1529" t="inlineStr">
        <is>
          <t>STRÖMSUND</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26126-2022</t>
        </is>
      </c>
      <c r="B1530" s="1" t="n">
        <v>44735</v>
      </c>
      <c r="C1530" s="1" t="n">
        <v>45718</v>
      </c>
      <c r="D1530" t="inlineStr">
        <is>
          <t>JÄMTLANDS LÄN</t>
        </is>
      </c>
      <c r="E1530" t="inlineStr">
        <is>
          <t>STRÖMSUND</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26132-2022</t>
        </is>
      </c>
      <c r="B1531" s="1" t="n">
        <v>44734</v>
      </c>
      <c r="C1531" s="1" t="n">
        <v>45718</v>
      </c>
      <c r="D1531" t="inlineStr">
        <is>
          <t>JÄMTLANDS LÄN</t>
        </is>
      </c>
      <c r="E1531" t="inlineStr">
        <is>
          <t>STRÖMSUND</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26421-2022</t>
        </is>
      </c>
      <c r="B1532" s="1" t="n">
        <v>44736</v>
      </c>
      <c r="C1532" s="1" t="n">
        <v>45718</v>
      </c>
      <c r="D1532" t="inlineStr">
        <is>
          <t>JÄMTLANDS LÄN</t>
        </is>
      </c>
      <c r="E1532" t="inlineStr">
        <is>
          <t>STRÖMSUND</t>
        </is>
      </c>
      <c r="F1532" t="inlineStr">
        <is>
          <t>SCA</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26734-2022</t>
        </is>
      </c>
      <c r="B1533" s="1" t="n">
        <v>44740</v>
      </c>
      <c r="C1533" s="1" t="n">
        <v>45718</v>
      </c>
      <c r="D1533" t="inlineStr">
        <is>
          <t>JÄMTLANDS LÄN</t>
        </is>
      </c>
      <c r="E1533" t="inlineStr">
        <is>
          <t>STRÖMSUND</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26943-2022</t>
        </is>
      </c>
      <c r="B1534" s="1" t="n">
        <v>44740</v>
      </c>
      <c r="C1534" s="1" t="n">
        <v>45718</v>
      </c>
      <c r="D1534" t="inlineStr">
        <is>
          <t>JÄMTLANDS LÄN</t>
        </is>
      </c>
      <c r="E1534" t="inlineStr">
        <is>
          <t>STRÖMSUND</t>
        </is>
      </c>
      <c r="F1534" t="inlineStr">
        <is>
          <t>Holmen skog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27035-2022</t>
        </is>
      </c>
      <c r="B1535" s="1" t="n">
        <v>44741</v>
      </c>
      <c r="C1535" s="1" t="n">
        <v>45718</v>
      </c>
      <c r="D1535" t="inlineStr">
        <is>
          <t>JÄMTLANDS LÄN</t>
        </is>
      </c>
      <c r="E1535" t="inlineStr">
        <is>
          <t>STRÖMSUND</t>
        </is>
      </c>
      <c r="F1535" t="inlineStr">
        <is>
          <t>SCA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27034-2022</t>
        </is>
      </c>
      <c r="B1536" s="1" t="n">
        <v>44741</v>
      </c>
      <c r="C1536" s="1" t="n">
        <v>45718</v>
      </c>
      <c r="D1536" t="inlineStr">
        <is>
          <t>JÄMTLANDS LÄN</t>
        </is>
      </c>
      <c r="E1536" t="inlineStr">
        <is>
          <t>STRÖMSUND</t>
        </is>
      </c>
      <c r="F1536" t="inlineStr">
        <is>
          <t>SCA</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27032-2022</t>
        </is>
      </c>
      <c r="B1537" s="1" t="n">
        <v>44740</v>
      </c>
      <c r="C1537" s="1" t="n">
        <v>45718</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27031-2022</t>
        </is>
      </c>
      <c r="B1538" s="1" t="n">
        <v>44741</v>
      </c>
      <c r="C1538" s="1" t="n">
        <v>45718</v>
      </c>
      <c r="D1538" t="inlineStr">
        <is>
          <t>JÄMTLANDS LÄN</t>
        </is>
      </c>
      <c r="E1538" t="inlineStr">
        <is>
          <t>STRÖMSUND</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27036-2022</t>
        </is>
      </c>
      <c r="B1539" s="1" t="n">
        <v>44741</v>
      </c>
      <c r="C1539" s="1" t="n">
        <v>45718</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27037-2022</t>
        </is>
      </c>
      <c r="B1540" s="1" t="n">
        <v>44741</v>
      </c>
      <c r="C1540" s="1" t="n">
        <v>45718</v>
      </c>
      <c r="D1540" t="inlineStr">
        <is>
          <t>JÄMTLANDS LÄN</t>
        </is>
      </c>
      <c r="E1540" t="inlineStr">
        <is>
          <t>STRÖMSUND</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27295-2022</t>
        </is>
      </c>
      <c r="B1541" s="1" t="n">
        <v>44742</v>
      </c>
      <c r="C1541" s="1" t="n">
        <v>45718</v>
      </c>
      <c r="D1541" t="inlineStr">
        <is>
          <t>JÄMTLANDS LÄN</t>
        </is>
      </c>
      <c r="E1541" t="inlineStr">
        <is>
          <t>STRÖMSUND</t>
        </is>
      </c>
      <c r="F1541" t="inlineStr">
        <is>
          <t>SCA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27290-2022</t>
        </is>
      </c>
      <c r="B1542" s="1" t="n">
        <v>44741</v>
      </c>
      <c r="C1542" s="1" t="n">
        <v>45718</v>
      </c>
      <c r="D1542" t="inlineStr">
        <is>
          <t>JÄMTLANDS LÄN</t>
        </is>
      </c>
      <c r="E1542" t="inlineStr">
        <is>
          <t>STRÖMSUND</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27285-2022</t>
        </is>
      </c>
      <c r="B1543" s="1" t="n">
        <v>44742</v>
      </c>
      <c r="C1543" s="1" t="n">
        <v>45718</v>
      </c>
      <c r="D1543" t="inlineStr">
        <is>
          <t>JÄMTLANDS LÄN</t>
        </is>
      </c>
      <c r="E1543" t="inlineStr">
        <is>
          <t>STRÖMSUND</t>
        </is>
      </c>
      <c r="F1543" t="inlineStr">
        <is>
          <t>SCA</t>
        </is>
      </c>
      <c r="G1543" t="n">
        <v>43.8</v>
      </c>
      <c r="H1543" t="n">
        <v>0</v>
      </c>
      <c r="I1543" t="n">
        <v>0</v>
      </c>
      <c r="J1543" t="n">
        <v>0</v>
      </c>
      <c r="K1543" t="n">
        <v>0</v>
      </c>
      <c r="L1543" t="n">
        <v>0</v>
      </c>
      <c r="M1543" t="n">
        <v>0</v>
      </c>
      <c r="N1543" t="n">
        <v>0</v>
      </c>
      <c r="O1543" t="n">
        <v>0</v>
      </c>
      <c r="P1543" t="n">
        <v>0</v>
      </c>
      <c r="Q1543" t="n">
        <v>0</v>
      </c>
      <c r="R1543" s="2" t="inlineStr"/>
    </row>
    <row r="1544" ht="15" customHeight="1">
      <c r="A1544" t="inlineStr">
        <is>
          <t>A 27574-2022</t>
        </is>
      </c>
      <c r="B1544" s="1" t="n">
        <v>44743</v>
      </c>
      <c r="C1544" s="1" t="n">
        <v>45718</v>
      </c>
      <c r="D1544" t="inlineStr">
        <is>
          <t>JÄMTLANDS LÄN</t>
        </is>
      </c>
      <c r="E1544" t="inlineStr">
        <is>
          <t>STRÖMSUND</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27586-2022</t>
        </is>
      </c>
      <c r="B1545" s="1" t="n">
        <v>44743</v>
      </c>
      <c r="C1545" s="1" t="n">
        <v>45718</v>
      </c>
      <c r="D1545" t="inlineStr">
        <is>
          <t>JÄMTLANDS LÄN</t>
        </is>
      </c>
      <c r="E1545" t="inlineStr">
        <is>
          <t>STRÖMSUND</t>
        </is>
      </c>
      <c r="F1545" t="inlineStr">
        <is>
          <t>SCA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27585-2022</t>
        </is>
      </c>
      <c r="B1546" s="1" t="n">
        <v>44742</v>
      </c>
      <c r="C1546" s="1" t="n">
        <v>45718</v>
      </c>
      <c r="D1546" t="inlineStr">
        <is>
          <t>JÄMTLANDS LÄN</t>
        </is>
      </c>
      <c r="E1546" t="inlineStr">
        <is>
          <t>STRÖMSUND</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27568-2022</t>
        </is>
      </c>
      <c r="B1547" s="1" t="n">
        <v>44743</v>
      </c>
      <c r="C1547" s="1" t="n">
        <v>45718</v>
      </c>
      <c r="D1547" t="inlineStr">
        <is>
          <t>JÄMTLANDS LÄN</t>
        </is>
      </c>
      <c r="E1547" t="inlineStr">
        <is>
          <t>STRÖMSUND</t>
        </is>
      </c>
      <c r="F1547" t="inlineStr">
        <is>
          <t>SCA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27584-2022</t>
        </is>
      </c>
      <c r="B1548" s="1" t="n">
        <v>44742</v>
      </c>
      <c r="C1548" s="1" t="n">
        <v>45718</v>
      </c>
      <c r="D1548" t="inlineStr">
        <is>
          <t>JÄMTLANDS LÄN</t>
        </is>
      </c>
      <c r="E1548" t="inlineStr">
        <is>
          <t>STRÖMSUND</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27594-2022</t>
        </is>
      </c>
      <c r="B1549" s="1" t="n">
        <v>44743</v>
      </c>
      <c r="C1549" s="1" t="n">
        <v>45718</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27600-2022</t>
        </is>
      </c>
      <c r="B1550" s="1" t="n">
        <v>44743</v>
      </c>
      <c r="C1550" s="1" t="n">
        <v>45718</v>
      </c>
      <c r="D1550" t="inlineStr">
        <is>
          <t>JÄMTLANDS LÄN</t>
        </is>
      </c>
      <c r="E1550" t="inlineStr">
        <is>
          <t>STRÖMSUND</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27601-2022</t>
        </is>
      </c>
      <c r="B1551" s="1" t="n">
        <v>44743</v>
      </c>
      <c r="C1551" s="1" t="n">
        <v>45718</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27596-2022</t>
        </is>
      </c>
      <c r="B1552" s="1" t="n">
        <v>44742</v>
      </c>
      <c r="C1552" s="1" t="n">
        <v>45718</v>
      </c>
      <c r="D1552" t="inlineStr">
        <is>
          <t>JÄMTLANDS LÄN</t>
        </is>
      </c>
      <c r="E1552" t="inlineStr">
        <is>
          <t>STRÖMSUND</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27923-2022</t>
        </is>
      </c>
      <c r="B1553" s="1" t="n">
        <v>44744</v>
      </c>
      <c r="C1553" s="1" t="n">
        <v>45718</v>
      </c>
      <c r="D1553" t="inlineStr">
        <is>
          <t>JÄMTLANDS LÄN</t>
        </is>
      </c>
      <c r="E1553" t="inlineStr">
        <is>
          <t>STRÖMSUND</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27927-2022</t>
        </is>
      </c>
      <c r="B1554" s="1" t="n">
        <v>44744</v>
      </c>
      <c r="C1554" s="1" t="n">
        <v>45718</v>
      </c>
      <c r="D1554" t="inlineStr">
        <is>
          <t>JÄMTLANDS LÄN</t>
        </is>
      </c>
      <c r="E1554" t="inlineStr">
        <is>
          <t>STRÖMSUND</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27942-2022</t>
        </is>
      </c>
      <c r="B1555" s="1" t="n">
        <v>44744</v>
      </c>
      <c r="C1555" s="1" t="n">
        <v>45718</v>
      </c>
      <c r="D1555" t="inlineStr">
        <is>
          <t>JÄMTLANDS LÄN</t>
        </is>
      </c>
      <c r="E1555" t="inlineStr">
        <is>
          <t>STRÖMSUND</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27917-2022</t>
        </is>
      </c>
      <c r="B1556" s="1" t="n">
        <v>44744</v>
      </c>
      <c r="C1556" s="1" t="n">
        <v>45718</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27930-2022</t>
        </is>
      </c>
      <c r="B1557" s="1" t="n">
        <v>44743</v>
      </c>
      <c r="C1557" s="1" t="n">
        <v>45718</v>
      </c>
      <c r="D1557" t="inlineStr">
        <is>
          <t>JÄMTLANDS LÄN</t>
        </is>
      </c>
      <c r="E1557" t="inlineStr">
        <is>
          <t>STRÖMSUND</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27941-2022</t>
        </is>
      </c>
      <c r="B1558" s="1" t="n">
        <v>44744</v>
      </c>
      <c r="C1558" s="1" t="n">
        <v>45718</v>
      </c>
      <c r="D1558" t="inlineStr">
        <is>
          <t>JÄMTLANDS LÄN</t>
        </is>
      </c>
      <c r="E1558" t="inlineStr">
        <is>
          <t>STRÖMSUND</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27946-2022</t>
        </is>
      </c>
      <c r="B1559" s="1" t="n">
        <v>44744</v>
      </c>
      <c r="C1559" s="1" t="n">
        <v>45718</v>
      </c>
      <c r="D1559" t="inlineStr">
        <is>
          <t>JÄMTLANDS LÄN</t>
        </is>
      </c>
      <c r="E1559" t="inlineStr">
        <is>
          <t>STRÖMSUND</t>
        </is>
      </c>
      <c r="F1559" t="inlineStr">
        <is>
          <t>SCA</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27929-2022</t>
        </is>
      </c>
      <c r="B1560" s="1" t="n">
        <v>44744</v>
      </c>
      <c r="C1560" s="1" t="n">
        <v>45718</v>
      </c>
      <c r="D1560" t="inlineStr">
        <is>
          <t>JÄMTLANDS LÄN</t>
        </is>
      </c>
      <c r="E1560" t="inlineStr">
        <is>
          <t>STRÖMSUND</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27940-2022</t>
        </is>
      </c>
      <c r="B1561" s="1" t="n">
        <v>44744</v>
      </c>
      <c r="C1561" s="1" t="n">
        <v>45718</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27928-2022</t>
        </is>
      </c>
      <c r="B1562" s="1" t="n">
        <v>44744</v>
      </c>
      <c r="C1562" s="1" t="n">
        <v>45718</v>
      </c>
      <c r="D1562" t="inlineStr">
        <is>
          <t>JÄMTLANDS LÄN</t>
        </is>
      </c>
      <c r="E1562" t="inlineStr">
        <is>
          <t>STRÖMSUND</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28289-2022</t>
        </is>
      </c>
      <c r="B1563" s="1" t="n">
        <v>44747</v>
      </c>
      <c r="C1563" s="1" t="n">
        <v>45718</v>
      </c>
      <c r="D1563" t="inlineStr">
        <is>
          <t>JÄMTLANDS LÄN</t>
        </is>
      </c>
      <c r="E1563" t="inlineStr">
        <is>
          <t>STRÖMSUND</t>
        </is>
      </c>
      <c r="F1563" t="inlineStr">
        <is>
          <t>SCA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28294-2022</t>
        </is>
      </c>
      <c r="B1564" s="1" t="n">
        <v>44747</v>
      </c>
      <c r="C1564" s="1" t="n">
        <v>45718</v>
      </c>
      <c r="D1564" t="inlineStr">
        <is>
          <t>JÄMTLANDS LÄN</t>
        </is>
      </c>
      <c r="E1564" t="inlineStr">
        <is>
          <t>STRÖMSUND</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28286-2022</t>
        </is>
      </c>
      <c r="B1565" s="1" t="n">
        <v>44746</v>
      </c>
      <c r="C1565" s="1" t="n">
        <v>45718</v>
      </c>
      <c r="D1565" t="inlineStr">
        <is>
          <t>JÄMTLANDS LÄN</t>
        </is>
      </c>
      <c r="E1565" t="inlineStr">
        <is>
          <t>STRÖMSUND</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28290-2022</t>
        </is>
      </c>
      <c r="B1566" s="1" t="n">
        <v>44747</v>
      </c>
      <c r="C1566" s="1" t="n">
        <v>45718</v>
      </c>
      <c r="D1566" t="inlineStr">
        <is>
          <t>JÄMTLANDS LÄN</t>
        </is>
      </c>
      <c r="E1566" t="inlineStr">
        <is>
          <t>STRÖMSUND</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28207-2022</t>
        </is>
      </c>
      <c r="B1567" s="1" t="n">
        <v>44746</v>
      </c>
      <c r="C1567" s="1" t="n">
        <v>45718</v>
      </c>
      <c r="D1567" t="inlineStr">
        <is>
          <t>JÄMTLANDS LÄN</t>
        </is>
      </c>
      <c r="E1567" t="inlineStr">
        <is>
          <t>STRÖMSUND</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28483-2022</t>
        </is>
      </c>
      <c r="B1568" s="1" t="n">
        <v>44747</v>
      </c>
      <c r="C1568" s="1" t="n">
        <v>45718</v>
      </c>
      <c r="D1568" t="inlineStr">
        <is>
          <t>JÄMTLANDS LÄN</t>
        </is>
      </c>
      <c r="E1568" t="inlineStr">
        <is>
          <t>STRÖMSUND</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28494-2022</t>
        </is>
      </c>
      <c r="B1569" s="1" t="n">
        <v>44748</v>
      </c>
      <c r="C1569" s="1" t="n">
        <v>45718</v>
      </c>
      <c r="D1569" t="inlineStr">
        <is>
          <t>JÄMTLANDS LÄN</t>
        </is>
      </c>
      <c r="E1569" t="inlineStr">
        <is>
          <t>STRÖMSUND</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28493-2022</t>
        </is>
      </c>
      <c r="B1570" s="1" t="n">
        <v>44747</v>
      </c>
      <c r="C1570" s="1" t="n">
        <v>45718</v>
      </c>
      <c r="D1570" t="inlineStr">
        <is>
          <t>JÄMTLANDS LÄN</t>
        </is>
      </c>
      <c r="E1570" t="inlineStr">
        <is>
          <t>STRÖMSUND</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28498-2022</t>
        </is>
      </c>
      <c r="B1571" s="1" t="n">
        <v>44748</v>
      </c>
      <c r="C1571" s="1" t="n">
        <v>45718</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28496-2022</t>
        </is>
      </c>
      <c r="B1572" s="1" t="n">
        <v>44748</v>
      </c>
      <c r="C1572" s="1" t="n">
        <v>45718</v>
      </c>
      <c r="D1572" t="inlineStr">
        <is>
          <t>JÄMTLANDS LÄN</t>
        </is>
      </c>
      <c r="E1572" t="inlineStr">
        <is>
          <t>STRÖMSUND</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28520-2022</t>
        </is>
      </c>
      <c r="B1573" s="1" t="n">
        <v>44748</v>
      </c>
      <c r="C1573" s="1" t="n">
        <v>45718</v>
      </c>
      <c r="D1573" t="inlineStr">
        <is>
          <t>JÄMTLANDS LÄN</t>
        </is>
      </c>
      <c r="E1573" t="inlineStr">
        <is>
          <t>STRÖMSUND</t>
        </is>
      </c>
      <c r="F1573" t="inlineStr">
        <is>
          <t>SCA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28533-2022</t>
        </is>
      </c>
      <c r="B1574" s="1" t="n">
        <v>44748</v>
      </c>
      <c r="C1574" s="1" t="n">
        <v>45718</v>
      </c>
      <c r="D1574" t="inlineStr">
        <is>
          <t>JÄMTLANDS LÄN</t>
        </is>
      </c>
      <c r="E1574" t="inlineStr">
        <is>
          <t>STRÖMSUND</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28705-2022</t>
        </is>
      </c>
      <c r="B1575" s="1" t="n">
        <v>44748</v>
      </c>
      <c r="C1575" s="1" t="n">
        <v>45718</v>
      </c>
      <c r="D1575" t="inlineStr">
        <is>
          <t>JÄMTLANDS LÄN</t>
        </is>
      </c>
      <c r="E1575" t="inlineStr">
        <is>
          <t>STRÖMSUND</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28734-2022</t>
        </is>
      </c>
      <c r="B1576" s="1" t="n">
        <v>44748</v>
      </c>
      <c r="C1576" s="1" t="n">
        <v>45718</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28948-2022</t>
        </is>
      </c>
      <c r="B1577" s="1" t="n">
        <v>44749</v>
      </c>
      <c r="C1577" s="1" t="n">
        <v>45718</v>
      </c>
      <c r="D1577" t="inlineStr">
        <is>
          <t>JÄMTLANDS LÄN</t>
        </is>
      </c>
      <c r="E1577" t="inlineStr">
        <is>
          <t>STRÖMSUND</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29042-2022</t>
        </is>
      </c>
      <c r="B1578" s="1" t="n">
        <v>44749</v>
      </c>
      <c r="C1578" s="1" t="n">
        <v>45718</v>
      </c>
      <c r="D1578" t="inlineStr">
        <is>
          <t>JÄMTLANDS LÄN</t>
        </is>
      </c>
      <c r="E1578" t="inlineStr">
        <is>
          <t>STRÖMSUND</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29045-2022</t>
        </is>
      </c>
      <c r="B1579" s="1" t="n">
        <v>44750</v>
      </c>
      <c r="C1579" s="1" t="n">
        <v>45718</v>
      </c>
      <c r="D1579" t="inlineStr">
        <is>
          <t>JÄMTLANDS LÄN</t>
        </is>
      </c>
      <c r="E1579" t="inlineStr">
        <is>
          <t>STRÖMSUND</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28869-2022</t>
        </is>
      </c>
      <c r="B1580" s="1" t="n">
        <v>44749</v>
      </c>
      <c r="C1580" s="1" t="n">
        <v>45718</v>
      </c>
      <c r="D1580" t="inlineStr">
        <is>
          <t>JÄMTLANDS LÄN</t>
        </is>
      </c>
      <c r="E1580" t="inlineStr">
        <is>
          <t>STRÖMSUND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29033-2022</t>
        </is>
      </c>
      <c r="B1581" s="1" t="n">
        <v>44750</v>
      </c>
      <c r="C1581" s="1" t="n">
        <v>45718</v>
      </c>
      <c r="D1581" t="inlineStr">
        <is>
          <t>JÄMTLANDS LÄN</t>
        </is>
      </c>
      <c r="E1581" t="inlineStr">
        <is>
          <t>STRÖMSUND</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29043-2022</t>
        </is>
      </c>
      <c r="B1582" s="1" t="n">
        <v>44749</v>
      </c>
      <c r="C1582" s="1" t="n">
        <v>45718</v>
      </c>
      <c r="D1582" t="inlineStr">
        <is>
          <t>JÄMTLANDS LÄN</t>
        </is>
      </c>
      <c r="E1582" t="inlineStr">
        <is>
          <t>STRÖMSUND</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29295-2022</t>
        </is>
      </c>
      <c r="B1583" s="1" t="n">
        <v>44751</v>
      </c>
      <c r="C1583" s="1" t="n">
        <v>45718</v>
      </c>
      <c r="D1583" t="inlineStr">
        <is>
          <t>JÄMTLANDS LÄN</t>
        </is>
      </c>
      <c r="E1583" t="inlineStr">
        <is>
          <t>STRÖMSUND</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29276-2022</t>
        </is>
      </c>
      <c r="B1584" s="1" t="n">
        <v>44750</v>
      </c>
      <c r="C1584" s="1" t="n">
        <v>45718</v>
      </c>
      <c r="D1584" t="inlineStr">
        <is>
          <t>JÄMTLANDS LÄN</t>
        </is>
      </c>
      <c r="E1584" t="inlineStr">
        <is>
          <t>STRÖMSUND</t>
        </is>
      </c>
      <c r="G1584" t="n">
        <v>18.8</v>
      </c>
      <c r="H1584" t="n">
        <v>0</v>
      </c>
      <c r="I1584" t="n">
        <v>0</v>
      </c>
      <c r="J1584" t="n">
        <v>0</v>
      </c>
      <c r="K1584" t="n">
        <v>0</v>
      </c>
      <c r="L1584" t="n">
        <v>0</v>
      </c>
      <c r="M1584" t="n">
        <v>0</v>
      </c>
      <c r="N1584" t="n">
        <v>0</v>
      </c>
      <c r="O1584" t="n">
        <v>0</v>
      </c>
      <c r="P1584" t="n">
        <v>0</v>
      </c>
      <c r="Q1584" t="n">
        <v>0</v>
      </c>
      <c r="R1584" s="2" t="inlineStr"/>
    </row>
    <row r="1585" ht="15" customHeight="1">
      <c r="A1585" t="inlineStr">
        <is>
          <t>A 29353-2022</t>
        </is>
      </c>
      <c r="B1585" s="1" t="n">
        <v>44750</v>
      </c>
      <c r="C1585" s="1" t="n">
        <v>45718</v>
      </c>
      <c r="D1585" t="inlineStr">
        <is>
          <t>JÄMTLANDS LÄN</t>
        </is>
      </c>
      <c r="E1585" t="inlineStr">
        <is>
          <t>STRÖMSUND</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29296-2022</t>
        </is>
      </c>
      <c r="B1586" s="1" t="n">
        <v>44751</v>
      </c>
      <c r="C1586" s="1" t="n">
        <v>45718</v>
      </c>
      <c r="D1586" t="inlineStr">
        <is>
          <t>JÄMTLANDS LÄN</t>
        </is>
      </c>
      <c r="E1586" t="inlineStr">
        <is>
          <t>STRÖMSUND</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29545-2022</t>
        </is>
      </c>
      <c r="B1587" s="1" t="n">
        <v>44753</v>
      </c>
      <c r="C1587" s="1" t="n">
        <v>45718</v>
      </c>
      <c r="D1587" t="inlineStr">
        <is>
          <t>JÄMTLANDS LÄN</t>
        </is>
      </c>
      <c r="E1587" t="inlineStr">
        <is>
          <t>STRÖMSUND</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29541-2022</t>
        </is>
      </c>
      <c r="B1588" s="1" t="n">
        <v>44754</v>
      </c>
      <c r="C1588" s="1" t="n">
        <v>45718</v>
      </c>
      <c r="D1588" t="inlineStr">
        <is>
          <t>JÄMTLANDS LÄN</t>
        </is>
      </c>
      <c r="E1588" t="inlineStr">
        <is>
          <t>STRÖMSUND</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29540-2022</t>
        </is>
      </c>
      <c r="B1589" s="1" t="n">
        <v>44754</v>
      </c>
      <c r="C1589" s="1" t="n">
        <v>45718</v>
      </c>
      <c r="D1589" t="inlineStr">
        <is>
          <t>JÄMTLANDS LÄN</t>
        </is>
      </c>
      <c r="E1589" t="inlineStr">
        <is>
          <t>STRÖMSUND</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29550-2022</t>
        </is>
      </c>
      <c r="B1590" s="1" t="n">
        <v>44754</v>
      </c>
      <c r="C1590" s="1" t="n">
        <v>45718</v>
      </c>
      <c r="D1590" t="inlineStr">
        <is>
          <t>JÄMTLANDS LÄN</t>
        </is>
      </c>
      <c r="E1590" t="inlineStr">
        <is>
          <t>STRÖMSUND</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29830-2022</t>
        </is>
      </c>
      <c r="B1591" s="1" t="n">
        <v>44755</v>
      </c>
      <c r="C1591" s="1" t="n">
        <v>45718</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29875-2022</t>
        </is>
      </c>
      <c r="B1592" s="1" t="n">
        <v>44756</v>
      </c>
      <c r="C1592" s="1" t="n">
        <v>45718</v>
      </c>
      <c r="D1592" t="inlineStr">
        <is>
          <t>JÄMTLANDS LÄN</t>
        </is>
      </c>
      <c r="E1592" t="inlineStr">
        <is>
          <t>STRÖMSUND</t>
        </is>
      </c>
      <c r="F1592" t="inlineStr">
        <is>
          <t>Holmen skog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30021-2022</t>
        </is>
      </c>
      <c r="B1593" s="1" t="n">
        <v>44757</v>
      </c>
      <c r="C1593" s="1" t="n">
        <v>45718</v>
      </c>
      <c r="D1593" t="inlineStr">
        <is>
          <t>JÄMTLANDS LÄN</t>
        </is>
      </c>
      <c r="E1593" t="inlineStr">
        <is>
          <t>STRÖMSUND</t>
        </is>
      </c>
      <c r="F1593" t="inlineStr">
        <is>
          <t>SCA</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30036-2022</t>
        </is>
      </c>
      <c r="B1594" s="1" t="n">
        <v>44756</v>
      </c>
      <c r="C1594" s="1" t="n">
        <v>45718</v>
      </c>
      <c r="D1594" t="inlineStr">
        <is>
          <t>JÄMTLANDS LÄN</t>
        </is>
      </c>
      <c r="E1594" t="inlineStr">
        <is>
          <t>STRÖMSUND</t>
        </is>
      </c>
      <c r="F1594" t="inlineStr">
        <is>
          <t>SCA</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30024-2022</t>
        </is>
      </c>
      <c r="B1595" s="1" t="n">
        <v>44757</v>
      </c>
      <c r="C1595" s="1" t="n">
        <v>45718</v>
      </c>
      <c r="D1595" t="inlineStr">
        <is>
          <t>JÄMTLANDS LÄN</t>
        </is>
      </c>
      <c r="E1595" t="inlineStr">
        <is>
          <t>STRÖMSUND</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30031-2022</t>
        </is>
      </c>
      <c r="B1596" s="1" t="n">
        <v>44757</v>
      </c>
      <c r="C1596" s="1" t="n">
        <v>45718</v>
      </c>
      <c r="D1596" t="inlineStr">
        <is>
          <t>JÄMTLANDS LÄN</t>
        </is>
      </c>
      <c r="E1596" t="inlineStr">
        <is>
          <t>STRÖMSUND</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30023-2022</t>
        </is>
      </c>
      <c r="B1597" s="1" t="n">
        <v>44757</v>
      </c>
      <c r="C1597" s="1" t="n">
        <v>45718</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30030-2022</t>
        </is>
      </c>
      <c r="B1598" s="1" t="n">
        <v>44757</v>
      </c>
      <c r="C1598" s="1" t="n">
        <v>45718</v>
      </c>
      <c r="D1598" t="inlineStr">
        <is>
          <t>JÄMTLANDS LÄN</t>
        </is>
      </c>
      <c r="E1598" t="inlineStr">
        <is>
          <t>STRÖMSUND</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30022-2022</t>
        </is>
      </c>
      <c r="B1599" s="1" t="n">
        <v>44756</v>
      </c>
      <c r="C1599" s="1" t="n">
        <v>45718</v>
      </c>
      <c r="D1599" t="inlineStr">
        <is>
          <t>JÄMTLANDS LÄN</t>
        </is>
      </c>
      <c r="E1599" t="inlineStr">
        <is>
          <t>STRÖMSUND</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30037-2022</t>
        </is>
      </c>
      <c r="B1600" s="1" t="n">
        <v>44757</v>
      </c>
      <c r="C1600" s="1" t="n">
        <v>45718</v>
      </c>
      <c r="D1600" t="inlineStr">
        <is>
          <t>JÄMTLANDS LÄN</t>
        </is>
      </c>
      <c r="E1600" t="inlineStr">
        <is>
          <t>STRÖMSUND</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30042-2022</t>
        </is>
      </c>
      <c r="B1601" s="1" t="n">
        <v>44757</v>
      </c>
      <c r="C1601" s="1" t="n">
        <v>45718</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30046-2022</t>
        </is>
      </c>
      <c r="B1602" s="1" t="n">
        <v>44757</v>
      </c>
      <c r="C1602" s="1" t="n">
        <v>45718</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30044-2022</t>
        </is>
      </c>
      <c r="B1603" s="1" t="n">
        <v>44756</v>
      </c>
      <c r="C1603" s="1" t="n">
        <v>45718</v>
      </c>
      <c r="D1603" t="inlineStr">
        <is>
          <t>JÄMTLANDS LÄN</t>
        </is>
      </c>
      <c r="E1603" t="inlineStr">
        <is>
          <t>STRÖMSUND</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30086-2022</t>
        </is>
      </c>
      <c r="B1604" s="1" t="n">
        <v>44757</v>
      </c>
      <c r="C1604" s="1" t="n">
        <v>45718</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30219-2022</t>
        </is>
      </c>
      <c r="B1605" s="1" t="n">
        <v>44758</v>
      </c>
      <c r="C1605" s="1" t="n">
        <v>45718</v>
      </c>
      <c r="D1605" t="inlineStr">
        <is>
          <t>JÄMTLANDS LÄN</t>
        </is>
      </c>
      <c r="E1605" t="inlineStr">
        <is>
          <t>STRÖMSUND</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30220-2022</t>
        </is>
      </c>
      <c r="B1606" s="1" t="n">
        <v>44758</v>
      </c>
      <c r="C1606" s="1" t="n">
        <v>45718</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30225-2022</t>
        </is>
      </c>
      <c r="B1607" s="1" t="n">
        <v>44758</v>
      </c>
      <c r="C1607" s="1" t="n">
        <v>45718</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30229-2022</t>
        </is>
      </c>
      <c r="B1608" s="1" t="n">
        <v>44758</v>
      </c>
      <c r="C1608" s="1" t="n">
        <v>45718</v>
      </c>
      <c r="D1608" t="inlineStr">
        <is>
          <t>JÄMTLANDS LÄN</t>
        </is>
      </c>
      <c r="E1608" t="inlineStr">
        <is>
          <t>STRÖMSUND</t>
        </is>
      </c>
      <c r="F1608" t="inlineStr">
        <is>
          <t>SCA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30223-2022</t>
        </is>
      </c>
      <c r="B1609" s="1" t="n">
        <v>44758</v>
      </c>
      <c r="C1609" s="1" t="n">
        <v>45718</v>
      </c>
      <c r="D1609" t="inlineStr">
        <is>
          <t>JÄMTLANDS LÄN</t>
        </is>
      </c>
      <c r="E1609" t="inlineStr">
        <is>
          <t>STRÖMSUND</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30227-2022</t>
        </is>
      </c>
      <c r="B1610" s="1" t="n">
        <v>44758</v>
      </c>
      <c r="C1610" s="1" t="n">
        <v>45718</v>
      </c>
      <c r="D1610" t="inlineStr">
        <is>
          <t>JÄMTLANDS LÄN</t>
        </is>
      </c>
      <c r="E1610" t="inlineStr">
        <is>
          <t>STRÖMSUND</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30232-2022</t>
        </is>
      </c>
      <c r="B1611" s="1" t="n">
        <v>44758</v>
      </c>
      <c r="C1611" s="1" t="n">
        <v>45718</v>
      </c>
      <c r="D1611" t="inlineStr">
        <is>
          <t>JÄMTLANDS LÄN</t>
        </is>
      </c>
      <c r="E1611" t="inlineStr">
        <is>
          <t>STRÖMSUND</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30226-2022</t>
        </is>
      </c>
      <c r="B1612" s="1" t="n">
        <v>44757</v>
      </c>
      <c r="C1612" s="1" t="n">
        <v>45718</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30230-2022</t>
        </is>
      </c>
      <c r="B1613" s="1" t="n">
        <v>44757</v>
      </c>
      <c r="C1613" s="1" t="n">
        <v>45718</v>
      </c>
      <c r="D1613" t="inlineStr">
        <is>
          <t>JÄMTLANDS LÄN</t>
        </is>
      </c>
      <c r="E1613" t="inlineStr">
        <is>
          <t>STRÖMSUND</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30496-2022</t>
        </is>
      </c>
      <c r="B1614" s="1" t="n">
        <v>44762</v>
      </c>
      <c r="C1614" s="1" t="n">
        <v>45718</v>
      </c>
      <c r="D1614" t="inlineStr">
        <is>
          <t>JÄMTLANDS LÄN</t>
        </is>
      </c>
      <c r="E1614" t="inlineStr">
        <is>
          <t>STRÖMSUND</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31443-2022</t>
        </is>
      </c>
      <c r="B1615" s="1" t="n">
        <v>44775</v>
      </c>
      <c r="C1615" s="1" t="n">
        <v>45718</v>
      </c>
      <c r="D1615" t="inlineStr">
        <is>
          <t>JÄMTLANDS LÄN</t>
        </is>
      </c>
      <c r="E1615" t="inlineStr">
        <is>
          <t>STRÖMSUND</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31447-2022</t>
        </is>
      </c>
      <c r="B1616" s="1" t="n">
        <v>44775</v>
      </c>
      <c r="C1616" s="1" t="n">
        <v>45718</v>
      </c>
      <c r="D1616" t="inlineStr">
        <is>
          <t>JÄMTLANDS LÄN</t>
        </is>
      </c>
      <c r="E1616" t="inlineStr">
        <is>
          <t>STRÖMSUND</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31448-2022</t>
        </is>
      </c>
      <c r="B1617" s="1" t="n">
        <v>44775</v>
      </c>
      <c r="C1617" s="1" t="n">
        <v>45718</v>
      </c>
      <c r="D1617" t="inlineStr">
        <is>
          <t>JÄMTLANDS LÄN</t>
        </is>
      </c>
      <c r="E1617" t="inlineStr">
        <is>
          <t>STRÖMSUND</t>
        </is>
      </c>
      <c r="F1617" t="inlineStr">
        <is>
          <t>SCA</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31445-2022</t>
        </is>
      </c>
      <c r="B1618" s="1" t="n">
        <v>44775</v>
      </c>
      <c r="C1618" s="1" t="n">
        <v>45718</v>
      </c>
      <c r="D1618" t="inlineStr">
        <is>
          <t>JÄMTLANDS LÄN</t>
        </is>
      </c>
      <c r="E1618" t="inlineStr">
        <is>
          <t>STRÖMSUND</t>
        </is>
      </c>
      <c r="F1618" t="inlineStr">
        <is>
          <t>SCA</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31449-2022</t>
        </is>
      </c>
      <c r="B1619" s="1" t="n">
        <v>44775</v>
      </c>
      <c r="C1619" s="1" t="n">
        <v>45718</v>
      </c>
      <c r="D1619" t="inlineStr">
        <is>
          <t>JÄMTLANDS LÄN</t>
        </is>
      </c>
      <c r="E1619" t="inlineStr">
        <is>
          <t>STRÖMSUND</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31485-2022</t>
        </is>
      </c>
      <c r="B1620" s="1" t="n">
        <v>44775</v>
      </c>
      <c r="C1620" s="1" t="n">
        <v>45718</v>
      </c>
      <c r="D1620" t="inlineStr">
        <is>
          <t>JÄMTLANDS LÄN</t>
        </is>
      </c>
      <c r="E1620" t="inlineStr">
        <is>
          <t>STRÖMSUND</t>
        </is>
      </c>
      <c r="F1620" t="inlineStr">
        <is>
          <t>SCA</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31501-2022</t>
        </is>
      </c>
      <c r="B1621" s="1" t="n">
        <v>44775</v>
      </c>
      <c r="C1621" s="1" t="n">
        <v>45718</v>
      </c>
      <c r="D1621" t="inlineStr">
        <is>
          <t>JÄMTLANDS LÄN</t>
        </is>
      </c>
      <c r="E1621" t="inlineStr">
        <is>
          <t>STRÖMSUND</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31505-2022</t>
        </is>
      </c>
      <c r="B1622" s="1" t="n">
        <v>44775</v>
      </c>
      <c r="C1622" s="1" t="n">
        <v>45718</v>
      </c>
      <c r="D1622" t="inlineStr">
        <is>
          <t>JÄMTLANDS LÄN</t>
        </is>
      </c>
      <c r="E1622" t="inlineStr">
        <is>
          <t>STRÖMSUND</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31509-2022</t>
        </is>
      </c>
      <c r="B1623" s="1" t="n">
        <v>44775</v>
      </c>
      <c r="C1623" s="1" t="n">
        <v>45718</v>
      </c>
      <c r="D1623" t="inlineStr">
        <is>
          <t>JÄMTLANDS LÄN</t>
        </is>
      </c>
      <c r="E1623" t="inlineStr">
        <is>
          <t>STRÖMSUND</t>
        </is>
      </c>
      <c r="F1623" t="inlineStr">
        <is>
          <t>SCA</t>
        </is>
      </c>
      <c r="G1623" t="n">
        <v>20.7</v>
      </c>
      <c r="H1623" t="n">
        <v>0</v>
      </c>
      <c r="I1623" t="n">
        <v>0</v>
      </c>
      <c r="J1623" t="n">
        <v>0</v>
      </c>
      <c r="K1623" t="n">
        <v>0</v>
      </c>
      <c r="L1623" t="n">
        <v>0</v>
      </c>
      <c r="M1623" t="n">
        <v>0</v>
      </c>
      <c r="N1623" t="n">
        <v>0</v>
      </c>
      <c r="O1623" t="n">
        <v>0</v>
      </c>
      <c r="P1623" t="n">
        <v>0</v>
      </c>
      <c r="Q1623" t="n">
        <v>0</v>
      </c>
      <c r="R1623" s="2" t="inlineStr"/>
    </row>
    <row r="1624" ht="15" customHeight="1">
      <c r="A1624" t="inlineStr">
        <is>
          <t>A 31442-2022</t>
        </is>
      </c>
      <c r="B1624" s="1" t="n">
        <v>44774</v>
      </c>
      <c r="C1624" s="1" t="n">
        <v>45718</v>
      </c>
      <c r="D1624" t="inlineStr">
        <is>
          <t>JÄMTLANDS LÄN</t>
        </is>
      </c>
      <c r="E1624" t="inlineStr">
        <is>
          <t>STRÖMSUND</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31446-2022</t>
        </is>
      </c>
      <c r="B1625" s="1" t="n">
        <v>44775</v>
      </c>
      <c r="C1625" s="1" t="n">
        <v>45718</v>
      </c>
      <c r="D1625" t="inlineStr">
        <is>
          <t>JÄMTLANDS LÄN</t>
        </is>
      </c>
      <c r="E1625" t="inlineStr">
        <is>
          <t>STRÖMSUND</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31503-2022</t>
        </is>
      </c>
      <c r="B1626" s="1" t="n">
        <v>44775</v>
      </c>
      <c r="C1626" s="1" t="n">
        <v>45718</v>
      </c>
      <c r="D1626" t="inlineStr">
        <is>
          <t>JÄMTLANDS LÄN</t>
        </is>
      </c>
      <c r="E1626" t="inlineStr">
        <is>
          <t>STRÖMSUND</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31499-2022</t>
        </is>
      </c>
      <c r="B1627" s="1" t="n">
        <v>44775</v>
      </c>
      <c r="C1627" s="1" t="n">
        <v>45718</v>
      </c>
      <c r="D1627" t="inlineStr">
        <is>
          <t>JÄMTLANDS LÄN</t>
        </is>
      </c>
      <c r="E1627" t="inlineStr">
        <is>
          <t>STRÖMSUND</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31504-2022</t>
        </is>
      </c>
      <c r="B1628" s="1" t="n">
        <v>44775</v>
      </c>
      <c r="C1628" s="1" t="n">
        <v>45718</v>
      </c>
      <c r="D1628" t="inlineStr">
        <is>
          <t>JÄMTLANDS LÄN</t>
        </is>
      </c>
      <c r="E1628" t="inlineStr">
        <is>
          <t>STRÖMSUND</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31508-2022</t>
        </is>
      </c>
      <c r="B1629" s="1" t="n">
        <v>44775</v>
      </c>
      <c r="C1629" s="1" t="n">
        <v>45718</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31502-2022</t>
        </is>
      </c>
      <c r="B1630" s="1" t="n">
        <v>44775</v>
      </c>
      <c r="C1630" s="1" t="n">
        <v>45718</v>
      </c>
      <c r="D1630" t="inlineStr">
        <is>
          <t>JÄMTLANDS LÄN</t>
        </is>
      </c>
      <c r="E1630" t="inlineStr">
        <is>
          <t>STRÖMSUND</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31506-2022</t>
        </is>
      </c>
      <c r="B1631" s="1" t="n">
        <v>44774</v>
      </c>
      <c r="C1631" s="1" t="n">
        <v>45718</v>
      </c>
      <c r="D1631" t="inlineStr">
        <is>
          <t>JÄMTLANDS LÄN</t>
        </is>
      </c>
      <c r="E1631" t="inlineStr">
        <is>
          <t>STRÖMSUND</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31507-2022</t>
        </is>
      </c>
      <c r="B1632" s="1" t="n">
        <v>44774</v>
      </c>
      <c r="C1632" s="1" t="n">
        <v>45718</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31519-2022</t>
        </is>
      </c>
      <c r="B1633" s="1" t="n">
        <v>44775</v>
      </c>
      <c r="C1633" s="1" t="n">
        <v>45718</v>
      </c>
      <c r="D1633" t="inlineStr">
        <is>
          <t>JÄMTLANDS LÄN</t>
        </is>
      </c>
      <c r="E1633" t="inlineStr">
        <is>
          <t>STRÖMSUND</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31657-2022</t>
        </is>
      </c>
      <c r="B1634" s="1" t="n">
        <v>44776</v>
      </c>
      <c r="C1634" s="1" t="n">
        <v>45718</v>
      </c>
      <c r="D1634" t="inlineStr">
        <is>
          <t>JÄMTLANDS LÄN</t>
        </is>
      </c>
      <c r="E1634" t="inlineStr">
        <is>
          <t>STRÖMSUND</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31849-2022</t>
        </is>
      </c>
      <c r="B1635" s="1" t="n">
        <v>44777</v>
      </c>
      <c r="C1635" s="1" t="n">
        <v>45718</v>
      </c>
      <c r="D1635" t="inlineStr">
        <is>
          <t>JÄMTLANDS LÄN</t>
        </is>
      </c>
      <c r="E1635" t="inlineStr">
        <is>
          <t>STRÖMSUND</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31852-2022</t>
        </is>
      </c>
      <c r="B1636" s="1" t="n">
        <v>44776</v>
      </c>
      <c r="C1636" s="1" t="n">
        <v>45718</v>
      </c>
      <c r="D1636" t="inlineStr">
        <is>
          <t>JÄMTLANDS LÄN</t>
        </is>
      </c>
      <c r="E1636" t="inlineStr">
        <is>
          <t>STRÖMSUND</t>
        </is>
      </c>
      <c r="F1636" t="inlineStr">
        <is>
          <t>SCA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31846-2022</t>
        </is>
      </c>
      <c r="B1637" s="1" t="n">
        <v>44777</v>
      </c>
      <c r="C1637" s="1" t="n">
        <v>45718</v>
      </c>
      <c r="D1637" t="inlineStr">
        <is>
          <t>JÄMTLANDS LÄN</t>
        </is>
      </c>
      <c r="E1637" t="inlineStr">
        <is>
          <t>STRÖMSUND</t>
        </is>
      </c>
      <c r="F1637" t="inlineStr">
        <is>
          <t>SCA</t>
        </is>
      </c>
      <c r="G1637" t="n">
        <v>19.1</v>
      </c>
      <c r="H1637" t="n">
        <v>0</v>
      </c>
      <c r="I1637" t="n">
        <v>0</v>
      </c>
      <c r="J1637" t="n">
        <v>0</v>
      </c>
      <c r="K1637" t="n">
        <v>0</v>
      </c>
      <c r="L1637" t="n">
        <v>0</v>
      </c>
      <c r="M1637" t="n">
        <v>0</v>
      </c>
      <c r="N1637" t="n">
        <v>0</v>
      </c>
      <c r="O1637" t="n">
        <v>0</v>
      </c>
      <c r="P1637" t="n">
        <v>0</v>
      </c>
      <c r="Q1637" t="n">
        <v>0</v>
      </c>
      <c r="R1637" s="2" t="inlineStr"/>
    </row>
    <row r="1638" ht="15" customHeight="1">
      <c r="A1638" t="inlineStr">
        <is>
          <t>A 32128-2022</t>
        </is>
      </c>
      <c r="B1638" s="1" t="n">
        <v>44779</v>
      </c>
      <c r="C1638" s="1" t="n">
        <v>45718</v>
      </c>
      <c r="D1638" t="inlineStr">
        <is>
          <t>JÄMTLANDS LÄN</t>
        </is>
      </c>
      <c r="E1638" t="inlineStr">
        <is>
          <t>STRÖMSUND</t>
        </is>
      </c>
      <c r="F1638" t="inlineStr">
        <is>
          <t>SCA</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32125-2022</t>
        </is>
      </c>
      <c r="B1639" s="1" t="n">
        <v>44778</v>
      </c>
      <c r="C1639" s="1" t="n">
        <v>45718</v>
      </c>
      <c r="D1639" t="inlineStr">
        <is>
          <t>JÄMTLANDS LÄN</t>
        </is>
      </c>
      <c r="E1639" t="inlineStr">
        <is>
          <t>STRÖMSUND</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32349-2022</t>
        </is>
      </c>
      <c r="B1640" s="1" t="n">
        <v>44782</v>
      </c>
      <c r="C1640" s="1" t="n">
        <v>45718</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32357-2022</t>
        </is>
      </c>
      <c r="B1641" s="1" t="n">
        <v>44782</v>
      </c>
      <c r="C1641" s="1" t="n">
        <v>45718</v>
      </c>
      <c r="D1641" t="inlineStr">
        <is>
          <t>JÄMTLANDS LÄN</t>
        </is>
      </c>
      <c r="E1641" t="inlineStr">
        <is>
          <t>STRÖMSUND</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32360-2022</t>
        </is>
      </c>
      <c r="B1642" s="1" t="n">
        <v>44782</v>
      </c>
      <c r="C1642" s="1" t="n">
        <v>45718</v>
      </c>
      <c r="D1642" t="inlineStr">
        <is>
          <t>JÄMTLANDS LÄN</t>
        </is>
      </c>
      <c r="E1642" t="inlineStr">
        <is>
          <t>STRÖMSUND</t>
        </is>
      </c>
      <c r="F1642" t="inlineStr">
        <is>
          <t>SCA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32153-2022</t>
        </is>
      </c>
      <c r="B1643" s="1" t="n">
        <v>44781</v>
      </c>
      <c r="C1643" s="1" t="n">
        <v>45718</v>
      </c>
      <c r="D1643" t="inlineStr">
        <is>
          <t>JÄMTLANDS LÄN</t>
        </is>
      </c>
      <c r="E1643" t="inlineStr">
        <is>
          <t>STRÖMSUND</t>
        </is>
      </c>
      <c r="G1643" t="n">
        <v>27.4</v>
      </c>
      <c r="H1643" t="n">
        <v>0</v>
      </c>
      <c r="I1643" t="n">
        <v>0</v>
      </c>
      <c r="J1643" t="n">
        <v>0</v>
      </c>
      <c r="K1643" t="n">
        <v>0</v>
      </c>
      <c r="L1643" t="n">
        <v>0</v>
      </c>
      <c r="M1643" t="n">
        <v>0</v>
      </c>
      <c r="N1643" t="n">
        <v>0</v>
      </c>
      <c r="O1643" t="n">
        <v>0</v>
      </c>
      <c r="P1643" t="n">
        <v>0</v>
      </c>
      <c r="Q1643" t="n">
        <v>0</v>
      </c>
      <c r="R1643" s="2" t="inlineStr"/>
    </row>
    <row r="1644" ht="15" customHeight="1">
      <c r="A1644" t="inlineStr">
        <is>
          <t>A 32362-2022</t>
        </is>
      </c>
      <c r="B1644" s="1" t="n">
        <v>44782</v>
      </c>
      <c r="C1644" s="1" t="n">
        <v>45718</v>
      </c>
      <c r="D1644" t="inlineStr">
        <is>
          <t>JÄMTLANDS LÄN</t>
        </is>
      </c>
      <c r="E1644" t="inlineStr">
        <is>
          <t>STRÖMSUND</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32528-2022</t>
        </is>
      </c>
      <c r="B1645" s="1" t="n">
        <v>44783</v>
      </c>
      <c r="C1645" s="1" t="n">
        <v>45718</v>
      </c>
      <c r="D1645" t="inlineStr">
        <is>
          <t>JÄMTLANDS LÄN</t>
        </is>
      </c>
      <c r="E1645" t="inlineStr">
        <is>
          <t>STRÖMSUND</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32865-2022</t>
        </is>
      </c>
      <c r="B1646" s="1" t="n">
        <v>44784</v>
      </c>
      <c r="C1646" s="1" t="n">
        <v>45718</v>
      </c>
      <c r="D1646" t="inlineStr">
        <is>
          <t>JÄMTLANDS LÄN</t>
        </is>
      </c>
      <c r="E1646" t="inlineStr">
        <is>
          <t>STRÖMSUND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32932-2022</t>
        </is>
      </c>
      <c r="B1647" s="1" t="n">
        <v>44784</v>
      </c>
      <c r="C1647" s="1" t="n">
        <v>45718</v>
      </c>
      <c r="D1647" t="inlineStr">
        <is>
          <t>JÄMTLANDS LÄN</t>
        </is>
      </c>
      <c r="E1647" t="inlineStr">
        <is>
          <t>STRÖMSUND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32883-2022</t>
        </is>
      </c>
      <c r="B1648" s="1" t="n">
        <v>44784</v>
      </c>
      <c r="C1648" s="1" t="n">
        <v>45718</v>
      </c>
      <c r="D1648" t="inlineStr">
        <is>
          <t>JÄMTLANDS LÄN</t>
        </is>
      </c>
      <c r="E1648" t="inlineStr">
        <is>
          <t>STRÖMSUND</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32978-2022</t>
        </is>
      </c>
      <c r="B1649" s="1" t="n">
        <v>44785</v>
      </c>
      <c r="C1649" s="1" t="n">
        <v>45718</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32996-2022</t>
        </is>
      </c>
      <c r="B1650" s="1" t="n">
        <v>44784</v>
      </c>
      <c r="C1650" s="1" t="n">
        <v>45718</v>
      </c>
      <c r="D1650" t="inlineStr">
        <is>
          <t>JÄMTLANDS LÄN</t>
        </is>
      </c>
      <c r="E1650" t="inlineStr">
        <is>
          <t>STRÖMSUND</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32997-2022</t>
        </is>
      </c>
      <c r="B1651" s="1" t="n">
        <v>44785</v>
      </c>
      <c r="C1651" s="1" t="n">
        <v>45718</v>
      </c>
      <c r="D1651" t="inlineStr">
        <is>
          <t>JÄMTLANDS LÄN</t>
        </is>
      </c>
      <c r="E1651" t="inlineStr">
        <is>
          <t>STRÖMSUND</t>
        </is>
      </c>
      <c r="F1651" t="inlineStr">
        <is>
          <t>SCA</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33054-2022</t>
        </is>
      </c>
      <c r="B1652" s="1" t="n">
        <v>44785</v>
      </c>
      <c r="C1652" s="1" t="n">
        <v>45718</v>
      </c>
      <c r="D1652" t="inlineStr">
        <is>
          <t>JÄMTLANDS LÄN</t>
        </is>
      </c>
      <c r="E1652" t="inlineStr">
        <is>
          <t>STRÖMSUND</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33223-2022</t>
        </is>
      </c>
      <c r="B1653" s="1" t="n">
        <v>44785</v>
      </c>
      <c r="C1653" s="1" t="n">
        <v>45718</v>
      </c>
      <c r="D1653" t="inlineStr">
        <is>
          <t>JÄMTLANDS LÄN</t>
        </is>
      </c>
      <c r="E1653" t="inlineStr">
        <is>
          <t>STRÖMSUND</t>
        </is>
      </c>
      <c r="F1653" t="inlineStr">
        <is>
          <t>SCA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33219-2022</t>
        </is>
      </c>
      <c r="B1654" s="1" t="n">
        <v>44786</v>
      </c>
      <c r="C1654" s="1" t="n">
        <v>45718</v>
      </c>
      <c r="D1654" t="inlineStr">
        <is>
          <t>JÄMTLANDS LÄN</t>
        </is>
      </c>
      <c r="E1654" t="inlineStr">
        <is>
          <t>STRÖMSUND</t>
        </is>
      </c>
      <c r="F1654" t="inlineStr">
        <is>
          <t>SCA</t>
        </is>
      </c>
      <c r="G1654" t="n">
        <v>15.8</v>
      </c>
      <c r="H1654" t="n">
        <v>0</v>
      </c>
      <c r="I1654" t="n">
        <v>0</v>
      </c>
      <c r="J1654" t="n">
        <v>0</v>
      </c>
      <c r="K1654" t="n">
        <v>0</v>
      </c>
      <c r="L1654" t="n">
        <v>0</v>
      </c>
      <c r="M1654" t="n">
        <v>0</v>
      </c>
      <c r="N1654" t="n">
        <v>0</v>
      </c>
      <c r="O1654" t="n">
        <v>0</v>
      </c>
      <c r="P1654" t="n">
        <v>0</v>
      </c>
      <c r="Q1654" t="n">
        <v>0</v>
      </c>
      <c r="R1654" s="2" t="inlineStr"/>
    </row>
    <row r="1655" ht="15" customHeight="1">
      <c r="A1655" t="inlineStr">
        <is>
          <t>A 33225-2022</t>
        </is>
      </c>
      <c r="B1655" s="1" t="n">
        <v>44786</v>
      </c>
      <c r="C1655" s="1" t="n">
        <v>45718</v>
      </c>
      <c r="D1655" t="inlineStr">
        <is>
          <t>JÄMTLANDS LÄN</t>
        </is>
      </c>
      <c r="E1655" t="inlineStr">
        <is>
          <t>STRÖMSUND</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33231-2022</t>
        </is>
      </c>
      <c r="B1656" s="1" t="n">
        <v>44786</v>
      </c>
      <c r="C1656" s="1" t="n">
        <v>45718</v>
      </c>
      <c r="D1656" t="inlineStr">
        <is>
          <t>JÄMTLANDS LÄN</t>
        </is>
      </c>
      <c r="E1656" t="inlineStr">
        <is>
          <t>STRÖMSUND</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33224-2022</t>
        </is>
      </c>
      <c r="B1657" s="1" t="n">
        <v>44785</v>
      </c>
      <c r="C1657" s="1" t="n">
        <v>45718</v>
      </c>
      <c r="D1657" t="inlineStr">
        <is>
          <t>JÄMTLANDS LÄN</t>
        </is>
      </c>
      <c r="E1657" t="inlineStr">
        <is>
          <t>STRÖMSUND</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33230-2022</t>
        </is>
      </c>
      <c r="B1658" s="1" t="n">
        <v>44786</v>
      </c>
      <c r="C1658" s="1" t="n">
        <v>45718</v>
      </c>
      <c r="D1658" t="inlineStr">
        <is>
          <t>JÄMTLANDS LÄN</t>
        </is>
      </c>
      <c r="E1658" t="inlineStr">
        <is>
          <t>STRÖMSUND</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33501-2022</t>
        </is>
      </c>
      <c r="B1659" s="1" t="n">
        <v>44788</v>
      </c>
      <c r="C1659" s="1" t="n">
        <v>45718</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33502-2022</t>
        </is>
      </c>
      <c r="B1660" s="1" t="n">
        <v>44789</v>
      </c>
      <c r="C1660" s="1" t="n">
        <v>45718</v>
      </c>
      <c r="D1660" t="inlineStr">
        <is>
          <t>JÄMTLANDS LÄN</t>
        </is>
      </c>
      <c r="E1660" t="inlineStr">
        <is>
          <t>STRÖMSUND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33520-2022</t>
        </is>
      </c>
      <c r="B1661" s="1" t="n">
        <v>44789</v>
      </c>
      <c r="C1661" s="1" t="n">
        <v>45718</v>
      </c>
      <c r="D1661" t="inlineStr">
        <is>
          <t>JÄMTLANDS LÄN</t>
        </is>
      </c>
      <c r="E1661" t="inlineStr">
        <is>
          <t>STRÖMSUND</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33732-2022</t>
        </is>
      </c>
      <c r="B1662" s="1" t="n">
        <v>44790</v>
      </c>
      <c r="C1662" s="1" t="n">
        <v>45718</v>
      </c>
      <c r="D1662" t="inlineStr">
        <is>
          <t>JÄMTLANDS LÄN</t>
        </is>
      </c>
      <c r="E1662" t="inlineStr">
        <is>
          <t>STRÖMSUND</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33728-2022</t>
        </is>
      </c>
      <c r="B1663" s="1" t="n">
        <v>44790</v>
      </c>
      <c r="C1663" s="1" t="n">
        <v>45718</v>
      </c>
      <c r="D1663" t="inlineStr">
        <is>
          <t>JÄMTLANDS LÄN</t>
        </is>
      </c>
      <c r="E1663" t="inlineStr">
        <is>
          <t>STRÖMSUND</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33730-2022</t>
        </is>
      </c>
      <c r="B1664" s="1" t="n">
        <v>44790</v>
      </c>
      <c r="C1664" s="1" t="n">
        <v>45718</v>
      </c>
      <c r="D1664" t="inlineStr">
        <is>
          <t>JÄMTLANDS LÄN</t>
        </is>
      </c>
      <c r="E1664" t="inlineStr">
        <is>
          <t>STRÖMSUND</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33876-2022</t>
        </is>
      </c>
      <c r="B1665" s="1" t="n">
        <v>44790</v>
      </c>
      <c r="C1665" s="1" t="n">
        <v>45718</v>
      </c>
      <c r="D1665" t="inlineStr">
        <is>
          <t>JÄMTLANDS LÄN</t>
        </is>
      </c>
      <c r="E1665" t="inlineStr">
        <is>
          <t>STRÖMSUND</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33987-2022</t>
        </is>
      </c>
      <c r="B1666" s="1" t="n">
        <v>44790</v>
      </c>
      <c r="C1666" s="1" t="n">
        <v>45718</v>
      </c>
      <c r="D1666" t="inlineStr">
        <is>
          <t>JÄMTLANDS LÄN</t>
        </is>
      </c>
      <c r="E1666" t="inlineStr">
        <is>
          <t>STRÖMSUND</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34008-2022</t>
        </is>
      </c>
      <c r="B1667" s="1" t="n">
        <v>44791</v>
      </c>
      <c r="C1667" s="1" t="n">
        <v>45718</v>
      </c>
      <c r="D1667" t="inlineStr">
        <is>
          <t>JÄMTLANDS LÄN</t>
        </is>
      </c>
      <c r="E1667" t="inlineStr">
        <is>
          <t>STRÖMSUND</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33988-2022</t>
        </is>
      </c>
      <c r="B1668" s="1" t="n">
        <v>44790</v>
      </c>
      <c r="C1668" s="1" t="n">
        <v>45718</v>
      </c>
      <c r="D1668" t="inlineStr">
        <is>
          <t>JÄMTLANDS LÄN</t>
        </is>
      </c>
      <c r="E1668" t="inlineStr">
        <is>
          <t>STRÖMSUND</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34004-2022</t>
        </is>
      </c>
      <c r="B1669" s="1" t="n">
        <v>44791</v>
      </c>
      <c r="C1669" s="1" t="n">
        <v>45718</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33985-2022</t>
        </is>
      </c>
      <c r="B1670" s="1" t="n">
        <v>44790</v>
      </c>
      <c r="C1670" s="1" t="n">
        <v>45718</v>
      </c>
      <c r="D1670" t="inlineStr">
        <is>
          <t>JÄMTLANDS LÄN</t>
        </is>
      </c>
      <c r="E1670" t="inlineStr">
        <is>
          <t>STRÖMSUND</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34023-2022</t>
        </is>
      </c>
      <c r="B1671" s="1" t="n">
        <v>44790</v>
      </c>
      <c r="C1671" s="1" t="n">
        <v>45718</v>
      </c>
      <c r="D1671" t="inlineStr">
        <is>
          <t>JÄMTLANDS LÄN</t>
        </is>
      </c>
      <c r="E1671" t="inlineStr">
        <is>
          <t>STRÖMSUND</t>
        </is>
      </c>
      <c r="G1671" t="n">
        <v>34.5</v>
      </c>
      <c r="H1671" t="n">
        <v>0</v>
      </c>
      <c r="I1671" t="n">
        <v>0</v>
      </c>
      <c r="J1671" t="n">
        <v>0</v>
      </c>
      <c r="K1671" t="n">
        <v>0</v>
      </c>
      <c r="L1671" t="n">
        <v>0</v>
      </c>
      <c r="M1671" t="n">
        <v>0</v>
      </c>
      <c r="N1671" t="n">
        <v>0</v>
      </c>
      <c r="O1671" t="n">
        <v>0</v>
      </c>
      <c r="P1671" t="n">
        <v>0</v>
      </c>
      <c r="Q1671" t="n">
        <v>0</v>
      </c>
      <c r="R1671" s="2" t="inlineStr"/>
    </row>
    <row r="1672" ht="15" customHeight="1">
      <c r="A1672" t="inlineStr">
        <is>
          <t>A 34005-2022</t>
        </is>
      </c>
      <c r="B1672" s="1" t="n">
        <v>44791</v>
      </c>
      <c r="C1672" s="1" t="n">
        <v>45718</v>
      </c>
      <c r="D1672" t="inlineStr">
        <is>
          <t>JÄMTLANDS LÄN</t>
        </is>
      </c>
      <c r="E1672" t="inlineStr">
        <is>
          <t>STRÖMSUND</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34011-2022</t>
        </is>
      </c>
      <c r="B1673" s="1" t="n">
        <v>44790</v>
      </c>
      <c r="C1673" s="1" t="n">
        <v>45718</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34245-2022</t>
        </is>
      </c>
      <c r="B1674" s="1" t="n">
        <v>44792</v>
      </c>
      <c r="C1674" s="1" t="n">
        <v>45718</v>
      </c>
      <c r="D1674" t="inlineStr">
        <is>
          <t>JÄMTLANDS LÄN</t>
        </is>
      </c>
      <c r="E1674" t="inlineStr">
        <is>
          <t>STRÖMSUND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34243-2022</t>
        </is>
      </c>
      <c r="B1675" s="1" t="n">
        <v>44792</v>
      </c>
      <c r="C1675" s="1" t="n">
        <v>45718</v>
      </c>
      <c r="D1675" t="inlineStr">
        <is>
          <t>JÄMTLANDS LÄN</t>
        </is>
      </c>
      <c r="E1675" t="inlineStr">
        <is>
          <t>STRÖMSUND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34247-2022</t>
        </is>
      </c>
      <c r="B1676" s="1" t="n">
        <v>44792</v>
      </c>
      <c r="C1676" s="1" t="n">
        <v>45718</v>
      </c>
      <c r="D1676" t="inlineStr">
        <is>
          <t>JÄMTLANDS LÄN</t>
        </is>
      </c>
      <c r="E1676" t="inlineStr">
        <is>
          <t>STRÖMSUND</t>
        </is>
      </c>
      <c r="F1676" t="inlineStr">
        <is>
          <t>SCA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34251-2022</t>
        </is>
      </c>
      <c r="B1677" s="1" t="n">
        <v>44792</v>
      </c>
      <c r="C1677" s="1" t="n">
        <v>45718</v>
      </c>
      <c r="D1677" t="inlineStr">
        <is>
          <t>JÄMTLANDS LÄN</t>
        </is>
      </c>
      <c r="E1677" t="inlineStr">
        <is>
          <t>STRÖMSUND</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34244-2022</t>
        </is>
      </c>
      <c r="B1678" s="1" t="n">
        <v>44791</v>
      </c>
      <c r="C1678" s="1" t="n">
        <v>45718</v>
      </c>
      <c r="D1678" t="inlineStr">
        <is>
          <t>JÄMTLANDS LÄN</t>
        </is>
      </c>
      <c r="E1678" t="inlineStr">
        <is>
          <t>STRÖMSUND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34264-2022</t>
        </is>
      </c>
      <c r="B1679" s="1" t="n">
        <v>44791</v>
      </c>
      <c r="C1679" s="1" t="n">
        <v>45718</v>
      </c>
      <c r="D1679" t="inlineStr">
        <is>
          <t>JÄMTLANDS LÄN</t>
        </is>
      </c>
      <c r="E1679" t="inlineStr">
        <is>
          <t>STRÖMSUND</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34294-2022</t>
        </is>
      </c>
      <c r="B1680" s="1" t="n">
        <v>44792</v>
      </c>
      <c r="C1680" s="1" t="n">
        <v>45718</v>
      </c>
      <c r="D1680" t="inlineStr">
        <is>
          <t>JÄMTLANDS LÄN</t>
        </is>
      </c>
      <c r="E1680" t="inlineStr">
        <is>
          <t>STRÖMSUND</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34293-2022</t>
        </is>
      </c>
      <c r="B1681" s="1" t="n">
        <v>44792</v>
      </c>
      <c r="C1681" s="1" t="n">
        <v>45718</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34512-2022</t>
        </is>
      </c>
      <c r="B1682" s="1" t="n">
        <v>44793</v>
      </c>
      <c r="C1682" s="1" t="n">
        <v>45718</v>
      </c>
      <c r="D1682" t="inlineStr">
        <is>
          <t>JÄMTLANDS LÄN</t>
        </is>
      </c>
      <c r="E1682" t="inlineStr">
        <is>
          <t>STRÖMSUND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34522-2022</t>
        </is>
      </c>
      <c r="B1683" s="1" t="n">
        <v>44793</v>
      </c>
      <c r="C1683" s="1" t="n">
        <v>45718</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34523-2022</t>
        </is>
      </c>
      <c r="B1684" s="1" t="n">
        <v>44793</v>
      </c>
      <c r="C1684" s="1" t="n">
        <v>45718</v>
      </c>
      <c r="D1684" t="inlineStr">
        <is>
          <t>JÄMTLANDS LÄN</t>
        </is>
      </c>
      <c r="E1684" t="inlineStr">
        <is>
          <t>STRÖMSUND</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34524-2022</t>
        </is>
      </c>
      <c r="B1685" s="1" t="n">
        <v>44793</v>
      </c>
      <c r="C1685" s="1" t="n">
        <v>45718</v>
      </c>
      <c r="D1685" t="inlineStr">
        <is>
          <t>JÄMTLANDS LÄN</t>
        </is>
      </c>
      <c r="E1685" t="inlineStr">
        <is>
          <t>STRÖMSUND</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34521-2022</t>
        </is>
      </c>
      <c r="B1686" s="1" t="n">
        <v>44793</v>
      </c>
      <c r="C1686" s="1" t="n">
        <v>45718</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34525-2022</t>
        </is>
      </c>
      <c r="B1687" s="1" t="n">
        <v>44793</v>
      </c>
      <c r="C1687" s="1" t="n">
        <v>45718</v>
      </c>
      <c r="D1687" t="inlineStr">
        <is>
          <t>JÄMTLANDS LÄN</t>
        </is>
      </c>
      <c r="E1687" t="inlineStr">
        <is>
          <t>STRÖMSUND</t>
        </is>
      </c>
      <c r="F1687" t="inlineStr">
        <is>
          <t>SCA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34550-2022</t>
        </is>
      </c>
      <c r="B1688" s="1" t="n">
        <v>44793</v>
      </c>
      <c r="C1688" s="1" t="n">
        <v>45718</v>
      </c>
      <c r="D1688" t="inlineStr">
        <is>
          <t>JÄMTLANDS LÄN</t>
        </is>
      </c>
      <c r="E1688" t="inlineStr">
        <is>
          <t>STRÖMSUND</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34805-2022</t>
        </is>
      </c>
      <c r="B1689" s="1" t="n">
        <v>44796</v>
      </c>
      <c r="C1689" s="1" t="n">
        <v>45718</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34890-2022</t>
        </is>
      </c>
      <c r="B1690" s="1" t="n">
        <v>44796</v>
      </c>
      <c r="C1690" s="1" t="n">
        <v>45718</v>
      </c>
      <c r="D1690" t="inlineStr">
        <is>
          <t>JÄMTLANDS LÄN</t>
        </is>
      </c>
      <c r="E1690" t="inlineStr">
        <is>
          <t>STRÖMSUND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34920-2022</t>
        </is>
      </c>
      <c r="B1691" s="1" t="n">
        <v>44796</v>
      </c>
      <c r="C1691" s="1" t="n">
        <v>45718</v>
      </c>
      <c r="D1691" t="inlineStr">
        <is>
          <t>JÄMTLANDS LÄN</t>
        </is>
      </c>
      <c r="E1691" t="inlineStr">
        <is>
          <t>STRÖMSUND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35015-2022</t>
        </is>
      </c>
      <c r="B1692" s="1" t="n">
        <v>44797</v>
      </c>
      <c r="C1692" s="1" t="n">
        <v>45718</v>
      </c>
      <c r="D1692" t="inlineStr">
        <is>
          <t>JÄMTLANDS LÄN</t>
        </is>
      </c>
      <c r="E1692" t="inlineStr">
        <is>
          <t>STRÖMSUND</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35221-2022</t>
        </is>
      </c>
      <c r="B1693" s="1" t="n">
        <v>44798</v>
      </c>
      <c r="C1693" s="1" t="n">
        <v>45718</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35233-2022</t>
        </is>
      </c>
      <c r="B1694" s="1" t="n">
        <v>44797</v>
      </c>
      <c r="C1694" s="1" t="n">
        <v>45718</v>
      </c>
      <c r="D1694" t="inlineStr">
        <is>
          <t>JÄMTLANDS LÄN</t>
        </is>
      </c>
      <c r="E1694" t="inlineStr">
        <is>
          <t>STRÖMSUND</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35240-2022</t>
        </is>
      </c>
      <c r="B1695" s="1" t="n">
        <v>44797</v>
      </c>
      <c r="C1695" s="1" t="n">
        <v>45718</v>
      </c>
      <c r="D1695" t="inlineStr">
        <is>
          <t>JÄMTLANDS LÄN</t>
        </is>
      </c>
      <c r="E1695" t="inlineStr">
        <is>
          <t>STRÖMSUND</t>
        </is>
      </c>
      <c r="F1695" t="inlineStr">
        <is>
          <t>SCA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35241-2022</t>
        </is>
      </c>
      <c r="B1696" s="1" t="n">
        <v>44797</v>
      </c>
      <c r="C1696" s="1" t="n">
        <v>45718</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35308-2022</t>
        </is>
      </c>
      <c r="B1697" s="1" t="n">
        <v>44798</v>
      </c>
      <c r="C1697" s="1" t="n">
        <v>45718</v>
      </c>
      <c r="D1697" t="inlineStr">
        <is>
          <t>JÄMTLANDS LÄN</t>
        </is>
      </c>
      <c r="E1697" t="inlineStr">
        <is>
          <t>STRÖMSUND</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35295-2022</t>
        </is>
      </c>
      <c r="B1698" s="1" t="n">
        <v>44798</v>
      </c>
      <c r="C1698" s="1" t="n">
        <v>45718</v>
      </c>
      <c r="D1698" t="inlineStr">
        <is>
          <t>JÄMTLANDS LÄN</t>
        </is>
      </c>
      <c r="E1698" t="inlineStr">
        <is>
          <t>STRÖMSUND</t>
        </is>
      </c>
      <c r="F1698" t="inlineStr">
        <is>
          <t>Kommuner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35321-2022</t>
        </is>
      </c>
      <c r="B1699" s="1" t="n">
        <v>44798</v>
      </c>
      <c r="C1699" s="1" t="n">
        <v>45718</v>
      </c>
      <c r="D1699" t="inlineStr">
        <is>
          <t>JÄMTLANDS LÄN</t>
        </is>
      </c>
      <c r="E1699" t="inlineStr">
        <is>
          <t>STRÖMSUND</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35329-2022</t>
        </is>
      </c>
      <c r="B1700" s="1" t="n">
        <v>44798</v>
      </c>
      <c r="C1700" s="1" t="n">
        <v>45718</v>
      </c>
      <c r="D1700" t="inlineStr">
        <is>
          <t>JÄMTLANDS LÄN</t>
        </is>
      </c>
      <c r="E1700" t="inlineStr">
        <is>
          <t>STRÖMSUND</t>
        </is>
      </c>
      <c r="F1700" t="inlineStr">
        <is>
          <t>Kommuner</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35377-2022</t>
        </is>
      </c>
      <c r="B1701" s="1" t="n">
        <v>44798</v>
      </c>
      <c r="C1701" s="1" t="n">
        <v>45718</v>
      </c>
      <c r="D1701" t="inlineStr">
        <is>
          <t>JÄMTLANDS LÄN</t>
        </is>
      </c>
      <c r="E1701" t="inlineStr">
        <is>
          <t>STRÖMSUND</t>
        </is>
      </c>
      <c r="F1701" t="inlineStr">
        <is>
          <t>Kommuner</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35375-2022</t>
        </is>
      </c>
      <c r="B1702" s="1" t="n">
        <v>44798</v>
      </c>
      <c r="C1702" s="1" t="n">
        <v>45718</v>
      </c>
      <c r="D1702" t="inlineStr">
        <is>
          <t>JÄMTLANDS LÄN</t>
        </is>
      </c>
      <c r="E1702" t="inlineStr">
        <is>
          <t>STRÖMSUND</t>
        </is>
      </c>
      <c r="F1702" t="inlineStr">
        <is>
          <t>Kommuner</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35694-2022</t>
        </is>
      </c>
      <c r="B1703" s="1" t="n">
        <v>44799</v>
      </c>
      <c r="C1703" s="1" t="n">
        <v>45718</v>
      </c>
      <c r="D1703" t="inlineStr">
        <is>
          <t>JÄMTLANDS LÄN</t>
        </is>
      </c>
      <c r="E1703" t="inlineStr">
        <is>
          <t>STRÖMSUND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35743-2022</t>
        </is>
      </c>
      <c r="B1704" s="1" t="n">
        <v>44800</v>
      </c>
      <c r="C1704" s="1" t="n">
        <v>45718</v>
      </c>
      <c r="D1704" t="inlineStr">
        <is>
          <t>JÄMTLANDS LÄN</t>
        </is>
      </c>
      <c r="E1704" t="inlineStr">
        <is>
          <t>STRÖMSUND</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35989-2022</t>
        </is>
      </c>
      <c r="B1705" s="1" t="n">
        <v>44802</v>
      </c>
      <c r="C1705" s="1" t="n">
        <v>45718</v>
      </c>
      <c r="D1705" t="inlineStr">
        <is>
          <t>JÄMTLANDS LÄN</t>
        </is>
      </c>
      <c r="E1705" t="inlineStr">
        <is>
          <t>STRÖMSUND</t>
        </is>
      </c>
      <c r="F1705" t="inlineStr">
        <is>
          <t>Sveaskog</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35853-2022</t>
        </is>
      </c>
      <c r="B1706" s="1" t="n">
        <v>44802</v>
      </c>
      <c r="C1706" s="1" t="n">
        <v>45718</v>
      </c>
      <c r="D1706" t="inlineStr">
        <is>
          <t>JÄMTLANDS LÄN</t>
        </is>
      </c>
      <c r="E1706" t="inlineStr">
        <is>
          <t>STRÖMSUND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35850-2022</t>
        </is>
      </c>
      <c r="B1707" s="1" t="n">
        <v>44802</v>
      </c>
      <c r="C1707" s="1" t="n">
        <v>45718</v>
      </c>
      <c r="D1707" t="inlineStr">
        <is>
          <t>JÄMTLANDS LÄN</t>
        </is>
      </c>
      <c r="E1707" t="inlineStr">
        <is>
          <t>STRÖMSUND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35972-2022</t>
        </is>
      </c>
      <c r="B1708" s="1" t="n">
        <v>44802</v>
      </c>
      <c r="C1708" s="1" t="n">
        <v>45718</v>
      </c>
      <c r="D1708" t="inlineStr">
        <is>
          <t>JÄMTLANDS LÄN</t>
        </is>
      </c>
      <c r="E1708" t="inlineStr">
        <is>
          <t>STRÖMSUND</t>
        </is>
      </c>
      <c r="F1708" t="inlineStr">
        <is>
          <t>Sveaskog</t>
        </is>
      </c>
      <c r="G1708" t="n">
        <v>22.9</v>
      </c>
      <c r="H1708" t="n">
        <v>0</v>
      </c>
      <c r="I1708" t="n">
        <v>0</v>
      </c>
      <c r="J1708" t="n">
        <v>0</v>
      </c>
      <c r="K1708" t="n">
        <v>0</v>
      </c>
      <c r="L1708" t="n">
        <v>0</v>
      </c>
      <c r="M1708" t="n">
        <v>0</v>
      </c>
      <c r="N1708" t="n">
        <v>0</v>
      </c>
      <c r="O1708" t="n">
        <v>0</v>
      </c>
      <c r="P1708" t="n">
        <v>0</v>
      </c>
      <c r="Q1708" t="n">
        <v>0</v>
      </c>
      <c r="R1708" s="2" t="inlineStr"/>
    </row>
    <row r="1709" ht="15" customHeight="1">
      <c r="A1709" t="inlineStr">
        <is>
          <t>A 36079-2022</t>
        </is>
      </c>
      <c r="B1709" s="1" t="n">
        <v>44803</v>
      </c>
      <c r="C1709" s="1" t="n">
        <v>45718</v>
      </c>
      <c r="D1709" t="inlineStr">
        <is>
          <t>JÄMTLANDS LÄN</t>
        </is>
      </c>
      <c r="E1709" t="inlineStr">
        <is>
          <t>STRÖMSUND</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35971-2022</t>
        </is>
      </c>
      <c r="B1710" s="1" t="n">
        <v>44802</v>
      </c>
      <c r="C1710" s="1" t="n">
        <v>45718</v>
      </c>
      <c r="D1710" t="inlineStr">
        <is>
          <t>JÄMTLANDS LÄN</t>
        </is>
      </c>
      <c r="E1710" t="inlineStr">
        <is>
          <t>STRÖMSUND</t>
        </is>
      </c>
      <c r="F1710" t="inlineStr">
        <is>
          <t>Sveaskog</t>
        </is>
      </c>
      <c r="G1710" t="n">
        <v>17.2</v>
      </c>
      <c r="H1710" t="n">
        <v>0</v>
      </c>
      <c r="I1710" t="n">
        <v>0</v>
      </c>
      <c r="J1710" t="n">
        <v>0</v>
      </c>
      <c r="K1710" t="n">
        <v>0</v>
      </c>
      <c r="L1710" t="n">
        <v>0</v>
      </c>
      <c r="M1710" t="n">
        <v>0</v>
      </c>
      <c r="N1710" t="n">
        <v>0</v>
      </c>
      <c r="O1710" t="n">
        <v>0</v>
      </c>
      <c r="P1710" t="n">
        <v>0</v>
      </c>
      <c r="Q1710" t="n">
        <v>0</v>
      </c>
      <c r="R1710" s="2" t="inlineStr"/>
    </row>
    <row r="1711" ht="15" customHeight="1">
      <c r="A1711" t="inlineStr">
        <is>
          <t>A 36096-2022</t>
        </is>
      </c>
      <c r="B1711" s="1" t="n">
        <v>44803</v>
      </c>
      <c r="C1711" s="1" t="n">
        <v>45718</v>
      </c>
      <c r="D1711" t="inlineStr">
        <is>
          <t>JÄMTLANDS LÄN</t>
        </is>
      </c>
      <c r="E1711" t="inlineStr">
        <is>
          <t>STRÖMSUND</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36369-2022</t>
        </is>
      </c>
      <c r="B1712" s="1" t="n">
        <v>44804</v>
      </c>
      <c r="C1712" s="1" t="n">
        <v>45718</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36374-2022</t>
        </is>
      </c>
      <c r="B1713" s="1" t="n">
        <v>44804</v>
      </c>
      <c r="C1713" s="1" t="n">
        <v>45718</v>
      </c>
      <c r="D1713" t="inlineStr">
        <is>
          <t>JÄMTLANDS LÄN</t>
        </is>
      </c>
      <c r="E1713" t="inlineStr">
        <is>
          <t>STRÖMSUND</t>
        </is>
      </c>
      <c r="F1713" t="inlineStr">
        <is>
          <t>SCA</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36275-2022</t>
        </is>
      </c>
      <c r="B1714" s="1" t="n">
        <v>44803</v>
      </c>
      <c r="C1714" s="1" t="n">
        <v>45718</v>
      </c>
      <c r="D1714" t="inlineStr">
        <is>
          <t>JÄMTLANDS LÄN</t>
        </is>
      </c>
      <c r="E1714" t="inlineStr">
        <is>
          <t>STRÖMSUND</t>
        </is>
      </c>
      <c r="F1714" t="inlineStr">
        <is>
          <t>Holmen skog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36383-2022</t>
        </is>
      </c>
      <c r="B1715" s="1" t="n">
        <v>44804</v>
      </c>
      <c r="C1715" s="1" t="n">
        <v>45718</v>
      </c>
      <c r="D1715" t="inlineStr">
        <is>
          <t>JÄMTLANDS LÄN</t>
        </is>
      </c>
      <c r="E1715" t="inlineStr">
        <is>
          <t>STRÖMSUND</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36390-2022</t>
        </is>
      </c>
      <c r="B1716" s="1" t="n">
        <v>44804</v>
      </c>
      <c r="C1716" s="1" t="n">
        <v>45718</v>
      </c>
      <c r="D1716" t="inlineStr">
        <is>
          <t>JÄMTLANDS LÄN</t>
        </is>
      </c>
      <c r="E1716" t="inlineStr">
        <is>
          <t>STRÖMSUND</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36384-2022</t>
        </is>
      </c>
      <c r="B1717" s="1" t="n">
        <v>44804</v>
      </c>
      <c r="C1717" s="1" t="n">
        <v>45718</v>
      </c>
      <c r="D1717" t="inlineStr">
        <is>
          <t>JÄMTLANDS LÄN</t>
        </is>
      </c>
      <c r="E1717" t="inlineStr">
        <is>
          <t>STRÖMSUND</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36372-2022</t>
        </is>
      </c>
      <c r="B1718" s="1" t="n">
        <v>44804</v>
      </c>
      <c r="C1718" s="1" t="n">
        <v>45718</v>
      </c>
      <c r="D1718" t="inlineStr">
        <is>
          <t>JÄMTLANDS LÄN</t>
        </is>
      </c>
      <c r="E1718" t="inlineStr">
        <is>
          <t>STRÖMSUND</t>
        </is>
      </c>
      <c r="F1718" t="inlineStr">
        <is>
          <t>SCA</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36382-2022</t>
        </is>
      </c>
      <c r="B1719" s="1" t="n">
        <v>44803</v>
      </c>
      <c r="C1719" s="1" t="n">
        <v>45718</v>
      </c>
      <c r="D1719" t="inlineStr">
        <is>
          <t>JÄMTLANDS LÄN</t>
        </is>
      </c>
      <c r="E1719" t="inlineStr">
        <is>
          <t>STRÖMSUND</t>
        </is>
      </c>
      <c r="F1719" t="inlineStr">
        <is>
          <t>SCA</t>
        </is>
      </c>
      <c r="G1719" t="n">
        <v>12.6</v>
      </c>
      <c r="H1719" t="n">
        <v>0</v>
      </c>
      <c r="I1719" t="n">
        <v>0</v>
      </c>
      <c r="J1719" t="n">
        <v>0</v>
      </c>
      <c r="K1719" t="n">
        <v>0</v>
      </c>
      <c r="L1719" t="n">
        <v>0</v>
      </c>
      <c r="M1719" t="n">
        <v>0</v>
      </c>
      <c r="N1719" t="n">
        <v>0</v>
      </c>
      <c r="O1719" t="n">
        <v>0</v>
      </c>
      <c r="P1719" t="n">
        <v>0</v>
      </c>
      <c r="Q1719" t="n">
        <v>0</v>
      </c>
      <c r="R1719" s="2" t="inlineStr"/>
    </row>
    <row r="1720" ht="15" customHeight="1">
      <c r="A1720" t="inlineStr">
        <is>
          <t>A 36581-2022</t>
        </is>
      </c>
      <c r="B1720" s="1" t="n">
        <v>44804</v>
      </c>
      <c r="C1720" s="1" t="n">
        <v>45718</v>
      </c>
      <c r="D1720" t="inlineStr">
        <is>
          <t>JÄMTLANDS LÄN</t>
        </is>
      </c>
      <c r="E1720" t="inlineStr">
        <is>
          <t>STRÖMSUND</t>
        </is>
      </c>
      <c r="F1720" t="inlineStr">
        <is>
          <t>Holmen skog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36559-2022</t>
        </is>
      </c>
      <c r="B1721" s="1" t="n">
        <v>44804</v>
      </c>
      <c r="C1721" s="1" t="n">
        <v>45718</v>
      </c>
      <c r="D1721" t="inlineStr">
        <is>
          <t>JÄMTLANDS LÄN</t>
        </is>
      </c>
      <c r="E1721" t="inlineStr">
        <is>
          <t>STRÖMSUND</t>
        </is>
      </c>
      <c r="F1721" t="inlineStr">
        <is>
          <t>Holmen skog AB</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36690-2022</t>
        </is>
      </c>
      <c r="B1722" s="1" t="n">
        <v>44805</v>
      </c>
      <c r="C1722" s="1" t="n">
        <v>45718</v>
      </c>
      <c r="D1722" t="inlineStr">
        <is>
          <t>JÄMTLANDS LÄN</t>
        </is>
      </c>
      <c r="E1722" t="inlineStr">
        <is>
          <t>STRÖMSUND</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36698-2022</t>
        </is>
      </c>
      <c r="B1723" s="1" t="n">
        <v>44805</v>
      </c>
      <c r="C1723" s="1" t="n">
        <v>45718</v>
      </c>
      <c r="D1723" t="inlineStr">
        <is>
          <t>JÄMTLANDS LÄN</t>
        </is>
      </c>
      <c r="E1723" t="inlineStr">
        <is>
          <t>STRÖMSUND</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36689-2022</t>
        </is>
      </c>
      <c r="B1724" s="1" t="n">
        <v>44804</v>
      </c>
      <c r="C1724" s="1" t="n">
        <v>45718</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36699-2022</t>
        </is>
      </c>
      <c r="B1725" s="1" t="n">
        <v>44805</v>
      </c>
      <c r="C1725" s="1" t="n">
        <v>45718</v>
      </c>
      <c r="D1725" t="inlineStr">
        <is>
          <t>JÄMTLANDS LÄN</t>
        </is>
      </c>
      <c r="E1725" t="inlineStr">
        <is>
          <t>STRÖMSUND</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37090-2022</t>
        </is>
      </c>
      <c r="B1726" s="1" t="n">
        <v>44806</v>
      </c>
      <c r="C1726" s="1" t="n">
        <v>45718</v>
      </c>
      <c r="D1726" t="inlineStr">
        <is>
          <t>JÄMTLANDS LÄN</t>
        </is>
      </c>
      <c r="E1726" t="inlineStr">
        <is>
          <t>STRÖMSUND</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37100-2022</t>
        </is>
      </c>
      <c r="B1727" s="1" t="n">
        <v>44806</v>
      </c>
      <c r="C1727" s="1" t="n">
        <v>45718</v>
      </c>
      <c r="D1727" t="inlineStr">
        <is>
          <t>JÄMTLANDS LÄN</t>
        </is>
      </c>
      <c r="E1727" t="inlineStr">
        <is>
          <t>STRÖMSUND</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37107-2022</t>
        </is>
      </c>
      <c r="B1728" s="1" t="n">
        <v>44806</v>
      </c>
      <c r="C1728" s="1" t="n">
        <v>45718</v>
      </c>
      <c r="D1728" t="inlineStr">
        <is>
          <t>JÄMTLANDS LÄN</t>
        </is>
      </c>
      <c r="E1728" t="inlineStr">
        <is>
          <t>STRÖMSUND</t>
        </is>
      </c>
      <c r="F1728" t="inlineStr">
        <is>
          <t>Kommuner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37084-2022</t>
        </is>
      </c>
      <c r="B1729" s="1" t="n">
        <v>44806</v>
      </c>
      <c r="C1729" s="1" t="n">
        <v>45718</v>
      </c>
      <c r="D1729" t="inlineStr">
        <is>
          <t>JÄMTLANDS LÄN</t>
        </is>
      </c>
      <c r="E1729" t="inlineStr">
        <is>
          <t>STRÖMSUND</t>
        </is>
      </c>
      <c r="F1729" t="inlineStr">
        <is>
          <t>Kommuner</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37093-2022</t>
        </is>
      </c>
      <c r="B1730" s="1" t="n">
        <v>44806</v>
      </c>
      <c r="C1730" s="1" t="n">
        <v>45718</v>
      </c>
      <c r="D1730" t="inlineStr">
        <is>
          <t>JÄMTLANDS LÄN</t>
        </is>
      </c>
      <c r="E1730" t="inlineStr">
        <is>
          <t>STRÖMSUND</t>
        </is>
      </c>
      <c r="F1730" t="inlineStr">
        <is>
          <t>Kommuner</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37097-2022</t>
        </is>
      </c>
      <c r="B1731" s="1" t="n">
        <v>44806</v>
      </c>
      <c r="C1731" s="1" t="n">
        <v>45718</v>
      </c>
      <c r="D1731" t="inlineStr">
        <is>
          <t>JÄMTLANDS LÄN</t>
        </is>
      </c>
      <c r="E1731" t="inlineStr">
        <is>
          <t>STRÖMSUND</t>
        </is>
      </c>
      <c r="F1731" t="inlineStr">
        <is>
          <t>Kommuner</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37102-2022</t>
        </is>
      </c>
      <c r="B1732" s="1" t="n">
        <v>44806</v>
      </c>
      <c r="C1732" s="1" t="n">
        <v>45718</v>
      </c>
      <c r="D1732" t="inlineStr">
        <is>
          <t>JÄMTLANDS LÄN</t>
        </is>
      </c>
      <c r="E1732" t="inlineStr">
        <is>
          <t>STRÖMSUND</t>
        </is>
      </c>
      <c r="F1732" t="inlineStr">
        <is>
          <t>Kommuner</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37078-2022</t>
        </is>
      </c>
      <c r="B1733" s="1" t="n">
        <v>44806</v>
      </c>
      <c r="C1733" s="1" t="n">
        <v>45718</v>
      </c>
      <c r="D1733" t="inlineStr">
        <is>
          <t>JÄMTLANDS LÄN</t>
        </is>
      </c>
      <c r="E1733" t="inlineStr">
        <is>
          <t>STRÖMSUND</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37104-2022</t>
        </is>
      </c>
      <c r="B1734" s="1" t="n">
        <v>44806</v>
      </c>
      <c r="C1734" s="1" t="n">
        <v>45718</v>
      </c>
      <c r="D1734" t="inlineStr">
        <is>
          <t>JÄMTLANDS LÄN</t>
        </is>
      </c>
      <c r="E1734" t="inlineStr">
        <is>
          <t>STRÖMSUND</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37231-2022</t>
        </is>
      </c>
      <c r="B1735" s="1" t="n">
        <v>44806</v>
      </c>
      <c r="C1735" s="1" t="n">
        <v>45718</v>
      </c>
      <c r="D1735" t="inlineStr">
        <is>
          <t>JÄMTLANDS LÄN</t>
        </is>
      </c>
      <c r="E1735" t="inlineStr">
        <is>
          <t>STRÖMSUND</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37791-2022</t>
        </is>
      </c>
      <c r="B1736" s="1" t="n">
        <v>44810</v>
      </c>
      <c r="C1736" s="1" t="n">
        <v>45718</v>
      </c>
      <c r="D1736" t="inlineStr">
        <is>
          <t>JÄMTLANDS LÄN</t>
        </is>
      </c>
      <c r="E1736" t="inlineStr">
        <is>
          <t>STRÖMSUND</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38415-2022</t>
        </is>
      </c>
      <c r="B1737" s="1" t="n">
        <v>44812</v>
      </c>
      <c r="C1737" s="1" t="n">
        <v>45718</v>
      </c>
      <c r="D1737" t="inlineStr">
        <is>
          <t>JÄMTLANDS LÄN</t>
        </is>
      </c>
      <c r="E1737" t="inlineStr">
        <is>
          <t>STRÖMSUND</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38414-2022</t>
        </is>
      </c>
      <c r="B1738" s="1" t="n">
        <v>44812</v>
      </c>
      <c r="C1738" s="1" t="n">
        <v>45718</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38413-2022</t>
        </is>
      </c>
      <c r="B1739" s="1" t="n">
        <v>44812</v>
      </c>
      <c r="C1739" s="1" t="n">
        <v>45718</v>
      </c>
      <c r="D1739" t="inlineStr">
        <is>
          <t>JÄMTLANDS LÄN</t>
        </is>
      </c>
      <c r="E1739" t="inlineStr">
        <is>
          <t>STRÖMSUND</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38661-2022</t>
        </is>
      </c>
      <c r="B1740" s="1" t="n">
        <v>44813</v>
      </c>
      <c r="C1740" s="1" t="n">
        <v>45718</v>
      </c>
      <c r="D1740" t="inlineStr">
        <is>
          <t>JÄMTLANDS LÄN</t>
        </is>
      </c>
      <c r="E1740" t="inlineStr">
        <is>
          <t>STRÖMSUND</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39000-2022</t>
        </is>
      </c>
      <c r="B1741" s="1" t="n">
        <v>44817</v>
      </c>
      <c r="C1741" s="1" t="n">
        <v>45718</v>
      </c>
      <c r="D1741" t="inlineStr">
        <is>
          <t>JÄMTLANDS LÄN</t>
        </is>
      </c>
      <c r="E1741" t="inlineStr">
        <is>
          <t>STRÖMSUND</t>
        </is>
      </c>
      <c r="F1741" t="inlineStr">
        <is>
          <t>SCA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39010-2022</t>
        </is>
      </c>
      <c r="B1742" s="1" t="n">
        <v>44816</v>
      </c>
      <c r="C1742" s="1" t="n">
        <v>45718</v>
      </c>
      <c r="D1742" t="inlineStr">
        <is>
          <t>JÄMTLANDS LÄN</t>
        </is>
      </c>
      <c r="E1742" t="inlineStr">
        <is>
          <t>STRÖMSUND</t>
        </is>
      </c>
      <c r="F1742" t="inlineStr">
        <is>
          <t>SCA</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39007-2022</t>
        </is>
      </c>
      <c r="B1743" s="1" t="n">
        <v>44817</v>
      </c>
      <c r="C1743" s="1" t="n">
        <v>45718</v>
      </c>
      <c r="D1743" t="inlineStr">
        <is>
          <t>JÄMTLANDS LÄN</t>
        </is>
      </c>
      <c r="E1743" t="inlineStr">
        <is>
          <t>STRÖMSUND</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39009-2022</t>
        </is>
      </c>
      <c r="B1744" s="1" t="n">
        <v>44817</v>
      </c>
      <c r="C1744" s="1" t="n">
        <v>45718</v>
      </c>
      <c r="D1744" t="inlineStr">
        <is>
          <t>JÄMTLANDS LÄN</t>
        </is>
      </c>
      <c r="E1744" t="inlineStr">
        <is>
          <t>STRÖMSUND</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39388-2022</t>
        </is>
      </c>
      <c r="B1745" s="1" t="n">
        <v>44817</v>
      </c>
      <c r="C1745" s="1" t="n">
        <v>45718</v>
      </c>
      <c r="D1745" t="inlineStr">
        <is>
          <t>JÄMTLANDS LÄN</t>
        </is>
      </c>
      <c r="E1745" t="inlineStr">
        <is>
          <t>STRÖMSUND</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39689-2022</t>
        </is>
      </c>
      <c r="B1746" s="1" t="n">
        <v>44818</v>
      </c>
      <c r="C1746" s="1" t="n">
        <v>45718</v>
      </c>
      <c r="D1746" t="inlineStr">
        <is>
          <t>JÄMTLANDS LÄN</t>
        </is>
      </c>
      <c r="E1746" t="inlineStr">
        <is>
          <t>STRÖMSUND</t>
        </is>
      </c>
      <c r="F1746" t="inlineStr">
        <is>
          <t>SCA</t>
        </is>
      </c>
      <c r="G1746" t="n">
        <v>7.7</v>
      </c>
      <c r="H1746" t="n">
        <v>0</v>
      </c>
      <c r="I1746" t="n">
        <v>0</v>
      </c>
      <c r="J1746" t="n">
        <v>0</v>
      </c>
      <c r="K1746" t="n">
        <v>0</v>
      </c>
      <c r="L1746" t="n">
        <v>0</v>
      </c>
      <c r="M1746" t="n">
        <v>0</v>
      </c>
      <c r="N1746" t="n">
        <v>0</v>
      </c>
      <c r="O1746" t="n">
        <v>0</v>
      </c>
      <c r="P1746" t="n">
        <v>0</v>
      </c>
      <c r="Q1746" t="n">
        <v>0</v>
      </c>
      <c r="R1746" s="2" t="inlineStr"/>
    </row>
    <row r="1747" ht="15" customHeight="1">
      <c r="A1747" t="inlineStr">
        <is>
          <t>A 39690-2022</t>
        </is>
      </c>
      <c r="B1747" s="1" t="n">
        <v>44819</v>
      </c>
      <c r="C1747" s="1" t="n">
        <v>45718</v>
      </c>
      <c r="D1747" t="inlineStr">
        <is>
          <t>JÄMTLANDS LÄN</t>
        </is>
      </c>
      <c r="E1747" t="inlineStr">
        <is>
          <t>STRÖMSUND</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39700-2022</t>
        </is>
      </c>
      <c r="B1748" s="1" t="n">
        <v>44819</v>
      </c>
      <c r="C1748" s="1" t="n">
        <v>45718</v>
      </c>
      <c r="D1748" t="inlineStr">
        <is>
          <t>JÄMTLANDS LÄN</t>
        </is>
      </c>
      <c r="E1748" t="inlineStr">
        <is>
          <t>STRÖMSUND</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39882-2022</t>
        </is>
      </c>
      <c r="B1749" s="1" t="n">
        <v>44819</v>
      </c>
      <c r="C1749" s="1" t="n">
        <v>45718</v>
      </c>
      <c r="D1749" t="inlineStr">
        <is>
          <t>JÄMTLANDS LÄN</t>
        </is>
      </c>
      <c r="E1749" t="inlineStr">
        <is>
          <t>STRÖMSUND</t>
        </is>
      </c>
      <c r="F1749" t="inlineStr">
        <is>
          <t>Sveaskog</t>
        </is>
      </c>
      <c r="G1749" t="n">
        <v>32.6</v>
      </c>
      <c r="H1749" t="n">
        <v>0</v>
      </c>
      <c r="I1749" t="n">
        <v>0</v>
      </c>
      <c r="J1749" t="n">
        <v>0</v>
      </c>
      <c r="K1749" t="n">
        <v>0</v>
      </c>
      <c r="L1749" t="n">
        <v>0</v>
      </c>
      <c r="M1749" t="n">
        <v>0</v>
      </c>
      <c r="N1749" t="n">
        <v>0</v>
      </c>
      <c r="O1749" t="n">
        <v>0</v>
      </c>
      <c r="P1749" t="n">
        <v>0</v>
      </c>
      <c r="Q1749" t="n">
        <v>0</v>
      </c>
      <c r="R1749" s="2" t="inlineStr"/>
    </row>
    <row r="1750" ht="15" customHeight="1">
      <c r="A1750" t="inlineStr">
        <is>
          <t>A 39890-2022</t>
        </is>
      </c>
      <c r="B1750" s="1" t="n">
        <v>44819</v>
      </c>
      <c r="C1750" s="1" t="n">
        <v>45718</v>
      </c>
      <c r="D1750" t="inlineStr">
        <is>
          <t>JÄMTLANDS LÄN</t>
        </is>
      </c>
      <c r="E1750" t="inlineStr">
        <is>
          <t>STRÖMSUND</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39889-2022</t>
        </is>
      </c>
      <c r="B1751" s="1" t="n">
        <v>44819</v>
      </c>
      <c r="C1751" s="1" t="n">
        <v>45718</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39892-2022</t>
        </is>
      </c>
      <c r="B1752" s="1" t="n">
        <v>44819</v>
      </c>
      <c r="C1752" s="1" t="n">
        <v>45718</v>
      </c>
      <c r="D1752" t="inlineStr">
        <is>
          <t>JÄMTLANDS LÄN</t>
        </is>
      </c>
      <c r="E1752" t="inlineStr">
        <is>
          <t>STRÖMSUND</t>
        </is>
      </c>
      <c r="F1752" t="inlineStr">
        <is>
          <t>Sveaskog</t>
        </is>
      </c>
      <c r="G1752" t="n">
        <v>16.7</v>
      </c>
      <c r="H1752" t="n">
        <v>0</v>
      </c>
      <c r="I1752" t="n">
        <v>0</v>
      </c>
      <c r="J1752" t="n">
        <v>0</v>
      </c>
      <c r="K1752" t="n">
        <v>0</v>
      </c>
      <c r="L1752" t="n">
        <v>0</v>
      </c>
      <c r="M1752" t="n">
        <v>0</v>
      </c>
      <c r="N1752" t="n">
        <v>0</v>
      </c>
      <c r="O1752" t="n">
        <v>0</v>
      </c>
      <c r="P1752" t="n">
        <v>0</v>
      </c>
      <c r="Q1752" t="n">
        <v>0</v>
      </c>
      <c r="R1752" s="2" t="inlineStr"/>
    </row>
    <row r="1753" ht="15" customHeight="1">
      <c r="A1753" t="inlineStr">
        <is>
          <t>A 39939-2022</t>
        </is>
      </c>
      <c r="B1753" s="1" t="n">
        <v>44820</v>
      </c>
      <c r="C1753" s="1" t="n">
        <v>45718</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39957-2022</t>
        </is>
      </c>
      <c r="B1754" s="1" t="n">
        <v>44820</v>
      </c>
      <c r="C1754" s="1" t="n">
        <v>45718</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40271-2022</t>
        </is>
      </c>
      <c r="B1755" s="1" t="n">
        <v>44821</v>
      </c>
      <c r="C1755" s="1" t="n">
        <v>45718</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40287-2022</t>
        </is>
      </c>
      <c r="B1756" s="1" t="n">
        <v>44821</v>
      </c>
      <c r="C1756" s="1" t="n">
        <v>45718</v>
      </c>
      <c r="D1756" t="inlineStr">
        <is>
          <t>JÄMTLANDS LÄN</t>
        </is>
      </c>
      <c r="E1756" t="inlineStr">
        <is>
          <t>STRÖMSUND</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40275-2022</t>
        </is>
      </c>
      <c r="B1757" s="1" t="n">
        <v>44820</v>
      </c>
      <c r="C1757" s="1" t="n">
        <v>45718</v>
      </c>
      <c r="D1757" t="inlineStr">
        <is>
          <t>JÄMTLANDS LÄN</t>
        </is>
      </c>
      <c r="E1757" t="inlineStr">
        <is>
          <t>STRÖMSUND</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40862-2022</t>
        </is>
      </c>
      <c r="B1758" s="1" t="n">
        <v>44820</v>
      </c>
      <c r="C1758" s="1" t="n">
        <v>45718</v>
      </c>
      <c r="D1758" t="inlineStr">
        <is>
          <t>JÄMTLANDS LÄN</t>
        </is>
      </c>
      <c r="E1758" t="inlineStr">
        <is>
          <t>STRÖMSUND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40272-2022</t>
        </is>
      </c>
      <c r="B1759" s="1" t="n">
        <v>44820</v>
      </c>
      <c r="C1759" s="1" t="n">
        <v>45718</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40290-2022</t>
        </is>
      </c>
      <c r="B1760" s="1" t="n">
        <v>44821</v>
      </c>
      <c r="C1760" s="1" t="n">
        <v>45718</v>
      </c>
      <c r="D1760" t="inlineStr">
        <is>
          <t>JÄMTLANDS LÄN</t>
        </is>
      </c>
      <c r="E1760" t="inlineStr">
        <is>
          <t>STRÖMSUND</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40602-2022</t>
        </is>
      </c>
      <c r="B1761" s="1" t="n">
        <v>44823</v>
      </c>
      <c r="C1761" s="1" t="n">
        <v>45718</v>
      </c>
      <c r="D1761" t="inlineStr">
        <is>
          <t>JÄMTLANDS LÄN</t>
        </is>
      </c>
      <c r="E1761" t="inlineStr">
        <is>
          <t>STRÖMSUND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40617-2022</t>
        </is>
      </c>
      <c r="B1762" s="1" t="n">
        <v>44823</v>
      </c>
      <c r="C1762" s="1" t="n">
        <v>45718</v>
      </c>
      <c r="D1762" t="inlineStr">
        <is>
          <t>JÄMTLANDS LÄN</t>
        </is>
      </c>
      <c r="E1762" t="inlineStr">
        <is>
          <t>STRÖMSUND</t>
        </is>
      </c>
      <c r="F1762" t="inlineStr">
        <is>
          <t>SCA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40936-2022</t>
        </is>
      </c>
      <c r="B1763" s="1" t="n">
        <v>44823</v>
      </c>
      <c r="C1763" s="1" t="n">
        <v>45718</v>
      </c>
      <c r="D1763" t="inlineStr">
        <is>
          <t>JÄMTLANDS LÄN</t>
        </is>
      </c>
      <c r="E1763" t="inlineStr">
        <is>
          <t>STRÖMSUND</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40840-2022</t>
        </is>
      </c>
      <c r="B1764" s="1" t="n">
        <v>44824</v>
      </c>
      <c r="C1764" s="1" t="n">
        <v>45718</v>
      </c>
      <c r="D1764" t="inlineStr">
        <is>
          <t>JÄMTLANDS LÄN</t>
        </is>
      </c>
      <c r="E1764" t="inlineStr">
        <is>
          <t>STRÖMSUND</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40841-2022</t>
        </is>
      </c>
      <c r="B1765" s="1" t="n">
        <v>44825</v>
      </c>
      <c r="C1765" s="1" t="n">
        <v>45718</v>
      </c>
      <c r="D1765" t="inlineStr">
        <is>
          <t>JÄMTLANDS LÄN</t>
        </is>
      </c>
      <c r="E1765" t="inlineStr">
        <is>
          <t>STRÖMSUND</t>
        </is>
      </c>
      <c r="F1765" t="inlineStr">
        <is>
          <t>SCA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41171-2022</t>
        </is>
      </c>
      <c r="B1766" s="1" t="n">
        <v>44826</v>
      </c>
      <c r="C1766" s="1" t="n">
        <v>45718</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41194-2022</t>
        </is>
      </c>
      <c r="B1767" s="1" t="n">
        <v>44826</v>
      </c>
      <c r="C1767" s="1" t="n">
        <v>45718</v>
      </c>
      <c r="D1767" t="inlineStr">
        <is>
          <t>JÄMTLANDS LÄN</t>
        </is>
      </c>
      <c r="E1767" t="inlineStr">
        <is>
          <t>STRÖMSUND</t>
        </is>
      </c>
      <c r="F1767" t="inlineStr">
        <is>
          <t>SCA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41818-2022</t>
        </is>
      </c>
      <c r="B1768" s="1" t="n">
        <v>44828</v>
      </c>
      <c r="C1768" s="1" t="n">
        <v>45718</v>
      </c>
      <c r="D1768" t="inlineStr">
        <is>
          <t>JÄMTLANDS LÄN</t>
        </is>
      </c>
      <c r="E1768" t="inlineStr">
        <is>
          <t>STRÖMSUND</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41820-2022</t>
        </is>
      </c>
      <c r="B1769" s="1" t="n">
        <v>44828</v>
      </c>
      <c r="C1769" s="1" t="n">
        <v>45718</v>
      </c>
      <c r="D1769" t="inlineStr">
        <is>
          <t>JÄMTLANDS LÄN</t>
        </is>
      </c>
      <c r="E1769" t="inlineStr">
        <is>
          <t>STRÖMSUND</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41822-2022</t>
        </is>
      </c>
      <c r="B1770" s="1" t="n">
        <v>44828</v>
      </c>
      <c r="C1770" s="1" t="n">
        <v>45718</v>
      </c>
      <c r="D1770" t="inlineStr">
        <is>
          <t>JÄMTLANDS LÄN</t>
        </is>
      </c>
      <c r="E1770" t="inlineStr">
        <is>
          <t>STRÖMSUND</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41828-2022</t>
        </is>
      </c>
      <c r="B1771" s="1" t="n">
        <v>44828</v>
      </c>
      <c r="C1771" s="1" t="n">
        <v>45718</v>
      </c>
      <c r="D1771" t="inlineStr">
        <is>
          <t>JÄMTLANDS LÄN</t>
        </is>
      </c>
      <c r="E1771" t="inlineStr">
        <is>
          <t>STRÖMSUND</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41829-2022</t>
        </is>
      </c>
      <c r="B1772" s="1" t="n">
        <v>44828</v>
      </c>
      <c r="C1772" s="1" t="n">
        <v>45718</v>
      </c>
      <c r="D1772" t="inlineStr">
        <is>
          <t>JÄMTLANDS LÄN</t>
        </is>
      </c>
      <c r="E1772" t="inlineStr">
        <is>
          <t>STRÖMSUND</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41821-2022</t>
        </is>
      </c>
      <c r="B1773" s="1" t="n">
        <v>44827</v>
      </c>
      <c r="C1773" s="1" t="n">
        <v>45718</v>
      </c>
      <c r="D1773" t="inlineStr">
        <is>
          <t>JÄMTLANDS LÄN</t>
        </is>
      </c>
      <c r="E1773" t="inlineStr">
        <is>
          <t>STRÖMSUND</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41827-2022</t>
        </is>
      </c>
      <c r="B1774" s="1" t="n">
        <v>44828</v>
      </c>
      <c r="C1774" s="1" t="n">
        <v>45718</v>
      </c>
      <c r="D1774" t="inlineStr">
        <is>
          <t>JÄMTLANDS LÄN</t>
        </is>
      </c>
      <c r="E1774" t="inlineStr">
        <is>
          <t>STRÖMSUND</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42155-2022</t>
        </is>
      </c>
      <c r="B1775" s="1" t="n">
        <v>44830</v>
      </c>
      <c r="C1775" s="1" t="n">
        <v>45718</v>
      </c>
      <c r="D1775" t="inlineStr">
        <is>
          <t>JÄMTLANDS LÄN</t>
        </is>
      </c>
      <c r="E1775" t="inlineStr">
        <is>
          <t>STRÖMSUND</t>
        </is>
      </c>
      <c r="F1775" t="inlineStr">
        <is>
          <t>Holmen skog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41972-2022</t>
        </is>
      </c>
      <c r="B1776" s="1" t="n">
        <v>44830</v>
      </c>
      <c r="C1776" s="1" t="n">
        <v>45718</v>
      </c>
      <c r="D1776" t="inlineStr">
        <is>
          <t>JÄMTLANDS LÄN</t>
        </is>
      </c>
      <c r="E1776" t="inlineStr">
        <is>
          <t>STRÖMSUND</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42237-2022</t>
        </is>
      </c>
      <c r="B1777" s="1" t="n">
        <v>44830</v>
      </c>
      <c r="C1777" s="1" t="n">
        <v>45718</v>
      </c>
      <c r="D1777" t="inlineStr">
        <is>
          <t>JÄMTLANDS LÄN</t>
        </is>
      </c>
      <c r="E1777" t="inlineStr">
        <is>
          <t>STRÖMSUND</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42280-2022</t>
        </is>
      </c>
      <c r="B1778" s="1" t="n">
        <v>44831</v>
      </c>
      <c r="C1778" s="1" t="n">
        <v>45718</v>
      </c>
      <c r="D1778" t="inlineStr">
        <is>
          <t>JÄMTLANDS LÄN</t>
        </is>
      </c>
      <c r="E1778" t="inlineStr">
        <is>
          <t>STRÖMSUND</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42294-2022</t>
        </is>
      </c>
      <c r="B1779" s="1" t="n">
        <v>44831</v>
      </c>
      <c r="C1779" s="1" t="n">
        <v>45718</v>
      </c>
      <c r="D1779" t="inlineStr">
        <is>
          <t>JÄMTLANDS LÄN</t>
        </is>
      </c>
      <c r="E1779" t="inlineStr">
        <is>
          <t>STRÖMSUND</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42660-2022</t>
        </is>
      </c>
      <c r="B1780" s="1" t="n">
        <v>44832</v>
      </c>
      <c r="C1780" s="1" t="n">
        <v>45718</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42770-2022</t>
        </is>
      </c>
      <c r="B1781" s="1" t="n">
        <v>44832</v>
      </c>
      <c r="C1781" s="1" t="n">
        <v>45718</v>
      </c>
      <c r="D1781" t="inlineStr">
        <is>
          <t>JÄMTLANDS LÄN</t>
        </is>
      </c>
      <c r="E1781" t="inlineStr">
        <is>
          <t>STRÖMSUND</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42790-2022</t>
        </is>
      </c>
      <c r="B1782" s="1" t="n">
        <v>44832</v>
      </c>
      <c r="C1782" s="1" t="n">
        <v>45718</v>
      </c>
      <c r="D1782" t="inlineStr">
        <is>
          <t>JÄMTLANDS LÄN</t>
        </is>
      </c>
      <c r="E1782" t="inlineStr">
        <is>
          <t>STRÖMSUND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42760-2022</t>
        </is>
      </c>
      <c r="B1783" s="1" t="n">
        <v>44832</v>
      </c>
      <c r="C1783" s="1" t="n">
        <v>45718</v>
      </c>
      <c r="D1783" t="inlineStr">
        <is>
          <t>JÄMTLANDS LÄN</t>
        </is>
      </c>
      <c r="E1783" t="inlineStr">
        <is>
          <t>STRÖMSUND</t>
        </is>
      </c>
      <c r="F1783" t="inlineStr">
        <is>
          <t>Holmen skog AB</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42806-2022</t>
        </is>
      </c>
      <c r="B1784" s="1" t="n">
        <v>44832</v>
      </c>
      <c r="C1784" s="1" t="n">
        <v>45718</v>
      </c>
      <c r="D1784" t="inlineStr">
        <is>
          <t>JÄMTLANDS LÄN</t>
        </is>
      </c>
      <c r="E1784" t="inlineStr">
        <is>
          <t>STRÖMSUND</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42896-2022</t>
        </is>
      </c>
      <c r="B1785" s="1" t="n">
        <v>44832</v>
      </c>
      <c r="C1785" s="1" t="n">
        <v>45718</v>
      </c>
      <c r="D1785" t="inlineStr">
        <is>
          <t>JÄMTLANDS LÄN</t>
        </is>
      </c>
      <c r="E1785" t="inlineStr">
        <is>
          <t>STRÖMSUND</t>
        </is>
      </c>
      <c r="F1785" t="inlineStr">
        <is>
          <t>SCA</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42902-2022</t>
        </is>
      </c>
      <c r="B1786" s="1" t="n">
        <v>44832</v>
      </c>
      <c r="C1786" s="1" t="n">
        <v>45718</v>
      </c>
      <c r="D1786" t="inlineStr">
        <is>
          <t>JÄMTLANDS LÄN</t>
        </is>
      </c>
      <c r="E1786" t="inlineStr">
        <is>
          <t>STRÖMSUND</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43160-2022</t>
        </is>
      </c>
      <c r="B1787" s="1" t="n">
        <v>44834</v>
      </c>
      <c r="C1787" s="1" t="n">
        <v>45718</v>
      </c>
      <c r="D1787" t="inlineStr">
        <is>
          <t>JÄMTLANDS LÄN</t>
        </is>
      </c>
      <c r="E1787" t="inlineStr">
        <is>
          <t>STRÖMSUND</t>
        </is>
      </c>
      <c r="F1787" t="inlineStr">
        <is>
          <t>SCA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43140-2022</t>
        </is>
      </c>
      <c r="B1788" s="1" t="n">
        <v>44834</v>
      </c>
      <c r="C1788" s="1" t="n">
        <v>45718</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43146-2022</t>
        </is>
      </c>
      <c r="B1789" s="1" t="n">
        <v>44833</v>
      </c>
      <c r="C1789" s="1" t="n">
        <v>45718</v>
      </c>
      <c r="D1789" t="inlineStr">
        <is>
          <t>JÄMTLANDS LÄN</t>
        </is>
      </c>
      <c r="E1789" t="inlineStr">
        <is>
          <t>STRÖMSUND</t>
        </is>
      </c>
      <c r="F1789" t="inlineStr">
        <is>
          <t>SCA</t>
        </is>
      </c>
      <c r="G1789" t="n">
        <v>33.3</v>
      </c>
      <c r="H1789" t="n">
        <v>0</v>
      </c>
      <c r="I1789" t="n">
        <v>0</v>
      </c>
      <c r="J1789" t="n">
        <v>0</v>
      </c>
      <c r="K1789" t="n">
        <v>0</v>
      </c>
      <c r="L1789" t="n">
        <v>0</v>
      </c>
      <c r="M1789" t="n">
        <v>0</v>
      </c>
      <c r="N1789" t="n">
        <v>0</v>
      </c>
      <c r="O1789" t="n">
        <v>0</v>
      </c>
      <c r="P1789" t="n">
        <v>0</v>
      </c>
      <c r="Q1789" t="n">
        <v>0</v>
      </c>
      <c r="R1789" s="2" t="inlineStr"/>
    </row>
    <row r="1790" ht="15" customHeight="1">
      <c r="A1790" t="inlineStr">
        <is>
          <t>A 43165-2022</t>
        </is>
      </c>
      <c r="B1790" s="1" t="n">
        <v>44833</v>
      </c>
      <c r="C1790" s="1" t="n">
        <v>45718</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43432-2022</t>
        </is>
      </c>
      <c r="B1791" s="1" t="n">
        <v>44834</v>
      </c>
      <c r="C1791" s="1" t="n">
        <v>45718</v>
      </c>
      <c r="D1791" t="inlineStr">
        <is>
          <t>JÄMTLANDS LÄN</t>
        </is>
      </c>
      <c r="E1791" t="inlineStr">
        <is>
          <t>STRÖMSUND</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43607-2022</t>
        </is>
      </c>
      <c r="B1792" s="1" t="n">
        <v>44834</v>
      </c>
      <c r="C1792" s="1" t="n">
        <v>45718</v>
      </c>
      <c r="D1792" t="inlineStr">
        <is>
          <t>JÄMTLANDS LÄN</t>
        </is>
      </c>
      <c r="E1792" t="inlineStr">
        <is>
          <t>STRÖMSUND</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45969-2022</t>
        </is>
      </c>
      <c r="B1793" s="1" t="n">
        <v>44834</v>
      </c>
      <c r="C1793" s="1" t="n">
        <v>45718</v>
      </c>
      <c r="D1793" t="inlineStr">
        <is>
          <t>JÄMTLANDS LÄN</t>
        </is>
      </c>
      <c r="E1793" t="inlineStr">
        <is>
          <t>STRÖMSUND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43458-2022</t>
        </is>
      </c>
      <c r="B1794" s="1" t="n">
        <v>44836</v>
      </c>
      <c r="C1794" s="1" t="n">
        <v>45718</v>
      </c>
      <c r="D1794" t="inlineStr">
        <is>
          <t>JÄMTLANDS LÄN</t>
        </is>
      </c>
      <c r="E1794" t="inlineStr">
        <is>
          <t>STRÖMSUND</t>
        </is>
      </c>
      <c r="F1794" t="inlineStr">
        <is>
          <t>SCA</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43453-2022</t>
        </is>
      </c>
      <c r="B1795" s="1" t="n">
        <v>44835</v>
      </c>
      <c r="C1795" s="1" t="n">
        <v>45718</v>
      </c>
      <c r="D1795" t="inlineStr">
        <is>
          <t>JÄMTLANDS LÄN</t>
        </is>
      </c>
      <c r="E1795" t="inlineStr">
        <is>
          <t>STRÖMSUND</t>
        </is>
      </c>
      <c r="F1795" t="inlineStr">
        <is>
          <t>SCA</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43460-2022</t>
        </is>
      </c>
      <c r="B1796" s="1" t="n">
        <v>44836</v>
      </c>
      <c r="C1796" s="1" t="n">
        <v>45718</v>
      </c>
      <c r="D1796" t="inlineStr">
        <is>
          <t>JÄMTLANDS LÄN</t>
        </is>
      </c>
      <c r="E1796" t="inlineStr">
        <is>
          <t>STRÖMSUND</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43455-2022</t>
        </is>
      </c>
      <c r="B1797" s="1" t="n">
        <v>44836</v>
      </c>
      <c r="C1797" s="1" t="n">
        <v>45718</v>
      </c>
      <c r="D1797" t="inlineStr">
        <is>
          <t>JÄMTLANDS LÄN</t>
        </is>
      </c>
      <c r="E1797" t="inlineStr">
        <is>
          <t>STRÖMSUND</t>
        </is>
      </c>
      <c r="F1797" t="inlineStr">
        <is>
          <t>SCA</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43459-2022</t>
        </is>
      </c>
      <c r="B1798" s="1" t="n">
        <v>44836</v>
      </c>
      <c r="C1798" s="1" t="n">
        <v>45718</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43773-2022</t>
        </is>
      </c>
      <c r="B1799" s="1" t="n">
        <v>44838</v>
      </c>
      <c r="C1799" s="1" t="n">
        <v>45718</v>
      </c>
      <c r="D1799" t="inlineStr">
        <is>
          <t>JÄMTLANDS LÄN</t>
        </is>
      </c>
      <c r="E1799" t="inlineStr">
        <is>
          <t>STRÖMSUND</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43790-2022</t>
        </is>
      </c>
      <c r="B1800" s="1" t="n">
        <v>44837</v>
      </c>
      <c r="C1800" s="1" t="n">
        <v>45718</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44049-2022</t>
        </is>
      </c>
      <c r="B1801" s="1" t="n">
        <v>44839</v>
      </c>
      <c r="C1801" s="1" t="n">
        <v>45718</v>
      </c>
      <c r="D1801" t="inlineStr">
        <is>
          <t>JÄMTLANDS LÄN</t>
        </is>
      </c>
      <c r="E1801" t="inlineStr">
        <is>
          <t>STRÖMSUND</t>
        </is>
      </c>
      <c r="F1801" t="inlineStr">
        <is>
          <t>SCA</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44453-2022</t>
        </is>
      </c>
      <c r="B1802" s="1" t="n">
        <v>44840</v>
      </c>
      <c r="C1802" s="1" t="n">
        <v>45718</v>
      </c>
      <c r="D1802" t="inlineStr">
        <is>
          <t>JÄMTLANDS LÄN</t>
        </is>
      </c>
      <c r="E1802" t="inlineStr">
        <is>
          <t>STRÖMSUND</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44096-2022</t>
        </is>
      </c>
      <c r="B1803" s="1" t="n">
        <v>44839</v>
      </c>
      <c r="C1803" s="1" t="n">
        <v>45718</v>
      </c>
      <c r="D1803" t="inlineStr">
        <is>
          <t>JÄMTLANDS LÄN</t>
        </is>
      </c>
      <c r="E1803" t="inlineStr">
        <is>
          <t>STRÖMSUND</t>
        </is>
      </c>
      <c r="F1803" t="inlineStr">
        <is>
          <t>Holmen skog AB</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44429-2022</t>
        </is>
      </c>
      <c r="B1804" s="1" t="n">
        <v>44839</v>
      </c>
      <c r="C1804" s="1" t="n">
        <v>45718</v>
      </c>
      <c r="D1804" t="inlineStr">
        <is>
          <t>JÄMTLANDS LÄN</t>
        </is>
      </c>
      <c r="E1804" t="inlineStr">
        <is>
          <t>STRÖMSUND</t>
        </is>
      </c>
      <c r="F1804" t="inlineStr">
        <is>
          <t>SCA</t>
        </is>
      </c>
      <c r="G1804" t="n">
        <v>52.1</v>
      </c>
      <c r="H1804" t="n">
        <v>0</v>
      </c>
      <c r="I1804" t="n">
        <v>0</v>
      </c>
      <c r="J1804" t="n">
        <v>0</v>
      </c>
      <c r="K1804" t="n">
        <v>0</v>
      </c>
      <c r="L1804" t="n">
        <v>0</v>
      </c>
      <c r="M1804" t="n">
        <v>0</v>
      </c>
      <c r="N1804" t="n">
        <v>0</v>
      </c>
      <c r="O1804" t="n">
        <v>0</v>
      </c>
      <c r="P1804" t="n">
        <v>0</v>
      </c>
      <c r="Q1804" t="n">
        <v>0</v>
      </c>
      <c r="R1804" s="2" t="inlineStr"/>
    </row>
    <row r="1805" ht="15" customHeight="1">
      <c r="A1805" t="inlineStr">
        <is>
          <t>A 44448-2022</t>
        </is>
      </c>
      <c r="B1805" s="1" t="n">
        <v>44840</v>
      </c>
      <c r="C1805" s="1" t="n">
        <v>45718</v>
      </c>
      <c r="D1805" t="inlineStr">
        <is>
          <t>JÄMTLANDS LÄN</t>
        </is>
      </c>
      <c r="E1805" t="inlineStr">
        <is>
          <t>STRÖMSUND</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44449-2022</t>
        </is>
      </c>
      <c r="B1806" s="1" t="n">
        <v>44839</v>
      </c>
      <c r="C1806" s="1" t="n">
        <v>45718</v>
      </c>
      <c r="D1806" t="inlineStr">
        <is>
          <t>JÄMTLANDS LÄN</t>
        </is>
      </c>
      <c r="E1806" t="inlineStr">
        <is>
          <t>STRÖMSUND</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44249-2022</t>
        </is>
      </c>
      <c r="B1807" s="1" t="n">
        <v>44839</v>
      </c>
      <c r="C1807" s="1" t="n">
        <v>45718</v>
      </c>
      <c r="D1807" t="inlineStr">
        <is>
          <t>JÄMTLANDS LÄN</t>
        </is>
      </c>
      <c r="E1807" t="inlineStr">
        <is>
          <t>STRÖMSUND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44451-2022</t>
        </is>
      </c>
      <c r="B1808" s="1" t="n">
        <v>44840</v>
      </c>
      <c r="C1808" s="1" t="n">
        <v>45718</v>
      </c>
      <c r="D1808" t="inlineStr">
        <is>
          <t>JÄMTLANDS LÄN</t>
        </is>
      </c>
      <c r="E1808" t="inlineStr">
        <is>
          <t>STRÖMSUND</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44641-2022</t>
        </is>
      </c>
      <c r="B1809" s="1" t="n">
        <v>44839</v>
      </c>
      <c r="C1809" s="1" t="n">
        <v>45718</v>
      </c>
      <c r="D1809" t="inlineStr">
        <is>
          <t>JÄMTLANDS LÄN</t>
        </is>
      </c>
      <c r="E1809" t="inlineStr">
        <is>
          <t>STRÖMSUND</t>
        </is>
      </c>
      <c r="F1809" t="inlineStr">
        <is>
          <t>Kommuner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45074-2022</t>
        </is>
      </c>
      <c r="B1810" s="1" t="n">
        <v>44842</v>
      </c>
      <c r="C1810" s="1" t="n">
        <v>45718</v>
      </c>
      <c r="D1810" t="inlineStr">
        <is>
          <t>JÄMTLANDS LÄN</t>
        </is>
      </c>
      <c r="E1810" t="inlineStr">
        <is>
          <t>STRÖMSUND</t>
        </is>
      </c>
      <c r="F1810" t="inlineStr">
        <is>
          <t>SCA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45308-2022</t>
        </is>
      </c>
      <c r="B1811" s="1" t="n">
        <v>44841</v>
      </c>
      <c r="C1811" s="1" t="n">
        <v>45718</v>
      </c>
      <c r="D1811" t="inlineStr">
        <is>
          <t>JÄMTLANDS LÄN</t>
        </is>
      </c>
      <c r="E1811" t="inlineStr">
        <is>
          <t>STRÖMSUND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45076-2022</t>
        </is>
      </c>
      <c r="B1812" s="1" t="n">
        <v>44842</v>
      </c>
      <c r="C1812" s="1" t="n">
        <v>45718</v>
      </c>
      <c r="D1812" t="inlineStr">
        <is>
          <t>JÄMTLANDS LÄN</t>
        </is>
      </c>
      <c r="E1812" t="inlineStr">
        <is>
          <t>STRÖMSUND</t>
        </is>
      </c>
      <c r="F1812" t="inlineStr">
        <is>
          <t>SCA</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45398-2022</t>
        </is>
      </c>
      <c r="B1813" s="1" t="n">
        <v>44841</v>
      </c>
      <c r="C1813" s="1" t="n">
        <v>45718</v>
      </c>
      <c r="D1813" t="inlineStr">
        <is>
          <t>JÄMTLANDS LÄN</t>
        </is>
      </c>
      <c r="E1813" t="inlineStr">
        <is>
          <t>STRÖMSUND</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45326-2022</t>
        </is>
      </c>
      <c r="B1814" s="1" t="n">
        <v>44841</v>
      </c>
      <c r="C1814" s="1" t="n">
        <v>45718</v>
      </c>
      <c r="D1814" t="inlineStr">
        <is>
          <t>JÄMTLANDS LÄN</t>
        </is>
      </c>
      <c r="E1814" t="inlineStr">
        <is>
          <t>STRÖMSUND</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45071-2022</t>
        </is>
      </c>
      <c r="B1815" s="1" t="n">
        <v>44842</v>
      </c>
      <c r="C1815" s="1" t="n">
        <v>45718</v>
      </c>
      <c r="D1815" t="inlineStr">
        <is>
          <t>JÄMTLANDS LÄN</t>
        </is>
      </c>
      <c r="E1815" t="inlineStr">
        <is>
          <t>STRÖMSUND</t>
        </is>
      </c>
      <c r="F1815" t="inlineStr">
        <is>
          <t>SCA</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45331-2022</t>
        </is>
      </c>
      <c r="B1816" s="1" t="n">
        <v>44841</v>
      </c>
      <c r="C1816" s="1" t="n">
        <v>45718</v>
      </c>
      <c r="D1816" t="inlineStr">
        <is>
          <t>JÄMTLANDS LÄN</t>
        </is>
      </c>
      <c r="E1816" t="inlineStr">
        <is>
          <t>STRÖMSUND</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45421-2022</t>
        </is>
      </c>
      <c r="B1817" s="1" t="n">
        <v>44845</v>
      </c>
      <c r="C1817" s="1" t="n">
        <v>45718</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45435-2022</t>
        </is>
      </c>
      <c r="B1818" s="1" t="n">
        <v>44845</v>
      </c>
      <c r="C1818" s="1" t="n">
        <v>45718</v>
      </c>
      <c r="D1818" t="inlineStr">
        <is>
          <t>JÄMTLANDS LÄN</t>
        </is>
      </c>
      <c r="E1818" t="inlineStr">
        <is>
          <t>STRÖMSUND</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45706-2022</t>
        </is>
      </c>
      <c r="B1819" s="1" t="n">
        <v>44846</v>
      </c>
      <c r="C1819" s="1" t="n">
        <v>45718</v>
      </c>
      <c r="D1819" t="inlineStr">
        <is>
          <t>JÄMTLANDS LÄN</t>
        </is>
      </c>
      <c r="E1819" t="inlineStr">
        <is>
          <t>STRÖMSUND</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45720-2022</t>
        </is>
      </c>
      <c r="B1820" s="1" t="n">
        <v>44846</v>
      </c>
      <c r="C1820" s="1" t="n">
        <v>45718</v>
      </c>
      <c r="D1820" t="inlineStr">
        <is>
          <t>JÄMTLANDS LÄN</t>
        </is>
      </c>
      <c r="E1820" t="inlineStr">
        <is>
          <t>STRÖMSUND</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46054-2022</t>
        </is>
      </c>
      <c r="B1821" s="1" t="n">
        <v>44846</v>
      </c>
      <c r="C1821" s="1" t="n">
        <v>45718</v>
      </c>
      <c r="D1821" t="inlineStr">
        <is>
          <t>JÄMTLANDS LÄN</t>
        </is>
      </c>
      <c r="E1821" t="inlineStr">
        <is>
          <t>STRÖMSUND</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47320-2022</t>
        </is>
      </c>
      <c r="B1822" s="1" t="n">
        <v>44846</v>
      </c>
      <c r="C1822" s="1" t="n">
        <v>45718</v>
      </c>
      <c r="D1822" t="inlineStr">
        <is>
          <t>JÄMTLANDS LÄN</t>
        </is>
      </c>
      <c r="E1822" t="inlineStr">
        <is>
          <t>STRÖMSUND</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46042-2022</t>
        </is>
      </c>
      <c r="B1823" s="1" t="n">
        <v>44847</v>
      </c>
      <c r="C1823" s="1" t="n">
        <v>45718</v>
      </c>
      <c r="D1823" t="inlineStr">
        <is>
          <t>JÄMTLANDS LÄN</t>
        </is>
      </c>
      <c r="E1823" t="inlineStr">
        <is>
          <t>STRÖMSUND</t>
        </is>
      </c>
      <c r="F1823" t="inlineStr">
        <is>
          <t>SCA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46058-2022</t>
        </is>
      </c>
      <c r="B1824" s="1" t="n">
        <v>44847</v>
      </c>
      <c r="C1824" s="1" t="n">
        <v>45718</v>
      </c>
      <c r="D1824" t="inlineStr">
        <is>
          <t>JÄMTLANDS LÄN</t>
        </is>
      </c>
      <c r="E1824" t="inlineStr">
        <is>
          <t>STRÖMSUND</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46057-2022</t>
        </is>
      </c>
      <c r="B1825" s="1" t="n">
        <v>44847</v>
      </c>
      <c r="C1825" s="1" t="n">
        <v>45718</v>
      </c>
      <c r="D1825" t="inlineStr">
        <is>
          <t>JÄMTLANDS LÄN</t>
        </is>
      </c>
      <c r="E1825" t="inlineStr">
        <is>
          <t>STRÖMSUND</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46056-2022</t>
        </is>
      </c>
      <c r="B1826" s="1" t="n">
        <v>44847</v>
      </c>
      <c r="C1826" s="1" t="n">
        <v>45718</v>
      </c>
      <c r="D1826" t="inlineStr">
        <is>
          <t>JÄMTLANDS LÄN</t>
        </is>
      </c>
      <c r="E1826" t="inlineStr">
        <is>
          <t>STRÖMSUND</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46321-2022</t>
        </is>
      </c>
      <c r="B1827" s="1" t="n">
        <v>44848</v>
      </c>
      <c r="C1827" s="1" t="n">
        <v>45718</v>
      </c>
      <c r="D1827" t="inlineStr">
        <is>
          <t>JÄMTLANDS LÄN</t>
        </is>
      </c>
      <c r="E1827" t="inlineStr">
        <is>
          <t>STRÖMSUND</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46327-2022</t>
        </is>
      </c>
      <c r="B1828" s="1" t="n">
        <v>44848</v>
      </c>
      <c r="C1828" s="1" t="n">
        <v>45718</v>
      </c>
      <c r="D1828" t="inlineStr">
        <is>
          <t>JÄMTLANDS LÄN</t>
        </is>
      </c>
      <c r="E1828" t="inlineStr">
        <is>
          <t>STRÖMSUND</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46338-2022</t>
        </is>
      </c>
      <c r="B1829" s="1" t="n">
        <v>44848</v>
      </c>
      <c r="C1829" s="1" t="n">
        <v>45718</v>
      </c>
      <c r="D1829" t="inlineStr">
        <is>
          <t>JÄMTLANDS LÄN</t>
        </is>
      </c>
      <c r="E1829" t="inlineStr">
        <is>
          <t>STRÖMSUND</t>
        </is>
      </c>
      <c r="F1829" t="inlineStr">
        <is>
          <t>SCA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46342-2022</t>
        </is>
      </c>
      <c r="B1830" s="1" t="n">
        <v>44848</v>
      </c>
      <c r="C1830" s="1" t="n">
        <v>45718</v>
      </c>
      <c r="D1830" t="inlineStr">
        <is>
          <t>JÄMTLANDS LÄN</t>
        </is>
      </c>
      <c r="E1830" t="inlineStr">
        <is>
          <t>STRÖMSUND</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46326-2022</t>
        </is>
      </c>
      <c r="B1831" s="1" t="n">
        <v>44848</v>
      </c>
      <c r="C1831" s="1" t="n">
        <v>45718</v>
      </c>
      <c r="D1831" t="inlineStr">
        <is>
          <t>JÄMTLANDS LÄN</t>
        </is>
      </c>
      <c r="E1831" t="inlineStr">
        <is>
          <t>STRÖMSUND</t>
        </is>
      </c>
      <c r="F1831" t="inlineStr">
        <is>
          <t>SCA</t>
        </is>
      </c>
      <c r="G1831" t="n">
        <v>10.1</v>
      </c>
      <c r="H1831" t="n">
        <v>0</v>
      </c>
      <c r="I1831" t="n">
        <v>0</v>
      </c>
      <c r="J1831" t="n">
        <v>0</v>
      </c>
      <c r="K1831" t="n">
        <v>0</v>
      </c>
      <c r="L1831" t="n">
        <v>0</v>
      </c>
      <c r="M1831" t="n">
        <v>0</v>
      </c>
      <c r="N1831" t="n">
        <v>0</v>
      </c>
      <c r="O1831" t="n">
        <v>0</v>
      </c>
      <c r="P1831" t="n">
        <v>0</v>
      </c>
      <c r="Q1831" t="n">
        <v>0</v>
      </c>
      <c r="R1831" s="2" t="inlineStr"/>
    </row>
    <row r="1832" ht="15" customHeight="1">
      <c r="A1832" t="inlineStr">
        <is>
          <t>A 46332-2022</t>
        </is>
      </c>
      <c r="B1832" s="1" t="n">
        <v>44848</v>
      </c>
      <c r="C1832" s="1" t="n">
        <v>45718</v>
      </c>
      <c r="D1832" t="inlineStr">
        <is>
          <t>JÄMTLANDS LÄN</t>
        </is>
      </c>
      <c r="E1832" t="inlineStr">
        <is>
          <t>STRÖMSUND</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46337-2022</t>
        </is>
      </c>
      <c r="B1833" s="1" t="n">
        <v>44848</v>
      </c>
      <c r="C1833" s="1" t="n">
        <v>45718</v>
      </c>
      <c r="D1833" t="inlineStr">
        <is>
          <t>JÄMTLANDS LÄN</t>
        </is>
      </c>
      <c r="E1833" t="inlineStr">
        <is>
          <t>STRÖMSUND</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46346-2022</t>
        </is>
      </c>
      <c r="B1834" s="1" t="n">
        <v>44848</v>
      </c>
      <c r="C1834" s="1" t="n">
        <v>45718</v>
      </c>
      <c r="D1834" t="inlineStr">
        <is>
          <t>JÄMTLANDS LÄN</t>
        </is>
      </c>
      <c r="E1834" t="inlineStr">
        <is>
          <t>STRÖMSUND</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46336-2022</t>
        </is>
      </c>
      <c r="B1835" s="1" t="n">
        <v>44848</v>
      </c>
      <c r="C1835" s="1" t="n">
        <v>45718</v>
      </c>
      <c r="D1835" t="inlineStr">
        <is>
          <t>JÄMTLANDS LÄN</t>
        </is>
      </c>
      <c r="E1835" t="inlineStr">
        <is>
          <t>STRÖMSUND</t>
        </is>
      </c>
      <c r="F1835" t="inlineStr">
        <is>
          <t>SCA</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46345-2022</t>
        </is>
      </c>
      <c r="B1836" s="1" t="n">
        <v>44848</v>
      </c>
      <c r="C1836" s="1" t="n">
        <v>45718</v>
      </c>
      <c r="D1836" t="inlineStr">
        <is>
          <t>JÄMTLANDS LÄN</t>
        </is>
      </c>
      <c r="E1836" t="inlineStr">
        <is>
          <t>STRÖMSUND</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46322-2022</t>
        </is>
      </c>
      <c r="B1837" s="1" t="n">
        <v>44848</v>
      </c>
      <c r="C1837" s="1" t="n">
        <v>45718</v>
      </c>
      <c r="D1837" t="inlineStr">
        <is>
          <t>JÄMTLANDS LÄN</t>
        </is>
      </c>
      <c r="E1837" t="inlineStr">
        <is>
          <t>STRÖMSUND</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46335-2022</t>
        </is>
      </c>
      <c r="B1838" s="1" t="n">
        <v>44848</v>
      </c>
      <c r="C1838" s="1" t="n">
        <v>45718</v>
      </c>
      <c r="D1838" t="inlineStr">
        <is>
          <t>JÄMTLANDS LÄN</t>
        </is>
      </c>
      <c r="E1838" t="inlineStr">
        <is>
          <t>STRÖMSUND</t>
        </is>
      </c>
      <c r="F1838" t="inlineStr">
        <is>
          <t>SCA</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46339-2022</t>
        </is>
      </c>
      <c r="B1839" s="1" t="n">
        <v>44848</v>
      </c>
      <c r="C1839" s="1" t="n">
        <v>45718</v>
      </c>
      <c r="D1839" t="inlineStr">
        <is>
          <t>JÄMTLANDS LÄN</t>
        </is>
      </c>
      <c r="E1839" t="inlineStr">
        <is>
          <t>STRÖMSUND</t>
        </is>
      </c>
      <c r="F1839" t="inlineStr">
        <is>
          <t>SCA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46633-2022</t>
        </is>
      </c>
      <c r="B1840" s="1" t="n">
        <v>44849</v>
      </c>
      <c r="C1840" s="1" t="n">
        <v>45718</v>
      </c>
      <c r="D1840" t="inlineStr">
        <is>
          <t>JÄMTLANDS LÄN</t>
        </is>
      </c>
      <c r="E1840" t="inlineStr">
        <is>
          <t>STRÖMSUND</t>
        </is>
      </c>
      <c r="F1840" t="inlineStr">
        <is>
          <t>SCA</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46975-2022</t>
        </is>
      </c>
      <c r="B1841" s="1" t="n">
        <v>44851</v>
      </c>
      <c r="C1841" s="1" t="n">
        <v>45718</v>
      </c>
      <c r="D1841" t="inlineStr">
        <is>
          <t>JÄMTLANDS LÄN</t>
        </is>
      </c>
      <c r="E1841" t="inlineStr">
        <is>
          <t>STRÖMSUND</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46953-2022</t>
        </is>
      </c>
      <c r="B1842" s="1" t="n">
        <v>44852</v>
      </c>
      <c r="C1842" s="1" t="n">
        <v>45718</v>
      </c>
      <c r="D1842" t="inlineStr">
        <is>
          <t>JÄMTLANDS LÄN</t>
        </is>
      </c>
      <c r="E1842" t="inlineStr">
        <is>
          <t>STRÖMSUND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46959-2022</t>
        </is>
      </c>
      <c r="B1843" s="1" t="n">
        <v>44851</v>
      </c>
      <c r="C1843" s="1" t="n">
        <v>45718</v>
      </c>
      <c r="D1843" t="inlineStr">
        <is>
          <t>JÄMTLANDS LÄN</t>
        </is>
      </c>
      <c r="E1843" t="inlineStr">
        <is>
          <t>STRÖMSUND</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46950-2022</t>
        </is>
      </c>
      <c r="B1844" s="1" t="n">
        <v>44851</v>
      </c>
      <c r="C1844" s="1" t="n">
        <v>45718</v>
      </c>
      <c r="D1844" t="inlineStr">
        <is>
          <t>JÄMTLANDS LÄN</t>
        </is>
      </c>
      <c r="E1844" t="inlineStr">
        <is>
          <t>STRÖMSUND</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46976-2022</t>
        </is>
      </c>
      <c r="B1845" s="1" t="n">
        <v>44851</v>
      </c>
      <c r="C1845" s="1" t="n">
        <v>45718</v>
      </c>
      <c r="D1845" t="inlineStr">
        <is>
          <t>JÄMTLANDS LÄN</t>
        </is>
      </c>
      <c r="E1845" t="inlineStr">
        <is>
          <t>STRÖMSUND</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46987-2022</t>
        </is>
      </c>
      <c r="B1846" s="1" t="n">
        <v>44851</v>
      </c>
      <c r="C1846" s="1" t="n">
        <v>45718</v>
      </c>
      <c r="D1846" t="inlineStr">
        <is>
          <t>JÄMTLANDS LÄN</t>
        </is>
      </c>
      <c r="E1846" t="inlineStr">
        <is>
          <t>STRÖMSUND</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47156-2022</t>
        </is>
      </c>
      <c r="B1847" s="1" t="n">
        <v>44852</v>
      </c>
      <c r="C1847" s="1" t="n">
        <v>45718</v>
      </c>
      <c r="D1847" t="inlineStr">
        <is>
          <t>JÄMTLANDS LÄN</t>
        </is>
      </c>
      <c r="E1847" t="inlineStr">
        <is>
          <t>STRÖMSUND</t>
        </is>
      </c>
      <c r="F1847" t="inlineStr">
        <is>
          <t>Holmen skog AB</t>
        </is>
      </c>
      <c r="G1847" t="n">
        <v>15.1</v>
      </c>
      <c r="H1847" t="n">
        <v>0</v>
      </c>
      <c r="I1847" t="n">
        <v>0</v>
      </c>
      <c r="J1847" t="n">
        <v>0</v>
      </c>
      <c r="K1847" t="n">
        <v>0</v>
      </c>
      <c r="L1847" t="n">
        <v>0</v>
      </c>
      <c r="M1847" t="n">
        <v>0</v>
      </c>
      <c r="N1847" t="n">
        <v>0</v>
      </c>
      <c r="O1847" t="n">
        <v>0</v>
      </c>
      <c r="P1847" t="n">
        <v>0</v>
      </c>
      <c r="Q1847" t="n">
        <v>0</v>
      </c>
      <c r="R1847" s="2" t="inlineStr"/>
    </row>
    <row r="1848" ht="15" customHeight="1">
      <c r="A1848" t="inlineStr">
        <is>
          <t>A 47248-2022</t>
        </is>
      </c>
      <c r="B1848" s="1" t="n">
        <v>44853</v>
      </c>
      <c r="C1848" s="1" t="n">
        <v>45718</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47276-2022</t>
        </is>
      </c>
      <c r="B1849" s="1" t="n">
        <v>44853</v>
      </c>
      <c r="C1849" s="1" t="n">
        <v>45718</v>
      </c>
      <c r="D1849" t="inlineStr">
        <is>
          <t>JÄMTLANDS LÄN</t>
        </is>
      </c>
      <c r="E1849" t="inlineStr">
        <is>
          <t>STRÖMSUND</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47291-2022</t>
        </is>
      </c>
      <c r="B1850" s="1" t="n">
        <v>44852</v>
      </c>
      <c r="C1850" s="1" t="n">
        <v>45718</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47271-2022</t>
        </is>
      </c>
      <c r="B1851" s="1" t="n">
        <v>44852</v>
      </c>
      <c r="C1851" s="1" t="n">
        <v>45718</v>
      </c>
      <c r="D1851" t="inlineStr">
        <is>
          <t>JÄMTLANDS LÄN</t>
        </is>
      </c>
      <c r="E1851" t="inlineStr">
        <is>
          <t>STRÖMSUND</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47289-2022</t>
        </is>
      </c>
      <c r="B1852" s="1" t="n">
        <v>44853</v>
      </c>
      <c r="C1852" s="1" t="n">
        <v>45718</v>
      </c>
      <c r="D1852" t="inlineStr">
        <is>
          <t>JÄMTLANDS LÄN</t>
        </is>
      </c>
      <c r="E1852" t="inlineStr">
        <is>
          <t>STRÖMSUND</t>
        </is>
      </c>
      <c r="F1852" t="inlineStr">
        <is>
          <t>SCA</t>
        </is>
      </c>
      <c r="G1852" t="n">
        <v>44.2</v>
      </c>
      <c r="H1852" t="n">
        <v>0</v>
      </c>
      <c r="I1852" t="n">
        <v>0</v>
      </c>
      <c r="J1852" t="n">
        <v>0</v>
      </c>
      <c r="K1852" t="n">
        <v>0</v>
      </c>
      <c r="L1852" t="n">
        <v>0</v>
      </c>
      <c r="M1852" t="n">
        <v>0</v>
      </c>
      <c r="N1852" t="n">
        <v>0</v>
      </c>
      <c r="O1852" t="n">
        <v>0</v>
      </c>
      <c r="P1852" t="n">
        <v>0</v>
      </c>
      <c r="Q1852" t="n">
        <v>0</v>
      </c>
      <c r="R1852" s="2" t="inlineStr"/>
    </row>
    <row r="1853" ht="15" customHeight="1">
      <c r="A1853" t="inlineStr">
        <is>
          <t>A 47290-2022</t>
        </is>
      </c>
      <c r="B1853" s="1" t="n">
        <v>44852</v>
      </c>
      <c r="C1853" s="1" t="n">
        <v>45718</v>
      </c>
      <c r="D1853" t="inlineStr">
        <is>
          <t>JÄMTLANDS LÄN</t>
        </is>
      </c>
      <c r="E1853" t="inlineStr">
        <is>
          <t>STRÖMSUND</t>
        </is>
      </c>
      <c r="F1853" t="inlineStr">
        <is>
          <t>SCA</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47098-2022</t>
        </is>
      </c>
      <c r="B1854" s="1" t="n">
        <v>44852</v>
      </c>
      <c r="C1854" s="1" t="n">
        <v>45718</v>
      </c>
      <c r="D1854" t="inlineStr">
        <is>
          <t>JÄMTLANDS LÄN</t>
        </is>
      </c>
      <c r="E1854" t="inlineStr">
        <is>
          <t>STRÖMSUND</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47360-2022</t>
        </is>
      </c>
      <c r="B1855" s="1" t="n">
        <v>44853</v>
      </c>
      <c r="C1855" s="1" t="n">
        <v>45718</v>
      </c>
      <c r="D1855" t="inlineStr">
        <is>
          <t>JÄMTLANDS LÄN</t>
        </is>
      </c>
      <c r="E1855" t="inlineStr">
        <is>
          <t>STRÖMSUND</t>
        </is>
      </c>
      <c r="F1855" t="inlineStr">
        <is>
          <t>Holmen skog AB</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47391-2022</t>
        </is>
      </c>
      <c r="B1856" s="1" t="n">
        <v>44853</v>
      </c>
      <c r="C1856" s="1" t="n">
        <v>45718</v>
      </c>
      <c r="D1856" t="inlineStr">
        <is>
          <t>JÄMTLANDS LÄN</t>
        </is>
      </c>
      <c r="E1856" t="inlineStr">
        <is>
          <t>STRÖMSUND</t>
        </is>
      </c>
      <c r="F1856" t="inlineStr">
        <is>
          <t>Holmen skog AB</t>
        </is>
      </c>
      <c r="G1856" t="n">
        <v>11.8</v>
      </c>
      <c r="H1856" t="n">
        <v>0</v>
      </c>
      <c r="I1856" t="n">
        <v>0</v>
      </c>
      <c r="J1856" t="n">
        <v>0</v>
      </c>
      <c r="K1856" t="n">
        <v>0</v>
      </c>
      <c r="L1856" t="n">
        <v>0</v>
      </c>
      <c r="M1856" t="n">
        <v>0</v>
      </c>
      <c r="N1856" t="n">
        <v>0</v>
      </c>
      <c r="O1856" t="n">
        <v>0</v>
      </c>
      <c r="P1856" t="n">
        <v>0</v>
      </c>
      <c r="Q1856" t="n">
        <v>0</v>
      </c>
      <c r="R1856" s="2" t="inlineStr"/>
    </row>
    <row r="1857" ht="15" customHeight="1">
      <c r="A1857" t="inlineStr">
        <is>
          <t>A 47577-2022</t>
        </is>
      </c>
      <c r="B1857" s="1" t="n">
        <v>44853</v>
      </c>
      <c r="C1857" s="1" t="n">
        <v>45718</v>
      </c>
      <c r="D1857" t="inlineStr">
        <is>
          <t>JÄMTLANDS LÄN</t>
        </is>
      </c>
      <c r="E1857" t="inlineStr">
        <is>
          <t>STRÖMSUND</t>
        </is>
      </c>
      <c r="F1857" t="inlineStr">
        <is>
          <t>SCA</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47566-2022</t>
        </is>
      </c>
      <c r="B1858" s="1" t="n">
        <v>44854</v>
      </c>
      <c r="C1858" s="1" t="n">
        <v>45718</v>
      </c>
      <c r="D1858" t="inlineStr">
        <is>
          <t>JÄMTLANDS LÄN</t>
        </is>
      </c>
      <c r="E1858" t="inlineStr">
        <is>
          <t>STRÖMSUND</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47578-2022</t>
        </is>
      </c>
      <c r="B1859" s="1" t="n">
        <v>44853</v>
      </c>
      <c r="C1859" s="1" t="n">
        <v>45718</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47579-2022</t>
        </is>
      </c>
      <c r="B1860" s="1" t="n">
        <v>44854</v>
      </c>
      <c r="C1860" s="1" t="n">
        <v>45718</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47810-2022</t>
        </is>
      </c>
      <c r="B1861" s="1" t="n">
        <v>44855</v>
      </c>
      <c r="C1861" s="1" t="n">
        <v>45718</v>
      </c>
      <c r="D1861" t="inlineStr">
        <is>
          <t>JÄMTLANDS LÄN</t>
        </is>
      </c>
      <c r="E1861" t="inlineStr">
        <is>
          <t>STRÖMSUND</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48564-2022</t>
        </is>
      </c>
      <c r="B1862" s="1" t="n">
        <v>44854</v>
      </c>
      <c r="C1862" s="1" t="n">
        <v>45718</v>
      </c>
      <c r="D1862" t="inlineStr">
        <is>
          <t>JÄMTLANDS LÄN</t>
        </is>
      </c>
      <c r="E1862" t="inlineStr">
        <is>
          <t>STRÖMSUND</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47811-2022</t>
        </is>
      </c>
      <c r="B1863" s="1" t="n">
        <v>44855</v>
      </c>
      <c r="C1863" s="1" t="n">
        <v>45718</v>
      </c>
      <c r="D1863" t="inlineStr">
        <is>
          <t>JÄMTLANDS LÄN</t>
        </is>
      </c>
      <c r="E1863" t="inlineStr">
        <is>
          <t>STRÖMSUND</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48050-2022</t>
        </is>
      </c>
      <c r="B1864" s="1" t="n">
        <v>44856</v>
      </c>
      <c r="C1864" s="1" t="n">
        <v>45718</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48049-2022</t>
        </is>
      </c>
      <c r="B1865" s="1" t="n">
        <v>44856</v>
      </c>
      <c r="C1865" s="1" t="n">
        <v>45718</v>
      </c>
      <c r="D1865" t="inlineStr">
        <is>
          <t>JÄMTLANDS LÄN</t>
        </is>
      </c>
      <c r="E1865" t="inlineStr">
        <is>
          <t>STRÖMSUND</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48531-2022</t>
        </is>
      </c>
      <c r="B1866" s="1" t="n">
        <v>44858</v>
      </c>
      <c r="C1866" s="1" t="n">
        <v>45718</v>
      </c>
      <c r="D1866" t="inlineStr">
        <is>
          <t>JÄMTLANDS LÄN</t>
        </is>
      </c>
      <c r="E1866" t="inlineStr">
        <is>
          <t>STRÖMSUND</t>
        </is>
      </c>
      <c r="F1866" t="inlineStr">
        <is>
          <t>SCA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48543-2022</t>
        </is>
      </c>
      <c r="B1867" s="1" t="n">
        <v>44859</v>
      </c>
      <c r="C1867" s="1" t="n">
        <v>45718</v>
      </c>
      <c r="D1867" t="inlineStr">
        <is>
          <t>JÄMTLANDS LÄN</t>
        </is>
      </c>
      <c r="E1867" t="inlineStr">
        <is>
          <t>STRÖMSUND</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48547-2022</t>
        </is>
      </c>
      <c r="B1868" s="1" t="n">
        <v>44858</v>
      </c>
      <c r="C1868" s="1" t="n">
        <v>45718</v>
      </c>
      <c r="D1868" t="inlineStr">
        <is>
          <t>JÄMTLANDS LÄN</t>
        </is>
      </c>
      <c r="E1868" t="inlineStr">
        <is>
          <t>STRÖMSUND</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49287-2022</t>
        </is>
      </c>
      <c r="B1869" s="1" t="n">
        <v>44858</v>
      </c>
      <c r="C1869" s="1" t="n">
        <v>45718</v>
      </c>
      <c r="D1869" t="inlineStr">
        <is>
          <t>JÄMTLANDS LÄN</t>
        </is>
      </c>
      <c r="E1869" t="inlineStr">
        <is>
          <t>STRÖMSUND</t>
        </is>
      </c>
      <c r="G1869" t="n">
        <v>200</v>
      </c>
      <c r="H1869" t="n">
        <v>0</v>
      </c>
      <c r="I1869" t="n">
        <v>0</v>
      </c>
      <c r="J1869" t="n">
        <v>0</v>
      </c>
      <c r="K1869" t="n">
        <v>0</v>
      </c>
      <c r="L1869" t="n">
        <v>0</v>
      </c>
      <c r="M1869" t="n">
        <v>0</v>
      </c>
      <c r="N1869" t="n">
        <v>0</v>
      </c>
      <c r="O1869" t="n">
        <v>0</v>
      </c>
      <c r="P1869" t="n">
        <v>0</v>
      </c>
      <c r="Q1869" t="n">
        <v>0</v>
      </c>
      <c r="R1869" s="2" t="inlineStr"/>
    </row>
    <row r="1870" ht="15" customHeight="1">
      <c r="A1870" t="inlineStr">
        <is>
          <t>A 48333-2022</t>
        </is>
      </c>
      <c r="B1870" s="1" t="n">
        <v>44858</v>
      </c>
      <c r="C1870" s="1" t="n">
        <v>45718</v>
      </c>
      <c r="D1870" t="inlineStr">
        <is>
          <t>JÄMTLANDS LÄN</t>
        </is>
      </c>
      <c r="E1870" t="inlineStr">
        <is>
          <t>STRÖMSUND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48528-2022</t>
        </is>
      </c>
      <c r="B1871" s="1" t="n">
        <v>44859</v>
      </c>
      <c r="C1871" s="1" t="n">
        <v>45718</v>
      </c>
      <c r="D1871" t="inlineStr">
        <is>
          <t>JÄMTLANDS LÄN</t>
        </is>
      </c>
      <c r="E1871" t="inlineStr">
        <is>
          <t>STRÖMSUND</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48545-2022</t>
        </is>
      </c>
      <c r="B1872" s="1" t="n">
        <v>44858</v>
      </c>
      <c r="C1872" s="1" t="n">
        <v>45718</v>
      </c>
      <c r="D1872" t="inlineStr">
        <is>
          <t>JÄMTLANDS LÄN</t>
        </is>
      </c>
      <c r="E1872" t="inlineStr">
        <is>
          <t>STRÖMSUND</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48542-2022</t>
        </is>
      </c>
      <c r="B1873" s="1" t="n">
        <v>44859</v>
      </c>
      <c r="C1873" s="1" t="n">
        <v>45718</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48546-2022</t>
        </is>
      </c>
      <c r="B1874" s="1" t="n">
        <v>44858</v>
      </c>
      <c r="C1874" s="1" t="n">
        <v>45718</v>
      </c>
      <c r="D1874" t="inlineStr">
        <is>
          <t>JÄMTLANDS LÄN</t>
        </is>
      </c>
      <c r="E1874" t="inlineStr">
        <is>
          <t>STRÖMSUND</t>
        </is>
      </c>
      <c r="F1874" t="inlineStr">
        <is>
          <t>SCA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48926-2022</t>
        </is>
      </c>
      <c r="B1875" s="1" t="n">
        <v>44859</v>
      </c>
      <c r="C1875" s="1" t="n">
        <v>45718</v>
      </c>
      <c r="D1875" t="inlineStr">
        <is>
          <t>JÄMTLANDS LÄN</t>
        </is>
      </c>
      <c r="E1875" t="inlineStr">
        <is>
          <t>STRÖMSUND</t>
        </is>
      </c>
      <c r="F1875" t="inlineStr">
        <is>
          <t>SCA</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48894-2022</t>
        </is>
      </c>
      <c r="B1876" s="1" t="n">
        <v>44860</v>
      </c>
      <c r="C1876" s="1" t="n">
        <v>45718</v>
      </c>
      <c r="D1876" t="inlineStr">
        <is>
          <t>JÄMTLANDS LÄN</t>
        </is>
      </c>
      <c r="E1876" t="inlineStr">
        <is>
          <t>STRÖMSUND</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48933-2022</t>
        </is>
      </c>
      <c r="B1877" s="1" t="n">
        <v>44860</v>
      </c>
      <c r="C1877" s="1" t="n">
        <v>45718</v>
      </c>
      <c r="D1877" t="inlineStr">
        <is>
          <t>JÄMTLANDS LÄN</t>
        </is>
      </c>
      <c r="E1877" t="inlineStr">
        <is>
          <t>STRÖMSUND</t>
        </is>
      </c>
      <c r="F1877" t="inlineStr">
        <is>
          <t>SCA</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49752-2022</t>
        </is>
      </c>
      <c r="B1878" s="1" t="n">
        <v>44859</v>
      </c>
      <c r="C1878" s="1" t="n">
        <v>45718</v>
      </c>
      <c r="D1878" t="inlineStr">
        <is>
          <t>JÄMTLANDS LÄN</t>
        </is>
      </c>
      <c r="E1878" t="inlineStr">
        <is>
          <t>STRÖMSUND</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48963-2022</t>
        </is>
      </c>
      <c r="B1879" s="1" t="n">
        <v>44860</v>
      </c>
      <c r="C1879" s="1" t="n">
        <v>45718</v>
      </c>
      <c r="D1879" t="inlineStr">
        <is>
          <t>JÄMTLANDS LÄN</t>
        </is>
      </c>
      <c r="E1879" t="inlineStr">
        <is>
          <t>STRÖMSUND</t>
        </is>
      </c>
      <c r="F1879" t="inlineStr">
        <is>
          <t>Sveaskog</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49541-2022</t>
        </is>
      </c>
      <c r="B1880" s="1" t="n">
        <v>44862</v>
      </c>
      <c r="C1880" s="1" t="n">
        <v>45718</v>
      </c>
      <c r="D1880" t="inlineStr">
        <is>
          <t>JÄMTLANDS LÄN</t>
        </is>
      </c>
      <c r="E1880" t="inlineStr">
        <is>
          <t>STRÖMSUND</t>
        </is>
      </c>
      <c r="F1880" t="inlineStr">
        <is>
          <t>SCA</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50313-2022</t>
        </is>
      </c>
      <c r="B1881" s="1" t="n">
        <v>44865</v>
      </c>
      <c r="C1881" s="1" t="n">
        <v>45718</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50317-2022</t>
        </is>
      </c>
      <c r="B1882" s="1" t="n">
        <v>44865</v>
      </c>
      <c r="C1882" s="1" t="n">
        <v>45718</v>
      </c>
      <c r="D1882" t="inlineStr">
        <is>
          <t>JÄMTLANDS LÄN</t>
        </is>
      </c>
      <c r="E1882" t="inlineStr">
        <is>
          <t>STRÖMSUND</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50316-2022</t>
        </is>
      </c>
      <c r="B1883" s="1" t="n">
        <v>44865</v>
      </c>
      <c r="C1883" s="1" t="n">
        <v>45718</v>
      </c>
      <c r="D1883" t="inlineStr">
        <is>
          <t>JÄMTLANDS LÄN</t>
        </is>
      </c>
      <c r="E1883" t="inlineStr">
        <is>
          <t>STRÖMSUND</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50305-2022</t>
        </is>
      </c>
      <c r="B1884" s="1" t="n">
        <v>44865</v>
      </c>
      <c r="C1884" s="1" t="n">
        <v>45718</v>
      </c>
      <c r="D1884" t="inlineStr">
        <is>
          <t>JÄMTLANDS LÄN</t>
        </is>
      </c>
      <c r="E1884" t="inlineStr">
        <is>
          <t>STRÖMSUND</t>
        </is>
      </c>
      <c r="G1884" t="n">
        <v>13.4</v>
      </c>
      <c r="H1884" t="n">
        <v>0</v>
      </c>
      <c r="I1884" t="n">
        <v>0</v>
      </c>
      <c r="J1884" t="n">
        <v>0</v>
      </c>
      <c r="K1884" t="n">
        <v>0</v>
      </c>
      <c r="L1884" t="n">
        <v>0</v>
      </c>
      <c r="M1884" t="n">
        <v>0</v>
      </c>
      <c r="N1884" t="n">
        <v>0</v>
      </c>
      <c r="O1884" t="n">
        <v>0</v>
      </c>
      <c r="P1884" t="n">
        <v>0</v>
      </c>
      <c r="Q1884" t="n">
        <v>0</v>
      </c>
      <c r="R1884" s="2" t="inlineStr"/>
    </row>
    <row r="1885" ht="15" customHeight="1">
      <c r="A1885" t="inlineStr">
        <is>
          <t>A 50314-2022</t>
        </is>
      </c>
      <c r="B1885" s="1" t="n">
        <v>44865</v>
      </c>
      <c r="C1885" s="1" t="n">
        <v>45718</v>
      </c>
      <c r="D1885" t="inlineStr">
        <is>
          <t>JÄMTLANDS LÄN</t>
        </is>
      </c>
      <c r="E1885" t="inlineStr">
        <is>
          <t>STRÖMSUND</t>
        </is>
      </c>
      <c r="F1885" t="inlineStr">
        <is>
          <t>SCA</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50337-2022</t>
        </is>
      </c>
      <c r="B1886" s="1" t="n">
        <v>44865</v>
      </c>
      <c r="C1886" s="1" t="n">
        <v>45718</v>
      </c>
      <c r="D1886" t="inlineStr">
        <is>
          <t>JÄMTLANDS LÄN</t>
        </is>
      </c>
      <c r="E1886" t="inlineStr">
        <is>
          <t>STRÖMSUND</t>
        </is>
      </c>
      <c r="F1886" t="inlineStr">
        <is>
          <t>SCA</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50315-2022</t>
        </is>
      </c>
      <c r="B1887" s="1" t="n">
        <v>44865</v>
      </c>
      <c r="C1887" s="1" t="n">
        <v>45718</v>
      </c>
      <c r="D1887" t="inlineStr">
        <is>
          <t>JÄMTLANDS LÄN</t>
        </is>
      </c>
      <c r="E1887" t="inlineStr">
        <is>
          <t>STRÖMSUND</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50320-2022</t>
        </is>
      </c>
      <c r="B1888" s="1" t="n">
        <v>44865</v>
      </c>
      <c r="C1888" s="1" t="n">
        <v>45718</v>
      </c>
      <c r="D1888" t="inlineStr">
        <is>
          <t>JÄMTLANDS LÄN</t>
        </is>
      </c>
      <c r="E1888" t="inlineStr">
        <is>
          <t>STRÖMSUND</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50335-2022</t>
        </is>
      </c>
      <c r="B1889" s="1" t="n">
        <v>44865</v>
      </c>
      <c r="C1889" s="1" t="n">
        <v>45718</v>
      </c>
      <c r="D1889" t="inlineStr">
        <is>
          <t>JÄMTLANDS LÄN</t>
        </is>
      </c>
      <c r="E1889" t="inlineStr">
        <is>
          <t>STRÖMSUND</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50450-2022</t>
        </is>
      </c>
      <c r="B1890" s="1" t="n">
        <v>44866</v>
      </c>
      <c r="C1890" s="1" t="n">
        <v>45718</v>
      </c>
      <c r="D1890" t="inlineStr">
        <is>
          <t>JÄMTLANDS LÄN</t>
        </is>
      </c>
      <c r="E1890" t="inlineStr">
        <is>
          <t>STRÖMSUND</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50645-2022</t>
        </is>
      </c>
      <c r="B1891" s="1" t="n">
        <v>44866</v>
      </c>
      <c r="C1891" s="1" t="n">
        <v>45718</v>
      </c>
      <c r="D1891" t="inlineStr">
        <is>
          <t>JÄMTLANDS LÄN</t>
        </is>
      </c>
      <c r="E1891" t="inlineStr">
        <is>
          <t>STRÖMSUND</t>
        </is>
      </c>
      <c r="F1891" t="inlineStr">
        <is>
          <t>SCA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50646-2022</t>
        </is>
      </c>
      <c r="B1892" s="1" t="n">
        <v>44866</v>
      </c>
      <c r="C1892" s="1" t="n">
        <v>45718</v>
      </c>
      <c r="D1892" t="inlineStr">
        <is>
          <t>JÄMTLANDS LÄN</t>
        </is>
      </c>
      <c r="E1892" t="inlineStr">
        <is>
          <t>STRÖMSUND</t>
        </is>
      </c>
      <c r="F1892" t="inlineStr">
        <is>
          <t>SCA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50657-2022</t>
        </is>
      </c>
      <c r="B1893" s="1" t="n">
        <v>44866</v>
      </c>
      <c r="C1893" s="1" t="n">
        <v>45718</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50661-2022</t>
        </is>
      </c>
      <c r="B1894" s="1" t="n">
        <v>44866</v>
      </c>
      <c r="C1894" s="1" t="n">
        <v>45718</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50659-2022</t>
        </is>
      </c>
      <c r="B1895" s="1" t="n">
        <v>44866</v>
      </c>
      <c r="C1895" s="1" t="n">
        <v>45718</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50663-2022</t>
        </is>
      </c>
      <c r="B1896" s="1" t="n">
        <v>44866</v>
      </c>
      <c r="C1896" s="1" t="n">
        <v>45718</v>
      </c>
      <c r="D1896" t="inlineStr">
        <is>
          <t>JÄMTLANDS LÄN</t>
        </is>
      </c>
      <c r="E1896" t="inlineStr">
        <is>
          <t>STRÖMSUND</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50664-2022</t>
        </is>
      </c>
      <c r="B1897" s="1" t="n">
        <v>44866</v>
      </c>
      <c r="C1897" s="1" t="n">
        <v>45718</v>
      </c>
      <c r="D1897" t="inlineStr">
        <is>
          <t>JÄMTLANDS LÄN</t>
        </is>
      </c>
      <c r="E1897" t="inlineStr">
        <is>
          <t>STRÖMSUND</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50680-2022</t>
        </is>
      </c>
      <c r="B1898" s="1" t="n">
        <v>44866</v>
      </c>
      <c r="C1898" s="1" t="n">
        <v>45718</v>
      </c>
      <c r="D1898" t="inlineStr">
        <is>
          <t>JÄMTLANDS LÄN</t>
        </is>
      </c>
      <c r="E1898" t="inlineStr">
        <is>
          <t>STRÖMSUND</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50647-2022</t>
        </is>
      </c>
      <c r="B1899" s="1" t="n">
        <v>44866</v>
      </c>
      <c r="C1899" s="1" t="n">
        <v>45718</v>
      </c>
      <c r="D1899" t="inlineStr">
        <is>
          <t>JÄMTLANDS LÄN</t>
        </is>
      </c>
      <c r="E1899" t="inlineStr">
        <is>
          <t>STRÖMSUND</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50658-2022</t>
        </is>
      </c>
      <c r="B1900" s="1" t="n">
        <v>44866</v>
      </c>
      <c r="C1900" s="1" t="n">
        <v>45718</v>
      </c>
      <c r="D1900" t="inlineStr">
        <is>
          <t>JÄMTLANDS LÄN</t>
        </is>
      </c>
      <c r="E1900" t="inlineStr">
        <is>
          <t>STRÖMSUND</t>
        </is>
      </c>
      <c r="F1900" t="inlineStr">
        <is>
          <t>SCA</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51344-2022</t>
        </is>
      </c>
      <c r="B1901" s="1" t="n">
        <v>44866</v>
      </c>
      <c r="C1901" s="1" t="n">
        <v>45718</v>
      </c>
      <c r="D1901" t="inlineStr">
        <is>
          <t>JÄMTLANDS LÄN</t>
        </is>
      </c>
      <c r="E1901" t="inlineStr">
        <is>
          <t>STRÖMSUND</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50681-2022</t>
        </is>
      </c>
      <c r="B1902" s="1" t="n">
        <v>44866</v>
      </c>
      <c r="C1902" s="1" t="n">
        <v>45718</v>
      </c>
      <c r="D1902" t="inlineStr">
        <is>
          <t>JÄMTLANDS LÄN</t>
        </is>
      </c>
      <c r="E1902" t="inlineStr">
        <is>
          <t>STRÖMSUND</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50687-2022</t>
        </is>
      </c>
      <c r="B1903" s="1" t="n">
        <v>44866</v>
      </c>
      <c r="C1903" s="1" t="n">
        <v>45718</v>
      </c>
      <c r="D1903" t="inlineStr">
        <is>
          <t>JÄMTLANDS LÄN</t>
        </is>
      </c>
      <c r="E1903" t="inlineStr">
        <is>
          <t>STRÖMSUND</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50934-2022</t>
        </is>
      </c>
      <c r="B1904" s="1" t="n">
        <v>44867</v>
      </c>
      <c r="C1904" s="1" t="n">
        <v>45718</v>
      </c>
      <c r="D1904" t="inlineStr">
        <is>
          <t>JÄMTLANDS LÄN</t>
        </is>
      </c>
      <c r="E1904" t="inlineStr">
        <is>
          <t>STRÖMSUND</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51013-2022</t>
        </is>
      </c>
      <c r="B1905" s="1" t="n">
        <v>44867</v>
      </c>
      <c r="C1905" s="1" t="n">
        <v>45718</v>
      </c>
      <c r="D1905" t="inlineStr">
        <is>
          <t>JÄMTLANDS LÄN</t>
        </is>
      </c>
      <c r="E1905" t="inlineStr">
        <is>
          <t>STRÖMSUND</t>
        </is>
      </c>
      <c r="G1905" t="n">
        <v>11.2</v>
      </c>
      <c r="H1905" t="n">
        <v>0</v>
      </c>
      <c r="I1905" t="n">
        <v>0</v>
      </c>
      <c r="J1905" t="n">
        <v>0</v>
      </c>
      <c r="K1905" t="n">
        <v>0</v>
      </c>
      <c r="L1905" t="n">
        <v>0</v>
      </c>
      <c r="M1905" t="n">
        <v>0</v>
      </c>
      <c r="N1905" t="n">
        <v>0</v>
      </c>
      <c r="O1905" t="n">
        <v>0</v>
      </c>
      <c r="P1905" t="n">
        <v>0</v>
      </c>
      <c r="Q1905" t="n">
        <v>0</v>
      </c>
      <c r="R1905" s="2" t="inlineStr"/>
    </row>
    <row r="1906" ht="15" customHeight="1">
      <c r="A1906" t="inlineStr">
        <is>
          <t>A 51015-2022</t>
        </is>
      </c>
      <c r="B1906" s="1" t="n">
        <v>44867</v>
      </c>
      <c r="C1906" s="1" t="n">
        <v>45718</v>
      </c>
      <c r="D1906" t="inlineStr">
        <is>
          <t>JÄMTLANDS LÄN</t>
        </is>
      </c>
      <c r="E1906" t="inlineStr">
        <is>
          <t>STRÖMSUND</t>
        </is>
      </c>
      <c r="F1906" t="inlineStr">
        <is>
          <t>SCA</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51021-2022</t>
        </is>
      </c>
      <c r="B1907" s="1" t="n">
        <v>44867</v>
      </c>
      <c r="C1907" s="1" t="n">
        <v>45718</v>
      </c>
      <c r="D1907" t="inlineStr">
        <is>
          <t>JÄMTLANDS LÄN</t>
        </is>
      </c>
      <c r="E1907" t="inlineStr">
        <is>
          <t>STRÖMSUND</t>
        </is>
      </c>
      <c r="F1907" t="inlineStr">
        <is>
          <t>SCA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51889-2022</t>
        </is>
      </c>
      <c r="B1908" s="1" t="n">
        <v>44867</v>
      </c>
      <c r="C1908" s="1" t="n">
        <v>45718</v>
      </c>
      <c r="D1908" t="inlineStr">
        <is>
          <t>JÄMTLANDS LÄN</t>
        </is>
      </c>
      <c r="E1908" t="inlineStr">
        <is>
          <t>STRÖMSUND</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51325-2022</t>
        </is>
      </c>
      <c r="B1909" s="1" t="n">
        <v>44868</v>
      </c>
      <c r="C1909" s="1" t="n">
        <v>45718</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51324-2022</t>
        </is>
      </c>
      <c r="B1910" s="1" t="n">
        <v>44868</v>
      </c>
      <c r="C1910" s="1" t="n">
        <v>45718</v>
      </c>
      <c r="D1910" t="inlineStr">
        <is>
          <t>JÄMTLANDS LÄN</t>
        </is>
      </c>
      <c r="E1910" t="inlineStr">
        <is>
          <t>STRÖMSUND</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52181-2022</t>
        </is>
      </c>
      <c r="B1911" s="1" t="n">
        <v>44868</v>
      </c>
      <c r="C1911" s="1" t="n">
        <v>45718</v>
      </c>
      <c r="D1911" t="inlineStr">
        <is>
          <t>JÄMTLANDS LÄN</t>
        </is>
      </c>
      <c r="E1911" t="inlineStr">
        <is>
          <t>STRÖMSUND</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51450-2022</t>
        </is>
      </c>
      <c r="B1912" s="1" t="n">
        <v>44869</v>
      </c>
      <c r="C1912" s="1" t="n">
        <v>45718</v>
      </c>
      <c r="D1912" t="inlineStr">
        <is>
          <t>JÄMTLANDS LÄN</t>
        </is>
      </c>
      <c r="E1912" t="inlineStr">
        <is>
          <t>STRÖMSUND</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51562-2022</t>
        </is>
      </c>
      <c r="B1913" s="1" t="n">
        <v>44869</v>
      </c>
      <c r="C1913" s="1" t="n">
        <v>45718</v>
      </c>
      <c r="D1913" t="inlineStr">
        <is>
          <t>JÄMTLANDS LÄN</t>
        </is>
      </c>
      <c r="E1913" t="inlineStr">
        <is>
          <t>STRÖMSUND</t>
        </is>
      </c>
      <c r="F1913" t="inlineStr">
        <is>
          <t>SCA</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51563-2022</t>
        </is>
      </c>
      <c r="B1914" s="1" t="n">
        <v>44869</v>
      </c>
      <c r="C1914" s="1" t="n">
        <v>45718</v>
      </c>
      <c r="D1914" t="inlineStr">
        <is>
          <t>JÄMTLANDS LÄN</t>
        </is>
      </c>
      <c r="E1914" t="inlineStr">
        <is>
          <t>STRÖMSUND</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52038-2022</t>
        </is>
      </c>
      <c r="B1915" s="1" t="n">
        <v>44872</v>
      </c>
      <c r="C1915" s="1" t="n">
        <v>45718</v>
      </c>
      <c r="D1915" t="inlineStr">
        <is>
          <t>JÄMTLANDS LÄN</t>
        </is>
      </c>
      <c r="E1915" t="inlineStr">
        <is>
          <t>STRÖMSUND</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52028-2022</t>
        </is>
      </c>
      <c r="B1916" s="1" t="n">
        <v>44872</v>
      </c>
      <c r="C1916" s="1" t="n">
        <v>45718</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52806-2022</t>
        </is>
      </c>
      <c r="B1917" s="1" t="n">
        <v>44872</v>
      </c>
      <c r="C1917" s="1" t="n">
        <v>45718</v>
      </c>
      <c r="D1917" t="inlineStr">
        <is>
          <t>JÄMTLANDS LÄN</t>
        </is>
      </c>
      <c r="E1917" t="inlineStr">
        <is>
          <t>STRÖMSUND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52345-2022</t>
        </is>
      </c>
      <c r="B1918" s="1" t="n">
        <v>44873</v>
      </c>
      <c r="C1918" s="1" t="n">
        <v>45718</v>
      </c>
      <c r="D1918" t="inlineStr">
        <is>
          <t>JÄMTLANDS LÄN</t>
        </is>
      </c>
      <c r="E1918" t="inlineStr">
        <is>
          <t>STRÖMSUND</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52352-2022</t>
        </is>
      </c>
      <c r="B1919" s="1" t="n">
        <v>44873</v>
      </c>
      <c r="C1919" s="1" t="n">
        <v>45718</v>
      </c>
      <c r="D1919" t="inlineStr">
        <is>
          <t>JÄMTLANDS LÄN</t>
        </is>
      </c>
      <c r="E1919" t="inlineStr">
        <is>
          <t>STRÖMSUND</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52344-2022</t>
        </is>
      </c>
      <c r="B1920" s="1" t="n">
        <v>44873</v>
      </c>
      <c r="C1920" s="1" t="n">
        <v>45718</v>
      </c>
      <c r="D1920" t="inlineStr">
        <is>
          <t>JÄMTLANDS LÄN</t>
        </is>
      </c>
      <c r="E1920" t="inlineStr">
        <is>
          <t>STRÖMSUND</t>
        </is>
      </c>
      <c r="F1920" t="inlineStr">
        <is>
          <t>SCA</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52715-2022</t>
        </is>
      </c>
      <c r="B1921" s="1" t="n">
        <v>44874</v>
      </c>
      <c r="C1921" s="1" t="n">
        <v>45718</v>
      </c>
      <c r="D1921" t="inlineStr">
        <is>
          <t>JÄMTLANDS LÄN</t>
        </is>
      </c>
      <c r="E1921" t="inlineStr">
        <is>
          <t>STRÖMSUND</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52521-2022</t>
        </is>
      </c>
      <c r="B1922" s="1" t="n">
        <v>44874</v>
      </c>
      <c r="C1922" s="1" t="n">
        <v>45718</v>
      </c>
      <c r="D1922" t="inlineStr">
        <is>
          <t>JÄMTLANDS LÄN</t>
        </is>
      </c>
      <c r="E1922" t="inlineStr">
        <is>
          <t>STRÖMSUND</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52728-2022</t>
        </is>
      </c>
      <c r="B1923" s="1" t="n">
        <v>44874</v>
      </c>
      <c r="C1923" s="1" t="n">
        <v>45718</v>
      </c>
      <c r="D1923" t="inlineStr">
        <is>
          <t>JÄMTLANDS LÄN</t>
        </is>
      </c>
      <c r="E1923" t="inlineStr">
        <is>
          <t>STRÖMSUND</t>
        </is>
      </c>
      <c r="F1923" t="inlineStr">
        <is>
          <t>SCA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53019-2022</t>
        </is>
      </c>
      <c r="B1924" s="1" t="n">
        <v>44875</v>
      </c>
      <c r="C1924" s="1" t="n">
        <v>45718</v>
      </c>
      <c r="D1924" t="inlineStr">
        <is>
          <t>JÄMTLANDS LÄN</t>
        </is>
      </c>
      <c r="E1924" t="inlineStr">
        <is>
          <t>STRÖMSUND</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53020-2022</t>
        </is>
      </c>
      <c r="B1925" s="1" t="n">
        <v>44875</v>
      </c>
      <c r="C1925" s="1" t="n">
        <v>45718</v>
      </c>
      <c r="D1925" t="inlineStr">
        <is>
          <t>JÄMTLANDS LÄN</t>
        </is>
      </c>
      <c r="E1925" t="inlineStr">
        <is>
          <t>STRÖMSUND</t>
        </is>
      </c>
      <c r="F1925" t="inlineStr">
        <is>
          <t>SCA</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53016-2022</t>
        </is>
      </c>
      <c r="B1926" s="1" t="n">
        <v>44875</v>
      </c>
      <c r="C1926" s="1" t="n">
        <v>45718</v>
      </c>
      <c r="D1926" t="inlineStr">
        <is>
          <t>JÄMTLANDS LÄN</t>
        </is>
      </c>
      <c r="E1926" t="inlineStr">
        <is>
          <t>STRÖMSUND</t>
        </is>
      </c>
      <c r="F1926" t="inlineStr">
        <is>
          <t>SCA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53143-2022</t>
        </is>
      </c>
      <c r="B1927" s="1" t="n">
        <v>44876</v>
      </c>
      <c r="C1927" s="1" t="n">
        <v>45718</v>
      </c>
      <c r="D1927" t="inlineStr">
        <is>
          <t>JÄMTLANDS LÄN</t>
        </is>
      </c>
      <c r="E1927" t="inlineStr">
        <is>
          <t>STRÖMSUND</t>
        </is>
      </c>
      <c r="F1927" t="inlineStr">
        <is>
          <t>Holmen skog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53149-2022</t>
        </is>
      </c>
      <c r="B1928" s="1" t="n">
        <v>44876</v>
      </c>
      <c r="C1928" s="1" t="n">
        <v>45718</v>
      </c>
      <c r="D1928" t="inlineStr">
        <is>
          <t>JÄMTLANDS LÄN</t>
        </is>
      </c>
      <c r="E1928" t="inlineStr">
        <is>
          <t>STRÖMSUND</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53816-2022</t>
        </is>
      </c>
      <c r="B1929" s="1" t="n">
        <v>44876</v>
      </c>
      <c r="C1929" s="1" t="n">
        <v>45718</v>
      </c>
      <c r="D1929" t="inlineStr">
        <is>
          <t>JÄMTLANDS LÄN</t>
        </is>
      </c>
      <c r="E1929" t="inlineStr">
        <is>
          <t>STRÖMSUND</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54050-2022</t>
        </is>
      </c>
      <c r="B1930" s="1" t="n">
        <v>44876</v>
      </c>
      <c r="C1930" s="1" t="n">
        <v>45718</v>
      </c>
      <c r="D1930" t="inlineStr">
        <is>
          <t>JÄMTLANDS LÄN</t>
        </is>
      </c>
      <c r="E1930" t="inlineStr">
        <is>
          <t>STRÖMSUND</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53318-2022</t>
        </is>
      </c>
      <c r="B1931" s="1" t="n">
        <v>44878</v>
      </c>
      <c r="C1931" s="1" t="n">
        <v>45718</v>
      </c>
      <c r="D1931" t="inlineStr">
        <is>
          <t>JÄMTLANDS LÄN</t>
        </is>
      </c>
      <c r="E1931" t="inlineStr">
        <is>
          <t>STRÖMSUND</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53338-2022</t>
        </is>
      </c>
      <c r="B1932" s="1" t="n">
        <v>44879</v>
      </c>
      <c r="C1932" s="1" t="n">
        <v>45718</v>
      </c>
      <c r="D1932" t="inlineStr">
        <is>
          <t>JÄMTLANDS LÄN</t>
        </is>
      </c>
      <c r="E1932" t="inlineStr">
        <is>
          <t>STRÖMSUND</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53400-2022</t>
        </is>
      </c>
      <c r="B1933" s="1" t="n">
        <v>44879</v>
      </c>
      <c r="C1933" s="1" t="n">
        <v>45718</v>
      </c>
      <c r="D1933" t="inlineStr">
        <is>
          <t>JÄMTLANDS LÄN</t>
        </is>
      </c>
      <c r="E1933" t="inlineStr">
        <is>
          <t>STRÖMSUND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53396-2022</t>
        </is>
      </c>
      <c r="B1934" s="1" t="n">
        <v>44879</v>
      </c>
      <c r="C1934" s="1" t="n">
        <v>45718</v>
      </c>
      <c r="D1934" t="inlineStr">
        <is>
          <t>JÄMTLANDS LÄN</t>
        </is>
      </c>
      <c r="E1934" t="inlineStr">
        <is>
          <t>STRÖMSUND</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54577-2022</t>
        </is>
      </c>
      <c r="B1935" s="1" t="n">
        <v>44882</v>
      </c>
      <c r="C1935" s="1" t="n">
        <v>45718</v>
      </c>
      <c r="D1935" t="inlineStr">
        <is>
          <t>JÄMTLANDS LÄN</t>
        </is>
      </c>
      <c r="E1935" t="inlineStr">
        <is>
          <t>STRÖMSUND</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54581-2022</t>
        </is>
      </c>
      <c r="B1936" s="1" t="n">
        <v>44882</v>
      </c>
      <c r="C1936" s="1" t="n">
        <v>45718</v>
      </c>
      <c r="D1936" t="inlineStr">
        <is>
          <t>JÄMTLANDS LÄN</t>
        </is>
      </c>
      <c r="E1936" t="inlineStr">
        <is>
          <t>STRÖMSUND</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55459-2022</t>
        </is>
      </c>
      <c r="B1937" s="1" t="n">
        <v>44882</v>
      </c>
      <c r="C1937" s="1" t="n">
        <v>45718</v>
      </c>
      <c r="D1937" t="inlineStr">
        <is>
          <t>JÄMTLANDS LÄN</t>
        </is>
      </c>
      <c r="E1937" t="inlineStr">
        <is>
          <t>STRÖMSUND</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55485-2022</t>
        </is>
      </c>
      <c r="B1938" s="1" t="n">
        <v>44882</v>
      </c>
      <c r="C1938" s="1" t="n">
        <v>45718</v>
      </c>
      <c r="D1938" t="inlineStr">
        <is>
          <t>JÄMTLANDS LÄN</t>
        </is>
      </c>
      <c r="E1938" t="inlineStr">
        <is>
          <t>STRÖMSUND</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54828-2022</t>
        </is>
      </c>
      <c r="B1939" s="1" t="n">
        <v>44883</v>
      </c>
      <c r="C1939" s="1" t="n">
        <v>45718</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54839-2022</t>
        </is>
      </c>
      <c r="B1940" s="1" t="n">
        <v>44883</v>
      </c>
      <c r="C1940" s="1" t="n">
        <v>45718</v>
      </c>
      <c r="D1940" t="inlineStr">
        <is>
          <t>JÄMTLANDS LÄN</t>
        </is>
      </c>
      <c r="E1940" t="inlineStr">
        <is>
          <t>STRÖMSUND</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54843-2022</t>
        </is>
      </c>
      <c r="B1941" s="1" t="n">
        <v>44883</v>
      </c>
      <c r="C1941" s="1" t="n">
        <v>45718</v>
      </c>
      <c r="D1941" t="inlineStr">
        <is>
          <t>JÄMTLANDS LÄN</t>
        </is>
      </c>
      <c r="E1941" t="inlineStr">
        <is>
          <t>STRÖMSUND</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54844-2022</t>
        </is>
      </c>
      <c r="B1942" s="1" t="n">
        <v>44883</v>
      </c>
      <c r="C1942" s="1" t="n">
        <v>45718</v>
      </c>
      <c r="D1942" t="inlineStr">
        <is>
          <t>JÄMTLANDS LÄN</t>
        </is>
      </c>
      <c r="E1942" t="inlineStr">
        <is>
          <t>STRÖMSUND</t>
        </is>
      </c>
      <c r="F1942" t="inlineStr">
        <is>
          <t>SCA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55525-2022</t>
        </is>
      </c>
      <c r="B1943" s="1" t="n">
        <v>44887</v>
      </c>
      <c r="C1943" s="1" t="n">
        <v>45718</v>
      </c>
      <c r="D1943" t="inlineStr">
        <is>
          <t>JÄMTLANDS LÄN</t>
        </is>
      </c>
      <c r="E1943" t="inlineStr">
        <is>
          <t>STRÖMSUND</t>
        </is>
      </c>
      <c r="F1943" t="inlineStr">
        <is>
          <t>SCA</t>
        </is>
      </c>
      <c r="G1943" t="n">
        <v>14.3</v>
      </c>
      <c r="H1943" t="n">
        <v>0</v>
      </c>
      <c r="I1943" t="n">
        <v>0</v>
      </c>
      <c r="J1943" t="n">
        <v>0</v>
      </c>
      <c r="K1943" t="n">
        <v>0</v>
      </c>
      <c r="L1943" t="n">
        <v>0</v>
      </c>
      <c r="M1943" t="n">
        <v>0</v>
      </c>
      <c r="N1943" t="n">
        <v>0</v>
      </c>
      <c r="O1943" t="n">
        <v>0</v>
      </c>
      <c r="P1943" t="n">
        <v>0</v>
      </c>
      <c r="Q1943" t="n">
        <v>0</v>
      </c>
      <c r="R1943" s="2" t="inlineStr"/>
    </row>
    <row r="1944" ht="15" customHeight="1">
      <c r="A1944" t="inlineStr">
        <is>
          <t>A 55524-2022</t>
        </is>
      </c>
      <c r="B1944" s="1" t="n">
        <v>44887</v>
      </c>
      <c r="C1944" s="1" t="n">
        <v>45718</v>
      </c>
      <c r="D1944" t="inlineStr">
        <is>
          <t>JÄMTLANDS LÄN</t>
        </is>
      </c>
      <c r="E1944" t="inlineStr">
        <is>
          <t>STRÖMSUND</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55531-2022</t>
        </is>
      </c>
      <c r="B1945" s="1" t="n">
        <v>44887</v>
      </c>
      <c r="C1945" s="1" t="n">
        <v>45718</v>
      </c>
      <c r="D1945" t="inlineStr">
        <is>
          <t>JÄMTLANDS LÄN</t>
        </is>
      </c>
      <c r="E1945" t="inlineStr">
        <is>
          <t>STRÖMSUND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55901-2022</t>
        </is>
      </c>
      <c r="B1946" s="1" t="n">
        <v>44888</v>
      </c>
      <c r="C1946" s="1" t="n">
        <v>45718</v>
      </c>
      <c r="D1946" t="inlineStr">
        <is>
          <t>JÄMTLANDS LÄN</t>
        </is>
      </c>
      <c r="E1946" t="inlineStr">
        <is>
          <t>STRÖMSUND</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56091-2022</t>
        </is>
      </c>
      <c r="B1947" s="1" t="n">
        <v>44889</v>
      </c>
      <c r="C1947" s="1" t="n">
        <v>45718</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56171-2022</t>
        </is>
      </c>
      <c r="B1948" s="1" t="n">
        <v>44889</v>
      </c>
      <c r="C1948" s="1" t="n">
        <v>45718</v>
      </c>
      <c r="D1948" t="inlineStr">
        <is>
          <t>JÄMTLANDS LÄN</t>
        </is>
      </c>
      <c r="E1948" t="inlineStr">
        <is>
          <t>STRÖMSUND</t>
        </is>
      </c>
      <c r="F1948" t="inlineStr">
        <is>
          <t>SCA</t>
        </is>
      </c>
      <c r="G1948" t="n">
        <v>21.9</v>
      </c>
      <c r="H1948" t="n">
        <v>0</v>
      </c>
      <c r="I1948" t="n">
        <v>0</v>
      </c>
      <c r="J1948" t="n">
        <v>0</v>
      </c>
      <c r="K1948" t="n">
        <v>0</v>
      </c>
      <c r="L1948" t="n">
        <v>0</v>
      </c>
      <c r="M1948" t="n">
        <v>0</v>
      </c>
      <c r="N1948" t="n">
        <v>0</v>
      </c>
      <c r="O1948" t="n">
        <v>0</v>
      </c>
      <c r="P1948" t="n">
        <v>0</v>
      </c>
      <c r="Q1948" t="n">
        <v>0</v>
      </c>
      <c r="R1948" s="2" t="inlineStr"/>
    </row>
    <row r="1949" ht="15" customHeight="1">
      <c r="A1949" t="inlineStr">
        <is>
          <t>A 56196-2022</t>
        </is>
      </c>
      <c r="B1949" s="1" t="n">
        <v>44889</v>
      </c>
      <c r="C1949" s="1" t="n">
        <v>45718</v>
      </c>
      <c r="D1949" t="inlineStr">
        <is>
          <t>JÄMTLANDS LÄN</t>
        </is>
      </c>
      <c r="E1949" t="inlineStr">
        <is>
          <t>STRÖMSUND</t>
        </is>
      </c>
      <c r="F1949" t="inlineStr">
        <is>
          <t>SCA</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56412-2022</t>
        </is>
      </c>
      <c r="B1950" s="1" t="n">
        <v>44890</v>
      </c>
      <c r="C1950" s="1" t="n">
        <v>45718</v>
      </c>
      <c r="D1950" t="inlineStr">
        <is>
          <t>JÄMTLANDS LÄN</t>
        </is>
      </c>
      <c r="E1950" t="inlineStr">
        <is>
          <t>STRÖMSUND</t>
        </is>
      </c>
      <c r="F1950" t="inlineStr">
        <is>
          <t>SCA</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57740-2022</t>
        </is>
      </c>
      <c r="B1951" s="1" t="n">
        <v>44890</v>
      </c>
      <c r="C1951" s="1" t="n">
        <v>45718</v>
      </c>
      <c r="D1951" t="inlineStr">
        <is>
          <t>JÄMTLANDS LÄN</t>
        </is>
      </c>
      <c r="E1951" t="inlineStr">
        <is>
          <t>STRÖMSUND</t>
        </is>
      </c>
      <c r="F1951" t="inlineStr">
        <is>
          <t>Kyrkan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57762-2022</t>
        </is>
      </c>
      <c r="B1952" s="1" t="n">
        <v>44890</v>
      </c>
      <c r="C1952" s="1" t="n">
        <v>45718</v>
      </c>
      <c r="D1952" t="inlineStr">
        <is>
          <t>JÄMTLANDS LÄN</t>
        </is>
      </c>
      <c r="E1952" t="inlineStr">
        <is>
          <t>STRÖMSUND</t>
        </is>
      </c>
      <c r="F1952" t="inlineStr">
        <is>
          <t>Kyrkan</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56413-2022</t>
        </is>
      </c>
      <c r="B1953" s="1" t="n">
        <v>44890</v>
      </c>
      <c r="C1953" s="1" t="n">
        <v>45718</v>
      </c>
      <c r="D1953" t="inlineStr">
        <is>
          <t>JÄMTLANDS LÄN</t>
        </is>
      </c>
      <c r="E1953" t="inlineStr">
        <is>
          <t>STRÖMSUND</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57754-2022</t>
        </is>
      </c>
      <c r="B1954" s="1" t="n">
        <v>44890</v>
      </c>
      <c r="C1954" s="1" t="n">
        <v>45718</v>
      </c>
      <c r="D1954" t="inlineStr">
        <is>
          <t>JÄMTLANDS LÄN</t>
        </is>
      </c>
      <c r="E1954" t="inlineStr">
        <is>
          <t>STRÖMSUND</t>
        </is>
      </c>
      <c r="F1954" t="inlineStr">
        <is>
          <t>Kyrkan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58031-2022</t>
        </is>
      </c>
      <c r="B1955" s="1" t="n">
        <v>44893</v>
      </c>
      <c r="C1955" s="1" t="n">
        <v>45718</v>
      </c>
      <c r="D1955" t="inlineStr">
        <is>
          <t>JÄMTLANDS LÄN</t>
        </is>
      </c>
      <c r="E1955" t="inlineStr">
        <is>
          <t>STRÖMSUND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58037-2022</t>
        </is>
      </c>
      <c r="B1956" s="1" t="n">
        <v>44893</v>
      </c>
      <c r="C1956" s="1" t="n">
        <v>45718</v>
      </c>
      <c r="D1956" t="inlineStr">
        <is>
          <t>JÄMTLANDS LÄN</t>
        </is>
      </c>
      <c r="E1956" t="inlineStr">
        <is>
          <t>STRÖMSUND</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58025-2022</t>
        </is>
      </c>
      <c r="B1957" s="1" t="n">
        <v>44893</v>
      </c>
      <c r="C1957" s="1" t="n">
        <v>45718</v>
      </c>
      <c r="D1957" t="inlineStr">
        <is>
          <t>JÄMTLANDS LÄN</t>
        </is>
      </c>
      <c r="E1957" t="inlineStr">
        <is>
          <t>STRÖMSUND</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57005-2022</t>
        </is>
      </c>
      <c r="B1958" s="1" t="n">
        <v>44894</v>
      </c>
      <c r="C1958" s="1" t="n">
        <v>45718</v>
      </c>
      <c r="D1958" t="inlineStr">
        <is>
          <t>JÄMTLANDS LÄN</t>
        </is>
      </c>
      <c r="E1958" t="inlineStr">
        <is>
          <t>STRÖMSUND</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56999-2022</t>
        </is>
      </c>
      <c r="B1959" s="1" t="n">
        <v>44894</v>
      </c>
      <c r="C1959" s="1" t="n">
        <v>45718</v>
      </c>
      <c r="D1959" t="inlineStr">
        <is>
          <t>JÄMTLANDS LÄN</t>
        </is>
      </c>
      <c r="E1959" t="inlineStr">
        <is>
          <t>STRÖMSUND</t>
        </is>
      </c>
      <c r="F1959" t="inlineStr">
        <is>
          <t>SCA</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57012-2022</t>
        </is>
      </c>
      <c r="B1960" s="1" t="n">
        <v>44894</v>
      </c>
      <c r="C1960" s="1" t="n">
        <v>45718</v>
      </c>
      <c r="D1960" t="inlineStr">
        <is>
          <t>JÄMTLANDS LÄN</t>
        </is>
      </c>
      <c r="E1960" t="inlineStr">
        <is>
          <t>STRÖMSUND</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57017-2022</t>
        </is>
      </c>
      <c r="B1961" s="1" t="n">
        <v>44895</v>
      </c>
      <c r="C1961" s="1" t="n">
        <v>45718</v>
      </c>
      <c r="D1961" t="inlineStr">
        <is>
          <t>JÄMTLANDS LÄN</t>
        </is>
      </c>
      <c r="E1961" t="inlineStr">
        <is>
          <t>STRÖMSUND</t>
        </is>
      </c>
      <c r="F1961" t="inlineStr">
        <is>
          <t>SCA</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57021-2022</t>
        </is>
      </c>
      <c r="B1962" s="1" t="n">
        <v>44895</v>
      </c>
      <c r="C1962" s="1" t="n">
        <v>45718</v>
      </c>
      <c r="D1962" t="inlineStr">
        <is>
          <t>JÄMTLANDS LÄN</t>
        </is>
      </c>
      <c r="E1962" t="inlineStr">
        <is>
          <t>STRÖMSUND</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57018-2022</t>
        </is>
      </c>
      <c r="B1963" s="1" t="n">
        <v>44895</v>
      </c>
      <c r="C1963" s="1" t="n">
        <v>45718</v>
      </c>
      <c r="D1963" t="inlineStr">
        <is>
          <t>JÄMTLANDS LÄN</t>
        </is>
      </c>
      <c r="E1963" t="inlineStr">
        <is>
          <t>STRÖMSUND</t>
        </is>
      </c>
      <c r="F1963" t="inlineStr">
        <is>
          <t>SCA</t>
        </is>
      </c>
      <c r="G1963" t="n">
        <v>10.6</v>
      </c>
      <c r="H1963" t="n">
        <v>0</v>
      </c>
      <c r="I1963" t="n">
        <v>0</v>
      </c>
      <c r="J1963" t="n">
        <v>0</v>
      </c>
      <c r="K1963" t="n">
        <v>0</v>
      </c>
      <c r="L1963" t="n">
        <v>0</v>
      </c>
      <c r="M1963" t="n">
        <v>0</v>
      </c>
      <c r="N1963" t="n">
        <v>0</v>
      </c>
      <c r="O1963" t="n">
        <v>0</v>
      </c>
      <c r="P1963" t="n">
        <v>0</v>
      </c>
      <c r="Q1963" t="n">
        <v>0</v>
      </c>
      <c r="R1963" s="2" t="inlineStr"/>
    </row>
    <row r="1964" ht="15" customHeight="1">
      <c r="A1964" t="inlineStr">
        <is>
          <t>A 57022-2022</t>
        </is>
      </c>
      <c r="B1964" s="1" t="n">
        <v>44895</v>
      </c>
      <c r="C1964" s="1" t="n">
        <v>45718</v>
      </c>
      <c r="D1964" t="inlineStr">
        <is>
          <t>JÄMTLANDS LÄN</t>
        </is>
      </c>
      <c r="E1964" t="inlineStr">
        <is>
          <t>STRÖMSUND</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56931-2022</t>
        </is>
      </c>
      <c r="B1965" s="1" t="n">
        <v>44894</v>
      </c>
      <c r="C1965" s="1" t="n">
        <v>45718</v>
      </c>
      <c r="D1965" t="inlineStr">
        <is>
          <t>JÄMTLANDS LÄN</t>
        </is>
      </c>
      <c r="E1965" t="inlineStr">
        <is>
          <t>STRÖMSUND</t>
        </is>
      </c>
      <c r="F1965" t="inlineStr">
        <is>
          <t>Holmen skog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57002-2022</t>
        </is>
      </c>
      <c r="B1966" s="1" t="n">
        <v>44894</v>
      </c>
      <c r="C1966" s="1" t="n">
        <v>45718</v>
      </c>
      <c r="D1966" t="inlineStr">
        <is>
          <t>JÄMTLANDS LÄN</t>
        </is>
      </c>
      <c r="E1966" t="inlineStr">
        <is>
          <t>STRÖMSUND</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57014-2022</t>
        </is>
      </c>
      <c r="B1967" s="1" t="n">
        <v>44894</v>
      </c>
      <c r="C1967" s="1" t="n">
        <v>45718</v>
      </c>
      <c r="D1967" t="inlineStr">
        <is>
          <t>JÄMTLANDS LÄN</t>
        </is>
      </c>
      <c r="E1967" t="inlineStr">
        <is>
          <t>STRÖMSUND</t>
        </is>
      </c>
      <c r="F1967" t="inlineStr">
        <is>
          <t>SCA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57016-2022</t>
        </is>
      </c>
      <c r="B1968" s="1" t="n">
        <v>44894</v>
      </c>
      <c r="C1968" s="1" t="n">
        <v>45718</v>
      </c>
      <c r="D1968" t="inlineStr">
        <is>
          <t>JÄMTLANDS LÄN</t>
        </is>
      </c>
      <c r="E1968" t="inlineStr">
        <is>
          <t>STRÖMSUND</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57272-2022</t>
        </is>
      </c>
      <c r="B1969" s="1" t="n">
        <v>44895</v>
      </c>
      <c r="C1969" s="1" t="n">
        <v>45718</v>
      </c>
      <c r="D1969" t="inlineStr">
        <is>
          <t>JÄMTLANDS LÄN</t>
        </is>
      </c>
      <c r="E1969" t="inlineStr">
        <is>
          <t>STRÖMSUND</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57278-2022</t>
        </is>
      </c>
      <c r="B1970" s="1" t="n">
        <v>44895</v>
      </c>
      <c r="C1970" s="1" t="n">
        <v>45718</v>
      </c>
      <c r="D1970" t="inlineStr">
        <is>
          <t>JÄMTLANDS LÄN</t>
        </is>
      </c>
      <c r="E1970" t="inlineStr">
        <is>
          <t>STRÖMSUND</t>
        </is>
      </c>
      <c r="F1970" t="inlineStr">
        <is>
          <t>SCA</t>
        </is>
      </c>
      <c r="G1970" t="n">
        <v>9.9</v>
      </c>
      <c r="H1970" t="n">
        <v>0</v>
      </c>
      <c r="I1970" t="n">
        <v>0</v>
      </c>
      <c r="J1970" t="n">
        <v>0</v>
      </c>
      <c r="K1970" t="n">
        <v>0</v>
      </c>
      <c r="L1970" t="n">
        <v>0</v>
      </c>
      <c r="M1970" t="n">
        <v>0</v>
      </c>
      <c r="N1970" t="n">
        <v>0</v>
      </c>
      <c r="O1970" t="n">
        <v>0</v>
      </c>
      <c r="P1970" t="n">
        <v>0</v>
      </c>
      <c r="Q1970" t="n">
        <v>0</v>
      </c>
      <c r="R1970" s="2" t="inlineStr"/>
    </row>
    <row r="1971" ht="15" customHeight="1">
      <c r="A1971" t="inlineStr">
        <is>
          <t>A 57274-2022</t>
        </is>
      </c>
      <c r="B1971" s="1" t="n">
        <v>44895</v>
      </c>
      <c r="C1971" s="1" t="n">
        <v>45718</v>
      </c>
      <c r="D1971" t="inlineStr">
        <is>
          <t>JÄMTLANDS LÄN</t>
        </is>
      </c>
      <c r="E1971" t="inlineStr">
        <is>
          <t>STRÖMSUND</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57280-2022</t>
        </is>
      </c>
      <c r="B1972" s="1" t="n">
        <v>44895</v>
      </c>
      <c r="C1972" s="1" t="n">
        <v>45718</v>
      </c>
      <c r="D1972" t="inlineStr">
        <is>
          <t>JÄMTLANDS LÄN</t>
        </is>
      </c>
      <c r="E1972" t="inlineStr">
        <is>
          <t>STRÖMSUND</t>
        </is>
      </c>
      <c r="F1972" t="inlineStr">
        <is>
          <t>SCA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57277-2022</t>
        </is>
      </c>
      <c r="B1973" s="1" t="n">
        <v>44895</v>
      </c>
      <c r="C1973" s="1" t="n">
        <v>45718</v>
      </c>
      <c r="D1973" t="inlineStr">
        <is>
          <t>JÄMTLANDS LÄN</t>
        </is>
      </c>
      <c r="E1973" t="inlineStr">
        <is>
          <t>STRÖMSUND</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57297-2022</t>
        </is>
      </c>
      <c r="B1974" s="1" t="n">
        <v>44895</v>
      </c>
      <c r="C1974" s="1" t="n">
        <v>45718</v>
      </c>
      <c r="D1974" t="inlineStr">
        <is>
          <t>JÄMTLANDS LÄN</t>
        </is>
      </c>
      <c r="E1974" t="inlineStr">
        <is>
          <t>STRÖMSUND</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57626-2022</t>
        </is>
      </c>
      <c r="B1975" s="1" t="n">
        <v>44897</v>
      </c>
      <c r="C1975" s="1" t="n">
        <v>45718</v>
      </c>
      <c r="D1975" t="inlineStr">
        <is>
          <t>JÄMTLANDS LÄN</t>
        </is>
      </c>
      <c r="E1975" t="inlineStr">
        <is>
          <t>STRÖMSUND</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57829-2022</t>
        </is>
      </c>
      <c r="B1976" s="1" t="n">
        <v>44897</v>
      </c>
      <c r="C1976" s="1" t="n">
        <v>45718</v>
      </c>
      <c r="D1976" t="inlineStr">
        <is>
          <t>JÄMTLANDS LÄN</t>
        </is>
      </c>
      <c r="E1976" t="inlineStr">
        <is>
          <t>STRÖMSUND</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58179-2022</t>
        </is>
      </c>
      <c r="B1977" s="1" t="n">
        <v>44900</v>
      </c>
      <c r="C1977" s="1" t="n">
        <v>45718</v>
      </c>
      <c r="D1977" t="inlineStr">
        <is>
          <t>JÄMTLANDS LÄN</t>
        </is>
      </c>
      <c r="E1977" t="inlineStr">
        <is>
          <t>STRÖMSUND</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58170-2022</t>
        </is>
      </c>
      <c r="B1978" s="1" t="n">
        <v>44900</v>
      </c>
      <c r="C1978" s="1" t="n">
        <v>45718</v>
      </c>
      <c r="D1978" t="inlineStr">
        <is>
          <t>JÄMTLANDS LÄN</t>
        </is>
      </c>
      <c r="E1978" t="inlineStr">
        <is>
          <t>STRÖMSUND</t>
        </is>
      </c>
      <c r="F1978" t="inlineStr">
        <is>
          <t>SCA</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58183-2022</t>
        </is>
      </c>
      <c r="B1979" s="1" t="n">
        <v>44900</v>
      </c>
      <c r="C1979" s="1" t="n">
        <v>45718</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59725-2022</t>
        </is>
      </c>
      <c r="B1980" s="1" t="n">
        <v>44900</v>
      </c>
      <c r="C1980" s="1" t="n">
        <v>45718</v>
      </c>
      <c r="D1980" t="inlineStr">
        <is>
          <t>JÄMTLANDS LÄN</t>
        </is>
      </c>
      <c r="E1980" t="inlineStr">
        <is>
          <t>STRÖMSUND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58449-2022</t>
        </is>
      </c>
      <c r="B1981" s="1" t="n">
        <v>44901</v>
      </c>
      <c r="C1981" s="1" t="n">
        <v>45718</v>
      </c>
      <c r="D1981" t="inlineStr">
        <is>
          <t>JÄMTLANDS LÄN</t>
        </is>
      </c>
      <c r="E1981" t="inlineStr">
        <is>
          <t>STRÖMSUND</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58729-2022</t>
        </is>
      </c>
      <c r="B1982" s="1" t="n">
        <v>44902</v>
      </c>
      <c r="C1982" s="1" t="n">
        <v>45718</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58743-2022</t>
        </is>
      </c>
      <c r="B1983" s="1" t="n">
        <v>44902</v>
      </c>
      <c r="C1983" s="1" t="n">
        <v>45718</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59003-2022</t>
        </is>
      </c>
      <c r="B1984" s="1" t="n">
        <v>44903</v>
      </c>
      <c r="C1984" s="1" t="n">
        <v>45718</v>
      </c>
      <c r="D1984" t="inlineStr">
        <is>
          <t>JÄMTLANDS LÄN</t>
        </is>
      </c>
      <c r="E1984" t="inlineStr">
        <is>
          <t>STRÖMSUND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58973-2022</t>
        </is>
      </c>
      <c r="B1985" s="1" t="n">
        <v>44903</v>
      </c>
      <c r="C1985" s="1" t="n">
        <v>45718</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58905-2022</t>
        </is>
      </c>
      <c r="B1986" s="1" t="n">
        <v>44903</v>
      </c>
      <c r="C1986" s="1" t="n">
        <v>45718</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59035-2022</t>
        </is>
      </c>
      <c r="B1987" s="1" t="n">
        <v>44903</v>
      </c>
      <c r="C1987" s="1" t="n">
        <v>45718</v>
      </c>
      <c r="D1987" t="inlineStr">
        <is>
          <t>JÄMTLANDS LÄN</t>
        </is>
      </c>
      <c r="E1987" t="inlineStr">
        <is>
          <t>STRÖMSUND</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59367-2022</t>
        </is>
      </c>
      <c r="B1988" s="1" t="n">
        <v>44904</v>
      </c>
      <c r="C1988" s="1" t="n">
        <v>45718</v>
      </c>
      <c r="D1988" t="inlineStr">
        <is>
          <t>JÄMTLANDS LÄN</t>
        </is>
      </c>
      <c r="E1988" t="inlineStr">
        <is>
          <t>STRÖMSUND</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59372-2022</t>
        </is>
      </c>
      <c r="B1989" s="1" t="n">
        <v>44904</v>
      </c>
      <c r="C1989" s="1" t="n">
        <v>45718</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59376-2022</t>
        </is>
      </c>
      <c r="B1990" s="1" t="n">
        <v>44904</v>
      </c>
      <c r="C1990" s="1" t="n">
        <v>45718</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59461-2022</t>
        </is>
      </c>
      <c r="B1991" s="1" t="n">
        <v>44907</v>
      </c>
      <c r="C1991" s="1" t="n">
        <v>45718</v>
      </c>
      <c r="D1991" t="inlineStr">
        <is>
          <t>JÄMTLANDS LÄN</t>
        </is>
      </c>
      <c r="E1991" t="inlineStr">
        <is>
          <t>STRÖMSUND</t>
        </is>
      </c>
      <c r="G1991" t="n">
        <v>10.7</v>
      </c>
      <c r="H1991" t="n">
        <v>0</v>
      </c>
      <c r="I1991" t="n">
        <v>0</v>
      </c>
      <c r="J1991" t="n">
        <v>0</v>
      </c>
      <c r="K1991" t="n">
        <v>0</v>
      </c>
      <c r="L1991" t="n">
        <v>0</v>
      </c>
      <c r="M1991" t="n">
        <v>0</v>
      </c>
      <c r="N1991" t="n">
        <v>0</v>
      </c>
      <c r="O1991" t="n">
        <v>0</v>
      </c>
      <c r="P1991" t="n">
        <v>0</v>
      </c>
      <c r="Q1991" t="n">
        <v>0</v>
      </c>
      <c r="R1991" s="2" t="inlineStr"/>
    </row>
    <row r="1992" ht="15" customHeight="1">
      <c r="A1992" t="inlineStr">
        <is>
          <t>A 59637-2022</t>
        </is>
      </c>
      <c r="B1992" s="1" t="n">
        <v>44908</v>
      </c>
      <c r="C1992" s="1" t="n">
        <v>45718</v>
      </c>
      <c r="D1992" t="inlineStr">
        <is>
          <t>JÄMTLANDS LÄN</t>
        </is>
      </c>
      <c r="E1992" t="inlineStr">
        <is>
          <t>STRÖMSUND</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59645-2022</t>
        </is>
      </c>
      <c r="B1993" s="1" t="n">
        <v>44908</v>
      </c>
      <c r="C1993" s="1" t="n">
        <v>45718</v>
      </c>
      <c r="D1993" t="inlineStr">
        <is>
          <t>JÄMTLANDS LÄN</t>
        </is>
      </c>
      <c r="E1993" t="inlineStr">
        <is>
          <t>STRÖMSUND</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59646-2022</t>
        </is>
      </c>
      <c r="B1994" s="1" t="n">
        <v>44908</v>
      </c>
      <c r="C1994" s="1" t="n">
        <v>45718</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60639-2022</t>
        </is>
      </c>
      <c r="B1995" s="1" t="n">
        <v>44907</v>
      </c>
      <c r="C1995" s="1" t="n">
        <v>45718</v>
      </c>
      <c r="D1995" t="inlineStr">
        <is>
          <t>JÄMTLANDS LÄN</t>
        </is>
      </c>
      <c r="E1995" t="inlineStr">
        <is>
          <t>STRÖMSUND</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60775-2022</t>
        </is>
      </c>
      <c r="B1996" s="1" t="n">
        <v>44907</v>
      </c>
      <c r="C1996" s="1" t="n">
        <v>45718</v>
      </c>
      <c r="D1996" t="inlineStr">
        <is>
          <t>JÄMTLANDS LÄN</t>
        </is>
      </c>
      <c r="E1996" t="inlineStr">
        <is>
          <t>STRÖMSUND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60002-2022</t>
        </is>
      </c>
      <c r="B1997" s="1" t="n">
        <v>44909</v>
      </c>
      <c r="C1997" s="1" t="n">
        <v>45718</v>
      </c>
      <c r="D1997" t="inlineStr">
        <is>
          <t>JÄMTLANDS LÄN</t>
        </is>
      </c>
      <c r="E1997" t="inlineStr">
        <is>
          <t>STRÖMSUND</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60667-2022</t>
        </is>
      </c>
      <c r="B1998" s="1" t="n">
        <v>44911</v>
      </c>
      <c r="C1998" s="1" t="n">
        <v>45718</v>
      </c>
      <c r="D1998" t="inlineStr">
        <is>
          <t>JÄMTLANDS LÄN</t>
        </is>
      </c>
      <c r="E1998" t="inlineStr">
        <is>
          <t>STRÖMSUND</t>
        </is>
      </c>
      <c r="F1998" t="inlineStr">
        <is>
          <t>SCA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60740-2022</t>
        </is>
      </c>
      <c r="B1999" s="1" t="n">
        <v>44913</v>
      </c>
      <c r="C1999" s="1" t="n">
        <v>45718</v>
      </c>
      <c r="D1999" t="inlineStr">
        <is>
          <t>JÄMTLANDS LÄN</t>
        </is>
      </c>
      <c r="E1999" t="inlineStr">
        <is>
          <t>STRÖMSUND</t>
        </is>
      </c>
      <c r="F1999" t="inlineStr">
        <is>
          <t>SCA</t>
        </is>
      </c>
      <c r="G1999" t="n">
        <v>16.7</v>
      </c>
      <c r="H1999" t="n">
        <v>0</v>
      </c>
      <c r="I1999" t="n">
        <v>0</v>
      </c>
      <c r="J1999" t="n">
        <v>0</v>
      </c>
      <c r="K1999" t="n">
        <v>0</v>
      </c>
      <c r="L1999" t="n">
        <v>0</v>
      </c>
      <c r="M1999" t="n">
        <v>0</v>
      </c>
      <c r="N1999" t="n">
        <v>0</v>
      </c>
      <c r="O1999" t="n">
        <v>0</v>
      </c>
      <c r="P1999" t="n">
        <v>0</v>
      </c>
      <c r="Q1999" t="n">
        <v>0</v>
      </c>
      <c r="R1999" s="2" t="inlineStr"/>
    </row>
    <row r="2000" ht="15" customHeight="1">
      <c r="A2000" t="inlineStr">
        <is>
          <t>A 60742-2022</t>
        </is>
      </c>
      <c r="B2000" s="1" t="n">
        <v>44913</v>
      </c>
      <c r="C2000" s="1" t="n">
        <v>45718</v>
      </c>
      <c r="D2000" t="inlineStr">
        <is>
          <t>JÄMTLANDS LÄN</t>
        </is>
      </c>
      <c r="E2000" t="inlineStr">
        <is>
          <t>STRÖMSUND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60801-2022</t>
        </is>
      </c>
      <c r="B2001" s="1" t="n">
        <v>44914</v>
      </c>
      <c r="C2001" s="1" t="n">
        <v>45718</v>
      </c>
      <c r="D2001" t="inlineStr">
        <is>
          <t>JÄMTLANDS LÄN</t>
        </is>
      </c>
      <c r="E2001" t="inlineStr">
        <is>
          <t>STRÖMSUND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61038-2022</t>
        </is>
      </c>
      <c r="B2002" s="1" t="n">
        <v>44914</v>
      </c>
      <c r="C2002" s="1" t="n">
        <v>45718</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61374-2022</t>
        </is>
      </c>
      <c r="B2003" s="1" t="n">
        <v>44915</v>
      </c>
      <c r="C2003" s="1" t="n">
        <v>45718</v>
      </c>
      <c r="D2003" t="inlineStr">
        <is>
          <t>JÄMTLANDS LÄN</t>
        </is>
      </c>
      <c r="E2003" t="inlineStr">
        <is>
          <t>STRÖMSUND</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61380-2022</t>
        </is>
      </c>
      <c r="B2004" s="1" t="n">
        <v>44915</v>
      </c>
      <c r="C2004" s="1" t="n">
        <v>45718</v>
      </c>
      <c r="D2004" t="inlineStr">
        <is>
          <t>JÄMTLANDS LÄN</t>
        </is>
      </c>
      <c r="E2004" t="inlineStr">
        <is>
          <t>STRÖMSUND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61375-2022</t>
        </is>
      </c>
      <c r="B2005" s="1" t="n">
        <v>44915</v>
      </c>
      <c r="C2005" s="1" t="n">
        <v>45718</v>
      </c>
      <c r="D2005" t="inlineStr">
        <is>
          <t>JÄMTLANDS LÄN</t>
        </is>
      </c>
      <c r="E2005" t="inlineStr">
        <is>
          <t>STRÖMSUND</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61382-2022</t>
        </is>
      </c>
      <c r="B2006" s="1" t="n">
        <v>44915</v>
      </c>
      <c r="C2006" s="1" t="n">
        <v>45718</v>
      </c>
      <c r="D2006" t="inlineStr">
        <is>
          <t>JÄMTLANDS LÄN</t>
        </is>
      </c>
      <c r="E2006" t="inlineStr">
        <is>
          <t>STRÖMSUND</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62211-2022</t>
        </is>
      </c>
      <c r="B2007" s="1" t="n">
        <v>44915</v>
      </c>
      <c r="C2007" s="1" t="n">
        <v>45718</v>
      </c>
      <c r="D2007" t="inlineStr">
        <is>
          <t>JÄMTLANDS LÄN</t>
        </is>
      </c>
      <c r="E2007" t="inlineStr">
        <is>
          <t>STRÖMSUND</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62229-2022</t>
        </is>
      </c>
      <c r="B2008" s="1" t="n">
        <v>44916</v>
      </c>
      <c r="C2008" s="1" t="n">
        <v>45718</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61921-2022</t>
        </is>
      </c>
      <c r="B2009" s="1" t="n">
        <v>44917</v>
      </c>
      <c r="C2009" s="1" t="n">
        <v>45718</v>
      </c>
      <c r="D2009" t="inlineStr">
        <is>
          <t>JÄMTLANDS LÄN</t>
        </is>
      </c>
      <c r="E2009" t="inlineStr">
        <is>
          <t>STRÖMSUND</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31-2023</t>
        </is>
      </c>
      <c r="B2010" s="1" t="n">
        <v>44918</v>
      </c>
      <c r="C2010" s="1" t="n">
        <v>45718</v>
      </c>
      <c r="D2010" t="inlineStr">
        <is>
          <t>JÄMTLANDS LÄN</t>
        </is>
      </c>
      <c r="E2010" t="inlineStr">
        <is>
          <t>STRÖMSUND</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25-2023</t>
        </is>
      </c>
      <c r="B2011" s="1" t="n">
        <v>44928</v>
      </c>
      <c r="C2011" s="1" t="n">
        <v>45718</v>
      </c>
      <c r="D2011" t="inlineStr">
        <is>
          <t>JÄMTLANDS LÄN</t>
        </is>
      </c>
      <c r="E2011" t="inlineStr">
        <is>
          <t>STRÖMSUND</t>
        </is>
      </c>
      <c r="F2011" t="inlineStr">
        <is>
          <t>Sveaskog</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286-2023</t>
        </is>
      </c>
      <c r="B2012" s="1" t="n">
        <v>44928</v>
      </c>
      <c r="C2012" s="1" t="n">
        <v>45718</v>
      </c>
      <c r="D2012" t="inlineStr">
        <is>
          <t>JÄMTLANDS LÄN</t>
        </is>
      </c>
      <c r="E2012" t="inlineStr">
        <is>
          <t>STRÖMSUND</t>
        </is>
      </c>
      <c r="F2012" t="inlineStr">
        <is>
          <t>SCA</t>
        </is>
      </c>
      <c r="G2012" t="n">
        <v>40.5</v>
      </c>
      <c r="H2012" t="n">
        <v>0</v>
      </c>
      <c r="I2012" t="n">
        <v>0</v>
      </c>
      <c r="J2012" t="n">
        <v>0</v>
      </c>
      <c r="K2012" t="n">
        <v>0</v>
      </c>
      <c r="L2012" t="n">
        <v>0</v>
      </c>
      <c r="M2012" t="n">
        <v>0</v>
      </c>
      <c r="N2012" t="n">
        <v>0</v>
      </c>
      <c r="O2012" t="n">
        <v>0</v>
      </c>
      <c r="P2012" t="n">
        <v>0</v>
      </c>
      <c r="Q2012" t="n">
        <v>0</v>
      </c>
      <c r="R2012" s="2" t="inlineStr"/>
    </row>
    <row r="2013" ht="15" customHeight="1">
      <c r="A2013" t="inlineStr">
        <is>
          <t>A 536-2023</t>
        </is>
      </c>
      <c r="B2013" s="1" t="n">
        <v>44930</v>
      </c>
      <c r="C2013" s="1" t="n">
        <v>45718</v>
      </c>
      <c r="D2013" t="inlineStr">
        <is>
          <t>JÄMTLANDS LÄN</t>
        </is>
      </c>
      <c r="E2013" t="inlineStr">
        <is>
          <t>STRÖMSUND</t>
        </is>
      </c>
      <c r="G2013" t="n">
        <v>35.4</v>
      </c>
      <c r="H2013" t="n">
        <v>0</v>
      </c>
      <c r="I2013" t="n">
        <v>0</v>
      </c>
      <c r="J2013" t="n">
        <v>0</v>
      </c>
      <c r="K2013" t="n">
        <v>0</v>
      </c>
      <c r="L2013" t="n">
        <v>0</v>
      </c>
      <c r="M2013" t="n">
        <v>0</v>
      </c>
      <c r="N2013" t="n">
        <v>0</v>
      </c>
      <c r="O2013" t="n">
        <v>0</v>
      </c>
      <c r="P2013" t="n">
        <v>0</v>
      </c>
      <c r="Q2013" t="n">
        <v>0</v>
      </c>
      <c r="R2013" s="2" t="inlineStr"/>
    </row>
    <row r="2014" ht="15" customHeight="1">
      <c r="A2014" t="inlineStr">
        <is>
          <t>A 1187-2023</t>
        </is>
      </c>
      <c r="B2014" s="1" t="n">
        <v>44930</v>
      </c>
      <c r="C2014" s="1" t="n">
        <v>45718</v>
      </c>
      <c r="D2014" t="inlineStr">
        <is>
          <t>JÄMTLANDS LÄN</t>
        </is>
      </c>
      <c r="E2014" t="inlineStr">
        <is>
          <t>STRÖMSUND</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897-2023</t>
        </is>
      </c>
      <c r="B2015" s="1" t="n">
        <v>44931</v>
      </c>
      <c r="C2015" s="1" t="n">
        <v>45718</v>
      </c>
      <c r="D2015" t="inlineStr">
        <is>
          <t>JÄMTLANDS LÄN</t>
        </is>
      </c>
      <c r="E2015" t="inlineStr">
        <is>
          <t>STRÖMSUND</t>
        </is>
      </c>
      <c r="G2015" t="n">
        <v>11.2</v>
      </c>
      <c r="H2015" t="n">
        <v>0</v>
      </c>
      <c r="I2015" t="n">
        <v>0</v>
      </c>
      <c r="J2015" t="n">
        <v>0</v>
      </c>
      <c r="K2015" t="n">
        <v>0</v>
      </c>
      <c r="L2015" t="n">
        <v>0</v>
      </c>
      <c r="M2015" t="n">
        <v>0</v>
      </c>
      <c r="N2015" t="n">
        <v>0</v>
      </c>
      <c r="O2015" t="n">
        <v>0</v>
      </c>
      <c r="P2015" t="n">
        <v>0</v>
      </c>
      <c r="Q2015" t="n">
        <v>0</v>
      </c>
      <c r="R2015" s="2" t="inlineStr"/>
    </row>
    <row r="2016" ht="15" customHeight="1">
      <c r="A2016" t="inlineStr">
        <is>
          <t>A 1288-2023</t>
        </is>
      </c>
      <c r="B2016" s="1" t="n">
        <v>44931</v>
      </c>
      <c r="C2016" s="1" t="n">
        <v>45718</v>
      </c>
      <c r="D2016" t="inlineStr">
        <is>
          <t>JÄMTLANDS LÄN</t>
        </is>
      </c>
      <c r="E2016" t="inlineStr">
        <is>
          <t>STRÖMSUND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1224-2023</t>
        </is>
      </c>
      <c r="B2017" s="1" t="n">
        <v>44935</v>
      </c>
      <c r="C2017" s="1" t="n">
        <v>45718</v>
      </c>
      <c r="D2017" t="inlineStr">
        <is>
          <t>JÄMTLANDS LÄN</t>
        </is>
      </c>
      <c r="E2017" t="inlineStr">
        <is>
          <t>STRÖMSUND</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1747-2023</t>
        </is>
      </c>
      <c r="B2018" s="1" t="n">
        <v>44936</v>
      </c>
      <c r="C2018" s="1" t="n">
        <v>45718</v>
      </c>
      <c r="D2018" t="inlineStr">
        <is>
          <t>JÄMTLANDS LÄN</t>
        </is>
      </c>
      <c r="E2018" t="inlineStr">
        <is>
          <t>STRÖMSUND</t>
        </is>
      </c>
      <c r="G2018" t="n">
        <v>13.1</v>
      </c>
      <c r="H2018" t="n">
        <v>0</v>
      </c>
      <c r="I2018" t="n">
        <v>0</v>
      </c>
      <c r="J2018" t="n">
        <v>0</v>
      </c>
      <c r="K2018" t="n">
        <v>0</v>
      </c>
      <c r="L2018" t="n">
        <v>0</v>
      </c>
      <c r="M2018" t="n">
        <v>0</v>
      </c>
      <c r="N2018" t="n">
        <v>0</v>
      </c>
      <c r="O2018" t="n">
        <v>0</v>
      </c>
      <c r="P2018" t="n">
        <v>0</v>
      </c>
      <c r="Q2018" t="n">
        <v>0</v>
      </c>
      <c r="R2018" s="2" t="inlineStr"/>
    </row>
    <row r="2019" ht="15" customHeight="1">
      <c r="A2019" t="inlineStr">
        <is>
          <t>A 1744-2023</t>
        </is>
      </c>
      <c r="B2019" s="1" t="n">
        <v>44936</v>
      </c>
      <c r="C2019" s="1" t="n">
        <v>45718</v>
      </c>
      <c r="D2019" t="inlineStr">
        <is>
          <t>JÄMTLANDS LÄN</t>
        </is>
      </c>
      <c r="E2019" t="inlineStr">
        <is>
          <t>STRÖMSUND</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1641-2023</t>
        </is>
      </c>
      <c r="B2020" s="1" t="n">
        <v>44937</v>
      </c>
      <c r="C2020" s="1" t="n">
        <v>45718</v>
      </c>
      <c r="D2020" t="inlineStr">
        <is>
          <t>JÄMTLANDS LÄN</t>
        </is>
      </c>
      <c r="E2020" t="inlineStr">
        <is>
          <t>STRÖMSUND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1642-2023</t>
        </is>
      </c>
      <c r="B2021" s="1" t="n">
        <v>44937</v>
      </c>
      <c r="C2021" s="1" t="n">
        <v>45718</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1952-2023</t>
        </is>
      </c>
      <c r="B2022" s="1" t="n">
        <v>44938</v>
      </c>
      <c r="C2022" s="1" t="n">
        <v>45718</v>
      </c>
      <c r="D2022" t="inlineStr">
        <is>
          <t>JÄMTLANDS LÄN</t>
        </is>
      </c>
      <c r="E2022" t="inlineStr">
        <is>
          <t>STRÖMSUND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2050-2023</t>
        </is>
      </c>
      <c r="B2023" s="1" t="n">
        <v>44939</v>
      </c>
      <c r="C2023" s="1" t="n">
        <v>45718</v>
      </c>
      <c r="D2023" t="inlineStr">
        <is>
          <t>JÄMTLANDS LÄN</t>
        </is>
      </c>
      <c r="E2023" t="inlineStr">
        <is>
          <t>STRÖMSUND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2246-2023</t>
        </is>
      </c>
      <c r="B2024" s="1" t="n">
        <v>44939</v>
      </c>
      <c r="C2024" s="1" t="n">
        <v>45718</v>
      </c>
      <c r="D2024" t="inlineStr">
        <is>
          <t>JÄMTLANDS LÄN</t>
        </is>
      </c>
      <c r="E2024" t="inlineStr">
        <is>
          <t>STRÖMSUND</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2296-2023</t>
        </is>
      </c>
      <c r="B2025" s="1" t="n">
        <v>44942</v>
      </c>
      <c r="C2025" s="1" t="n">
        <v>45718</v>
      </c>
      <c r="D2025" t="inlineStr">
        <is>
          <t>JÄMTLANDS LÄN</t>
        </is>
      </c>
      <c r="E2025" t="inlineStr">
        <is>
          <t>STRÖMSUND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2675-2023</t>
        </is>
      </c>
      <c r="B2026" s="1" t="n">
        <v>44942</v>
      </c>
      <c r="C2026" s="1" t="n">
        <v>45718</v>
      </c>
      <c r="D2026" t="inlineStr">
        <is>
          <t>JÄMTLANDS LÄN</t>
        </is>
      </c>
      <c r="E2026" t="inlineStr">
        <is>
          <t>STRÖMSUND</t>
        </is>
      </c>
      <c r="G2026" t="n">
        <v>10.4</v>
      </c>
      <c r="H2026" t="n">
        <v>0</v>
      </c>
      <c r="I2026" t="n">
        <v>0</v>
      </c>
      <c r="J2026" t="n">
        <v>0</v>
      </c>
      <c r="K2026" t="n">
        <v>0</v>
      </c>
      <c r="L2026" t="n">
        <v>0</v>
      </c>
      <c r="M2026" t="n">
        <v>0</v>
      </c>
      <c r="N2026" t="n">
        <v>0</v>
      </c>
      <c r="O2026" t="n">
        <v>0</v>
      </c>
      <c r="P2026" t="n">
        <v>0</v>
      </c>
      <c r="Q2026" t="n">
        <v>0</v>
      </c>
      <c r="R2026" s="2" t="inlineStr"/>
    </row>
    <row r="2027" ht="15" customHeight="1">
      <c r="A2027" t="inlineStr">
        <is>
          <t>A 3182-2023</t>
        </is>
      </c>
      <c r="B2027" s="1" t="n">
        <v>44942</v>
      </c>
      <c r="C2027" s="1" t="n">
        <v>45718</v>
      </c>
      <c r="D2027" t="inlineStr">
        <is>
          <t>JÄMTLANDS LÄN</t>
        </is>
      </c>
      <c r="E2027" t="inlineStr">
        <is>
          <t>STRÖMSUND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3027-2023</t>
        </is>
      </c>
      <c r="B2028" s="1" t="n">
        <v>44945</v>
      </c>
      <c r="C2028" s="1" t="n">
        <v>45718</v>
      </c>
      <c r="D2028" t="inlineStr">
        <is>
          <t>JÄMTLANDS LÄN</t>
        </is>
      </c>
      <c r="E2028" t="inlineStr">
        <is>
          <t>STRÖMSUND</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3481-2023</t>
        </is>
      </c>
      <c r="B2029" s="1" t="n">
        <v>44949</v>
      </c>
      <c r="C2029" s="1" t="n">
        <v>45718</v>
      </c>
      <c r="D2029" t="inlineStr">
        <is>
          <t>JÄMTLANDS LÄN</t>
        </is>
      </c>
      <c r="E2029" t="inlineStr">
        <is>
          <t>STRÖMSUND</t>
        </is>
      </c>
      <c r="G2029" t="n">
        <v>21.6</v>
      </c>
      <c r="H2029" t="n">
        <v>0</v>
      </c>
      <c r="I2029" t="n">
        <v>0</v>
      </c>
      <c r="J2029" t="n">
        <v>0</v>
      </c>
      <c r="K2029" t="n">
        <v>0</v>
      </c>
      <c r="L2029" t="n">
        <v>0</v>
      </c>
      <c r="M2029" t="n">
        <v>0</v>
      </c>
      <c r="N2029" t="n">
        <v>0</v>
      </c>
      <c r="O2029" t="n">
        <v>0</v>
      </c>
      <c r="P2029" t="n">
        <v>0</v>
      </c>
      <c r="Q2029" t="n">
        <v>0</v>
      </c>
      <c r="R2029" s="2" t="inlineStr"/>
    </row>
    <row r="2030" ht="15" customHeight="1">
      <c r="A2030" t="inlineStr">
        <is>
          <t>A 3693-2023</t>
        </is>
      </c>
      <c r="B2030" s="1" t="n">
        <v>44950</v>
      </c>
      <c r="C2030" s="1" t="n">
        <v>45718</v>
      </c>
      <c r="D2030" t="inlineStr">
        <is>
          <t>JÄMTLANDS LÄN</t>
        </is>
      </c>
      <c r="E2030" t="inlineStr">
        <is>
          <t>STRÖMSUND</t>
        </is>
      </c>
      <c r="F2030" t="inlineStr">
        <is>
          <t>SCA</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4045-2023</t>
        </is>
      </c>
      <c r="B2031" s="1" t="n">
        <v>44952</v>
      </c>
      <c r="C2031" s="1" t="n">
        <v>45718</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4537-2023</t>
        </is>
      </c>
      <c r="B2032" s="1" t="n">
        <v>44952</v>
      </c>
      <c r="C2032" s="1" t="n">
        <v>45718</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4050-2023</t>
        </is>
      </c>
      <c r="B2033" s="1" t="n">
        <v>44952</v>
      </c>
      <c r="C2033" s="1" t="n">
        <v>45718</v>
      </c>
      <c r="D2033" t="inlineStr">
        <is>
          <t>JÄMTLANDS LÄN</t>
        </is>
      </c>
      <c r="E2033" t="inlineStr">
        <is>
          <t>STRÖMSUND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4684-2023</t>
        </is>
      </c>
      <c r="B2034" s="1" t="n">
        <v>44952</v>
      </c>
      <c r="C2034" s="1" t="n">
        <v>45718</v>
      </c>
      <c r="D2034" t="inlineStr">
        <is>
          <t>JÄMTLANDS LÄN</t>
        </is>
      </c>
      <c r="E2034" t="inlineStr">
        <is>
          <t>STRÖMSUND</t>
        </is>
      </c>
      <c r="G2034" t="n">
        <v>24.1</v>
      </c>
      <c r="H2034" t="n">
        <v>0</v>
      </c>
      <c r="I2034" t="n">
        <v>0</v>
      </c>
      <c r="J2034" t="n">
        <v>0</v>
      </c>
      <c r="K2034" t="n">
        <v>0</v>
      </c>
      <c r="L2034" t="n">
        <v>0</v>
      </c>
      <c r="M2034" t="n">
        <v>0</v>
      </c>
      <c r="N2034" t="n">
        <v>0</v>
      </c>
      <c r="O2034" t="n">
        <v>0</v>
      </c>
      <c r="P2034" t="n">
        <v>0</v>
      </c>
      <c r="Q2034" t="n">
        <v>0</v>
      </c>
      <c r="R2034" s="2" t="inlineStr"/>
    </row>
    <row r="2035" ht="15" customHeight="1">
      <c r="A2035" t="inlineStr">
        <is>
          <t>A 4523-2023</t>
        </is>
      </c>
      <c r="B2035" s="1" t="n">
        <v>44952</v>
      </c>
      <c r="C2035" s="1" t="n">
        <v>45718</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4388-2023</t>
        </is>
      </c>
      <c r="B2036" s="1" t="n">
        <v>44955</v>
      </c>
      <c r="C2036" s="1" t="n">
        <v>45718</v>
      </c>
      <c r="D2036" t="inlineStr">
        <is>
          <t>JÄMTLANDS LÄN</t>
        </is>
      </c>
      <c r="E2036" t="inlineStr">
        <is>
          <t>STRÖMSUND</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4621-2023</t>
        </is>
      </c>
      <c r="B2037" s="1" t="n">
        <v>44956</v>
      </c>
      <c r="C2037" s="1" t="n">
        <v>45718</v>
      </c>
      <c r="D2037" t="inlineStr">
        <is>
          <t>JÄMTLANDS LÄN</t>
        </is>
      </c>
      <c r="E2037" t="inlineStr">
        <is>
          <t>STRÖMSUND</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4988-2023</t>
        </is>
      </c>
      <c r="B2038" s="1" t="n">
        <v>44956</v>
      </c>
      <c r="C2038" s="1" t="n">
        <v>45718</v>
      </c>
      <c r="D2038" t="inlineStr">
        <is>
          <t>JÄMTLANDS LÄN</t>
        </is>
      </c>
      <c r="E2038" t="inlineStr">
        <is>
          <t>STRÖMSUND</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4981-2023</t>
        </is>
      </c>
      <c r="B2039" s="1" t="n">
        <v>44956</v>
      </c>
      <c r="C2039" s="1" t="n">
        <v>45718</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4880-2023</t>
        </is>
      </c>
      <c r="B2040" s="1" t="n">
        <v>44957</v>
      </c>
      <c r="C2040" s="1" t="n">
        <v>45718</v>
      </c>
      <c r="D2040" t="inlineStr">
        <is>
          <t>JÄMTLANDS LÄN</t>
        </is>
      </c>
      <c r="E2040" t="inlineStr">
        <is>
          <t>STRÖMSUND</t>
        </is>
      </c>
      <c r="F2040" t="inlineStr">
        <is>
          <t>SCA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5154-2023</t>
        </is>
      </c>
      <c r="B2041" s="1" t="n">
        <v>44958</v>
      </c>
      <c r="C2041" s="1" t="n">
        <v>45718</v>
      </c>
      <c r="D2041" t="inlineStr">
        <is>
          <t>JÄMTLANDS LÄN</t>
        </is>
      </c>
      <c r="E2041" t="inlineStr">
        <is>
          <t>STRÖMSUND</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5174-2023</t>
        </is>
      </c>
      <c r="B2042" s="1" t="n">
        <v>44958</v>
      </c>
      <c r="C2042" s="1" t="n">
        <v>45718</v>
      </c>
      <c r="D2042" t="inlineStr">
        <is>
          <t>JÄMTLANDS LÄN</t>
        </is>
      </c>
      <c r="E2042" t="inlineStr">
        <is>
          <t>STRÖMSUND</t>
        </is>
      </c>
      <c r="F2042" t="inlineStr">
        <is>
          <t>SCA</t>
        </is>
      </c>
      <c r="G2042" t="n">
        <v>64.5</v>
      </c>
      <c r="H2042" t="n">
        <v>0</v>
      </c>
      <c r="I2042" t="n">
        <v>0</v>
      </c>
      <c r="J2042" t="n">
        <v>0</v>
      </c>
      <c r="K2042" t="n">
        <v>0</v>
      </c>
      <c r="L2042" t="n">
        <v>0</v>
      </c>
      <c r="M2042" t="n">
        <v>0</v>
      </c>
      <c r="N2042" t="n">
        <v>0</v>
      </c>
      <c r="O2042" t="n">
        <v>0</v>
      </c>
      <c r="P2042" t="n">
        <v>0</v>
      </c>
      <c r="Q2042" t="n">
        <v>0</v>
      </c>
      <c r="R2042" s="2" t="inlineStr"/>
    </row>
    <row r="2043" ht="15" customHeight="1">
      <c r="A2043" t="inlineStr">
        <is>
          <t>A 5155-2023</t>
        </is>
      </c>
      <c r="B2043" s="1" t="n">
        <v>44958</v>
      </c>
      <c r="C2043" s="1" t="n">
        <v>45718</v>
      </c>
      <c r="D2043" t="inlineStr">
        <is>
          <t>JÄMTLANDS LÄN</t>
        </is>
      </c>
      <c r="E2043" t="inlineStr">
        <is>
          <t>STRÖMSUND</t>
        </is>
      </c>
      <c r="F2043" t="inlineStr">
        <is>
          <t>SCA</t>
        </is>
      </c>
      <c r="G2043" t="n">
        <v>34.1</v>
      </c>
      <c r="H2043" t="n">
        <v>0</v>
      </c>
      <c r="I2043" t="n">
        <v>0</v>
      </c>
      <c r="J2043" t="n">
        <v>0</v>
      </c>
      <c r="K2043" t="n">
        <v>0</v>
      </c>
      <c r="L2043" t="n">
        <v>0</v>
      </c>
      <c r="M2043" t="n">
        <v>0</v>
      </c>
      <c r="N2043" t="n">
        <v>0</v>
      </c>
      <c r="O2043" t="n">
        <v>0</v>
      </c>
      <c r="P2043" t="n">
        <v>0</v>
      </c>
      <c r="Q2043" t="n">
        <v>0</v>
      </c>
      <c r="R2043" s="2" t="inlineStr"/>
    </row>
    <row r="2044" ht="15" customHeight="1">
      <c r="A2044" t="inlineStr">
        <is>
          <t>A 5162-2023</t>
        </is>
      </c>
      <c r="B2044" s="1" t="n">
        <v>44958</v>
      </c>
      <c r="C2044" s="1" t="n">
        <v>45718</v>
      </c>
      <c r="D2044" t="inlineStr">
        <is>
          <t>JÄMTLANDS LÄN</t>
        </is>
      </c>
      <c r="E2044" t="inlineStr">
        <is>
          <t>STRÖMSUND</t>
        </is>
      </c>
      <c r="F2044" t="inlineStr">
        <is>
          <t>SCA</t>
        </is>
      </c>
      <c r="G2044" t="n">
        <v>62.1</v>
      </c>
      <c r="H2044" t="n">
        <v>0</v>
      </c>
      <c r="I2044" t="n">
        <v>0</v>
      </c>
      <c r="J2044" t="n">
        <v>0</v>
      </c>
      <c r="K2044" t="n">
        <v>0</v>
      </c>
      <c r="L2044" t="n">
        <v>0</v>
      </c>
      <c r="M2044" t="n">
        <v>0</v>
      </c>
      <c r="N2044" t="n">
        <v>0</v>
      </c>
      <c r="O2044" t="n">
        <v>0</v>
      </c>
      <c r="P2044" t="n">
        <v>0</v>
      </c>
      <c r="Q2044" t="n">
        <v>0</v>
      </c>
      <c r="R2044" s="2" t="inlineStr"/>
    </row>
    <row r="2045" ht="15" customHeight="1">
      <c r="A2045" t="inlineStr">
        <is>
          <t>A 5279-2023</t>
        </is>
      </c>
      <c r="B2045" s="1" t="n">
        <v>44959</v>
      </c>
      <c r="C2045" s="1" t="n">
        <v>45718</v>
      </c>
      <c r="D2045" t="inlineStr">
        <is>
          <t>JÄMTLANDS LÄN</t>
        </is>
      </c>
      <c r="E2045" t="inlineStr">
        <is>
          <t>STRÖMSUND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5277-2023</t>
        </is>
      </c>
      <c r="B2046" s="1" t="n">
        <v>44959</v>
      </c>
      <c r="C2046" s="1" t="n">
        <v>45718</v>
      </c>
      <c r="D2046" t="inlineStr">
        <is>
          <t>JÄMTLANDS LÄN</t>
        </is>
      </c>
      <c r="E2046" t="inlineStr">
        <is>
          <t>STRÖMSUND</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5278-2023</t>
        </is>
      </c>
      <c r="B2047" s="1" t="n">
        <v>44959</v>
      </c>
      <c r="C2047" s="1" t="n">
        <v>45718</v>
      </c>
      <c r="D2047" t="inlineStr">
        <is>
          <t>JÄMTLANDS LÄN</t>
        </is>
      </c>
      <c r="E2047" t="inlineStr">
        <is>
          <t>STRÖMSUND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5397-2023</t>
        </is>
      </c>
      <c r="B2048" s="1" t="n">
        <v>44959</v>
      </c>
      <c r="C2048" s="1" t="n">
        <v>45718</v>
      </c>
      <c r="D2048" t="inlineStr">
        <is>
          <t>JÄMTLANDS LÄN</t>
        </is>
      </c>
      <c r="E2048" t="inlineStr">
        <is>
          <t>STRÖMSUND</t>
        </is>
      </c>
      <c r="G2048" t="n">
        <v>11.6</v>
      </c>
      <c r="H2048" t="n">
        <v>0</v>
      </c>
      <c r="I2048" t="n">
        <v>0</v>
      </c>
      <c r="J2048" t="n">
        <v>0</v>
      </c>
      <c r="K2048" t="n">
        <v>0</v>
      </c>
      <c r="L2048" t="n">
        <v>0</v>
      </c>
      <c r="M2048" t="n">
        <v>0</v>
      </c>
      <c r="N2048" t="n">
        <v>0</v>
      </c>
      <c r="O2048" t="n">
        <v>0</v>
      </c>
      <c r="P2048" t="n">
        <v>0</v>
      </c>
      <c r="Q2048" t="n">
        <v>0</v>
      </c>
      <c r="R2048" s="2" t="inlineStr"/>
    </row>
    <row r="2049" ht="15" customHeight="1">
      <c r="A2049" t="inlineStr">
        <is>
          <t>A 5452-2023</t>
        </is>
      </c>
      <c r="B2049" s="1" t="n">
        <v>44959</v>
      </c>
      <c r="C2049" s="1" t="n">
        <v>45718</v>
      </c>
      <c r="D2049" t="inlineStr">
        <is>
          <t>JÄMTLANDS LÄN</t>
        </is>
      </c>
      <c r="E2049" t="inlineStr">
        <is>
          <t>STRÖMSUND</t>
        </is>
      </c>
      <c r="F2049" t="inlineStr">
        <is>
          <t>SCA</t>
        </is>
      </c>
      <c r="G2049" t="n">
        <v>33.6</v>
      </c>
      <c r="H2049" t="n">
        <v>0</v>
      </c>
      <c r="I2049" t="n">
        <v>0</v>
      </c>
      <c r="J2049" t="n">
        <v>0</v>
      </c>
      <c r="K2049" t="n">
        <v>0</v>
      </c>
      <c r="L2049" t="n">
        <v>0</v>
      </c>
      <c r="M2049" t="n">
        <v>0</v>
      </c>
      <c r="N2049" t="n">
        <v>0</v>
      </c>
      <c r="O2049" t="n">
        <v>0</v>
      </c>
      <c r="P2049" t="n">
        <v>0</v>
      </c>
      <c r="Q2049" t="n">
        <v>0</v>
      </c>
      <c r="R2049" s="2" t="inlineStr"/>
      <c r="U2049">
        <f>HYPERLINK("https://klasma.github.io/Logging_2313/knärot/A 5452-2023 karta knärot.png", "A 5452-2023")</f>
        <v/>
      </c>
      <c r="V2049">
        <f>HYPERLINK("https://klasma.github.io/Logging_2313/klagomål/A 5452-2023 FSC-klagomål.docx", "A 5452-2023")</f>
        <v/>
      </c>
      <c r="W2049">
        <f>HYPERLINK("https://klasma.github.io/Logging_2313/klagomålsmail/A 5452-2023 FSC-klagomål mail.docx", "A 5452-2023")</f>
        <v/>
      </c>
      <c r="X2049">
        <f>HYPERLINK("https://klasma.github.io/Logging_2313/tillsyn/A 5452-2023 tillsynsbegäran.docx", "A 5452-2023")</f>
        <v/>
      </c>
      <c r="Y2049">
        <f>HYPERLINK("https://klasma.github.io/Logging_2313/tillsynsmail/A 5452-2023 tillsynsbegäran mail.docx", "A 5452-2023")</f>
        <v/>
      </c>
    </row>
    <row r="2050" ht="15" customHeight="1">
      <c r="A2050" t="inlineStr">
        <is>
          <t>A 5714-2023</t>
        </is>
      </c>
      <c r="B2050" s="1" t="n">
        <v>44960</v>
      </c>
      <c r="C2050" s="1" t="n">
        <v>45718</v>
      </c>
      <c r="D2050" t="inlineStr">
        <is>
          <t>JÄMTLANDS LÄN</t>
        </is>
      </c>
      <c r="E2050" t="inlineStr">
        <is>
          <t>STRÖMSUND</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6267-2023</t>
        </is>
      </c>
      <c r="B2051" s="1" t="n">
        <v>44960</v>
      </c>
      <c r="C2051" s="1" t="n">
        <v>45718</v>
      </c>
      <c r="D2051" t="inlineStr">
        <is>
          <t>JÄMTLANDS LÄN</t>
        </is>
      </c>
      <c r="E2051" t="inlineStr">
        <is>
          <t>STRÖMSUND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6581-2023</t>
        </is>
      </c>
      <c r="B2052" s="1" t="n">
        <v>44963</v>
      </c>
      <c r="C2052" s="1" t="n">
        <v>45718</v>
      </c>
      <c r="D2052" t="inlineStr">
        <is>
          <t>JÄMTLANDS LÄN</t>
        </is>
      </c>
      <c r="E2052" t="inlineStr">
        <is>
          <t>STRÖMSUND</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6583-2023</t>
        </is>
      </c>
      <c r="B2053" s="1" t="n">
        <v>44963</v>
      </c>
      <c r="C2053" s="1" t="n">
        <v>45718</v>
      </c>
      <c r="D2053" t="inlineStr">
        <is>
          <t>JÄMTLANDS LÄN</t>
        </is>
      </c>
      <c r="E2053" t="inlineStr">
        <is>
          <t>STRÖMSUND</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5956-2023</t>
        </is>
      </c>
      <c r="B2054" s="1" t="n">
        <v>44963</v>
      </c>
      <c r="C2054" s="1" t="n">
        <v>45718</v>
      </c>
      <c r="D2054" t="inlineStr">
        <is>
          <t>JÄMTLANDS LÄN</t>
        </is>
      </c>
      <c r="E2054" t="inlineStr">
        <is>
          <t>STRÖMSUND</t>
        </is>
      </c>
      <c r="F2054" t="inlineStr">
        <is>
          <t>SCA</t>
        </is>
      </c>
      <c r="G2054" t="n">
        <v>20.2</v>
      </c>
      <c r="H2054" t="n">
        <v>0</v>
      </c>
      <c r="I2054" t="n">
        <v>0</v>
      </c>
      <c r="J2054" t="n">
        <v>0</v>
      </c>
      <c r="K2054" t="n">
        <v>0</v>
      </c>
      <c r="L2054" t="n">
        <v>0</v>
      </c>
      <c r="M2054" t="n">
        <v>0</v>
      </c>
      <c r="N2054" t="n">
        <v>0</v>
      </c>
      <c r="O2054" t="n">
        <v>0</v>
      </c>
      <c r="P2054" t="n">
        <v>0</v>
      </c>
      <c r="Q2054" t="n">
        <v>0</v>
      </c>
      <c r="R2054" s="2" t="inlineStr"/>
    </row>
    <row r="2055" ht="15" customHeight="1">
      <c r="A2055" t="inlineStr">
        <is>
          <t>A 6234-2023</t>
        </is>
      </c>
      <c r="B2055" s="1" t="n">
        <v>44964</v>
      </c>
      <c r="C2055" s="1" t="n">
        <v>45718</v>
      </c>
      <c r="D2055" t="inlineStr">
        <is>
          <t>JÄMTLANDS LÄN</t>
        </is>
      </c>
      <c r="E2055" t="inlineStr">
        <is>
          <t>STRÖMSUND</t>
        </is>
      </c>
      <c r="F2055" t="inlineStr">
        <is>
          <t>SCA</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6928-2023</t>
        </is>
      </c>
      <c r="B2056" s="1" t="n">
        <v>44964</v>
      </c>
      <c r="C2056" s="1" t="n">
        <v>45718</v>
      </c>
      <c r="D2056" t="inlineStr">
        <is>
          <t>JÄMTLANDS LÄN</t>
        </is>
      </c>
      <c r="E2056" t="inlineStr">
        <is>
          <t>STRÖMSUND</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6932-2023</t>
        </is>
      </c>
      <c r="B2057" s="1" t="n">
        <v>44964</v>
      </c>
      <c r="C2057" s="1" t="n">
        <v>45718</v>
      </c>
      <c r="D2057" t="inlineStr">
        <is>
          <t>JÄMTLANDS LÄN</t>
        </is>
      </c>
      <c r="E2057" t="inlineStr">
        <is>
          <t>STRÖMSUND</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6455-2023</t>
        </is>
      </c>
      <c r="B2058" s="1" t="n">
        <v>44965</v>
      </c>
      <c r="C2058" s="1" t="n">
        <v>45718</v>
      </c>
      <c r="D2058" t="inlineStr">
        <is>
          <t>JÄMTLANDS LÄN</t>
        </is>
      </c>
      <c r="E2058" t="inlineStr">
        <is>
          <t>STRÖMSUND</t>
        </is>
      </c>
      <c r="F2058" t="inlineStr">
        <is>
          <t>SCA</t>
        </is>
      </c>
      <c r="G2058" t="n">
        <v>74.7</v>
      </c>
      <c r="H2058" t="n">
        <v>0</v>
      </c>
      <c r="I2058" t="n">
        <v>0</v>
      </c>
      <c r="J2058" t="n">
        <v>0</v>
      </c>
      <c r="K2058" t="n">
        <v>0</v>
      </c>
      <c r="L2058" t="n">
        <v>0</v>
      </c>
      <c r="M2058" t="n">
        <v>0</v>
      </c>
      <c r="N2058" t="n">
        <v>0</v>
      </c>
      <c r="O2058" t="n">
        <v>0</v>
      </c>
      <c r="P2058" t="n">
        <v>0</v>
      </c>
      <c r="Q2058" t="n">
        <v>0</v>
      </c>
      <c r="R2058" s="2" t="inlineStr"/>
    </row>
    <row r="2059" ht="15" customHeight="1">
      <c r="A2059" t="inlineStr">
        <is>
          <t>A 6462-2023</t>
        </is>
      </c>
      <c r="B2059" s="1" t="n">
        <v>44965</v>
      </c>
      <c r="C2059" s="1" t="n">
        <v>45718</v>
      </c>
      <c r="D2059" t="inlineStr">
        <is>
          <t>JÄMTLANDS LÄN</t>
        </is>
      </c>
      <c r="E2059" t="inlineStr">
        <is>
          <t>STRÖMSUND</t>
        </is>
      </c>
      <c r="F2059" t="inlineStr">
        <is>
          <t>SCA</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6773-2023</t>
        </is>
      </c>
      <c r="B2060" s="1" t="n">
        <v>44966</v>
      </c>
      <c r="C2060" s="1" t="n">
        <v>45718</v>
      </c>
      <c r="D2060" t="inlineStr">
        <is>
          <t>JÄMTLANDS LÄN</t>
        </is>
      </c>
      <c r="E2060" t="inlineStr">
        <is>
          <t>STRÖMSUND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6798-2023</t>
        </is>
      </c>
      <c r="B2061" s="1" t="n">
        <v>44966</v>
      </c>
      <c r="C2061" s="1" t="n">
        <v>45718</v>
      </c>
      <c r="D2061" t="inlineStr">
        <is>
          <t>JÄMTLANDS LÄN</t>
        </is>
      </c>
      <c r="E2061" t="inlineStr">
        <is>
          <t>STRÖMSUND</t>
        </is>
      </c>
      <c r="F2061" t="inlineStr">
        <is>
          <t>SCA</t>
        </is>
      </c>
      <c r="G2061" t="n">
        <v>70.3</v>
      </c>
      <c r="H2061" t="n">
        <v>0</v>
      </c>
      <c r="I2061" t="n">
        <v>0</v>
      </c>
      <c r="J2061" t="n">
        <v>0</v>
      </c>
      <c r="K2061" t="n">
        <v>0</v>
      </c>
      <c r="L2061" t="n">
        <v>0</v>
      </c>
      <c r="M2061" t="n">
        <v>0</v>
      </c>
      <c r="N2061" t="n">
        <v>0</v>
      </c>
      <c r="O2061" t="n">
        <v>0</v>
      </c>
      <c r="P2061" t="n">
        <v>0</v>
      </c>
      <c r="Q2061" t="n">
        <v>0</v>
      </c>
      <c r="R2061" s="2" t="inlineStr"/>
    </row>
    <row r="2062" ht="15" customHeight="1">
      <c r="A2062" t="inlineStr">
        <is>
          <t>A 6780-2023</t>
        </is>
      </c>
      <c r="B2062" s="1" t="n">
        <v>44966</v>
      </c>
      <c r="C2062" s="1" t="n">
        <v>45718</v>
      </c>
      <c r="D2062" t="inlineStr">
        <is>
          <t>JÄMTLANDS LÄN</t>
        </is>
      </c>
      <c r="E2062" t="inlineStr">
        <is>
          <t>STRÖMSUND</t>
        </is>
      </c>
      <c r="F2062" t="inlineStr">
        <is>
          <t>SCA</t>
        </is>
      </c>
      <c r="G2062" t="n">
        <v>38.5</v>
      </c>
      <c r="H2062" t="n">
        <v>0</v>
      </c>
      <c r="I2062" t="n">
        <v>0</v>
      </c>
      <c r="J2062" t="n">
        <v>0</v>
      </c>
      <c r="K2062" t="n">
        <v>0</v>
      </c>
      <c r="L2062" t="n">
        <v>0</v>
      </c>
      <c r="M2062" t="n">
        <v>0</v>
      </c>
      <c r="N2062" t="n">
        <v>0</v>
      </c>
      <c r="O2062" t="n">
        <v>0</v>
      </c>
      <c r="P2062" t="n">
        <v>0</v>
      </c>
      <c r="Q2062" t="n">
        <v>0</v>
      </c>
      <c r="R2062" s="2" t="inlineStr"/>
    </row>
    <row r="2063" ht="15" customHeight="1">
      <c r="A2063" t="inlineStr">
        <is>
          <t>A 7489-2023</t>
        </is>
      </c>
      <c r="B2063" s="1" t="n">
        <v>44966</v>
      </c>
      <c r="C2063" s="1" t="n">
        <v>45718</v>
      </c>
      <c r="D2063" t="inlineStr">
        <is>
          <t>JÄMTLANDS LÄN</t>
        </is>
      </c>
      <c r="E2063" t="inlineStr">
        <is>
          <t>STRÖMSUND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7020-2023</t>
        </is>
      </c>
      <c r="B2064" s="1" t="n">
        <v>44967</v>
      </c>
      <c r="C2064" s="1" t="n">
        <v>45718</v>
      </c>
      <c r="D2064" t="inlineStr">
        <is>
          <t>JÄMTLANDS LÄN</t>
        </is>
      </c>
      <c r="E2064" t="inlineStr">
        <is>
          <t>STRÖMSUND</t>
        </is>
      </c>
      <c r="F2064" t="inlineStr">
        <is>
          <t>SCA</t>
        </is>
      </c>
      <c r="G2064" t="n">
        <v>33.9</v>
      </c>
      <c r="H2064" t="n">
        <v>0</v>
      </c>
      <c r="I2064" t="n">
        <v>0</v>
      </c>
      <c r="J2064" t="n">
        <v>0</v>
      </c>
      <c r="K2064" t="n">
        <v>0</v>
      </c>
      <c r="L2064" t="n">
        <v>0</v>
      </c>
      <c r="M2064" t="n">
        <v>0</v>
      </c>
      <c r="N2064" t="n">
        <v>0</v>
      </c>
      <c r="O2064" t="n">
        <v>0</v>
      </c>
      <c r="P2064" t="n">
        <v>0</v>
      </c>
      <c r="Q2064" t="n">
        <v>0</v>
      </c>
      <c r="R2064" s="2" t="inlineStr"/>
    </row>
    <row r="2065" ht="15" customHeight="1">
      <c r="A2065" t="inlineStr">
        <is>
          <t>A 7015-2023</t>
        </is>
      </c>
      <c r="B2065" s="1" t="n">
        <v>44967</v>
      </c>
      <c r="C2065" s="1" t="n">
        <v>45718</v>
      </c>
      <c r="D2065" t="inlineStr">
        <is>
          <t>JÄMTLANDS LÄN</t>
        </is>
      </c>
      <c r="E2065" t="inlineStr">
        <is>
          <t>STRÖMSUND</t>
        </is>
      </c>
      <c r="F2065" t="inlineStr">
        <is>
          <t>SCA</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7326-2023</t>
        </is>
      </c>
      <c r="B2066" s="1" t="n">
        <v>44971</v>
      </c>
      <c r="C2066" s="1" t="n">
        <v>45718</v>
      </c>
      <c r="D2066" t="inlineStr">
        <is>
          <t>JÄMTLANDS LÄN</t>
        </is>
      </c>
      <c r="E2066" t="inlineStr">
        <is>
          <t>STRÖMSUND</t>
        </is>
      </c>
      <c r="F2066" t="inlineStr">
        <is>
          <t>SCA</t>
        </is>
      </c>
      <c r="G2066" t="n">
        <v>15.7</v>
      </c>
      <c r="H2066" t="n">
        <v>0</v>
      </c>
      <c r="I2066" t="n">
        <v>0</v>
      </c>
      <c r="J2066" t="n">
        <v>0</v>
      </c>
      <c r="K2066" t="n">
        <v>0</v>
      </c>
      <c r="L2066" t="n">
        <v>0</v>
      </c>
      <c r="M2066" t="n">
        <v>0</v>
      </c>
      <c r="N2066" t="n">
        <v>0</v>
      </c>
      <c r="O2066" t="n">
        <v>0</v>
      </c>
      <c r="P2066" t="n">
        <v>0</v>
      </c>
      <c r="Q2066" t="n">
        <v>0</v>
      </c>
      <c r="R2066" s="2" t="inlineStr"/>
    </row>
    <row r="2067" ht="15" customHeight="1">
      <c r="A2067" t="inlineStr">
        <is>
          <t>A 7334-2023</t>
        </is>
      </c>
      <c r="B2067" s="1" t="n">
        <v>44971</v>
      </c>
      <c r="C2067" s="1" t="n">
        <v>45718</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8031-2023</t>
        </is>
      </c>
      <c r="B2068" s="1" t="n">
        <v>44973</v>
      </c>
      <c r="C2068" s="1" t="n">
        <v>45718</v>
      </c>
      <c r="D2068" t="inlineStr">
        <is>
          <t>JÄMTLANDS LÄN</t>
        </is>
      </c>
      <c r="E2068" t="inlineStr">
        <is>
          <t>STRÖMSUND</t>
        </is>
      </c>
      <c r="F2068" t="inlineStr">
        <is>
          <t>SCA</t>
        </is>
      </c>
      <c r="G2068" t="n">
        <v>39.1</v>
      </c>
      <c r="H2068" t="n">
        <v>0</v>
      </c>
      <c r="I2068" t="n">
        <v>0</v>
      </c>
      <c r="J2068" t="n">
        <v>0</v>
      </c>
      <c r="K2068" t="n">
        <v>0</v>
      </c>
      <c r="L2068" t="n">
        <v>0</v>
      </c>
      <c r="M2068" t="n">
        <v>0</v>
      </c>
      <c r="N2068" t="n">
        <v>0</v>
      </c>
      <c r="O2068" t="n">
        <v>0</v>
      </c>
      <c r="P2068" t="n">
        <v>0</v>
      </c>
      <c r="Q2068" t="n">
        <v>0</v>
      </c>
      <c r="R2068" s="2" t="inlineStr"/>
    </row>
    <row r="2069" ht="15" customHeight="1">
      <c r="A2069" t="inlineStr">
        <is>
          <t>A 8647-2023</t>
        </is>
      </c>
      <c r="B2069" s="1" t="n">
        <v>44977</v>
      </c>
      <c r="C2069" s="1" t="n">
        <v>45718</v>
      </c>
      <c r="D2069" t="inlineStr">
        <is>
          <t>JÄMTLANDS LÄN</t>
        </is>
      </c>
      <c r="E2069" t="inlineStr">
        <is>
          <t>STRÖMSUND</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8676-2023</t>
        </is>
      </c>
      <c r="B2070" s="1" t="n">
        <v>44978</v>
      </c>
      <c r="C2070" s="1" t="n">
        <v>45718</v>
      </c>
      <c r="D2070" t="inlineStr">
        <is>
          <t>JÄMTLANDS LÄN</t>
        </is>
      </c>
      <c r="E2070" t="inlineStr">
        <is>
          <t>STRÖMSUND</t>
        </is>
      </c>
      <c r="F2070" t="inlineStr">
        <is>
          <t>SCA</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9301-2023</t>
        </is>
      </c>
      <c r="B2071" s="1" t="n">
        <v>44977</v>
      </c>
      <c r="C2071" s="1" t="n">
        <v>45718</v>
      </c>
      <c r="D2071" t="inlineStr">
        <is>
          <t>JÄMTLANDS LÄN</t>
        </is>
      </c>
      <c r="E2071" t="inlineStr">
        <is>
          <t>STRÖMSUND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9716-2023</t>
        </is>
      </c>
      <c r="B2072" s="1" t="n">
        <v>44978</v>
      </c>
      <c r="C2072" s="1" t="n">
        <v>45718</v>
      </c>
      <c r="D2072" t="inlineStr">
        <is>
          <t>JÄMTLANDS LÄN</t>
        </is>
      </c>
      <c r="E2072" t="inlineStr">
        <is>
          <t>STRÖMSUND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9089-2023</t>
        </is>
      </c>
      <c r="B2073" s="1" t="n">
        <v>44979</v>
      </c>
      <c r="C2073" s="1" t="n">
        <v>45718</v>
      </c>
      <c r="D2073" t="inlineStr">
        <is>
          <t>JÄMTLANDS LÄN</t>
        </is>
      </c>
      <c r="E2073" t="inlineStr">
        <is>
          <t>STRÖMSUND</t>
        </is>
      </c>
      <c r="F2073" t="inlineStr">
        <is>
          <t>SCA</t>
        </is>
      </c>
      <c r="G2073" t="n">
        <v>41.2</v>
      </c>
      <c r="H2073" t="n">
        <v>0</v>
      </c>
      <c r="I2073" t="n">
        <v>0</v>
      </c>
      <c r="J2073" t="n">
        <v>0</v>
      </c>
      <c r="K2073" t="n">
        <v>0</v>
      </c>
      <c r="L2073" t="n">
        <v>0</v>
      </c>
      <c r="M2073" t="n">
        <v>0</v>
      </c>
      <c r="N2073" t="n">
        <v>0</v>
      </c>
      <c r="O2073" t="n">
        <v>0</v>
      </c>
      <c r="P2073" t="n">
        <v>0</v>
      </c>
      <c r="Q2073" t="n">
        <v>0</v>
      </c>
      <c r="R2073" s="2" t="inlineStr"/>
    </row>
    <row r="2074" ht="15" customHeight="1">
      <c r="A2074" t="inlineStr">
        <is>
          <t>A 9354-2023</t>
        </is>
      </c>
      <c r="B2074" s="1" t="n">
        <v>44980</v>
      </c>
      <c r="C2074" s="1" t="n">
        <v>45718</v>
      </c>
      <c r="D2074" t="inlineStr">
        <is>
          <t>JÄMTLANDS LÄN</t>
        </is>
      </c>
      <c r="E2074" t="inlineStr">
        <is>
          <t>STRÖMSUND</t>
        </is>
      </c>
      <c r="F2074" t="inlineStr">
        <is>
          <t>SCA</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9353-2023</t>
        </is>
      </c>
      <c r="B2075" s="1" t="n">
        <v>44980</v>
      </c>
      <c r="C2075" s="1" t="n">
        <v>45718</v>
      </c>
      <c r="D2075" t="inlineStr">
        <is>
          <t>JÄMTLANDS LÄN</t>
        </is>
      </c>
      <c r="E2075" t="inlineStr">
        <is>
          <t>STRÖMSUND</t>
        </is>
      </c>
      <c r="F2075" t="inlineStr">
        <is>
          <t>SCA</t>
        </is>
      </c>
      <c r="G2075" t="n">
        <v>10.8</v>
      </c>
      <c r="H2075" t="n">
        <v>0</v>
      </c>
      <c r="I2075" t="n">
        <v>0</v>
      </c>
      <c r="J2075" t="n">
        <v>0</v>
      </c>
      <c r="K2075" t="n">
        <v>0</v>
      </c>
      <c r="L2075" t="n">
        <v>0</v>
      </c>
      <c r="M2075" t="n">
        <v>0</v>
      </c>
      <c r="N2075" t="n">
        <v>0</v>
      </c>
      <c r="O2075" t="n">
        <v>0</v>
      </c>
      <c r="P2075" t="n">
        <v>0</v>
      </c>
      <c r="Q2075" t="n">
        <v>0</v>
      </c>
      <c r="R2075" s="2" t="inlineStr"/>
    </row>
    <row r="2076" ht="15" customHeight="1">
      <c r="A2076" t="inlineStr">
        <is>
          <t>A 9555-2023</t>
        </is>
      </c>
      <c r="B2076" s="1" t="n">
        <v>44981</v>
      </c>
      <c r="C2076" s="1" t="n">
        <v>45718</v>
      </c>
      <c r="D2076" t="inlineStr">
        <is>
          <t>JÄMTLANDS LÄN</t>
        </is>
      </c>
      <c r="E2076" t="inlineStr">
        <is>
          <t>STRÖMSUND</t>
        </is>
      </c>
      <c r="F2076" t="inlineStr">
        <is>
          <t>SCA</t>
        </is>
      </c>
      <c r="G2076" t="n">
        <v>18.8</v>
      </c>
      <c r="H2076" t="n">
        <v>0</v>
      </c>
      <c r="I2076" t="n">
        <v>0</v>
      </c>
      <c r="J2076" t="n">
        <v>0</v>
      </c>
      <c r="K2076" t="n">
        <v>0</v>
      </c>
      <c r="L2076" t="n">
        <v>0</v>
      </c>
      <c r="M2076" t="n">
        <v>0</v>
      </c>
      <c r="N2076" t="n">
        <v>0</v>
      </c>
      <c r="O2076" t="n">
        <v>0</v>
      </c>
      <c r="P2076" t="n">
        <v>0</v>
      </c>
      <c r="Q2076" t="n">
        <v>0</v>
      </c>
      <c r="R2076" s="2" t="inlineStr"/>
    </row>
    <row r="2077" ht="15" customHeight="1">
      <c r="A2077" t="inlineStr">
        <is>
          <t>A 9554-2023</t>
        </is>
      </c>
      <c r="B2077" s="1" t="n">
        <v>44981</v>
      </c>
      <c r="C2077" s="1" t="n">
        <v>45718</v>
      </c>
      <c r="D2077" t="inlineStr">
        <is>
          <t>JÄMTLANDS LÄN</t>
        </is>
      </c>
      <c r="E2077" t="inlineStr">
        <is>
          <t>STRÖMSUND</t>
        </is>
      </c>
      <c r="F2077" t="inlineStr">
        <is>
          <t>SCA</t>
        </is>
      </c>
      <c r="G2077" t="n">
        <v>8.4</v>
      </c>
      <c r="H2077" t="n">
        <v>0</v>
      </c>
      <c r="I2077" t="n">
        <v>0</v>
      </c>
      <c r="J2077" t="n">
        <v>0</v>
      </c>
      <c r="K2077" t="n">
        <v>0</v>
      </c>
      <c r="L2077" t="n">
        <v>0</v>
      </c>
      <c r="M2077" t="n">
        <v>0</v>
      </c>
      <c r="N2077" t="n">
        <v>0</v>
      </c>
      <c r="O2077" t="n">
        <v>0</v>
      </c>
      <c r="P2077" t="n">
        <v>0</v>
      </c>
      <c r="Q2077" t="n">
        <v>0</v>
      </c>
      <c r="R2077" s="2" t="inlineStr"/>
    </row>
    <row r="2078" ht="15" customHeight="1">
      <c r="A2078" t="inlineStr">
        <is>
          <t>A 9678-2023</t>
        </is>
      </c>
      <c r="B2078" s="1" t="n">
        <v>44984</v>
      </c>
      <c r="C2078" s="1" t="n">
        <v>45718</v>
      </c>
      <c r="D2078" t="inlineStr">
        <is>
          <t>JÄMTLANDS LÄN</t>
        </is>
      </c>
      <c r="E2078" t="inlineStr">
        <is>
          <t>STRÖMSUND</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9851-2023</t>
        </is>
      </c>
      <c r="B2079" s="1" t="n">
        <v>44984</v>
      </c>
      <c r="C2079" s="1" t="n">
        <v>45718</v>
      </c>
      <c r="D2079" t="inlineStr">
        <is>
          <t>JÄMTLANDS LÄN</t>
        </is>
      </c>
      <c r="E2079" t="inlineStr">
        <is>
          <t>STRÖMSUND</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10738-2023</t>
        </is>
      </c>
      <c r="B2080" s="1" t="n">
        <v>44984</v>
      </c>
      <c r="C2080" s="1" t="n">
        <v>45718</v>
      </c>
      <c r="D2080" t="inlineStr">
        <is>
          <t>JÄMTLANDS LÄN</t>
        </is>
      </c>
      <c r="E2080" t="inlineStr">
        <is>
          <t>STRÖMSUND</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10101-2023</t>
        </is>
      </c>
      <c r="B2081" s="1" t="n">
        <v>44985</v>
      </c>
      <c r="C2081" s="1" t="n">
        <v>45718</v>
      </c>
      <c r="D2081" t="inlineStr">
        <is>
          <t>JÄMTLANDS LÄN</t>
        </is>
      </c>
      <c r="E2081" t="inlineStr">
        <is>
          <t>STRÖMSUND</t>
        </is>
      </c>
      <c r="F2081" t="inlineStr">
        <is>
          <t>SCA</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10102-2023</t>
        </is>
      </c>
      <c r="B2082" s="1" t="n">
        <v>44985</v>
      </c>
      <c r="C2082" s="1" t="n">
        <v>45718</v>
      </c>
      <c r="D2082" t="inlineStr">
        <is>
          <t>JÄMTLANDS LÄN</t>
        </is>
      </c>
      <c r="E2082" t="inlineStr">
        <is>
          <t>STRÖMSUND</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10074-2023</t>
        </is>
      </c>
      <c r="B2083" s="1" t="n">
        <v>44985</v>
      </c>
      <c r="C2083" s="1" t="n">
        <v>45718</v>
      </c>
      <c r="D2083" t="inlineStr">
        <is>
          <t>JÄMTLANDS LÄN</t>
        </is>
      </c>
      <c r="E2083" t="inlineStr">
        <is>
          <t>STRÖMSUND</t>
        </is>
      </c>
      <c r="F2083" t="inlineStr">
        <is>
          <t>SCA</t>
        </is>
      </c>
      <c r="G2083" t="n">
        <v>58.9</v>
      </c>
      <c r="H2083" t="n">
        <v>0</v>
      </c>
      <c r="I2083" t="n">
        <v>0</v>
      </c>
      <c r="J2083" t="n">
        <v>0</v>
      </c>
      <c r="K2083" t="n">
        <v>0</v>
      </c>
      <c r="L2083" t="n">
        <v>0</v>
      </c>
      <c r="M2083" t="n">
        <v>0</v>
      </c>
      <c r="N2083" t="n">
        <v>0</v>
      </c>
      <c r="O2083" t="n">
        <v>0</v>
      </c>
      <c r="P2083" t="n">
        <v>0</v>
      </c>
      <c r="Q2083" t="n">
        <v>0</v>
      </c>
      <c r="R2083" s="2" t="inlineStr"/>
    </row>
    <row r="2084" ht="15" customHeight="1">
      <c r="A2084" t="inlineStr">
        <is>
          <t>A 10944-2023</t>
        </is>
      </c>
      <c r="B2084" s="1" t="n">
        <v>44985</v>
      </c>
      <c r="C2084" s="1" t="n">
        <v>45718</v>
      </c>
      <c r="D2084" t="inlineStr">
        <is>
          <t>JÄMTLANDS LÄN</t>
        </is>
      </c>
      <c r="E2084" t="inlineStr">
        <is>
          <t>STRÖMSUND</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10537-2023</t>
        </is>
      </c>
      <c r="B2085" s="1" t="n">
        <v>44987</v>
      </c>
      <c r="C2085" s="1" t="n">
        <v>45718</v>
      </c>
      <c r="D2085" t="inlineStr">
        <is>
          <t>JÄMTLANDS LÄN</t>
        </is>
      </c>
      <c r="E2085" t="inlineStr">
        <is>
          <t>STRÖMSUND</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10826-2023</t>
        </is>
      </c>
      <c r="B2086" s="1" t="n">
        <v>44990</v>
      </c>
      <c r="C2086" s="1" t="n">
        <v>45718</v>
      </c>
      <c r="D2086" t="inlineStr">
        <is>
          <t>JÄMTLANDS LÄN</t>
        </is>
      </c>
      <c r="E2086" t="inlineStr">
        <is>
          <t>STRÖMSUND</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11058-2023</t>
        </is>
      </c>
      <c r="B2087" s="1" t="n">
        <v>44991</v>
      </c>
      <c r="C2087" s="1" t="n">
        <v>45718</v>
      </c>
      <c r="D2087" t="inlineStr">
        <is>
          <t>JÄMTLANDS LÄN</t>
        </is>
      </c>
      <c r="E2087" t="inlineStr">
        <is>
          <t>STRÖMSUND</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11061-2023</t>
        </is>
      </c>
      <c r="B2088" s="1" t="n">
        <v>44991</v>
      </c>
      <c r="C2088" s="1" t="n">
        <v>45718</v>
      </c>
      <c r="D2088" t="inlineStr">
        <is>
          <t>JÄMTLANDS LÄN</t>
        </is>
      </c>
      <c r="E2088" t="inlineStr">
        <is>
          <t>STRÖMSUND</t>
        </is>
      </c>
      <c r="F2088" t="inlineStr">
        <is>
          <t>SCA</t>
        </is>
      </c>
      <c r="G2088" t="n">
        <v>26.7</v>
      </c>
      <c r="H2088" t="n">
        <v>0</v>
      </c>
      <c r="I2088" t="n">
        <v>0</v>
      </c>
      <c r="J2088" t="n">
        <v>0</v>
      </c>
      <c r="K2088" t="n">
        <v>0</v>
      </c>
      <c r="L2088" t="n">
        <v>0</v>
      </c>
      <c r="M2088" t="n">
        <v>0</v>
      </c>
      <c r="N2088" t="n">
        <v>0</v>
      </c>
      <c r="O2088" t="n">
        <v>0</v>
      </c>
      <c r="P2088" t="n">
        <v>0</v>
      </c>
      <c r="Q2088" t="n">
        <v>0</v>
      </c>
      <c r="R2088" s="2" t="inlineStr"/>
    </row>
    <row r="2089" ht="15" customHeight="1">
      <c r="A2089" t="inlineStr">
        <is>
          <t>A 11458-2023</t>
        </is>
      </c>
      <c r="B2089" s="1" t="n">
        <v>44991</v>
      </c>
      <c r="C2089" s="1" t="n">
        <v>45718</v>
      </c>
      <c r="D2089" t="inlineStr">
        <is>
          <t>JÄMTLANDS LÄN</t>
        </is>
      </c>
      <c r="E2089" t="inlineStr">
        <is>
          <t>STRÖMSUND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11444-2023</t>
        </is>
      </c>
      <c r="B2090" s="1" t="n">
        <v>44991</v>
      </c>
      <c r="C2090" s="1" t="n">
        <v>45718</v>
      </c>
      <c r="D2090" t="inlineStr">
        <is>
          <t>JÄMTLANDS LÄN</t>
        </is>
      </c>
      <c r="E2090" t="inlineStr">
        <is>
          <t>STRÖMSUND</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11303-2023</t>
        </is>
      </c>
      <c r="B2091" s="1" t="n">
        <v>44993</v>
      </c>
      <c r="C2091" s="1" t="n">
        <v>45718</v>
      </c>
      <c r="D2091" t="inlineStr">
        <is>
          <t>JÄMTLANDS LÄN</t>
        </is>
      </c>
      <c r="E2091" t="inlineStr">
        <is>
          <t>STRÖMSUND</t>
        </is>
      </c>
      <c r="F2091" t="inlineStr">
        <is>
          <t>SCA</t>
        </is>
      </c>
      <c r="G2091" t="n">
        <v>39.2</v>
      </c>
      <c r="H2091" t="n">
        <v>0</v>
      </c>
      <c r="I2091" t="n">
        <v>0</v>
      </c>
      <c r="J2091" t="n">
        <v>0</v>
      </c>
      <c r="K2091" t="n">
        <v>0</v>
      </c>
      <c r="L2091" t="n">
        <v>0</v>
      </c>
      <c r="M2091" t="n">
        <v>0</v>
      </c>
      <c r="N2091" t="n">
        <v>0</v>
      </c>
      <c r="O2091" t="n">
        <v>0</v>
      </c>
      <c r="P2091" t="n">
        <v>0</v>
      </c>
      <c r="Q2091" t="n">
        <v>0</v>
      </c>
      <c r="R2091" s="2" t="inlineStr"/>
    </row>
    <row r="2092" ht="15" customHeight="1">
      <c r="A2092" t="inlineStr">
        <is>
          <t>A 11302-2023</t>
        </is>
      </c>
      <c r="B2092" s="1" t="n">
        <v>44993</v>
      </c>
      <c r="C2092" s="1" t="n">
        <v>45718</v>
      </c>
      <c r="D2092" t="inlineStr">
        <is>
          <t>JÄMTLANDS LÄN</t>
        </is>
      </c>
      <c r="E2092" t="inlineStr">
        <is>
          <t>STRÖMSUND</t>
        </is>
      </c>
      <c r="F2092" t="inlineStr">
        <is>
          <t>SCA</t>
        </is>
      </c>
      <c r="G2092" t="n">
        <v>67.40000000000001</v>
      </c>
      <c r="H2092" t="n">
        <v>0</v>
      </c>
      <c r="I2092" t="n">
        <v>0</v>
      </c>
      <c r="J2092" t="n">
        <v>0</v>
      </c>
      <c r="K2092" t="n">
        <v>0</v>
      </c>
      <c r="L2092" t="n">
        <v>0</v>
      </c>
      <c r="M2092" t="n">
        <v>0</v>
      </c>
      <c r="N2092" t="n">
        <v>0</v>
      </c>
      <c r="O2092" t="n">
        <v>0</v>
      </c>
      <c r="P2092" t="n">
        <v>0</v>
      </c>
      <c r="Q2092" t="n">
        <v>0</v>
      </c>
      <c r="R2092" s="2" t="inlineStr"/>
    </row>
    <row r="2093" ht="15" customHeight="1">
      <c r="A2093" t="inlineStr">
        <is>
          <t>A 11324-2023</t>
        </is>
      </c>
      <c r="B2093" s="1" t="n">
        <v>44993</v>
      </c>
      <c r="C2093" s="1" t="n">
        <v>45718</v>
      </c>
      <c r="D2093" t="inlineStr">
        <is>
          <t>JÄMTLANDS LÄN</t>
        </is>
      </c>
      <c r="E2093" t="inlineStr">
        <is>
          <t>STRÖMSUND</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12042-2023</t>
        </is>
      </c>
      <c r="B2094" s="1" t="n">
        <v>44996</v>
      </c>
      <c r="C2094" s="1" t="n">
        <v>45718</v>
      </c>
      <c r="D2094" t="inlineStr">
        <is>
          <t>JÄMTLANDS LÄN</t>
        </is>
      </c>
      <c r="E2094" t="inlineStr">
        <is>
          <t>STRÖMSUND</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12644-2023</t>
        </is>
      </c>
      <c r="B2095" s="1" t="n">
        <v>45000</v>
      </c>
      <c r="C2095" s="1" t="n">
        <v>45718</v>
      </c>
      <c r="D2095" t="inlineStr">
        <is>
          <t>JÄMTLANDS LÄN</t>
        </is>
      </c>
      <c r="E2095" t="inlineStr">
        <is>
          <t>STRÖMSUND</t>
        </is>
      </c>
      <c r="F2095" t="inlineStr">
        <is>
          <t>Kyrkan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12731-2023</t>
        </is>
      </c>
      <c r="B2096" s="1" t="n">
        <v>45000</v>
      </c>
      <c r="C2096" s="1" t="n">
        <v>45718</v>
      </c>
      <c r="D2096" t="inlineStr">
        <is>
          <t>JÄMTLANDS LÄN</t>
        </is>
      </c>
      <c r="E2096" t="inlineStr">
        <is>
          <t>STRÖMSUND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12971-2023</t>
        </is>
      </c>
      <c r="B2097" s="1" t="n">
        <v>45001</v>
      </c>
      <c r="C2097" s="1" t="n">
        <v>45718</v>
      </c>
      <c r="D2097" t="inlineStr">
        <is>
          <t>JÄMTLANDS LÄN</t>
        </is>
      </c>
      <c r="E2097" t="inlineStr">
        <is>
          <t>STRÖMSUND</t>
        </is>
      </c>
      <c r="G2097" t="n">
        <v>15.7</v>
      </c>
      <c r="H2097" t="n">
        <v>0</v>
      </c>
      <c r="I2097" t="n">
        <v>0</v>
      </c>
      <c r="J2097" t="n">
        <v>0</v>
      </c>
      <c r="K2097" t="n">
        <v>0</v>
      </c>
      <c r="L2097" t="n">
        <v>0</v>
      </c>
      <c r="M2097" t="n">
        <v>0</v>
      </c>
      <c r="N2097" t="n">
        <v>0</v>
      </c>
      <c r="O2097" t="n">
        <v>0</v>
      </c>
      <c r="P2097" t="n">
        <v>0</v>
      </c>
      <c r="Q2097" t="n">
        <v>0</v>
      </c>
      <c r="R2097" s="2" t="inlineStr"/>
    </row>
    <row r="2098" ht="15" customHeight="1">
      <c r="A2098" t="inlineStr">
        <is>
          <t>A 12993-2023</t>
        </is>
      </c>
      <c r="B2098" s="1" t="n">
        <v>45002</v>
      </c>
      <c r="C2098" s="1" t="n">
        <v>45718</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12994-2023</t>
        </is>
      </c>
      <c r="B2099" s="1" t="n">
        <v>45002</v>
      </c>
      <c r="C2099" s="1" t="n">
        <v>45718</v>
      </c>
      <c r="D2099" t="inlineStr">
        <is>
          <t>JÄMTLANDS LÄN</t>
        </is>
      </c>
      <c r="E2099" t="inlineStr">
        <is>
          <t>STRÖMSUND</t>
        </is>
      </c>
      <c r="F2099" t="inlineStr">
        <is>
          <t>SCA</t>
        </is>
      </c>
      <c r="G2099" t="n">
        <v>14.5</v>
      </c>
      <c r="H2099" t="n">
        <v>0</v>
      </c>
      <c r="I2099" t="n">
        <v>0</v>
      </c>
      <c r="J2099" t="n">
        <v>0</v>
      </c>
      <c r="K2099" t="n">
        <v>0</v>
      </c>
      <c r="L2099" t="n">
        <v>0</v>
      </c>
      <c r="M2099" t="n">
        <v>0</v>
      </c>
      <c r="N2099" t="n">
        <v>0</v>
      </c>
      <c r="O2099" t="n">
        <v>0</v>
      </c>
      <c r="P2099" t="n">
        <v>0</v>
      </c>
      <c r="Q2099" t="n">
        <v>0</v>
      </c>
      <c r="R2099" s="2" t="inlineStr"/>
    </row>
    <row r="2100" ht="15" customHeight="1">
      <c r="A2100" t="inlineStr">
        <is>
          <t>A 13685-2023</t>
        </is>
      </c>
      <c r="B2100" s="1" t="n">
        <v>45006</v>
      </c>
      <c r="C2100" s="1" t="n">
        <v>45718</v>
      </c>
      <c r="D2100" t="inlineStr">
        <is>
          <t>JÄMTLANDS LÄN</t>
        </is>
      </c>
      <c r="E2100" t="inlineStr">
        <is>
          <t>STRÖMSUND</t>
        </is>
      </c>
      <c r="G2100" t="n">
        <v>11.4</v>
      </c>
      <c r="H2100" t="n">
        <v>0</v>
      </c>
      <c r="I2100" t="n">
        <v>0</v>
      </c>
      <c r="J2100" t="n">
        <v>0</v>
      </c>
      <c r="K2100" t="n">
        <v>0</v>
      </c>
      <c r="L2100" t="n">
        <v>0</v>
      </c>
      <c r="M2100" t="n">
        <v>0</v>
      </c>
      <c r="N2100" t="n">
        <v>0</v>
      </c>
      <c r="O2100" t="n">
        <v>0</v>
      </c>
      <c r="P2100" t="n">
        <v>0</v>
      </c>
      <c r="Q2100" t="n">
        <v>0</v>
      </c>
      <c r="R2100" s="2" t="inlineStr"/>
    </row>
    <row r="2101" ht="15" customHeight="1">
      <c r="A2101" t="inlineStr">
        <is>
          <t>A 13684-2023</t>
        </is>
      </c>
      <c r="B2101" s="1" t="n">
        <v>45006</v>
      </c>
      <c r="C2101" s="1" t="n">
        <v>45718</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13687-2023</t>
        </is>
      </c>
      <c r="B2102" s="1" t="n">
        <v>45006</v>
      </c>
      <c r="C2102" s="1" t="n">
        <v>45718</v>
      </c>
      <c r="D2102" t="inlineStr">
        <is>
          <t>JÄMTLANDS LÄN</t>
        </is>
      </c>
      <c r="E2102" t="inlineStr">
        <is>
          <t>STRÖMSUND</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13686-2023</t>
        </is>
      </c>
      <c r="B2103" s="1" t="n">
        <v>45006</v>
      </c>
      <c r="C2103" s="1" t="n">
        <v>45718</v>
      </c>
      <c r="D2103" t="inlineStr">
        <is>
          <t>JÄMTLANDS LÄN</t>
        </is>
      </c>
      <c r="E2103" t="inlineStr">
        <is>
          <t>STRÖMSUND</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14070-2023</t>
        </is>
      </c>
      <c r="B2104" s="1" t="n">
        <v>45008</v>
      </c>
      <c r="C2104" s="1" t="n">
        <v>45718</v>
      </c>
      <c r="D2104" t="inlineStr">
        <is>
          <t>JÄMTLANDS LÄN</t>
        </is>
      </c>
      <c r="E2104" t="inlineStr">
        <is>
          <t>STRÖMSUND</t>
        </is>
      </c>
      <c r="G2104" t="n">
        <v>17.9</v>
      </c>
      <c r="H2104" t="n">
        <v>0</v>
      </c>
      <c r="I2104" t="n">
        <v>0</v>
      </c>
      <c r="J2104" t="n">
        <v>0</v>
      </c>
      <c r="K2104" t="n">
        <v>0</v>
      </c>
      <c r="L2104" t="n">
        <v>0</v>
      </c>
      <c r="M2104" t="n">
        <v>0</v>
      </c>
      <c r="N2104" t="n">
        <v>0</v>
      </c>
      <c r="O2104" t="n">
        <v>0</v>
      </c>
      <c r="P2104" t="n">
        <v>0</v>
      </c>
      <c r="Q2104" t="n">
        <v>0</v>
      </c>
      <c r="R2104" s="2" t="inlineStr"/>
    </row>
    <row r="2105" ht="15" customHeight="1">
      <c r="A2105" t="inlineStr">
        <is>
          <t>A 14069-2023</t>
        </is>
      </c>
      <c r="B2105" s="1" t="n">
        <v>45008</v>
      </c>
      <c r="C2105" s="1" t="n">
        <v>45718</v>
      </c>
      <c r="D2105" t="inlineStr">
        <is>
          <t>JÄMTLANDS LÄN</t>
        </is>
      </c>
      <c r="E2105" t="inlineStr">
        <is>
          <t>STRÖMSUND</t>
        </is>
      </c>
      <c r="G2105" t="n">
        <v>28.2</v>
      </c>
      <c r="H2105" t="n">
        <v>0</v>
      </c>
      <c r="I2105" t="n">
        <v>0</v>
      </c>
      <c r="J2105" t="n">
        <v>0</v>
      </c>
      <c r="K2105" t="n">
        <v>0</v>
      </c>
      <c r="L2105" t="n">
        <v>0</v>
      </c>
      <c r="M2105" t="n">
        <v>0</v>
      </c>
      <c r="N2105" t="n">
        <v>0</v>
      </c>
      <c r="O2105" t="n">
        <v>0</v>
      </c>
      <c r="P2105" t="n">
        <v>0</v>
      </c>
      <c r="Q2105" t="n">
        <v>0</v>
      </c>
      <c r="R2105" s="2" t="inlineStr"/>
    </row>
    <row r="2106" ht="15" customHeight="1">
      <c r="A2106" t="inlineStr">
        <is>
          <t>A 14068-2023</t>
        </is>
      </c>
      <c r="B2106" s="1" t="n">
        <v>45009</v>
      </c>
      <c r="C2106" s="1" t="n">
        <v>45718</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14072-2023</t>
        </is>
      </c>
      <c r="B2107" s="1" t="n">
        <v>45009</v>
      </c>
      <c r="C2107" s="1" t="n">
        <v>45718</v>
      </c>
      <c r="D2107" t="inlineStr">
        <is>
          <t>JÄMTLANDS LÄN</t>
        </is>
      </c>
      <c r="E2107" t="inlineStr">
        <is>
          <t>STRÖMSUND</t>
        </is>
      </c>
      <c r="F2107" t="inlineStr">
        <is>
          <t>SCA</t>
        </is>
      </c>
      <c r="G2107" t="n">
        <v>24.8</v>
      </c>
      <c r="H2107" t="n">
        <v>0</v>
      </c>
      <c r="I2107" t="n">
        <v>0</v>
      </c>
      <c r="J2107" t="n">
        <v>0</v>
      </c>
      <c r="K2107" t="n">
        <v>0</v>
      </c>
      <c r="L2107" t="n">
        <v>0</v>
      </c>
      <c r="M2107" t="n">
        <v>0</v>
      </c>
      <c r="N2107" t="n">
        <v>0</v>
      </c>
      <c r="O2107" t="n">
        <v>0</v>
      </c>
      <c r="P2107" t="n">
        <v>0</v>
      </c>
      <c r="Q2107" t="n">
        <v>0</v>
      </c>
      <c r="R2107" s="2" t="inlineStr"/>
    </row>
    <row r="2108" ht="15" customHeight="1">
      <c r="A2108" t="inlineStr">
        <is>
          <t>A 14338-2023</t>
        </is>
      </c>
      <c r="B2108" s="1" t="n">
        <v>45012</v>
      </c>
      <c r="C2108" s="1" t="n">
        <v>45718</v>
      </c>
      <c r="D2108" t="inlineStr">
        <is>
          <t>JÄMTLANDS LÄN</t>
        </is>
      </c>
      <c r="E2108" t="inlineStr">
        <is>
          <t>STRÖMSUND</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14344-2023</t>
        </is>
      </c>
      <c r="B2109" s="1" t="n">
        <v>45012</v>
      </c>
      <c r="C2109" s="1" t="n">
        <v>45718</v>
      </c>
      <c r="D2109" t="inlineStr">
        <is>
          <t>JÄMTLANDS LÄN</t>
        </is>
      </c>
      <c r="E2109" t="inlineStr">
        <is>
          <t>STRÖMSUND</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14371-2023</t>
        </is>
      </c>
      <c r="B2110" s="1" t="n">
        <v>45012</v>
      </c>
      <c r="C2110" s="1" t="n">
        <v>45718</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14347-2023</t>
        </is>
      </c>
      <c r="B2111" s="1" t="n">
        <v>45012</v>
      </c>
      <c r="C2111" s="1" t="n">
        <v>45718</v>
      </c>
      <c r="D2111" t="inlineStr">
        <is>
          <t>JÄMTLANDS LÄN</t>
        </is>
      </c>
      <c r="E2111" t="inlineStr">
        <is>
          <t>STRÖMSUND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14528-2023</t>
        </is>
      </c>
      <c r="B2112" s="1" t="n">
        <v>45012</v>
      </c>
      <c r="C2112" s="1" t="n">
        <v>45718</v>
      </c>
      <c r="D2112" t="inlineStr">
        <is>
          <t>JÄMTLANDS LÄN</t>
        </is>
      </c>
      <c r="E2112" t="inlineStr">
        <is>
          <t>STRÖMSUND</t>
        </is>
      </c>
      <c r="F2112" t="inlineStr">
        <is>
          <t>SCA</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14975-2023</t>
        </is>
      </c>
      <c r="B2113" s="1" t="n">
        <v>45013</v>
      </c>
      <c r="C2113" s="1" t="n">
        <v>45718</v>
      </c>
      <c r="D2113" t="inlineStr">
        <is>
          <t>JÄMTLANDS LÄN</t>
        </is>
      </c>
      <c r="E2113" t="inlineStr">
        <is>
          <t>STRÖMSUND</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14821-2023</t>
        </is>
      </c>
      <c r="B2114" s="1" t="n">
        <v>45013</v>
      </c>
      <c r="C2114" s="1" t="n">
        <v>45718</v>
      </c>
      <c r="D2114" t="inlineStr">
        <is>
          <t>JÄMTLANDS LÄN</t>
        </is>
      </c>
      <c r="E2114" t="inlineStr">
        <is>
          <t>STRÖMSUND</t>
        </is>
      </c>
      <c r="G2114" t="n">
        <v>39.3</v>
      </c>
      <c r="H2114" t="n">
        <v>0</v>
      </c>
      <c r="I2114" t="n">
        <v>0</v>
      </c>
      <c r="J2114" t="n">
        <v>0</v>
      </c>
      <c r="K2114" t="n">
        <v>0</v>
      </c>
      <c r="L2114" t="n">
        <v>0</v>
      </c>
      <c r="M2114" t="n">
        <v>0</v>
      </c>
      <c r="N2114" t="n">
        <v>0</v>
      </c>
      <c r="O2114" t="n">
        <v>0</v>
      </c>
      <c r="P2114" t="n">
        <v>0</v>
      </c>
      <c r="Q2114" t="n">
        <v>0</v>
      </c>
      <c r="R2114" s="2" t="inlineStr"/>
    </row>
    <row r="2115" ht="15" customHeight="1">
      <c r="A2115" t="inlineStr">
        <is>
          <t>A 14861-2023</t>
        </is>
      </c>
      <c r="B2115" s="1" t="n">
        <v>45015</v>
      </c>
      <c r="C2115" s="1" t="n">
        <v>45718</v>
      </c>
      <c r="D2115" t="inlineStr">
        <is>
          <t>JÄMTLANDS LÄN</t>
        </is>
      </c>
      <c r="E2115" t="inlineStr">
        <is>
          <t>STRÖMSUND</t>
        </is>
      </c>
      <c r="F2115" t="inlineStr">
        <is>
          <t>SCA</t>
        </is>
      </c>
      <c r="G2115" t="n">
        <v>26.3</v>
      </c>
      <c r="H2115" t="n">
        <v>0</v>
      </c>
      <c r="I2115" t="n">
        <v>0</v>
      </c>
      <c r="J2115" t="n">
        <v>0</v>
      </c>
      <c r="K2115" t="n">
        <v>0</v>
      </c>
      <c r="L2115" t="n">
        <v>0</v>
      </c>
      <c r="M2115" t="n">
        <v>0</v>
      </c>
      <c r="N2115" t="n">
        <v>0</v>
      </c>
      <c r="O2115" t="n">
        <v>0</v>
      </c>
      <c r="P2115" t="n">
        <v>0</v>
      </c>
      <c r="Q2115" t="n">
        <v>0</v>
      </c>
      <c r="R2115" s="2" t="inlineStr"/>
    </row>
    <row r="2116" ht="15" customHeight="1">
      <c r="A2116" t="inlineStr">
        <is>
          <t>A 14867-2023</t>
        </is>
      </c>
      <c r="B2116" s="1" t="n">
        <v>45015</v>
      </c>
      <c r="C2116" s="1" t="n">
        <v>45718</v>
      </c>
      <c r="D2116" t="inlineStr">
        <is>
          <t>JÄMTLANDS LÄN</t>
        </is>
      </c>
      <c r="E2116" t="inlineStr">
        <is>
          <t>STRÖMSUND</t>
        </is>
      </c>
      <c r="F2116" t="inlineStr">
        <is>
          <t>SCA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14866-2023</t>
        </is>
      </c>
      <c r="B2117" s="1" t="n">
        <v>45015</v>
      </c>
      <c r="C2117" s="1" t="n">
        <v>45718</v>
      </c>
      <c r="D2117" t="inlineStr">
        <is>
          <t>JÄMTLANDS LÄN</t>
        </is>
      </c>
      <c r="E2117" t="inlineStr">
        <is>
          <t>STRÖMSUND</t>
        </is>
      </c>
      <c r="F2117" t="inlineStr">
        <is>
          <t>SCA</t>
        </is>
      </c>
      <c r="G2117" t="n">
        <v>64.90000000000001</v>
      </c>
      <c r="H2117" t="n">
        <v>0</v>
      </c>
      <c r="I2117" t="n">
        <v>0</v>
      </c>
      <c r="J2117" t="n">
        <v>0</v>
      </c>
      <c r="K2117" t="n">
        <v>0</v>
      </c>
      <c r="L2117" t="n">
        <v>0</v>
      </c>
      <c r="M2117" t="n">
        <v>0</v>
      </c>
      <c r="N2117" t="n">
        <v>0</v>
      </c>
      <c r="O2117" t="n">
        <v>0</v>
      </c>
      <c r="P2117" t="n">
        <v>0</v>
      </c>
      <c r="Q2117" t="n">
        <v>0</v>
      </c>
      <c r="R2117" s="2" t="inlineStr"/>
    </row>
    <row r="2118" ht="15" customHeight="1">
      <c r="A2118" t="inlineStr">
        <is>
          <t>A 15064-2023</t>
        </is>
      </c>
      <c r="B2118" s="1" t="n">
        <v>45015</v>
      </c>
      <c r="C2118" s="1" t="n">
        <v>45718</v>
      </c>
      <c r="D2118" t="inlineStr">
        <is>
          <t>JÄMTLANDS LÄN</t>
        </is>
      </c>
      <c r="E2118" t="inlineStr">
        <is>
          <t>STRÖMSUND</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15207-2023</t>
        </is>
      </c>
      <c r="B2119" s="1" t="n">
        <v>45018</v>
      </c>
      <c r="C2119" s="1" t="n">
        <v>45718</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15455-2023</t>
        </is>
      </c>
      <c r="B2120" s="1" t="n">
        <v>45019</v>
      </c>
      <c r="C2120" s="1" t="n">
        <v>45718</v>
      </c>
      <c r="D2120" t="inlineStr">
        <is>
          <t>JÄMTLANDS LÄN</t>
        </is>
      </c>
      <c r="E2120" t="inlineStr">
        <is>
          <t>STRÖMSUND</t>
        </is>
      </c>
      <c r="G2120" t="n">
        <v>20.3</v>
      </c>
      <c r="H2120" t="n">
        <v>0</v>
      </c>
      <c r="I2120" t="n">
        <v>0</v>
      </c>
      <c r="J2120" t="n">
        <v>0</v>
      </c>
      <c r="K2120" t="n">
        <v>0</v>
      </c>
      <c r="L2120" t="n">
        <v>0</v>
      </c>
      <c r="M2120" t="n">
        <v>0</v>
      </c>
      <c r="N2120" t="n">
        <v>0</v>
      </c>
      <c r="O2120" t="n">
        <v>0</v>
      </c>
      <c r="P2120" t="n">
        <v>0</v>
      </c>
      <c r="Q2120" t="n">
        <v>0</v>
      </c>
      <c r="R2120" s="2" t="inlineStr"/>
    </row>
    <row r="2121" ht="15" customHeight="1">
      <c r="A2121" t="inlineStr">
        <is>
          <t>A 15818-2023</t>
        </is>
      </c>
      <c r="B2121" s="1" t="n">
        <v>45021</v>
      </c>
      <c r="C2121" s="1" t="n">
        <v>45718</v>
      </c>
      <c r="D2121" t="inlineStr">
        <is>
          <t>JÄMTLANDS LÄN</t>
        </is>
      </c>
      <c r="E2121" t="inlineStr">
        <is>
          <t>STRÖMSUND</t>
        </is>
      </c>
      <c r="G2121" t="n">
        <v>17.9</v>
      </c>
      <c r="H2121" t="n">
        <v>0</v>
      </c>
      <c r="I2121" t="n">
        <v>0</v>
      </c>
      <c r="J2121" t="n">
        <v>0</v>
      </c>
      <c r="K2121" t="n">
        <v>0</v>
      </c>
      <c r="L2121" t="n">
        <v>0</v>
      </c>
      <c r="M2121" t="n">
        <v>0</v>
      </c>
      <c r="N2121" t="n">
        <v>0</v>
      </c>
      <c r="O2121" t="n">
        <v>0</v>
      </c>
      <c r="P2121" t="n">
        <v>0</v>
      </c>
      <c r="Q2121" t="n">
        <v>0</v>
      </c>
      <c r="R2121" s="2" t="inlineStr"/>
    </row>
    <row r="2122" ht="15" customHeight="1">
      <c r="A2122" t="inlineStr">
        <is>
          <t>A 16780-2023</t>
        </is>
      </c>
      <c r="B2122" s="1" t="n">
        <v>45032</v>
      </c>
      <c r="C2122" s="1" t="n">
        <v>45718</v>
      </c>
      <c r="D2122" t="inlineStr">
        <is>
          <t>JÄMTLANDS LÄN</t>
        </is>
      </c>
      <c r="E2122" t="inlineStr">
        <is>
          <t>STRÖMSUND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17334-2023</t>
        </is>
      </c>
      <c r="B2123" s="1" t="n">
        <v>45033</v>
      </c>
      <c r="C2123" s="1" t="n">
        <v>45718</v>
      </c>
      <c r="D2123" t="inlineStr">
        <is>
          <t>JÄMTLANDS LÄN</t>
        </is>
      </c>
      <c r="E2123" t="inlineStr">
        <is>
          <t>STRÖMSUND</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17006-2023</t>
        </is>
      </c>
      <c r="B2124" s="1" t="n">
        <v>45033</v>
      </c>
      <c r="C2124" s="1" t="n">
        <v>45718</v>
      </c>
      <c r="D2124" t="inlineStr">
        <is>
          <t>JÄMTLANDS LÄN</t>
        </is>
      </c>
      <c r="E2124" t="inlineStr">
        <is>
          <t>STRÖMSUND</t>
        </is>
      </c>
      <c r="F2124" t="inlineStr">
        <is>
          <t>SCA</t>
        </is>
      </c>
      <c r="G2124" t="n">
        <v>13.4</v>
      </c>
      <c r="H2124" t="n">
        <v>0</v>
      </c>
      <c r="I2124" t="n">
        <v>0</v>
      </c>
      <c r="J2124" t="n">
        <v>0</v>
      </c>
      <c r="K2124" t="n">
        <v>0</v>
      </c>
      <c r="L2124" t="n">
        <v>0</v>
      </c>
      <c r="M2124" t="n">
        <v>0</v>
      </c>
      <c r="N2124" t="n">
        <v>0</v>
      </c>
      <c r="O2124" t="n">
        <v>0</v>
      </c>
      <c r="P2124" t="n">
        <v>0</v>
      </c>
      <c r="Q2124" t="n">
        <v>0</v>
      </c>
      <c r="R2124" s="2" t="inlineStr"/>
    </row>
    <row r="2125" ht="15" customHeight="1">
      <c r="A2125" t="inlineStr">
        <is>
          <t>A 17337-2023</t>
        </is>
      </c>
      <c r="B2125" s="1" t="n">
        <v>45033</v>
      </c>
      <c r="C2125" s="1" t="n">
        <v>45718</v>
      </c>
      <c r="D2125" t="inlineStr">
        <is>
          <t>JÄMTLANDS LÄN</t>
        </is>
      </c>
      <c r="E2125" t="inlineStr">
        <is>
          <t>STRÖMSUND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17338-2023</t>
        </is>
      </c>
      <c r="B2126" s="1" t="n">
        <v>45033</v>
      </c>
      <c r="C2126" s="1" t="n">
        <v>45718</v>
      </c>
      <c r="D2126" t="inlineStr">
        <is>
          <t>JÄMTLANDS LÄN</t>
        </is>
      </c>
      <c r="E2126" t="inlineStr">
        <is>
          <t>STRÖMSUND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17222-2023</t>
        </is>
      </c>
      <c r="B2127" s="1" t="n">
        <v>45035</v>
      </c>
      <c r="C2127" s="1" t="n">
        <v>45718</v>
      </c>
      <c r="D2127" t="inlineStr">
        <is>
          <t>JÄMTLANDS LÄN</t>
        </is>
      </c>
      <c r="E2127" t="inlineStr">
        <is>
          <t>STRÖMSUND</t>
        </is>
      </c>
      <c r="F2127" t="inlineStr">
        <is>
          <t>SCA</t>
        </is>
      </c>
      <c r="G2127" t="n">
        <v>25.2</v>
      </c>
      <c r="H2127" t="n">
        <v>0</v>
      </c>
      <c r="I2127" t="n">
        <v>0</v>
      </c>
      <c r="J2127" t="n">
        <v>0</v>
      </c>
      <c r="K2127" t="n">
        <v>0</v>
      </c>
      <c r="L2127" t="n">
        <v>0</v>
      </c>
      <c r="M2127" t="n">
        <v>0</v>
      </c>
      <c r="N2127" t="n">
        <v>0</v>
      </c>
      <c r="O2127" t="n">
        <v>0</v>
      </c>
      <c r="P2127" t="n">
        <v>0</v>
      </c>
      <c r="Q2127" t="n">
        <v>0</v>
      </c>
      <c r="R2127" s="2" t="inlineStr"/>
    </row>
    <row r="2128" ht="15" customHeight="1">
      <c r="A2128" t="inlineStr">
        <is>
          <t>A 17220-2023</t>
        </is>
      </c>
      <c r="B2128" s="1" t="n">
        <v>45035</v>
      </c>
      <c r="C2128" s="1" t="n">
        <v>45718</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17433-2023</t>
        </is>
      </c>
      <c r="B2129" s="1" t="n">
        <v>45035</v>
      </c>
      <c r="C2129" s="1" t="n">
        <v>45718</v>
      </c>
      <c r="D2129" t="inlineStr">
        <is>
          <t>JÄMTLANDS LÄN</t>
        </is>
      </c>
      <c r="E2129" t="inlineStr">
        <is>
          <t>STRÖMSUND</t>
        </is>
      </c>
      <c r="G2129" t="n">
        <v>15.6</v>
      </c>
      <c r="H2129" t="n">
        <v>0</v>
      </c>
      <c r="I2129" t="n">
        <v>0</v>
      </c>
      <c r="J2129" t="n">
        <v>0</v>
      </c>
      <c r="K2129" t="n">
        <v>0</v>
      </c>
      <c r="L2129" t="n">
        <v>0</v>
      </c>
      <c r="M2129" t="n">
        <v>0</v>
      </c>
      <c r="N2129" t="n">
        <v>0</v>
      </c>
      <c r="O2129" t="n">
        <v>0</v>
      </c>
      <c r="P2129" t="n">
        <v>0</v>
      </c>
      <c r="Q2129" t="n">
        <v>0</v>
      </c>
      <c r="R2129" s="2" t="inlineStr"/>
    </row>
    <row r="2130" ht="15" customHeight="1">
      <c r="A2130" t="inlineStr">
        <is>
          <t>A 17663-2023</t>
        </is>
      </c>
      <c r="B2130" s="1" t="n">
        <v>45037</v>
      </c>
      <c r="C2130" s="1" t="n">
        <v>45718</v>
      </c>
      <c r="D2130" t="inlineStr">
        <is>
          <t>JÄMTLANDS LÄN</t>
        </is>
      </c>
      <c r="E2130" t="inlineStr">
        <is>
          <t>STRÖMSUND</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17662-2023</t>
        </is>
      </c>
      <c r="B2131" s="1" t="n">
        <v>45037</v>
      </c>
      <c r="C2131" s="1" t="n">
        <v>45718</v>
      </c>
      <c r="D2131" t="inlineStr">
        <is>
          <t>JÄMTLANDS LÄN</t>
        </is>
      </c>
      <c r="E2131" t="inlineStr">
        <is>
          <t>STRÖMSUND</t>
        </is>
      </c>
      <c r="F2131" t="inlineStr">
        <is>
          <t>SCA</t>
        </is>
      </c>
      <c r="G2131" t="n">
        <v>12.4</v>
      </c>
      <c r="H2131" t="n">
        <v>0</v>
      </c>
      <c r="I2131" t="n">
        <v>0</v>
      </c>
      <c r="J2131" t="n">
        <v>0</v>
      </c>
      <c r="K2131" t="n">
        <v>0</v>
      </c>
      <c r="L2131" t="n">
        <v>0</v>
      </c>
      <c r="M2131" t="n">
        <v>0</v>
      </c>
      <c r="N2131" t="n">
        <v>0</v>
      </c>
      <c r="O2131" t="n">
        <v>0</v>
      </c>
      <c r="P2131" t="n">
        <v>0</v>
      </c>
      <c r="Q2131" t="n">
        <v>0</v>
      </c>
      <c r="R2131" s="2" t="inlineStr"/>
    </row>
    <row r="2132" ht="15" customHeight="1">
      <c r="A2132" t="inlineStr">
        <is>
          <t>A 17798-2023</t>
        </is>
      </c>
      <c r="B2132" s="1" t="n">
        <v>45036</v>
      </c>
      <c r="C2132" s="1" t="n">
        <v>45718</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17789-2023</t>
        </is>
      </c>
      <c r="B2133" s="1" t="n">
        <v>45036</v>
      </c>
      <c r="C2133" s="1" t="n">
        <v>45718</v>
      </c>
      <c r="D2133" t="inlineStr">
        <is>
          <t>JÄMTLANDS LÄN</t>
        </is>
      </c>
      <c r="E2133" t="inlineStr">
        <is>
          <t>STRÖMSUND</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18158-2023</t>
        </is>
      </c>
      <c r="B2134" s="1" t="n">
        <v>45040</v>
      </c>
      <c r="C2134" s="1" t="n">
        <v>45718</v>
      </c>
      <c r="D2134" t="inlineStr">
        <is>
          <t>JÄMTLANDS LÄN</t>
        </is>
      </c>
      <c r="E2134" t="inlineStr">
        <is>
          <t>STRÖMSUND</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18369-2023</t>
        </is>
      </c>
      <c r="B2135" s="1" t="n">
        <v>45042</v>
      </c>
      <c r="C2135" s="1" t="n">
        <v>45718</v>
      </c>
      <c r="D2135" t="inlineStr">
        <is>
          <t>JÄMTLANDS LÄN</t>
        </is>
      </c>
      <c r="E2135" t="inlineStr">
        <is>
          <t>STRÖMSUND</t>
        </is>
      </c>
      <c r="F2135" t="inlineStr">
        <is>
          <t>SCA</t>
        </is>
      </c>
      <c r="G2135" t="n">
        <v>100.1</v>
      </c>
      <c r="H2135" t="n">
        <v>0</v>
      </c>
      <c r="I2135" t="n">
        <v>0</v>
      </c>
      <c r="J2135" t="n">
        <v>0</v>
      </c>
      <c r="K2135" t="n">
        <v>0</v>
      </c>
      <c r="L2135" t="n">
        <v>0</v>
      </c>
      <c r="M2135" t="n">
        <v>0</v>
      </c>
      <c r="N2135" t="n">
        <v>0</v>
      </c>
      <c r="O2135" t="n">
        <v>0</v>
      </c>
      <c r="P2135" t="n">
        <v>0</v>
      </c>
      <c r="Q2135" t="n">
        <v>0</v>
      </c>
      <c r="R2135" s="2" t="inlineStr"/>
    </row>
    <row r="2136" ht="15" customHeight="1">
      <c r="A2136" t="inlineStr">
        <is>
          <t>A 18374-2023</t>
        </is>
      </c>
      <c r="B2136" s="1" t="n">
        <v>45041</v>
      </c>
      <c r="C2136" s="1" t="n">
        <v>45718</v>
      </c>
      <c r="D2136" t="inlineStr">
        <is>
          <t>JÄMTLANDS LÄN</t>
        </is>
      </c>
      <c r="E2136" t="inlineStr">
        <is>
          <t>STRÖMSUND</t>
        </is>
      </c>
      <c r="F2136" t="inlineStr">
        <is>
          <t>SCA</t>
        </is>
      </c>
      <c r="G2136" t="n">
        <v>29.7</v>
      </c>
      <c r="H2136" t="n">
        <v>0</v>
      </c>
      <c r="I2136" t="n">
        <v>0</v>
      </c>
      <c r="J2136" t="n">
        <v>0</v>
      </c>
      <c r="K2136" t="n">
        <v>0</v>
      </c>
      <c r="L2136" t="n">
        <v>0</v>
      </c>
      <c r="M2136" t="n">
        <v>0</v>
      </c>
      <c r="N2136" t="n">
        <v>0</v>
      </c>
      <c r="O2136" t="n">
        <v>0</v>
      </c>
      <c r="P2136" t="n">
        <v>0</v>
      </c>
      <c r="Q2136" t="n">
        <v>0</v>
      </c>
      <c r="R2136" s="2" t="inlineStr"/>
    </row>
    <row r="2137" ht="15" customHeight="1">
      <c r="A2137" t="inlineStr">
        <is>
          <t>A 18553-2023</t>
        </is>
      </c>
      <c r="B2137" s="1" t="n">
        <v>45042</v>
      </c>
      <c r="C2137" s="1" t="n">
        <v>45718</v>
      </c>
      <c r="D2137" t="inlineStr">
        <is>
          <t>JÄMTLANDS LÄN</t>
        </is>
      </c>
      <c r="E2137" t="inlineStr">
        <is>
          <t>STRÖMSUND</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18564-2023</t>
        </is>
      </c>
      <c r="B2138" s="1" t="n">
        <v>45043</v>
      </c>
      <c r="C2138" s="1" t="n">
        <v>45718</v>
      </c>
      <c r="D2138" t="inlineStr">
        <is>
          <t>JÄMTLANDS LÄN</t>
        </is>
      </c>
      <c r="E2138" t="inlineStr">
        <is>
          <t>STRÖMSUND</t>
        </is>
      </c>
      <c r="F2138" t="inlineStr">
        <is>
          <t>SCA</t>
        </is>
      </c>
      <c r="G2138" t="n">
        <v>40.5</v>
      </c>
      <c r="H2138" t="n">
        <v>0</v>
      </c>
      <c r="I2138" t="n">
        <v>0</v>
      </c>
      <c r="J2138" t="n">
        <v>0</v>
      </c>
      <c r="K2138" t="n">
        <v>0</v>
      </c>
      <c r="L2138" t="n">
        <v>0</v>
      </c>
      <c r="M2138" t="n">
        <v>0</v>
      </c>
      <c r="N2138" t="n">
        <v>0</v>
      </c>
      <c r="O2138" t="n">
        <v>0</v>
      </c>
      <c r="P2138" t="n">
        <v>0</v>
      </c>
      <c r="Q2138" t="n">
        <v>0</v>
      </c>
      <c r="R2138" s="2" t="inlineStr"/>
    </row>
    <row r="2139" ht="15" customHeight="1">
      <c r="A2139" t="inlineStr">
        <is>
          <t>A 18775-2023</t>
        </is>
      </c>
      <c r="B2139" s="1" t="n">
        <v>45044</v>
      </c>
      <c r="C2139" s="1" t="n">
        <v>45718</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18773-2023</t>
        </is>
      </c>
      <c r="B2140" s="1" t="n">
        <v>45044</v>
      </c>
      <c r="C2140" s="1" t="n">
        <v>45718</v>
      </c>
      <c r="D2140" t="inlineStr">
        <is>
          <t>JÄMTLANDS LÄN</t>
        </is>
      </c>
      <c r="E2140" t="inlineStr">
        <is>
          <t>STRÖMSUND</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18783-2023</t>
        </is>
      </c>
      <c r="B2141" s="1" t="n">
        <v>45043</v>
      </c>
      <c r="C2141" s="1" t="n">
        <v>45718</v>
      </c>
      <c r="D2141" t="inlineStr">
        <is>
          <t>JÄMTLANDS LÄN</t>
        </is>
      </c>
      <c r="E2141" t="inlineStr">
        <is>
          <t>STRÖMSUND</t>
        </is>
      </c>
      <c r="F2141" t="inlineStr">
        <is>
          <t>SCA</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18768-2023</t>
        </is>
      </c>
      <c r="B2142" s="1" t="n">
        <v>45043</v>
      </c>
      <c r="C2142" s="1" t="n">
        <v>45718</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18777-2023</t>
        </is>
      </c>
      <c r="B2143" s="1" t="n">
        <v>45044</v>
      </c>
      <c r="C2143" s="1" t="n">
        <v>45718</v>
      </c>
      <c r="D2143" t="inlineStr">
        <is>
          <t>JÄMTLANDS LÄN</t>
        </is>
      </c>
      <c r="E2143" t="inlineStr">
        <is>
          <t>STRÖMSUND</t>
        </is>
      </c>
      <c r="F2143" t="inlineStr">
        <is>
          <t>SCA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18774-2023</t>
        </is>
      </c>
      <c r="B2144" s="1" t="n">
        <v>45044</v>
      </c>
      <c r="C2144" s="1" t="n">
        <v>45718</v>
      </c>
      <c r="D2144" t="inlineStr">
        <is>
          <t>JÄMTLANDS LÄN</t>
        </is>
      </c>
      <c r="E2144" t="inlineStr">
        <is>
          <t>STRÖMSUND</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18788-2023</t>
        </is>
      </c>
      <c r="B2145" s="1" t="n">
        <v>45044</v>
      </c>
      <c r="C2145" s="1" t="n">
        <v>45718</v>
      </c>
      <c r="D2145" t="inlineStr">
        <is>
          <t>JÄMTLANDS LÄN</t>
        </is>
      </c>
      <c r="E2145" t="inlineStr">
        <is>
          <t>STRÖMSUND</t>
        </is>
      </c>
      <c r="F2145" t="inlineStr">
        <is>
          <t>SCA</t>
        </is>
      </c>
      <c r="G2145" t="n">
        <v>69.09999999999999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18992-2023</t>
        </is>
      </c>
      <c r="B2146" s="1" t="n">
        <v>45044</v>
      </c>
      <c r="C2146" s="1" t="n">
        <v>45718</v>
      </c>
      <c r="D2146" t="inlineStr">
        <is>
          <t>JÄMTLANDS LÄN</t>
        </is>
      </c>
      <c r="E2146" t="inlineStr">
        <is>
          <t>STRÖMSUND</t>
        </is>
      </c>
      <c r="F2146" t="inlineStr">
        <is>
          <t>SCA</t>
        </is>
      </c>
      <c r="G2146" t="n">
        <v>25.7</v>
      </c>
      <c r="H2146" t="n">
        <v>0</v>
      </c>
      <c r="I2146" t="n">
        <v>0</v>
      </c>
      <c r="J2146" t="n">
        <v>0</v>
      </c>
      <c r="K2146" t="n">
        <v>0</v>
      </c>
      <c r="L2146" t="n">
        <v>0</v>
      </c>
      <c r="M2146" t="n">
        <v>0</v>
      </c>
      <c r="N2146" t="n">
        <v>0</v>
      </c>
      <c r="O2146" t="n">
        <v>0</v>
      </c>
      <c r="P2146" t="n">
        <v>0</v>
      </c>
      <c r="Q2146" t="n">
        <v>0</v>
      </c>
      <c r="R2146" s="2" t="inlineStr"/>
    </row>
    <row r="2147" ht="15" customHeight="1">
      <c r="A2147" t="inlineStr">
        <is>
          <t>A 18993-2023</t>
        </is>
      </c>
      <c r="B2147" s="1" t="n">
        <v>45044</v>
      </c>
      <c r="C2147" s="1" t="n">
        <v>45718</v>
      </c>
      <c r="D2147" t="inlineStr">
        <is>
          <t>JÄMTLANDS LÄN</t>
        </is>
      </c>
      <c r="E2147" t="inlineStr">
        <is>
          <t>STRÖMSUND</t>
        </is>
      </c>
      <c r="F2147" t="inlineStr">
        <is>
          <t>SCA</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18997-2023</t>
        </is>
      </c>
      <c r="B2148" s="1" t="n">
        <v>45044</v>
      </c>
      <c r="C2148" s="1" t="n">
        <v>45718</v>
      </c>
      <c r="D2148" t="inlineStr">
        <is>
          <t>JÄMTLANDS LÄN</t>
        </is>
      </c>
      <c r="E2148" t="inlineStr">
        <is>
          <t>STRÖMSUND</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18994-2023</t>
        </is>
      </c>
      <c r="B2149" s="1" t="n">
        <v>45045</v>
      </c>
      <c r="C2149" s="1" t="n">
        <v>45718</v>
      </c>
      <c r="D2149" t="inlineStr">
        <is>
          <t>JÄMTLANDS LÄN</t>
        </is>
      </c>
      <c r="E2149" t="inlineStr">
        <is>
          <t>STRÖMSUND</t>
        </is>
      </c>
      <c r="F2149" t="inlineStr">
        <is>
          <t>SCA</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19029-2023</t>
        </is>
      </c>
      <c r="B2150" s="1" t="n">
        <v>45047</v>
      </c>
      <c r="C2150" s="1" t="n">
        <v>45718</v>
      </c>
      <c r="D2150" t="inlineStr">
        <is>
          <t>JÄMTLANDS LÄN</t>
        </is>
      </c>
      <c r="E2150" t="inlineStr">
        <is>
          <t>STRÖMSUND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19027-2023</t>
        </is>
      </c>
      <c r="B2151" s="1" t="n">
        <v>45047</v>
      </c>
      <c r="C2151" s="1" t="n">
        <v>45718</v>
      </c>
      <c r="D2151" t="inlineStr">
        <is>
          <t>JÄMTLANDS LÄN</t>
        </is>
      </c>
      <c r="E2151" t="inlineStr">
        <is>
          <t>STRÖMSUND</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19026-2023</t>
        </is>
      </c>
      <c r="B2152" s="1" t="n">
        <v>45047</v>
      </c>
      <c r="C2152" s="1" t="n">
        <v>45718</v>
      </c>
      <c r="D2152" t="inlineStr">
        <is>
          <t>JÄMTLANDS LÄN</t>
        </is>
      </c>
      <c r="E2152" t="inlineStr">
        <is>
          <t>STRÖMSUND</t>
        </is>
      </c>
      <c r="G2152" t="n">
        <v>15.1</v>
      </c>
      <c r="H2152" t="n">
        <v>0</v>
      </c>
      <c r="I2152" t="n">
        <v>0</v>
      </c>
      <c r="J2152" t="n">
        <v>0</v>
      </c>
      <c r="K2152" t="n">
        <v>0</v>
      </c>
      <c r="L2152" t="n">
        <v>0</v>
      </c>
      <c r="M2152" t="n">
        <v>0</v>
      </c>
      <c r="N2152" t="n">
        <v>0</v>
      </c>
      <c r="O2152" t="n">
        <v>0</v>
      </c>
      <c r="P2152" t="n">
        <v>0</v>
      </c>
      <c r="Q2152" t="n">
        <v>0</v>
      </c>
      <c r="R2152" s="2" t="inlineStr"/>
    </row>
    <row r="2153" ht="15" customHeight="1">
      <c r="A2153" t="inlineStr">
        <is>
          <t>A 19239-2023</t>
        </is>
      </c>
      <c r="B2153" s="1" t="n">
        <v>45048</v>
      </c>
      <c r="C2153" s="1" t="n">
        <v>45718</v>
      </c>
      <c r="D2153" t="inlineStr">
        <is>
          <t>JÄMTLANDS LÄN</t>
        </is>
      </c>
      <c r="E2153" t="inlineStr">
        <is>
          <t>STRÖMSUND</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19261-2023</t>
        </is>
      </c>
      <c r="B2154" s="1" t="n">
        <v>45048</v>
      </c>
      <c r="C2154" s="1" t="n">
        <v>45718</v>
      </c>
      <c r="D2154" t="inlineStr">
        <is>
          <t>JÄMTLANDS LÄN</t>
        </is>
      </c>
      <c r="E2154" t="inlineStr">
        <is>
          <t>STRÖMSUND</t>
        </is>
      </c>
      <c r="G2154" t="n">
        <v>17.2</v>
      </c>
      <c r="H2154" t="n">
        <v>0</v>
      </c>
      <c r="I2154" t="n">
        <v>0</v>
      </c>
      <c r="J2154" t="n">
        <v>0</v>
      </c>
      <c r="K2154" t="n">
        <v>0</v>
      </c>
      <c r="L2154" t="n">
        <v>0</v>
      </c>
      <c r="M2154" t="n">
        <v>0</v>
      </c>
      <c r="N2154" t="n">
        <v>0</v>
      </c>
      <c r="O2154" t="n">
        <v>0</v>
      </c>
      <c r="P2154" t="n">
        <v>0</v>
      </c>
      <c r="Q2154" t="n">
        <v>0</v>
      </c>
      <c r="R2154" s="2" t="inlineStr"/>
    </row>
    <row r="2155" ht="15" customHeight="1">
      <c r="A2155" t="inlineStr">
        <is>
          <t>A 19621-2023</t>
        </is>
      </c>
      <c r="B2155" s="1" t="n">
        <v>45051</v>
      </c>
      <c r="C2155" s="1" t="n">
        <v>45718</v>
      </c>
      <c r="D2155" t="inlineStr">
        <is>
          <t>JÄMTLANDS LÄN</t>
        </is>
      </c>
      <c r="E2155" t="inlineStr">
        <is>
          <t>STRÖMSUND</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19658-2023</t>
        </is>
      </c>
      <c r="B2156" s="1" t="n">
        <v>45050</v>
      </c>
      <c r="C2156" s="1" t="n">
        <v>45718</v>
      </c>
      <c r="D2156" t="inlineStr">
        <is>
          <t>JÄMTLANDS LÄN</t>
        </is>
      </c>
      <c r="E2156" t="inlineStr">
        <is>
          <t>STRÖMSUND</t>
        </is>
      </c>
      <c r="F2156" t="inlineStr">
        <is>
          <t>Kommuner</t>
        </is>
      </c>
      <c r="G2156" t="n">
        <v>23.7</v>
      </c>
      <c r="H2156" t="n">
        <v>0</v>
      </c>
      <c r="I2156" t="n">
        <v>0</v>
      </c>
      <c r="J2156" t="n">
        <v>0</v>
      </c>
      <c r="K2156" t="n">
        <v>0</v>
      </c>
      <c r="L2156" t="n">
        <v>0</v>
      </c>
      <c r="M2156" t="n">
        <v>0</v>
      </c>
      <c r="N2156" t="n">
        <v>0</v>
      </c>
      <c r="O2156" t="n">
        <v>0</v>
      </c>
      <c r="P2156" t="n">
        <v>0</v>
      </c>
      <c r="Q2156" t="n">
        <v>0</v>
      </c>
      <c r="R2156" s="2" t="inlineStr"/>
    </row>
    <row r="2157" ht="15" customHeight="1">
      <c r="A2157" t="inlineStr">
        <is>
          <t>A 19652-2023</t>
        </is>
      </c>
      <c r="B2157" s="1" t="n">
        <v>45050</v>
      </c>
      <c r="C2157" s="1" t="n">
        <v>45718</v>
      </c>
      <c r="D2157" t="inlineStr">
        <is>
          <t>JÄMTLANDS LÄN</t>
        </is>
      </c>
      <c r="E2157" t="inlineStr">
        <is>
          <t>STRÖMSUND</t>
        </is>
      </c>
      <c r="F2157" t="inlineStr">
        <is>
          <t>Kommuner</t>
        </is>
      </c>
      <c r="G2157" t="n">
        <v>14.2</v>
      </c>
      <c r="H2157" t="n">
        <v>0</v>
      </c>
      <c r="I2157" t="n">
        <v>0</v>
      </c>
      <c r="J2157" t="n">
        <v>0</v>
      </c>
      <c r="K2157" t="n">
        <v>0</v>
      </c>
      <c r="L2157" t="n">
        <v>0</v>
      </c>
      <c r="M2157" t="n">
        <v>0</v>
      </c>
      <c r="N2157" t="n">
        <v>0</v>
      </c>
      <c r="O2157" t="n">
        <v>0</v>
      </c>
      <c r="P2157" t="n">
        <v>0</v>
      </c>
      <c r="Q2157" t="n">
        <v>0</v>
      </c>
      <c r="R2157" s="2" t="inlineStr"/>
    </row>
    <row r="2158" ht="15" customHeight="1">
      <c r="A2158" t="inlineStr">
        <is>
          <t>A 19656-2023</t>
        </is>
      </c>
      <c r="B2158" s="1" t="n">
        <v>45050</v>
      </c>
      <c r="C2158" s="1" t="n">
        <v>45718</v>
      </c>
      <c r="D2158" t="inlineStr">
        <is>
          <t>JÄMTLANDS LÄN</t>
        </is>
      </c>
      <c r="E2158" t="inlineStr">
        <is>
          <t>STRÖMSUND</t>
        </is>
      </c>
      <c r="F2158" t="inlineStr">
        <is>
          <t>Kommuner</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19826-2023</t>
        </is>
      </c>
      <c r="B2159" s="1" t="n">
        <v>45052</v>
      </c>
      <c r="C2159" s="1" t="n">
        <v>45718</v>
      </c>
      <c r="D2159" t="inlineStr">
        <is>
          <t>JÄMTLANDS LÄN</t>
        </is>
      </c>
      <c r="E2159" t="inlineStr">
        <is>
          <t>STRÖMSUND</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19831-2023</t>
        </is>
      </c>
      <c r="B2160" s="1" t="n">
        <v>45052</v>
      </c>
      <c r="C2160" s="1" t="n">
        <v>45718</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20590-2023</t>
        </is>
      </c>
      <c r="B2161" s="1" t="n">
        <v>45058</v>
      </c>
      <c r="C2161" s="1" t="n">
        <v>45718</v>
      </c>
      <c r="D2161" t="inlineStr">
        <is>
          <t>JÄMTLANDS LÄN</t>
        </is>
      </c>
      <c r="E2161" t="inlineStr">
        <is>
          <t>STRÖMSUND</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20631-2023</t>
        </is>
      </c>
      <c r="B2162" s="1" t="n">
        <v>45057</v>
      </c>
      <c r="C2162" s="1" t="n">
        <v>45718</v>
      </c>
      <c r="D2162" t="inlineStr">
        <is>
          <t>JÄMTLANDS LÄN</t>
        </is>
      </c>
      <c r="E2162" t="inlineStr">
        <is>
          <t>STRÖMSUND</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21146-2023</t>
        </is>
      </c>
      <c r="B2163" s="1" t="n">
        <v>45057</v>
      </c>
      <c r="C2163" s="1" t="n">
        <v>45718</v>
      </c>
      <c r="D2163" t="inlineStr">
        <is>
          <t>JÄMTLANDS LÄN</t>
        </is>
      </c>
      <c r="E2163" t="inlineStr">
        <is>
          <t>STRÖMSUND</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20597-2023</t>
        </is>
      </c>
      <c r="B2164" s="1" t="n">
        <v>45058</v>
      </c>
      <c r="C2164" s="1" t="n">
        <v>45718</v>
      </c>
      <c r="D2164" t="inlineStr">
        <is>
          <t>JÄMTLANDS LÄN</t>
        </is>
      </c>
      <c r="E2164" t="inlineStr">
        <is>
          <t>STRÖMSUND</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20592-2023</t>
        </is>
      </c>
      <c r="B2165" s="1" t="n">
        <v>45057</v>
      </c>
      <c r="C2165" s="1" t="n">
        <v>45718</v>
      </c>
      <c r="D2165" t="inlineStr">
        <is>
          <t>JÄMTLANDS LÄN</t>
        </is>
      </c>
      <c r="E2165" t="inlineStr">
        <is>
          <t>STRÖMSUND</t>
        </is>
      </c>
      <c r="F2165" t="inlineStr">
        <is>
          <t>SCA</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20887-2023</t>
        </is>
      </c>
      <c r="B2166" s="1" t="n">
        <v>45058</v>
      </c>
      <c r="C2166" s="1" t="n">
        <v>45718</v>
      </c>
      <c r="D2166" t="inlineStr">
        <is>
          <t>JÄMTLANDS LÄN</t>
        </is>
      </c>
      <c r="E2166" t="inlineStr">
        <is>
          <t>STRÖMSUND</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21115-2023</t>
        </is>
      </c>
      <c r="B2167" s="1" t="n">
        <v>45061</v>
      </c>
      <c r="C2167" s="1" t="n">
        <v>45718</v>
      </c>
      <c r="D2167" t="inlineStr">
        <is>
          <t>JÄMTLANDS LÄN</t>
        </is>
      </c>
      <c r="E2167" t="inlineStr">
        <is>
          <t>STRÖMSUND</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21110-2023</t>
        </is>
      </c>
      <c r="B2168" s="1" t="n">
        <v>45061</v>
      </c>
      <c r="C2168" s="1" t="n">
        <v>45718</v>
      </c>
      <c r="D2168" t="inlineStr">
        <is>
          <t>JÄMTLANDS LÄN</t>
        </is>
      </c>
      <c r="E2168" t="inlineStr">
        <is>
          <t>STRÖMSUND</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21358-2023</t>
        </is>
      </c>
      <c r="B2169" s="1" t="n">
        <v>45063</v>
      </c>
      <c r="C2169" s="1" t="n">
        <v>45718</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21338-2023</t>
        </is>
      </c>
      <c r="B2170" s="1" t="n">
        <v>45062</v>
      </c>
      <c r="C2170" s="1" t="n">
        <v>45718</v>
      </c>
      <c r="D2170" t="inlineStr">
        <is>
          <t>JÄMTLANDS LÄN</t>
        </is>
      </c>
      <c r="E2170" t="inlineStr">
        <is>
          <t>STRÖMSUND</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21339-2023</t>
        </is>
      </c>
      <c r="B2171" s="1" t="n">
        <v>45063</v>
      </c>
      <c r="C2171" s="1" t="n">
        <v>45718</v>
      </c>
      <c r="D2171" t="inlineStr">
        <is>
          <t>JÄMTLANDS LÄN</t>
        </is>
      </c>
      <c r="E2171" t="inlineStr">
        <is>
          <t>STRÖMSUND</t>
        </is>
      </c>
      <c r="F2171" t="inlineStr">
        <is>
          <t>SCA</t>
        </is>
      </c>
      <c r="G2171" t="n">
        <v>22.5</v>
      </c>
      <c r="H2171" t="n">
        <v>0</v>
      </c>
      <c r="I2171" t="n">
        <v>0</v>
      </c>
      <c r="J2171" t="n">
        <v>0</v>
      </c>
      <c r="K2171" t="n">
        <v>0</v>
      </c>
      <c r="L2171" t="n">
        <v>0</v>
      </c>
      <c r="M2171" t="n">
        <v>0</v>
      </c>
      <c r="N2171" t="n">
        <v>0</v>
      </c>
      <c r="O2171" t="n">
        <v>0</v>
      </c>
      <c r="P2171" t="n">
        <v>0</v>
      </c>
      <c r="Q2171" t="n">
        <v>0</v>
      </c>
      <c r="R2171" s="2" t="inlineStr"/>
    </row>
    <row r="2172" ht="15" customHeight="1">
      <c r="A2172" t="inlineStr">
        <is>
          <t>A 21687-2023</t>
        </is>
      </c>
      <c r="B2172" s="1" t="n">
        <v>45063</v>
      </c>
      <c r="C2172" s="1" t="n">
        <v>45718</v>
      </c>
      <c r="D2172" t="inlineStr">
        <is>
          <t>JÄMTLANDS LÄN</t>
        </is>
      </c>
      <c r="E2172" t="inlineStr">
        <is>
          <t>STRÖMSUND</t>
        </is>
      </c>
      <c r="F2172" t="inlineStr">
        <is>
          <t>SCA</t>
        </is>
      </c>
      <c r="G2172" t="n">
        <v>38.4</v>
      </c>
      <c r="H2172" t="n">
        <v>0</v>
      </c>
      <c r="I2172" t="n">
        <v>0</v>
      </c>
      <c r="J2172" t="n">
        <v>0</v>
      </c>
      <c r="K2172" t="n">
        <v>0</v>
      </c>
      <c r="L2172" t="n">
        <v>0</v>
      </c>
      <c r="M2172" t="n">
        <v>0</v>
      </c>
      <c r="N2172" t="n">
        <v>0</v>
      </c>
      <c r="O2172" t="n">
        <v>0</v>
      </c>
      <c r="P2172" t="n">
        <v>0</v>
      </c>
      <c r="Q2172" t="n">
        <v>0</v>
      </c>
      <c r="R2172" s="2" t="inlineStr"/>
    </row>
    <row r="2173" ht="15" customHeight="1">
      <c r="A2173" t="inlineStr">
        <is>
          <t>A 21685-2023</t>
        </is>
      </c>
      <c r="B2173" s="1" t="n">
        <v>45064</v>
      </c>
      <c r="C2173" s="1" t="n">
        <v>45718</v>
      </c>
      <c r="D2173" t="inlineStr">
        <is>
          <t>JÄMTLANDS LÄN</t>
        </is>
      </c>
      <c r="E2173" t="inlineStr">
        <is>
          <t>STRÖMSUND</t>
        </is>
      </c>
      <c r="F2173" t="inlineStr">
        <is>
          <t>SCA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21711-2023</t>
        </is>
      </c>
      <c r="B2174" s="1" t="n">
        <v>45065</v>
      </c>
      <c r="C2174" s="1" t="n">
        <v>45718</v>
      </c>
      <c r="D2174" t="inlineStr">
        <is>
          <t>JÄMTLANDS LÄN</t>
        </is>
      </c>
      <c r="E2174" t="inlineStr">
        <is>
          <t>STRÖMSUND</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22223-2023</t>
        </is>
      </c>
      <c r="B2175" s="1" t="n">
        <v>45069</v>
      </c>
      <c r="C2175" s="1" t="n">
        <v>45718</v>
      </c>
      <c r="D2175" t="inlineStr">
        <is>
          <t>JÄMTLANDS LÄN</t>
        </is>
      </c>
      <c r="E2175" t="inlineStr">
        <is>
          <t>STRÖMSUND</t>
        </is>
      </c>
      <c r="F2175" t="inlineStr">
        <is>
          <t>SCA</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22475-2023</t>
        </is>
      </c>
      <c r="B2176" s="1" t="n">
        <v>45071</v>
      </c>
      <c r="C2176" s="1" t="n">
        <v>45718</v>
      </c>
      <c r="D2176" t="inlineStr">
        <is>
          <t>JÄMTLANDS LÄN</t>
        </is>
      </c>
      <c r="E2176" t="inlineStr">
        <is>
          <t>STRÖMSUND</t>
        </is>
      </c>
      <c r="F2176" t="inlineStr">
        <is>
          <t>SCA</t>
        </is>
      </c>
      <c r="G2176" t="n">
        <v>35.1</v>
      </c>
      <c r="H2176" t="n">
        <v>0</v>
      </c>
      <c r="I2176" t="n">
        <v>0</v>
      </c>
      <c r="J2176" t="n">
        <v>0</v>
      </c>
      <c r="K2176" t="n">
        <v>0</v>
      </c>
      <c r="L2176" t="n">
        <v>0</v>
      </c>
      <c r="M2176" t="n">
        <v>0</v>
      </c>
      <c r="N2176" t="n">
        <v>0</v>
      </c>
      <c r="O2176" t="n">
        <v>0</v>
      </c>
      <c r="P2176" t="n">
        <v>0</v>
      </c>
      <c r="Q2176" t="n">
        <v>0</v>
      </c>
      <c r="R2176" s="2" t="inlineStr"/>
    </row>
    <row r="2177" ht="15" customHeight="1">
      <c r="A2177" t="inlineStr">
        <is>
          <t>A 22346-2023</t>
        </is>
      </c>
      <c r="B2177" s="1" t="n">
        <v>45070</v>
      </c>
      <c r="C2177" s="1" t="n">
        <v>45718</v>
      </c>
      <c r="D2177" t="inlineStr">
        <is>
          <t>JÄMTLANDS LÄN</t>
        </is>
      </c>
      <c r="E2177" t="inlineStr">
        <is>
          <t>STRÖMSUND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22468-2023</t>
        </is>
      </c>
      <c r="B2178" s="1" t="n">
        <v>45070</v>
      </c>
      <c r="C2178" s="1" t="n">
        <v>45718</v>
      </c>
      <c r="D2178" t="inlineStr">
        <is>
          <t>JÄMTLANDS LÄN</t>
        </is>
      </c>
      <c r="E2178" t="inlineStr">
        <is>
          <t>STRÖMSUND</t>
        </is>
      </c>
      <c r="F2178" t="inlineStr">
        <is>
          <t>SCA</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22478-2023</t>
        </is>
      </c>
      <c r="B2179" s="1" t="n">
        <v>45071</v>
      </c>
      <c r="C2179" s="1" t="n">
        <v>45718</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22476-2023</t>
        </is>
      </c>
      <c r="B2180" s="1" t="n">
        <v>45070</v>
      </c>
      <c r="C2180" s="1" t="n">
        <v>45718</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22477-2023</t>
        </is>
      </c>
      <c r="B2181" s="1" t="n">
        <v>45070</v>
      </c>
      <c r="C2181" s="1" t="n">
        <v>45718</v>
      </c>
      <c r="D2181" t="inlineStr">
        <is>
          <t>JÄMTLANDS LÄN</t>
        </is>
      </c>
      <c r="E2181" t="inlineStr">
        <is>
          <t>STRÖMSUND</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22745-2023</t>
        </is>
      </c>
      <c r="B2182" s="1" t="n">
        <v>45072</v>
      </c>
      <c r="C2182" s="1" t="n">
        <v>45718</v>
      </c>
      <c r="D2182" t="inlineStr">
        <is>
          <t>JÄMTLANDS LÄN</t>
        </is>
      </c>
      <c r="E2182" t="inlineStr">
        <is>
          <t>STRÖMSUND</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23303-2023</t>
        </is>
      </c>
      <c r="B2183" s="1" t="n">
        <v>45076</v>
      </c>
      <c r="C2183" s="1" t="n">
        <v>45718</v>
      </c>
      <c r="D2183" t="inlineStr">
        <is>
          <t>JÄMTLANDS LÄN</t>
        </is>
      </c>
      <c r="E2183" t="inlineStr">
        <is>
          <t>STRÖMSUND</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23310-2023</t>
        </is>
      </c>
      <c r="B2184" s="1" t="n">
        <v>45075</v>
      </c>
      <c r="C2184" s="1" t="n">
        <v>45718</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23309-2023</t>
        </is>
      </c>
      <c r="B2185" s="1" t="n">
        <v>45075</v>
      </c>
      <c r="C2185" s="1" t="n">
        <v>45718</v>
      </c>
      <c r="D2185" t="inlineStr">
        <is>
          <t>JÄMTLANDS LÄN</t>
        </is>
      </c>
      <c r="E2185" t="inlineStr">
        <is>
          <t>STRÖMSUND</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23311-2023</t>
        </is>
      </c>
      <c r="B2186" s="1" t="n">
        <v>45075</v>
      </c>
      <c r="C2186" s="1" t="n">
        <v>45718</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23906-2023</t>
        </is>
      </c>
      <c r="B2187" s="1" t="n">
        <v>45075</v>
      </c>
      <c r="C2187" s="1" t="n">
        <v>45718</v>
      </c>
      <c r="D2187" t="inlineStr">
        <is>
          <t>JÄMTLANDS LÄN</t>
        </is>
      </c>
      <c r="E2187" t="inlineStr">
        <is>
          <t>STRÖMSUND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23839-2023</t>
        </is>
      </c>
      <c r="B2188" s="1" t="n">
        <v>45075</v>
      </c>
      <c r="C2188" s="1" t="n">
        <v>45718</v>
      </c>
      <c r="D2188" t="inlineStr">
        <is>
          <t>JÄMTLANDS LÄN</t>
        </is>
      </c>
      <c r="E2188" t="inlineStr">
        <is>
          <t>STRÖMSUND</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23446-2023</t>
        </is>
      </c>
      <c r="B2189" s="1" t="n">
        <v>45076</v>
      </c>
      <c r="C2189" s="1" t="n">
        <v>45718</v>
      </c>
      <c r="D2189" t="inlineStr">
        <is>
          <t>JÄMTLANDS LÄN</t>
        </is>
      </c>
      <c r="E2189" t="inlineStr">
        <is>
          <t>STRÖMSUND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23406-2023</t>
        </is>
      </c>
      <c r="B2190" s="1" t="n">
        <v>45076</v>
      </c>
      <c r="C2190" s="1" t="n">
        <v>45718</v>
      </c>
      <c r="D2190" t="inlineStr">
        <is>
          <t>JÄMTLANDS LÄN</t>
        </is>
      </c>
      <c r="E2190" t="inlineStr">
        <is>
          <t>STRÖMSUND</t>
        </is>
      </c>
      <c r="G2190" t="n">
        <v>11.7</v>
      </c>
      <c r="H2190" t="n">
        <v>0</v>
      </c>
      <c r="I2190" t="n">
        <v>0</v>
      </c>
      <c r="J2190" t="n">
        <v>0</v>
      </c>
      <c r="K2190" t="n">
        <v>0</v>
      </c>
      <c r="L2190" t="n">
        <v>0</v>
      </c>
      <c r="M2190" t="n">
        <v>0</v>
      </c>
      <c r="N2190" t="n">
        <v>0</v>
      </c>
      <c r="O2190" t="n">
        <v>0</v>
      </c>
      <c r="P2190" t="n">
        <v>0</v>
      </c>
      <c r="Q2190" t="n">
        <v>0</v>
      </c>
      <c r="R2190" s="2" t="inlineStr"/>
    </row>
    <row r="2191" ht="15" customHeight="1">
      <c r="A2191" t="inlineStr">
        <is>
          <t>A 23528-2023</t>
        </is>
      </c>
      <c r="B2191" s="1" t="n">
        <v>45076</v>
      </c>
      <c r="C2191" s="1" t="n">
        <v>45718</v>
      </c>
      <c r="D2191" t="inlineStr">
        <is>
          <t>JÄMTLANDS LÄN</t>
        </is>
      </c>
      <c r="E2191" t="inlineStr">
        <is>
          <t>STRÖMSUND</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23518-2023</t>
        </is>
      </c>
      <c r="B2192" s="1" t="n">
        <v>45077</v>
      </c>
      <c r="C2192" s="1" t="n">
        <v>45718</v>
      </c>
      <c r="D2192" t="inlineStr">
        <is>
          <t>JÄMTLANDS LÄN</t>
        </is>
      </c>
      <c r="E2192" t="inlineStr">
        <is>
          <t>STRÖMSUND</t>
        </is>
      </c>
      <c r="F2192" t="inlineStr">
        <is>
          <t>SCA</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23525-2023</t>
        </is>
      </c>
      <c r="B2193" s="1" t="n">
        <v>45076</v>
      </c>
      <c r="C2193" s="1" t="n">
        <v>45718</v>
      </c>
      <c r="D2193" t="inlineStr">
        <is>
          <t>JÄMTLANDS LÄN</t>
        </is>
      </c>
      <c r="E2193" t="inlineStr">
        <is>
          <t>STRÖMSUND</t>
        </is>
      </c>
      <c r="F2193" t="inlineStr">
        <is>
          <t>SCA</t>
        </is>
      </c>
      <c r="G2193" t="n">
        <v>11.8</v>
      </c>
      <c r="H2193" t="n">
        <v>0</v>
      </c>
      <c r="I2193" t="n">
        <v>0</v>
      </c>
      <c r="J2193" t="n">
        <v>0</v>
      </c>
      <c r="K2193" t="n">
        <v>0</v>
      </c>
      <c r="L2193" t="n">
        <v>0</v>
      </c>
      <c r="M2193" t="n">
        <v>0</v>
      </c>
      <c r="N2193" t="n">
        <v>0</v>
      </c>
      <c r="O2193" t="n">
        <v>0</v>
      </c>
      <c r="P2193" t="n">
        <v>0</v>
      </c>
      <c r="Q2193" t="n">
        <v>0</v>
      </c>
      <c r="R2193" s="2" t="inlineStr"/>
    </row>
    <row r="2194" ht="15" customHeight="1">
      <c r="A2194" t="inlineStr">
        <is>
          <t>A 23748-2023</t>
        </is>
      </c>
      <c r="B2194" s="1" t="n">
        <v>45077</v>
      </c>
      <c r="C2194" s="1" t="n">
        <v>45718</v>
      </c>
      <c r="D2194" t="inlineStr">
        <is>
          <t>JÄMTLANDS LÄN</t>
        </is>
      </c>
      <c r="E2194" t="inlineStr">
        <is>
          <t>STRÖMSUND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23777-2023</t>
        </is>
      </c>
      <c r="B2195" s="1" t="n">
        <v>45078</v>
      </c>
      <c r="C2195" s="1" t="n">
        <v>45718</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23770-2023</t>
        </is>
      </c>
      <c r="B2196" s="1" t="n">
        <v>45078</v>
      </c>
      <c r="C2196" s="1" t="n">
        <v>45718</v>
      </c>
      <c r="D2196" t="inlineStr">
        <is>
          <t>JÄMTLANDS LÄN</t>
        </is>
      </c>
      <c r="E2196" t="inlineStr">
        <is>
          <t>STRÖMSUND</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23780-2023</t>
        </is>
      </c>
      <c r="B2197" s="1" t="n">
        <v>45078</v>
      </c>
      <c r="C2197" s="1" t="n">
        <v>45718</v>
      </c>
      <c r="D2197" t="inlineStr">
        <is>
          <t>JÄMTLANDS LÄN</t>
        </is>
      </c>
      <c r="E2197" t="inlineStr">
        <is>
          <t>STRÖMSUND</t>
        </is>
      </c>
      <c r="F2197" t="inlineStr">
        <is>
          <t>SCA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23779-2023</t>
        </is>
      </c>
      <c r="B2198" s="1" t="n">
        <v>45078</v>
      </c>
      <c r="C2198" s="1" t="n">
        <v>45718</v>
      </c>
      <c r="D2198" t="inlineStr">
        <is>
          <t>JÄMTLANDS LÄN</t>
        </is>
      </c>
      <c r="E2198" t="inlineStr">
        <is>
          <t>STRÖMSUND</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23783-2023</t>
        </is>
      </c>
      <c r="B2199" s="1" t="n">
        <v>45078</v>
      </c>
      <c r="C2199" s="1" t="n">
        <v>45718</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24073-2023</t>
        </is>
      </c>
      <c r="B2200" s="1" t="n">
        <v>45079</v>
      </c>
      <c r="C2200" s="1" t="n">
        <v>45718</v>
      </c>
      <c r="D2200" t="inlineStr">
        <is>
          <t>JÄMTLANDS LÄN</t>
        </is>
      </c>
      <c r="E2200" t="inlineStr">
        <is>
          <t>STRÖMSUND</t>
        </is>
      </c>
      <c r="F2200" t="inlineStr">
        <is>
          <t>SCA</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24071-2023</t>
        </is>
      </c>
      <c r="B2201" s="1" t="n">
        <v>45079</v>
      </c>
      <c r="C2201" s="1" t="n">
        <v>45718</v>
      </c>
      <c r="D2201" t="inlineStr">
        <is>
          <t>JÄMTLANDS LÄN</t>
        </is>
      </c>
      <c r="E2201" t="inlineStr">
        <is>
          <t>STRÖMSUND</t>
        </is>
      </c>
      <c r="F2201" t="inlineStr">
        <is>
          <t>SCA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24070-2023</t>
        </is>
      </c>
      <c r="B2202" s="1" t="n">
        <v>45078</v>
      </c>
      <c r="C2202" s="1" t="n">
        <v>45718</v>
      </c>
      <c r="D2202" t="inlineStr">
        <is>
          <t>JÄMTLANDS LÄN</t>
        </is>
      </c>
      <c r="E2202" t="inlineStr">
        <is>
          <t>STRÖMSUND</t>
        </is>
      </c>
      <c r="F2202" t="inlineStr">
        <is>
          <t>SCA</t>
        </is>
      </c>
      <c r="G2202" t="n">
        <v>25.2</v>
      </c>
      <c r="H2202" t="n">
        <v>0</v>
      </c>
      <c r="I2202" t="n">
        <v>0</v>
      </c>
      <c r="J2202" t="n">
        <v>0</v>
      </c>
      <c r="K2202" t="n">
        <v>0</v>
      </c>
      <c r="L2202" t="n">
        <v>0</v>
      </c>
      <c r="M2202" t="n">
        <v>0</v>
      </c>
      <c r="N2202" t="n">
        <v>0</v>
      </c>
      <c r="O2202" t="n">
        <v>0</v>
      </c>
      <c r="P2202" t="n">
        <v>0</v>
      </c>
      <c r="Q2202" t="n">
        <v>0</v>
      </c>
      <c r="R2202" s="2" t="inlineStr"/>
    </row>
    <row r="2203" ht="15" customHeight="1">
      <c r="A2203" t="inlineStr">
        <is>
          <t>A 24315-2023</t>
        </is>
      </c>
      <c r="B2203" s="1" t="n">
        <v>45079</v>
      </c>
      <c r="C2203" s="1" t="n">
        <v>45718</v>
      </c>
      <c r="D2203" t="inlineStr">
        <is>
          <t>JÄMTLANDS LÄN</t>
        </is>
      </c>
      <c r="E2203" t="inlineStr">
        <is>
          <t>STRÖMSUND</t>
        </is>
      </c>
      <c r="F2203" t="inlineStr">
        <is>
          <t>SCA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24303-2023</t>
        </is>
      </c>
      <c r="B2204" s="1" t="n">
        <v>45079</v>
      </c>
      <c r="C2204" s="1" t="n">
        <v>45718</v>
      </c>
      <c r="D2204" t="inlineStr">
        <is>
          <t>JÄMTLANDS LÄN</t>
        </is>
      </c>
      <c r="E2204" t="inlineStr">
        <is>
          <t>STRÖMSUND</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24301-2023</t>
        </is>
      </c>
      <c r="B2205" s="1" t="n">
        <v>45080</v>
      </c>
      <c r="C2205" s="1" t="n">
        <v>45718</v>
      </c>
      <c r="D2205" t="inlineStr">
        <is>
          <t>JÄMTLANDS LÄN</t>
        </is>
      </c>
      <c r="E2205" t="inlineStr">
        <is>
          <t>STRÖMSUND</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24308-2023</t>
        </is>
      </c>
      <c r="B2206" s="1" t="n">
        <v>45080</v>
      </c>
      <c r="C2206" s="1" t="n">
        <v>45718</v>
      </c>
      <c r="D2206" t="inlineStr">
        <is>
          <t>JÄMTLANDS LÄN</t>
        </is>
      </c>
      <c r="E2206" t="inlineStr">
        <is>
          <t>STRÖMSUND</t>
        </is>
      </c>
      <c r="F2206" t="inlineStr">
        <is>
          <t>SCA</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24313-2023</t>
        </is>
      </c>
      <c r="B2207" s="1" t="n">
        <v>45080</v>
      </c>
      <c r="C2207" s="1" t="n">
        <v>45718</v>
      </c>
      <c r="D2207" t="inlineStr">
        <is>
          <t>JÄMTLANDS LÄN</t>
        </is>
      </c>
      <c r="E2207" t="inlineStr">
        <is>
          <t>STRÖMSUND</t>
        </is>
      </c>
      <c r="F2207" t="inlineStr">
        <is>
          <t>SCA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24317-2023</t>
        </is>
      </c>
      <c r="B2208" s="1" t="n">
        <v>45080</v>
      </c>
      <c r="C2208" s="1" t="n">
        <v>45718</v>
      </c>
      <c r="D2208" t="inlineStr">
        <is>
          <t>JÄMTLANDS LÄN</t>
        </is>
      </c>
      <c r="E2208" t="inlineStr">
        <is>
          <t>STRÖMSUND</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24312-2023</t>
        </is>
      </c>
      <c r="B2209" s="1" t="n">
        <v>45080</v>
      </c>
      <c r="C2209" s="1" t="n">
        <v>45718</v>
      </c>
      <c r="D2209" t="inlineStr">
        <is>
          <t>JÄMTLANDS LÄN</t>
        </is>
      </c>
      <c r="E2209" t="inlineStr">
        <is>
          <t>STRÖMSUND</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24316-2023</t>
        </is>
      </c>
      <c r="B2210" s="1" t="n">
        <v>45079</v>
      </c>
      <c r="C2210" s="1" t="n">
        <v>45718</v>
      </c>
      <c r="D2210" t="inlineStr">
        <is>
          <t>JÄMTLANDS LÄN</t>
        </is>
      </c>
      <c r="E2210" t="inlineStr">
        <is>
          <t>STRÖMSUND</t>
        </is>
      </c>
      <c r="F2210" t="inlineStr">
        <is>
          <t>SCA</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24397-2023</t>
        </is>
      </c>
      <c r="B2211" s="1" t="n">
        <v>45082</v>
      </c>
      <c r="C2211" s="1" t="n">
        <v>45718</v>
      </c>
      <c r="D2211" t="inlineStr">
        <is>
          <t>JÄMTLANDS LÄN</t>
        </is>
      </c>
      <c r="E2211" t="inlineStr">
        <is>
          <t>STRÖMSUND</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24599-2023</t>
        </is>
      </c>
      <c r="B2212" s="1" t="n">
        <v>45084</v>
      </c>
      <c r="C2212" s="1" t="n">
        <v>45718</v>
      </c>
      <c r="D2212" t="inlineStr">
        <is>
          <t>JÄMTLANDS LÄN</t>
        </is>
      </c>
      <c r="E2212" t="inlineStr">
        <is>
          <t>STRÖMSUND</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24602-2023</t>
        </is>
      </c>
      <c r="B2213" s="1" t="n">
        <v>45083</v>
      </c>
      <c r="C2213" s="1" t="n">
        <v>45718</v>
      </c>
      <c r="D2213" t="inlineStr">
        <is>
          <t>JÄMTLANDS LÄN</t>
        </is>
      </c>
      <c r="E2213" t="inlineStr">
        <is>
          <t>STRÖMSUND</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24601-2023</t>
        </is>
      </c>
      <c r="B2214" s="1" t="n">
        <v>45084</v>
      </c>
      <c r="C2214" s="1" t="n">
        <v>45718</v>
      </c>
      <c r="D2214" t="inlineStr">
        <is>
          <t>JÄMTLANDS LÄN</t>
        </is>
      </c>
      <c r="E2214" t="inlineStr">
        <is>
          <t>STRÖMSUND</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24600-2023</t>
        </is>
      </c>
      <c r="B2215" s="1" t="n">
        <v>45084</v>
      </c>
      <c r="C2215" s="1" t="n">
        <v>45718</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24831-2023</t>
        </is>
      </c>
      <c r="B2216" s="1" t="n">
        <v>45085</v>
      </c>
      <c r="C2216" s="1" t="n">
        <v>45718</v>
      </c>
      <c r="D2216" t="inlineStr">
        <is>
          <t>JÄMTLANDS LÄN</t>
        </is>
      </c>
      <c r="E2216" t="inlineStr">
        <is>
          <t>STRÖMSUND</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24833-2023</t>
        </is>
      </c>
      <c r="B2217" s="1" t="n">
        <v>45084</v>
      </c>
      <c r="C2217" s="1" t="n">
        <v>45718</v>
      </c>
      <c r="D2217" t="inlineStr">
        <is>
          <t>JÄMTLANDS LÄN</t>
        </is>
      </c>
      <c r="E2217" t="inlineStr">
        <is>
          <t>STRÖMSUND</t>
        </is>
      </c>
      <c r="F2217" t="inlineStr">
        <is>
          <t>SCA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24830-2023</t>
        </is>
      </c>
      <c r="B2218" s="1" t="n">
        <v>45085</v>
      </c>
      <c r="C2218" s="1" t="n">
        <v>45718</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25052-2023</t>
        </is>
      </c>
      <c r="B2219" s="1" t="n">
        <v>45086</v>
      </c>
      <c r="C2219" s="1" t="n">
        <v>45718</v>
      </c>
      <c r="D2219" t="inlineStr">
        <is>
          <t>JÄMTLANDS LÄN</t>
        </is>
      </c>
      <c r="E2219" t="inlineStr">
        <is>
          <t>STRÖMSUND</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25026-2023</t>
        </is>
      </c>
      <c r="B2220" s="1" t="n">
        <v>45085</v>
      </c>
      <c r="C2220" s="1" t="n">
        <v>45718</v>
      </c>
      <c r="D2220" t="inlineStr">
        <is>
          <t>JÄMTLANDS LÄN</t>
        </is>
      </c>
      <c r="E2220" t="inlineStr">
        <is>
          <t>STRÖMSUND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25066-2023</t>
        </is>
      </c>
      <c r="B2221" s="1" t="n">
        <v>45085</v>
      </c>
      <c r="C2221" s="1" t="n">
        <v>45718</v>
      </c>
      <c r="D2221" t="inlineStr">
        <is>
          <t>JÄMTLANDS LÄN</t>
        </is>
      </c>
      <c r="E2221" t="inlineStr">
        <is>
          <t>STRÖMSUND</t>
        </is>
      </c>
      <c r="F2221" t="inlineStr">
        <is>
          <t>SCA</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25328-2023</t>
        </is>
      </c>
      <c r="B2222" s="1" t="n">
        <v>45087</v>
      </c>
      <c r="C2222" s="1" t="n">
        <v>45718</v>
      </c>
      <c r="D2222" t="inlineStr">
        <is>
          <t>JÄMTLANDS LÄN</t>
        </is>
      </c>
      <c r="E2222" t="inlineStr">
        <is>
          <t>STRÖMSUND</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26226-2023</t>
        </is>
      </c>
      <c r="B2223" s="1" t="n">
        <v>45086</v>
      </c>
      <c r="C2223" s="1" t="n">
        <v>45718</v>
      </c>
      <c r="D2223" t="inlineStr">
        <is>
          <t>JÄMTLANDS LÄN</t>
        </is>
      </c>
      <c r="E2223" t="inlineStr">
        <is>
          <t>STRÖMSUND</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25326-2023</t>
        </is>
      </c>
      <c r="B2224" s="1" t="n">
        <v>45087</v>
      </c>
      <c r="C2224" s="1" t="n">
        <v>45718</v>
      </c>
      <c r="D2224" t="inlineStr">
        <is>
          <t>JÄMTLANDS LÄN</t>
        </is>
      </c>
      <c r="E2224" t="inlineStr">
        <is>
          <t>STRÖMSUND</t>
        </is>
      </c>
      <c r="F2224" t="inlineStr">
        <is>
          <t>SCA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25673-2023</t>
        </is>
      </c>
      <c r="B2225" s="1" t="n">
        <v>45090</v>
      </c>
      <c r="C2225" s="1" t="n">
        <v>45718</v>
      </c>
      <c r="D2225" t="inlineStr">
        <is>
          <t>JÄMTLANDS LÄN</t>
        </is>
      </c>
      <c r="E2225" t="inlineStr">
        <is>
          <t>STRÖMSUND</t>
        </is>
      </c>
      <c r="F2225" t="inlineStr">
        <is>
          <t>SCA</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25682-2023</t>
        </is>
      </c>
      <c r="B2226" s="1" t="n">
        <v>45089</v>
      </c>
      <c r="C2226" s="1" t="n">
        <v>45718</v>
      </c>
      <c r="D2226" t="inlineStr">
        <is>
          <t>JÄMTLANDS LÄN</t>
        </is>
      </c>
      <c r="E2226" t="inlineStr">
        <is>
          <t>STRÖMSUND</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26346-2023</t>
        </is>
      </c>
      <c r="B2227" s="1" t="n">
        <v>45092</v>
      </c>
      <c r="C2227" s="1" t="n">
        <v>45718</v>
      </c>
      <c r="D2227" t="inlineStr">
        <is>
          <t>JÄMTLANDS LÄN</t>
        </is>
      </c>
      <c r="E2227" t="inlineStr">
        <is>
          <t>STRÖMSUND</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26349-2023</t>
        </is>
      </c>
      <c r="B2228" s="1" t="n">
        <v>45092</v>
      </c>
      <c r="C2228" s="1" t="n">
        <v>45718</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26348-2023</t>
        </is>
      </c>
      <c r="B2229" s="1" t="n">
        <v>45092</v>
      </c>
      <c r="C2229" s="1" t="n">
        <v>45718</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26368-2023</t>
        </is>
      </c>
      <c r="B2230" s="1" t="n">
        <v>45091</v>
      </c>
      <c r="C2230" s="1" t="n">
        <v>45718</v>
      </c>
      <c r="D2230" t="inlineStr">
        <is>
          <t>JÄMTLANDS LÄN</t>
        </is>
      </c>
      <c r="E2230" t="inlineStr">
        <is>
          <t>STRÖMSUND</t>
        </is>
      </c>
      <c r="F2230" t="inlineStr">
        <is>
          <t>SCA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26666-2023</t>
        </is>
      </c>
      <c r="B2231" s="1" t="n">
        <v>45093</v>
      </c>
      <c r="C2231" s="1" t="n">
        <v>45718</v>
      </c>
      <c r="D2231" t="inlineStr">
        <is>
          <t>JÄMTLANDS LÄN</t>
        </is>
      </c>
      <c r="E2231" t="inlineStr">
        <is>
          <t>STRÖMSUND</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26665-2023</t>
        </is>
      </c>
      <c r="B2232" s="1" t="n">
        <v>45093</v>
      </c>
      <c r="C2232" s="1" t="n">
        <v>45718</v>
      </c>
      <c r="D2232" t="inlineStr">
        <is>
          <t>JÄMTLANDS LÄN</t>
        </is>
      </c>
      <c r="E2232" t="inlineStr">
        <is>
          <t>STRÖMSUND</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26650-2023</t>
        </is>
      </c>
      <c r="B2233" s="1" t="n">
        <v>45093</v>
      </c>
      <c r="C2233" s="1" t="n">
        <v>45718</v>
      </c>
      <c r="D2233" t="inlineStr">
        <is>
          <t>JÄMTLANDS LÄN</t>
        </is>
      </c>
      <c r="E2233" t="inlineStr">
        <is>
          <t>STRÖMSUND</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26659-2023</t>
        </is>
      </c>
      <c r="B2234" s="1" t="n">
        <v>45092</v>
      </c>
      <c r="C2234" s="1" t="n">
        <v>45718</v>
      </c>
      <c r="D2234" t="inlineStr">
        <is>
          <t>JÄMTLANDS LÄN</t>
        </is>
      </c>
      <c r="E2234" t="inlineStr">
        <is>
          <t>STRÖMSUND</t>
        </is>
      </c>
      <c r="F2234" t="inlineStr">
        <is>
          <t>SCA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26660-2023</t>
        </is>
      </c>
      <c r="B2235" s="1" t="n">
        <v>45092</v>
      </c>
      <c r="C2235" s="1" t="n">
        <v>45718</v>
      </c>
      <c r="D2235" t="inlineStr">
        <is>
          <t>JÄMTLANDS LÄN</t>
        </is>
      </c>
      <c r="E2235" t="inlineStr">
        <is>
          <t>STRÖMSUND</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26799-2023</t>
        </is>
      </c>
      <c r="B2236" s="1" t="n">
        <v>45093</v>
      </c>
      <c r="C2236" s="1" t="n">
        <v>45718</v>
      </c>
      <c r="D2236" t="inlineStr">
        <is>
          <t>JÄMTLANDS LÄN</t>
        </is>
      </c>
      <c r="E2236" t="inlineStr">
        <is>
          <t>STRÖMSUND</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26735-2023</t>
        </is>
      </c>
      <c r="B2237" s="1" t="n">
        <v>45093</v>
      </c>
      <c r="C2237" s="1" t="n">
        <v>45718</v>
      </c>
      <c r="D2237" t="inlineStr">
        <is>
          <t>JÄMTLANDS LÄN</t>
        </is>
      </c>
      <c r="E2237" t="inlineStr">
        <is>
          <t>STRÖMSUND</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27389-2023</t>
        </is>
      </c>
      <c r="B2238" s="1" t="n">
        <v>45096</v>
      </c>
      <c r="C2238" s="1" t="n">
        <v>45718</v>
      </c>
      <c r="D2238" t="inlineStr">
        <is>
          <t>JÄMTLANDS LÄN</t>
        </is>
      </c>
      <c r="E2238" t="inlineStr">
        <is>
          <t>STRÖMSUND</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27366-2023</t>
        </is>
      </c>
      <c r="B2239" s="1" t="n">
        <v>45096</v>
      </c>
      <c r="C2239" s="1" t="n">
        <v>45718</v>
      </c>
      <c r="D2239" t="inlineStr">
        <is>
          <t>JÄMTLANDS LÄN</t>
        </is>
      </c>
      <c r="E2239" t="inlineStr">
        <is>
          <t>STRÖMSUND</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27386-2023</t>
        </is>
      </c>
      <c r="B2240" s="1" t="n">
        <v>45097</v>
      </c>
      <c r="C2240" s="1" t="n">
        <v>45718</v>
      </c>
      <c r="D2240" t="inlineStr">
        <is>
          <t>JÄMTLANDS LÄN</t>
        </is>
      </c>
      <c r="E2240" t="inlineStr">
        <is>
          <t>STRÖMSUND</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27374-2023</t>
        </is>
      </c>
      <c r="B2241" s="1" t="n">
        <v>45097</v>
      </c>
      <c r="C2241" s="1" t="n">
        <v>45718</v>
      </c>
      <c r="D2241" t="inlineStr">
        <is>
          <t>JÄMTLANDS LÄN</t>
        </is>
      </c>
      <c r="E2241" t="inlineStr">
        <is>
          <t>STRÖMSUND</t>
        </is>
      </c>
      <c r="F2241" t="inlineStr">
        <is>
          <t>SCA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27388-2023</t>
        </is>
      </c>
      <c r="B2242" s="1" t="n">
        <v>45097</v>
      </c>
      <c r="C2242" s="1" t="n">
        <v>45718</v>
      </c>
      <c r="D2242" t="inlineStr">
        <is>
          <t>JÄMTLANDS LÄN</t>
        </is>
      </c>
      <c r="E2242" t="inlineStr">
        <is>
          <t>STRÖMSUND</t>
        </is>
      </c>
      <c r="F2242" t="inlineStr">
        <is>
          <t>SCA</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27368-2023</t>
        </is>
      </c>
      <c r="B2243" s="1" t="n">
        <v>45096</v>
      </c>
      <c r="C2243" s="1" t="n">
        <v>45718</v>
      </c>
      <c r="D2243" t="inlineStr">
        <is>
          <t>JÄMTLANDS LÄN</t>
        </is>
      </c>
      <c r="E2243" t="inlineStr">
        <is>
          <t>STRÖMSUND</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27365-2023</t>
        </is>
      </c>
      <c r="B2244" s="1" t="n">
        <v>45097</v>
      </c>
      <c r="C2244" s="1" t="n">
        <v>45718</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27387-2023</t>
        </is>
      </c>
      <c r="B2245" s="1" t="n">
        <v>45097</v>
      </c>
      <c r="C2245" s="1" t="n">
        <v>45718</v>
      </c>
      <c r="D2245" t="inlineStr">
        <is>
          <t>JÄMTLANDS LÄN</t>
        </is>
      </c>
      <c r="E2245" t="inlineStr">
        <is>
          <t>STRÖMSUND</t>
        </is>
      </c>
      <c r="F2245" t="inlineStr">
        <is>
          <t>SCA</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27375-2023</t>
        </is>
      </c>
      <c r="B2246" s="1" t="n">
        <v>45097</v>
      </c>
      <c r="C2246" s="1" t="n">
        <v>45718</v>
      </c>
      <c r="D2246" t="inlineStr">
        <is>
          <t>JÄMTLANDS LÄN</t>
        </is>
      </c>
      <c r="E2246" t="inlineStr">
        <is>
          <t>STRÖMSUND</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28660-2023</t>
        </is>
      </c>
      <c r="B2247" s="1" t="n">
        <v>45096</v>
      </c>
      <c r="C2247" s="1" t="n">
        <v>45718</v>
      </c>
      <c r="D2247" t="inlineStr">
        <is>
          <t>JÄMTLANDS LÄN</t>
        </is>
      </c>
      <c r="E2247" t="inlineStr">
        <is>
          <t>STRÖMSUND</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27679-2023</t>
        </is>
      </c>
      <c r="B2248" s="1" t="n">
        <v>45098</v>
      </c>
      <c r="C2248" s="1" t="n">
        <v>45718</v>
      </c>
      <c r="D2248" t="inlineStr">
        <is>
          <t>JÄMTLANDS LÄN</t>
        </is>
      </c>
      <c r="E2248" t="inlineStr">
        <is>
          <t>STRÖMSUND</t>
        </is>
      </c>
      <c r="G2248" t="n">
        <v>12.7</v>
      </c>
      <c r="H2248" t="n">
        <v>0</v>
      </c>
      <c r="I2248" t="n">
        <v>0</v>
      </c>
      <c r="J2248" t="n">
        <v>0</v>
      </c>
      <c r="K2248" t="n">
        <v>0</v>
      </c>
      <c r="L2248" t="n">
        <v>0</v>
      </c>
      <c r="M2248" t="n">
        <v>0</v>
      </c>
      <c r="N2248" t="n">
        <v>0</v>
      </c>
      <c r="O2248" t="n">
        <v>0</v>
      </c>
      <c r="P2248" t="n">
        <v>0</v>
      </c>
      <c r="Q2248" t="n">
        <v>0</v>
      </c>
      <c r="R2248" s="2" t="inlineStr"/>
    </row>
    <row r="2249" ht="15" customHeight="1">
      <c r="A2249" t="inlineStr">
        <is>
          <t>A 28005-2023</t>
        </is>
      </c>
      <c r="B2249" s="1" t="n">
        <v>45099</v>
      </c>
      <c r="C2249" s="1" t="n">
        <v>45718</v>
      </c>
      <c r="D2249" t="inlineStr">
        <is>
          <t>JÄMTLANDS LÄN</t>
        </is>
      </c>
      <c r="E2249" t="inlineStr">
        <is>
          <t>STRÖMSUND</t>
        </is>
      </c>
      <c r="F2249" t="inlineStr">
        <is>
          <t>SCA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28006-2023</t>
        </is>
      </c>
      <c r="B2250" s="1" t="n">
        <v>45099</v>
      </c>
      <c r="C2250" s="1" t="n">
        <v>45718</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28014-2023</t>
        </is>
      </c>
      <c r="B2251" s="1" t="n">
        <v>45098</v>
      </c>
      <c r="C2251" s="1" t="n">
        <v>45718</v>
      </c>
      <c r="D2251" t="inlineStr">
        <is>
          <t>JÄMTLANDS LÄN</t>
        </is>
      </c>
      <c r="E2251" t="inlineStr">
        <is>
          <t>STRÖMSUND</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28003-2023</t>
        </is>
      </c>
      <c r="B2252" s="1" t="n">
        <v>45099</v>
      </c>
      <c r="C2252" s="1" t="n">
        <v>45718</v>
      </c>
      <c r="D2252" t="inlineStr">
        <is>
          <t>JÄMTLANDS LÄN</t>
        </is>
      </c>
      <c r="E2252" t="inlineStr">
        <is>
          <t>STRÖMSUND</t>
        </is>
      </c>
      <c r="F2252" t="inlineStr">
        <is>
          <t>SCA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28004-2023</t>
        </is>
      </c>
      <c r="B2253" s="1" t="n">
        <v>45099</v>
      </c>
      <c r="C2253" s="1" t="n">
        <v>45718</v>
      </c>
      <c r="D2253" t="inlineStr">
        <is>
          <t>JÄMTLANDS LÄN</t>
        </is>
      </c>
      <c r="E2253" t="inlineStr">
        <is>
          <t>STRÖMSUND</t>
        </is>
      </c>
      <c r="F2253" t="inlineStr">
        <is>
          <t>SCA</t>
        </is>
      </c>
      <c r="G2253" t="n">
        <v>20.1</v>
      </c>
      <c r="H2253" t="n">
        <v>0</v>
      </c>
      <c r="I2253" t="n">
        <v>0</v>
      </c>
      <c r="J2253" t="n">
        <v>0</v>
      </c>
      <c r="K2253" t="n">
        <v>0</v>
      </c>
      <c r="L2253" t="n">
        <v>0</v>
      </c>
      <c r="M2253" t="n">
        <v>0</v>
      </c>
      <c r="N2253" t="n">
        <v>0</v>
      </c>
      <c r="O2253" t="n">
        <v>0</v>
      </c>
      <c r="P2253" t="n">
        <v>0</v>
      </c>
      <c r="Q2253" t="n">
        <v>0</v>
      </c>
      <c r="R2253" s="2" t="inlineStr"/>
    </row>
    <row r="2254" ht="15" customHeight="1">
      <c r="A2254" t="inlineStr">
        <is>
          <t>A 28016-2023</t>
        </is>
      </c>
      <c r="B2254" s="1" t="n">
        <v>45099</v>
      </c>
      <c r="C2254" s="1" t="n">
        <v>45718</v>
      </c>
      <c r="D2254" t="inlineStr">
        <is>
          <t>JÄMTLANDS LÄN</t>
        </is>
      </c>
      <c r="E2254" t="inlineStr">
        <is>
          <t>STRÖMSUND</t>
        </is>
      </c>
      <c r="F2254" t="inlineStr">
        <is>
          <t>SCA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29593-2023</t>
        </is>
      </c>
      <c r="B2255" s="1" t="n">
        <v>45098</v>
      </c>
      <c r="C2255" s="1" t="n">
        <v>45718</v>
      </c>
      <c r="D2255" t="inlineStr">
        <is>
          <t>JÄMTLANDS LÄN</t>
        </is>
      </c>
      <c r="E2255" t="inlineStr">
        <is>
          <t>STRÖMSUND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28297-2023</t>
        </is>
      </c>
      <c r="B2256" s="1" t="n">
        <v>45099</v>
      </c>
      <c r="C2256" s="1" t="n">
        <v>45718</v>
      </c>
      <c r="D2256" t="inlineStr">
        <is>
          <t>JÄMTLANDS LÄN</t>
        </is>
      </c>
      <c r="E2256" t="inlineStr">
        <is>
          <t>STRÖMSUND</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28365-2023</t>
        </is>
      </c>
      <c r="B2257" s="1" t="n">
        <v>45100</v>
      </c>
      <c r="C2257" s="1" t="n">
        <v>45718</v>
      </c>
      <c r="D2257" t="inlineStr">
        <is>
          <t>JÄMTLANDS LÄN</t>
        </is>
      </c>
      <c r="E2257" t="inlineStr">
        <is>
          <t>STRÖMSUND</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28376-2023</t>
        </is>
      </c>
      <c r="B2258" s="1" t="n">
        <v>45100</v>
      </c>
      <c r="C2258" s="1" t="n">
        <v>45718</v>
      </c>
      <c r="D2258" t="inlineStr">
        <is>
          <t>JÄMTLANDS LÄN</t>
        </is>
      </c>
      <c r="E2258" t="inlineStr">
        <is>
          <t>STRÖMSUND</t>
        </is>
      </c>
      <c r="F2258" t="inlineStr">
        <is>
          <t>SCA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28364-2023</t>
        </is>
      </c>
      <c r="B2259" s="1" t="n">
        <v>45100</v>
      </c>
      <c r="C2259" s="1" t="n">
        <v>45718</v>
      </c>
      <c r="D2259" t="inlineStr">
        <is>
          <t>JÄMTLANDS LÄN</t>
        </is>
      </c>
      <c r="E2259" t="inlineStr">
        <is>
          <t>STRÖMSUND</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28362-2023</t>
        </is>
      </c>
      <c r="B2260" s="1" t="n">
        <v>45100</v>
      </c>
      <c r="C2260" s="1" t="n">
        <v>45718</v>
      </c>
      <c r="D2260" t="inlineStr">
        <is>
          <t>JÄMTLANDS LÄN</t>
        </is>
      </c>
      <c r="E2260" t="inlineStr">
        <is>
          <t>STRÖMSUND</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28377-2023</t>
        </is>
      </c>
      <c r="B2261" s="1" t="n">
        <v>45100</v>
      </c>
      <c r="C2261" s="1" t="n">
        <v>45718</v>
      </c>
      <c r="D2261" t="inlineStr">
        <is>
          <t>JÄMTLANDS LÄN</t>
        </is>
      </c>
      <c r="E2261" t="inlineStr">
        <is>
          <t>STRÖMSUND</t>
        </is>
      </c>
      <c r="F2261" t="inlineStr">
        <is>
          <t>SCA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28405-2023</t>
        </is>
      </c>
      <c r="B2262" s="1" t="n">
        <v>45101</v>
      </c>
      <c r="C2262" s="1" t="n">
        <v>45718</v>
      </c>
      <c r="D2262" t="inlineStr">
        <is>
          <t>JÄMTLANDS LÄN</t>
        </is>
      </c>
      <c r="E2262" t="inlineStr">
        <is>
          <t>STRÖMSUND</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28715-2023</t>
        </is>
      </c>
      <c r="B2263" s="1" t="n">
        <v>45103</v>
      </c>
      <c r="C2263" s="1" t="n">
        <v>45718</v>
      </c>
      <c r="D2263" t="inlineStr">
        <is>
          <t>JÄMTLANDS LÄN</t>
        </is>
      </c>
      <c r="E2263" t="inlineStr">
        <is>
          <t>STRÖMSUND</t>
        </is>
      </c>
      <c r="F2263" t="inlineStr">
        <is>
          <t>Sveaskog</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28740-2023</t>
        </is>
      </c>
      <c r="B2264" s="1" t="n">
        <v>45104</v>
      </c>
      <c r="C2264" s="1" t="n">
        <v>45718</v>
      </c>
      <c r="D2264" t="inlineStr">
        <is>
          <t>JÄMTLANDS LÄN</t>
        </is>
      </c>
      <c r="E2264" t="inlineStr">
        <is>
          <t>STRÖMSUND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28744-2023</t>
        </is>
      </c>
      <c r="B2265" s="1" t="n">
        <v>45104</v>
      </c>
      <c r="C2265" s="1" t="n">
        <v>45718</v>
      </c>
      <c r="D2265" t="inlineStr">
        <is>
          <t>JÄMTLANDS LÄN</t>
        </is>
      </c>
      <c r="E2265" t="inlineStr">
        <is>
          <t>STRÖMSUND</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28753-2023</t>
        </is>
      </c>
      <c r="B2266" s="1" t="n">
        <v>45104</v>
      </c>
      <c r="C2266" s="1" t="n">
        <v>45718</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28766-2023</t>
        </is>
      </c>
      <c r="B2267" s="1" t="n">
        <v>45104</v>
      </c>
      <c r="C2267" s="1" t="n">
        <v>45718</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28713-2023</t>
        </is>
      </c>
      <c r="B2268" s="1" t="n">
        <v>45103</v>
      </c>
      <c r="C2268" s="1" t="n">
        <v>45718</v>
      </c>
      <c r="D2268" t="inlineStr">
        <is>
          <t>JÄMTLANDS LÄN</t>
        </is>
      </c>
      <c r="E2268" t="inlineStr">
        <is>
          <t>STRÖMSUND</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28741-2023</t>
        </is>
      </c>
      <c r="B2269" s="1" t="n">
        <v>45103</v>
      </c>
      <c r="C2269" s="1" t="n">
        <v>45718</v>
      </c>
      <c r="D2269" t="inlineStr">
        <is>
          <t>JÄMTLANDS LÄN</t>
        </is>
      </c>
      <c r="E2269" t="inlineStr">
        <is>
          <t>STRÖMSUND</t>
        </is>
      </c>
      <c r="G2269" t="n">
        <v>9.5</v>
      </c>
      <c r="H2269" t="n">
        <v>0</v>
      </c>
      <c r="I2269" t="n">
        <v>0</v>
      </c>
      <c r="J2269" t="n">
        <v>0</v>
      </c>
      <c r="K2269" t="n">
        <v>0</v>
      </c>
      <c r="L2269" t="n">
        <v>0</v>
      </c>
      <c r="M2269" t="n">
        <v>0</v>
      </c>
      <c r="N2269" t="n">
        <v>0</v>
      </c>
      <c r="O2269" t="n">
        <v>0</v>
      </c>
      <c r="P2269" t="n">
        <v>0</v>
      </c>
      <c r="Q2269" t="n">
        <v>0</v>
      </c>
      <c r="R2269" s="2" t="inlineStr"/>
    </row>
    <row r="2270" ht="15" customHeight="1">
      <c r="A2270" t="inlineStr">
        <is>
          <t>A 28754-2023</t>
        </is>
      </c>
      <c r="B2270" s="1" t="n">
        <v>45104</v>
      </c>
      <c r="C2270" s="1" t="n">
        <v>45718</v>
      </c>
      <c r="D2270" t="inlineStr">
        <is>
          <t>JÄMTLANDS LÄN</t>
        </is>
      </c>
      <c r="E2270" t="inlineStr">
        <is>
          <t>STRÖMSUND</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28767-2023</t>
        </is>
      </c>
      <c r="B2271" s="1" t="n">
        <v>45104</v>
      </c>
      <c r="C2271" s="1" t="n">
        <v>45718</v>
      </c>
      <c r="D2271" t="inlineStr">
        <is>
          <t>JÄMTLANDS LÄN</t>
        </is>
      </c>
      <c r="E2271" t="inlineStr">
        <is>
          <t>STRÖMSUND</t>
        </is>
      </c>
      <c r="F2271" t="inlineStr">
        <is>
          <t>SCA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31156-2023</t>
        </is>
      </c>
      <c r="B2272" s="1" t="n">
        <v>45103</v>
      </c>
      <c r="C2272" s="1" t="n">
        <v>45718</v>
      </c>
      <c r="D2272" t="inlineStr">
        <is>
          <t>JÄMTLANDS LÄN</t>
        </is>
      </c>
      <c r="E2272" t="inlineStr">
        <is>
          <t>STRÖMSUND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28714-2023</t>
        </is>
      </c>
      <c r="B2273" s="1" t="n">
        <v>45103</v>
      </c>
      <c r="C2273" s="1" t="n">
        <v>45718</v>
      </c>
      <c r="D2273" t="inlineStr">
        <is>
          <t>JÄMTLANDS LÄN</t>
        </is>
      </c>
      <c r="E2273" t="inlineStr">
        <is>
          <t>STRÖMSUND</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28735-2023</t>
        </is>
      </c>
      <c r="B2274" s="1" t="n">
        <v>45104</v>
      </c>
      <c r="C2274" s="1" t="n">
        <v>45718</v>
      </c>
      <c r="D2274" t="inlineStr">
        <is>
          <t>JÄMTLANDS LÄN</t>
        </is>
      </c>
      <c r="E2274" t="inlineStr">
        <is>
          <t>STRÖMSUND</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28743-2023</t>
        </is>
      </c>
      <c r="B2275" s="1" t="n">
        <v>45103</v>
      </c>
      <c r="C2275" s="1" t="n">
        <v>45718</v>
      </c>
      <c r="D2275" t="inlineStr">
        <is>
          <t>JÄMTLANDS LÄN</t>
        </is>
      </c>
      <c r="E2275" t="inlineStr">
        <is>
          <t>STRÖMSUND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28752-2023</t>
        </is>
      </c>
      <c r="B2276" s="1" t="n">
        <v>45104</v>
      </c>
      <c r="C2276" s="1" t="n">
        <v>45718</v>
      </c>
      <c r="D2276" t="inlineStr">
        <is>
          <t>JÄMTLANDS LÄN</t>
        </is>
      </c>
      <c r="E2276" t="inlineStr">
        <is>
          <t>STRÖMSUND</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29039-2023</t>
        </is>
      </c>
      <c r="B2277" s="1" t="n">
        <v>45104</v>
      </c>
      <c r="C2277" s="1" t="n">
        <v>45718</v>
      </c>
      <c r="D2277" t="inlineStr">
        <is>
          <t>JÄMTLANDS LÄN</t>
        </is>
      </c>
      <c r="E2277" t="inlineStr">
        <is>
          <t>STRÖMSUND</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29069-2023</t>
        </is>
      </c>
      <c r="B2278" s="1" t="n">
        <v>45105</v>
      </c>
      <c r="C2278" s="1" t="n">
        <v>45718</v>
      </c>
      <c r="D2278" t="inlineStr">
        <is>
          <t>JÄMTLANDS LÄN</t>
        </is>
      </c>
      <c r="E2278" t="inlineStr">
        <is>
          <t>STRÖMSUND</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29040-2023</t>
        </is>
      </c>
      <c r="B2279" s="1" t="n">
        <v>45104</v>
      </c>
      <c r="C2279" s="1" t="n">
        <v>45718</v>
      </c>
      <c r="D2279" t="inlineStr">
        <is>
          <t>JÄMTLANDS LÄN</t>
        </is>
      </c>
      <c r="E2279" t="inlineStr">
        <is>
          <t>STRÖMSUND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29305-2023</t>
        </is>
      </c>
      <c r="B2280" s="1" t="n">
        <v>45106</v>
      </c>
      <c r="C2280" s="1" t="n">
        <v>45718</v>
      </c>
      <c r="D2280" t="inlineStr">
        <is>
          <t>JÄMTLANDS LÄN</t>
        </is>
      </c>
      <c r="E2280" t="inlineStr">
        <is>
          <t>STRÖMSUND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29329-2023</t>
        </is>
      </c>
      <c r="B2281" s="1" t="n">
        <v>45106</v>
      </c>
      <c r="C2281" s="1" t="n">
        <v>45718</v>
      </c>
      <c r="D2281" t="inlineStr">
        <is>
          <t>JÄMTLANDS LÄN</t>
        </is>
      </c>
      <c r="E2281" t="inlineStr">
        <is>
          <t>STRÖMSUND</t>
        </is>
      </c>
      <c r="F2281" t="inlineStr">
        <is>
          <t>SCA</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29328-2023</t>
        </is>
      </c>
      <c r="B2282" s="1" t="n">
        <v>45106</v>
      </c>
      <c r="C2282" s="1" t="n">
        <v>45718</v>
      </c>
      <c r="D2282" t="inlineStr">
        <is>
          <t>JÄMTLANDS LÄN</t>
        </is>
      </c>
      <c r="E2282" t="inlineStr">
        <is>
          <t>STRÖMSUND</t>
        </is>
      </c>
      <c r="F2282" t="inlineStr">
        <is>
          <t>SCA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29335-2023</t>
        </is>
      </c>
      <c r="B2283" s="1" t="n">
        <v>45106</v>
      </c>
      <c r="C2283" s="1" t="n">
        <v>45718</v>
      </c>
      <c r="D2283" t="inlineStr">
        <is>
          <t>JÄMTLANDS LÄN</t>
        </is>
      </c>
      <c r="E2283" t="inlineStr">
        <is>
          <t>STRÖMSUND</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29343-2023</t>
        </is>
      </c>
      <c r="B2284" s="1" t="n">
        <v>45106</v>
      </c>
      <c r="C2284" s="1" t="n">
        <v>45718</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29605-2023</t>
        </is>
      </c>
      <c r="B2285" s="1" t="n">
        <v>45107</v>
      </c>
      <c r="C2285" s="1" t="n">
        <v>45718</v>
      </c>
      <c r="D2285" t="inlineStr">
        <is>
          <t>JÄMTLANDS LÄN</t>
        </is>
      </c>
      <c r="E2285" t="inlineStr">
        <is>
          <t>STRÖMSUND</t>
        </is>
      </c>
      <c r="F2285" t="inlineStr">
        <is>
          <t>SCA</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29632-2023</t>
        </is>
      </c>
      <c r="B2286" s="1" t="n">
        <v>45107</v>
      </c>
      <c r="C2286" s="1" t="n">
        <v>45718</v>
      </c>
      <c r="D2286" t="inlineStr">
        <is>
          <t>JÄMTLANDS LÄN</t>
        </is>
      </c>
      <c r="E2286" t="inlineStr">
        <is>
          <t>STRÖMSUND</t>
        </is>
      </c>
      <c r="F2286" t="inlineStr">
        <is>
          <t>SCA</t>
        </is>
      </c>
      <c r="G2286" t="n">
        <v>13.7</v>
      </c>
      <c r="H2286" t="n">
        <v>0</v>
      </c>
      <c r="I2286" t="n">
        <v>0</v>
      </c>
      <c r="J2286" t="n">
        <v>0</v>
      </c>
      <c r="K2286" t="n">
        <v>0</v>
      </c>
      <c r="L2286" t="n">
        <v>0</v>
      </c>
      <c r="M2286" t="n">
        <v>0</v>
      </c>
      <c r="N2286" t="n">
        <v>0</v>
      </c>
      <c r="O2286" t="n">
        <v>0</v>
      </c>
      <c r="P2286" t="n">
        <v>0</v>
      </c>
      <c r="Q2286" t="n">
        <v>0</v>
      </c>
      <c r="R2286" s="2" t="inlineStr"/>
    </row>
    <row r="2287" ht="15" customHeight="1">
      <c r="A2287" t="inlineStr">
        <is>
          <t>A 29631-2023</t>
        </is>
      </c>
      <c r="B2287" s="1" t="n">
        <v>45107</v>
      </c>
      <c r="C2287" s="1" t="n">
        <v>45718</v>
      </c>
      <c r="D2287" t="inlineStr">
        <is>
          <t>JÄMTLANDS LÄN</t>
        </is>
      </c>
      <c r="E2287" t="inlineStr">
        <is>
          <t>STRÖMSUND</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29635-2023</t>
        </is>
      </c>
      <c r="B2288" s="1" t="n">
        <v>45107</v>
      </c>
      <c r="C2288" s="1" t="n">
        <v>45718</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29965-2023</t>
        </is>
      </c>
      <c r="B2289" s="1" t="n">
        <v>45107</v>
      </c>
      <c r="C2289" s="1" t="n">
        <v>45718</v>
      </c>
      <c r="D2289" t="inlineStr">
        <is>
          <t>JÄMTLANDS LÄN</t>
        </is>
      </c>
      <c r="E2289" t="inlineStr">
        <is>
          <t>STRÖMSUND</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29959-2023</t>
        </is>
      </c>
      <c r="B2290" s="1" t="n">
        <v>45108</v>
      </c>
      <c r="C2290" s="1" t="n">
        <v>45718</v>
      </c>
      <c r="D2290" t="inlineStr">
        <is>
          <t>JÄMTLANDS LÄN</t>
        </is>
      </c>
      <c r="E2290" t="inlineStr">
        <is>
          <t>STRÖMSUND</t>
        </is>
      </c>
      <c r="F2290" t="inlineStr">
        <is>
          <t>SCA</t>
        </is>
      </c>
      <c r="G2290" t="n">
        <v>14.9</v>
      </c>
      <c r="H2290" t="n">
        <v>0</v>
      </c>
      <c r="I2290" t="n">
        <v>0</v>
      </c>
      <c r="J2290" t="n">
        <v>0</v>
      </c>
      <c r="K2290" t="n">
        <v>0</v>
      </c>
      <c r="L2290" t="n">
        <v>0</v>
      </c>
      <c r="M2290" t="n">
        <v>0</v>
      </c>
      <c r="N2290" t="n">
        <v>0</v>
      </c>
      <c r="O2290" t="n">
        <v>0</v>
      </c>
      <c r="P2290" t="n">
        <v>0</v>
      </c>
      <c r="Q2290" t="n">
        <v>0</v>
      </c>
      <c r="R2290" s="2" t="inlineStr"/>
    </row>
    <row r="2291" ht="15" customHeight="1">
      <c r="A2291" t="inlineStr">
        <is>
          <t>A 30170-2023</t>
        </is>
      </c>
      <c r="B2291" s="1" t="n">
        <v>45110</v>
      </c>
      <c r="C2291" s="1" t="n">
        <v>45718</v>
      </c>
      <c r="D2291" t="inlineStr">
        <is>
          <t>JÄMTLANDS LÄN</t>
        </is>
      </c>
      <c r="E2291" t="inlineStr">
        <is>
          <t>STRÖMSUND</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32379-2023</t>
        </is>
      </c>
      <c r="B2292" s="1" t="n">
        <v>45110</v>
      </c>
      <c r="C2292" s="1" t="n">
        <v>45718</v>
      </c>
      <c r="D2292" t="inlineStr">
        <is>
          <t>JÄMTLANDS LÄN</t>
        </is>
      </c>
      <c r="E2292" t="inlineStr">
        <is>
          <t>STRÖMSUND</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30284-2023</t>
        </is>
      </c>
      <c r="B2293" s="1" t="n">
        <v>45110</v>
      </c>
      <c r="C2293" s="1" t="n">
        <v>45718</v>
      </c>
      <c r="D2293" t="inlineStr">
        <is>
          <t>JÄMTLANDS LÄN</t>
        </is>
      </c>
      <c r="E2293" t="inlineStr">
        <is>
          <t>STRÖMSUND</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30285-2023</t>
        </is>
      </c>
      <c r="B2294" s="1" t="n">
        <v>45110</v>
      </c>
      <c r="C2294" s="1" t="n">
        <v>45718</v>
      </c>
      <c r="D2294" t="inlineStr">
        <is>
          <t>JÄMTLANDS LÄN</t>
        </is>
      </c>
      <c r="E2294" t="inlineStr">
        <is>
          <t>STRÖMSUND</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30565-2023</t>
        </is>
      </c>
      <c r="B2295" s="1" t="n">
        <v>45112</v>
      </c>
      <c r="C2295" s="1" t="n">
        <v>45718</v>
      </c>
      <c r="D2295" t="inlineStr">
        <is>
          <t>JÄMTLANDS LÄN</t>
        </is>
      </c>
      <c r="E2295" t="inlineStr">
        <is>
          <t>STRÖMSUND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32530-2023</t>
        </is>
      </c>
      <c r="B2296" s="1" t="n">
        <v>45111</v>
      </c>
      <c r="C2296" s="1" t="n">
        <v>45718</v>
      </c>
      <c r="D2296" t="inlineStr">
        <is>
          <t>JÄMTLANDS LÄN</t>
        </is>
      </c>
      <c r="E2296" t="inlineStr">
        <is>
          <t>STRÖMSUND</t>
        </is>
      </c>
      <c r="F2296" t="inlineStr">
        <is>
          <t>Kommuner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32572-2023</t>
        </is>
      </c>
      <c r="B2297" s="1" t="n">
        <v>45111</v>
      </c>
      <c r="C2297" s="1" t="n">
        <v>45718</v>
      </c>
      <c r="D2297" t="inlineStr">
        <is>
          <t>JÄMTLANDS LÄN</t>
        </is>
      </c>
      <c r="E2297" t="inlineStr">
        <is>
          <t>STRÖMSUND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32546-2023</t>
        </is>
      </c>
      <c r="B2298" s="1" t="n">
        <v>45111</v>
      </c>
      <c r="C2298" s="1" t="n">
        <v>45718</v>
      </c>
      <c r="D2298" t="inlineStr">
        <is>
          <t>JÄMTLANDS LÄN</t>
        </is>
      </c>
      <c r="E2298" t="inlineStr">
        <is>
          <t>STRÖMSUND</t>
        </is>
      </c>
      <c r="F2298" t="inlineStr">
        <is>
          <t>Kommuner</t>
        </is>
      </c>
      <c r="G2298" t="n">
        <v>10.3</v>
      </c>
      <c r="H2298" t="n">
        <v>0</v>
      </c>
      <c r="I2298" t="n">
        <v>0</v>
      </c>
      <c r="J2298" t="n">
        <v>0</v>
      </c>
      <c r="K2298" t="n">
        <v>0</v>
      </c>
      <c r="L2298" t="n">
        <v>0</v>
      </c>
      <c r="M2298" t="n">
        <v>0</v>
      </c>
      <c r="N2298" t="n">
        <v>0</v>
      </c>
      <c r="O2298" t="n">
        <v>0</v>
      </c>
      <c r="P2298" t="n">
        <v>0</v>
      </c>
      <c r="Q2298" t="n">
        <v>0</v>
      </c>
      <c r="R2298" s="2" t="inlineStr"/>
    </row>
    <row r="2299" ht="15" customHeight="1">
      <c r="A2299" t="inlineStr">
        <is>
          <t>A 32538-2023</t>
        </is>
      </c>
      <c r="B2299" s="1" t="n">
        <v>45111</v>
      </c>
      <c r="C2299" s="1" t="n">
        <v>45718</v>
      </c>
      <c r="D2299" t="inlineStr">
        <is>
          <t>JÄMTLANDS LÄN</t>
        </is>
      </c>
      <c r="E2299" t="inlineStr">
        <is>
          <t>STRÖMSUND</t>
        </is>
      </c>
      <c r="F2299" t="inlineStr">
        <is>
          <t>Kommuner</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32550-2023</t>
        </is>
      </c>
      <c r="B2300" s="1" t="n">
        <v>45111</v>
      </c>
      <c r="C2300" s="1" t="n">
        <v>45718</v>
      </c>
      <c r="D2300" t="inlineStr">
        <is>
          <t>JÄMTLANDS LÄN</t>
        </is>
      </c>
      <c r="E2300" t="inlineStr">
        <is>
          <t>STRÖMSUND</t>
        </is>
      </c>
      <c r="F2300" t="inlineStr">
        <is>
          <t>Kommuner</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30818-2023</t>
        </is>
      </c>
      <c r="B2301" s="1" t="n">
        <v>45112</v>
      </c>
      <c r="C2301" s="1" t="n">
        <v>45718</v>
      </c>
      <c r="D2301" t="inlineStr">
        <is>
          <t>JÄMTLANDS LÄN</t>
        </is>
      </c>
      <c r="E2301" t="inlineStr">
        <is>
          <t>STRÖMSUND</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30830-2023</t>
        </is>
      </c>
      <c r="B2302" s="1" t="n">
        <v>45113</v>
      </c>
      <c r="C2302" s="1" t="n">
        <v>45718</v>
      </c>
      <c r="D2302" t="inlineStr">
        <is>
          <t>JÄMTLANDS LÄN</t>
        </is>
      </c>
      <c r="E2302" t="inlineStr">
        <is>
          <t>STRÖMSUND</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30842-2023</t>
        </is>
      </c>
      <c r="B2303" s="1" t="n">
        <v>45113</v>
      </c>
      <c r="C2303" s="1" t="n">
        <v>45718</v>
      </c>
      <c r="D2303" t="inlineStr">
        <is>
          <t>JÄMTLANDS LÄN</t>
        </is>
      </c>
      <c r="E2303" t="inlineStr">
        <is>
          <t>STRÖMSUND</t>
        </is>
      </c>
      <c r="F2303" t="inlineStr">
        <is>
          <t>SCA</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30849-2023</t>
        </is>
      </c>
      <c r="B2304" s="1" t="n">
        <v>45113</v>
      </c>
      <c r="C2304" s="1" t="n">
        <v>45718</v>
      </c>
      <c r="D2304" t="inlineStr">
        <is>
          <t>JÄMTLANDS LÄN</t>
        </is>
      </c>
      <c r="E2304" t="inlineStr">
        <is>
          <t>STRÖMSUND</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30819-2023</t>
        </is>
      </c>
      <c r="B2305" s="1" t="n">
        <v>45113</v>
      </c>
      <c r="C2305" s="1" t="n">
        <v>45718</v>
      </c>
      <c r="D2305" t="inlineStr">
        <is>
          <t>JÄMTLANDS LÄN</t>
        </is>
      </c>
      <c r="E2305" t="inlineStr">
        <is>
          <t>STRÖMSUND</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30831-2023</t>
        </is>
      </c>
      <c r="B2306" s="1" t="n">
        <v>45113</v>
      </c>
      <c r="C2306" s="1" t="n">
        <v>45718</v>
      </c>
      <c r="D2306" t="inlineStr">
        <is>
          <t>JÄMTLANDS LÄN</t>
        </is>
      </c>
      <c r="E2306" t="inlineStr">
        <is>
          <t>STRÖMSUND</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30816-2023</t>
        </is>
      </c>
      <c r="B2307" s="1" t="n">
        <v>45112</v>
      </c>
      <c r="C2307" s="1" t="n">
        <v>45718</v>
      </c>
      <c r="D2307" t="inlineStr">
        <is>
          <t>JÄMTLANDS LÄN</t>
        </is>
      </c>
      <c r="E2307" t="inlineStr">
        <is>
          <t>STRÖMSUND</t>
        </is>
      </c>
      <c r="G2307" t="n">
        <v>11.2</v>
      </c>
      <c r="H2307" t="n">
        <v>0</v>
      </c>
      <c r="I2307" t="n">
        <v>0</v>
      </c>
      <c r="J2307" t="n">
        <v>0</v>
      </c>
      <c r="K2307" t="n">
        <v>0</v>
      </c>
      <c r="L2307" t="n">
        <v>0</v>
      </c>
      <c r="M2307" t="n">
        <v>0</v>
      </c>
      <c r="N2307" t="n">
        <v>0</v>
      </c>
      <c r="O2307" t="n">
        <v>0</v>
      </c>
      <c r="P2307" t="n">
        <v>0</v>
      </c>
      <c r="Q2307" t="n">
        <v>0</v>
      </c>
      <c r="R2307" s="2" t="inlineStr"/>
    </row>
    <row r="2308" ht="15" customHeight="1">
      <c r="A2308" t="inlineStr">
        <is>
          <t>A 30828-2023</t>
        </is>
      </c>
      <c r="B2308" s="1" t="n">
        <v>45113</v>
      </c>
      <c r="C2308" s="1" t="n">
        <v>45718</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30832-2023</t>
        </is>
      </c>
      <c r="B2309" s="1" t="n">
        <v>45112</v>
      </c>
      <c r="C2309" s="1" t="n">
        <v>45718</v>
      </c>
      <c r="D2309" t="inlineStr">
        <is>
          <t>JÄMTLANDS LÄN</t>
        </is>
      </c>
      <c r="E2309" t="inlineStr">
        <is>
          <t>STRÖMSUND</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30836-2023</t>
        </is>
      </c>
      <c r="B2310" s="1" t="n">
        <v>45113</v>
      </c>
      <c r="C2310" s="1" t="n">
        <v>45718</v>
      </c>
      <c r="D2310" t="inlineStr">
        <is>
          <t>JÄMTLANDS LÄN</t>
        </is>
      </c>
      <c r="E2310" t="inlineStr">
        <is>
          <t>STRÖMSUND</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32871-2023</t>
        </is>
      </c>
      <c r="B2311" s="1" t="n">
        <v>45112</v>
      </c>
      <c r="C2311" s="1" t="n">
        <v>45718</v>
      </c>
      <c r="D2311" t="inlineStr">
        <is>
          <t>JÄMTLANDS LÄN</t>
        </is>
      </c>
      <c r="E2311" t="inlineStr">
        <is>
          <t>STRÖMSUND</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32873-2023</t>
        </is>
      </c>
      <c r="B2312" s="1" t="n">
        <v>45112</v>
      </c>
      <c r="C2312" s="1" t="n">
        <v>45718</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32882-2023</t>
        </is>
      </c>
      <c r="B2313" s="1" t="n">
        <v>45112</v>
      </c>
      <c r="C2313" s="1" t="n">
        <v>45718</v>
      </c>
      <c r="D2313" t="inlineStr">
        <is>
          <t>JÄMTLANDS LÄN</t>
        </is>
      </c>
      <c r="E2313" t="inlineStr">
        <is>
          <t>STRÖMSUND</t>
        </is>
      </c>
      <c r="F2313" t="inlineStr">
        <is>
          <t>Kommuner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32883-2023</t>
        </is>
      </c>
      <c r="B2314" s="1" t="n">
        <v>45112</v>
      </c>
      <c r="C2314" s="1" t="n">
        <v>45718</v>
      </c>
      <c r="D2314" t="inlineStr">
        <is>
          <t>JÄMTLANDS LÄN</t>
        </is>
      </c>
      <c r="E2314" t="inlineStr">
        <is>
          <t>STRÖMSUND</t>
        </is>
      </c>
      <c r="F2314" t="inlineStr">
        <is>
          <t>Kommuner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32884-2023</t>
        </is>
      </c>
      <c r="B2315" s="1" t="n">
        <v>45112</v>
      </c>
      <c r="C2315" s="1" t="n">
        <v>45718</v>
      </c>
      <c r="D2315" t="inlineStr">
        <is>
          <t>JÄMTLANDS LÄN</t>
        </is>
      </c>
      <c r="E2315" t="inlineStr">
        <is>
          <t>STRÖMSUND</t>
        </is>
      </c>
      <c r="F2315" t="inlineStr">
        <is>
          <t>Kommuner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31201-2023</t>
        </is>
      </c>
      <c r="B2316" s="1" t="n">
        <v>45113</v>
      </c>
      <c r="C2316" s="1" t="n">
        <v>45718</v>
      </c>
      <c r="D2316" t="inlineStr">
        <is>
          <t>JÄMTLANDS LÄN</t>
        </is>
      </c>
      <c r="E2316" t="inlineStr">
        <is>
          <t>STRÖMSUND</t>
        </is>
      </c>
      <c r="F2316" t="inlineStr">
        <is>
          <t>SCA</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31210-2023</t>
        </is>
      </c>
      <c r="B2317" s="1" t="n">
        <v>45114</v>
      </c>
      <c r="C2317" s="1" t="n">
        <v>45718</v>
      </c>
      <c r="D2317" t="inlineStr">
        <is>
          <t>JÄMTLANDS LÄN</t>
        </is>
      </c>
      <c r="E2317" t="inlineStr">
        <is>
          <t>STRÖMSUND</t>
        </is>
      </c>
      <c r="F2317" t="inlineStr">
        <is>
          <t>SCA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31182-2023</t>
        </is>
      </c>
      <c r="B2318" s="1" t="n">
        <v>45113</v>
      </c>
      <c r="C2318" s="1" t="n">
        <v>45718</v>
      </c>
      <c r="D2318" t="inlineStr">
        <is>
          <t>JÄMTLANDS LÄN</t>
        </is>
      </c>
      <c r="E2318" t="inlineStr">
        <is>
          <t>STRÖMSUND</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31491-2023</t>
        </is>
      </c>
      <c r="B2319" s="1" t="n">
        <v>45114</v>
      </c>
      <c r="C2319" s="1" t="n">
        <v>45718</v>
      </c>
      <c r="D2319" t="inlineStr">
        <is>
          <t>JÄMTLANDS LÄN</t>
        </is>
      </c>
      <c r="E2319" t="inlineStr">
        <is>
          <t>STRÖMSUND</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31497-2023</t>
        </is>
      </c>
      <c r="B2320" s="1" t="n">
        <v>45115</v>
      </c>
      <c r="C2320" s="1" t="n">
        <v>45718</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31929-2023</t>
        </is>
      </c>
      <c r="B2321" s="1" t="n">
        <v>45118</v>
      </c>
      <c r="C2321" s="1" t="n">
        <v>45718</v>
      </c>
      <c r="D2321" t="inlineStr">
        <is>
          <t>JÄMTLANDS LÄN</t>
        </is>
      </c>
      <c r="E2321" t="inlineStr">
        <is>
          <t>STRÖMSUND</t>
        </is>
      </c>
      <c r="F2321" t="inlineStr">
        <is>
          <t>SCA</t>
        </is>
      </c>
      <c r="G2321" t="n">
        <v>16.7</v>
      </c>
      <c r="H2321" t="n">
        <v>0</v>
      </c>
      <c r="I2321" t="n">
        <v>0</v>
      </c>
      <c r="J2321" t="n">
        <v>0</v>
      </c>
      <c r="K2321" t="n">
        <v>0</v>
      </c>
      <c r="L2321" t="n">
        <v>0</v>
      </c>
      <c r="M2321" t="n">
        <v>0</v>
      </c>
      <c r="N2321" t="n">
        <v>0</v>
      </c>
      <c r="O2321" t="n">
        <v>0</v>
      </c>
      <c r="P2321" t="n">
        <v>0</v>
      </c>
      <c r="Q2321" t="n">
        <v>0</v>
      </c>
      <c r="R2321" s="2" t="inlineStr"/>
    </row>
    <row r="2322" ht="15" customHeight="1">
      <c r="A2322" t="inlineStr">
        <is>
          <t>A 32210-2023</t>
        </is>
      </c>
      <c r="B2322" s="1" t="n">
        <v>45120</v>
      </c>
      <c r="C2322" s="1" t="n">
        <v>45718</v>
      </c>
      <c r="D2322" t="inlineStr">
        <is>
          <t>JÄMTLANDS LÄN</t>
        </is>
      </c>
      <c r="E2322" t="inlineStr">
        <is>
          <t>STRÖMSUND</t>
        </is>
      </c>
      <c r="F2322" t="inlineStr">
        <is>
          <t>SCA</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32220-2023</t>
        </is>
      </c>
      <c r="B2323" s="1" t="n">
        <v>45120</v>
      </c>
      <c r="C2323" s="1" t="n">
        <v>45718</v>
      </c>
      <c r="D2323" t="inlineStr">
        <is>
          <t>JÄMTLANDS LÄN</t>
        </is>
      </c>
      <c r="E2323" t="inlineStr">
        <is>
          <t>STRÖMSUND</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32231-2023</t>
        </is>
      </c>
      <c r="B2324" s="1" t="n">
        <v>45120</v>
      </c>
      <c r="C2324" s="1" t="n">
        <v>45718</v>
      </c>
      <c r="D2324" t="inlineStr">
        <is>
          <t>JÄMTLANDS LÄN</t>
        </is>
      </c>
      <c r="E2324" t="inlineStr">
        <is>
          <t>STRÖMSUND</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32730-2023</t>
        </is>
      </c>
      <c r="B2325" s="1" t="n">
        <v>45122</v>
      </c>
      <c r="C2325" s="1" t="n">
        <v>45718</v>
      </c>
      <c r="D2325" t="inlineStr">
        <is>
          <t>JÄMTLANDS LÄN</t>
        </is>
      </c>
      <c r="E2325" t="inlineStr">
        <is>
          <t>STRÖMSUND</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32724-2023</t>
        </is>
      </c>
      <c r="B2326" s="1" t="n">
        <v>45121</v>
      </c>
      <c r="C2326" s="1" t="n">
        <v>45718</v>
      </c>
      <c r="D2326" t="inlineStr">
        <is>
          <t>JÄMTLANDS LÄN</t>
        </is>
      </c>
      <c r="E2326" t="inlineStr">
        <is>
          <t>STRÖMSUND</t>
        </is>
      </c>
      <c r="F2326" t="inlineStr">
        <is>
          <t>SCA</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32729-2023</t>
        </is>
      </c>
      <c r="B2327" s="1" t="n">
        <v>45122</v>
      </c>
      <c r="C2327" s="1" t="n">
        <v>45718</v>
      </c>
      <c r="D2327" t="inlineStr">
        <is>
          <t>JÄMTLANDS LÄN</t>
        </is>
      </c>
      <c r="E2327" t="inlineStr">
        <is>
          <t>STRÖMSUND</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32731-2023</t>
        </is>
      </c>
      <c r="B2328" s="1" t="n">
        <v>45122</v>
      </c>
      <c r="C2328" s="1" t="n">
        <v>45718</v>
      </c>
      <c r="D2328" t="inlineStr">
        <is>
          <t>JÄMTLANDS LÄN</t>
        </is>
      </c>
      <c r="E2328" t="inlineStr">
        <is>
          <t>STRÖMSUND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32907-2023</t>
        </is>
      </c>
      <c r="B2329" s="1" t="n">
        <v>45124</v>
      </c>
      <c r="C2329" s="1" t="n">
        <v>45718</v>
      </c>
      <c r="D2329" t="inlineStr">
        <is>
          <t>JÄMTLANDS LÄN</t>
        </is>
      </c>
      <c r="E2329" t="inlineStr">
        <is>
          <t>STRÖMSUND</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32911-2023</t>
        </is>
      </c>
      <c r="B2330" s="1" t="n">
        <v>45125</v>
      </c>
      <c r="C2330" s="1" t="n">
        <v>45718</v>
      </c>
      <c r="D2330" t="inlineStr">
        <is>
          <t>JÄMTLANDS LÄN</t>
        </is>
      </c>
      <c r="E2330" t="inlineStr">
        <is>
          <t>STRÖMSUND</t>
        </is>
      </c>
      <c r="F2330" t="inlineStr">
        <is>
          <t>SCA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32906-2023</t>
        </is>
      </c>
      <c r="B2331" s="1" t="n">
        <v>45125</v>
      </c>
      <c r="C2331" s="1" t="n">
        <v>45718</v>
      </c>
      <c r="D2331" t="inlineStr">
        <is>
          <t>JÄMTLANDS LÄN</t>
        </is>
      </c>
      <c r="E2331" t="inlineStr">
        <is>
          <t>STRÖMSUND</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32910-2023</t>
        </is>
      </c>
      <c r="B2332" s="1" t="n">
        <v>45125</v>
      </c>
      <c r="C2332" s="1" t="n">
        <v>45718</v>
      </c>
      <c r="D2332" t="inlineStr">
        <is>
          <t>JÄMTLANDS LÄN</t>
        </is>
      </c>
      <c r="E2332" t="inlineStr">
        <is>
          <t>STRÖMSUND</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33045-2023</t>
        </is>
      </c>
      <c r="B2333" s="1" t="n">
        <v>45126</v>
      </c>
      <c r="C2333" s="1" t="n">
        <v>45718</v>
      </c>
      <c r="D2333" t="inlineStr">
        <is>
          <t>JÄMTLANDS LÄN</t>
        </is>
      </c>
      <c r="E2333" t="inlineStr">
        <is>
          <t>STRÖMSUND</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33176-2023</t>
        </is>
      </c>
      <c r="B2334" s="1" t="n">
        <v>45127</v>
      </c>
      <c r="C2334" s="1" t="n">
        <v>45718</v>
      </c>
      <c r="D2334" t="inlineStr">
        <is>
          <t>JÄMTLANDS LÄN</t>
        </is>
      </c>
      <c r="E2334" t="inlineStr">
        <is>
          <t>STRÖMSUND</t>
        </is>
      </c>
      <c r="F2334" t="inlineStr">
        <is>
          <t>SCA</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33426-2023</t>
        </is>
      </c>
      <c r="B2335" s="1" t="n">
        <v>45129</v>
      </c>
      <c r="C2335" s="1" t="n">
        <v>45718</v>
      </c>
      <c r="D2335" t="inlineStr">
        <is>
          <t>JÄMTLANDS LÄN</t>
        </is>
      </c>
      <c r="E2335" t="inlineStr">
        <is>
          <t>STRÖMSUND</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33427-2023</t>
        </is>
      </c>
      <c r="B2336" s="1" t="n">
        <v>45128</v>
      </c>
      <c r="C2336" s="1" t="n">
        <v>45718</v>
      </c>
      <c r="D2336" t="inlineStr">
        <is>
          <t>JÄMTLANDS LÄN</t>
        </is>
      </c>
      <c r="E2336" t="inlineStr">
        <is>
          <t>STRÖMSUND</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33433-2023</t>
        </is>
      </c>
      <c r="B2337" s="1" t="n">
        <v>45129</v>
      </c>
      <c r="C2337" s="1" t="n">
        <v>45718</v>
      </c>
      <c r="D2337" t="inlineStr">
        <is>
          <t>JÄMTLANDS LÄN</t>
        </is>
      </c>
      <c r="E2337" t="inlineStr">
        <is>
          <t>STRÖMSUND</t>
        </is>
      </c>
      <c r="F2337" t="inlineStr">
        <is>
          <t>SCA</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33453-2023</t>
        </is>
      </c>
      <c r="B2338" s="1" t="n">
        <v>45130</v>
      </c>
      <c r="C2338" s="1" t="n">
        <v>45718</v>
      </c>
      <c r="D2338" t="inlineStr">
        <is>
          <t>JÄMTLANDS LÄN</t>
        </is>
      </c>
      <c r="E2338" t="inlineStr">
        <is>
          <t>STRÖMSUND</t>
        </is>
      </c>
      <c r="F2338" t="inlineStr">
        <is>
          <t>SCA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33532-2023</t>
        </is>
      </c>
      <c r="B2339" s="1" t="n">
        <v>45131</v>
      </c>
      <c r="C2339" s="1" t="n">
        <v>45718</v>
      </c>
      <c r="D2339" t="inlineStr">
        <is>
          <t>JÄMTLANDS LÄN</t>
        </is>
      </c>
      <c r="E2339" t="inlineStr">
        <is>
          <t>STRÖMSUND</t>
        </is>
      </c>
      <c r="F2339" t="inlineStr">
        <is>
          <t>Kyrkan</t>
        </is>
      </c>
      <c r="G2339" t="n">
        <v>20.3</v>
      </c>
      <c r="H2339" t="n">
        <v>0</v>
      </c>
      <c r="I2339" t="n">
        <v>0</v>
      </c>
      <c r="J2339" t="n">
        <v>0</v>
      </c>
      <c r="K2339" t="n">
        <v>0</v>
      </c>
      <c r="L2339" t="n">
        <v>0</v>
      </c>
      <c r="M2339" t="n">
        <v>0</v>
      </c>
      <c r="N2339" t="n">
        <v>0</v>
      </c>
      <c r="O2339" t="n">
        <v>0</v>
      </c>
      <c r="P2339" t="n">
        <v>0</v>
      </c>
      <c r="Q2339" t="n">
        <v>0</v>
      </c>
      <c r="R2339" s="2" t="inlineStr"/>
    </row>
    <row r="2340" ht="15" customHeight="1">
      <c r="A2340" t="inlineStr">
        <is>
          <t>A 33590-2023</t>
        </is>
      </c>
      <c r="B2340" s="1" t="n">
        <v>45132</v>
      </c>
      <c r="C2340" s="1" t="n">
        <v>45718</v>
      </c>
      <c r="D2340" t="inlineStr">
        <is>
          <t>JÄMTLANDS LÄN</t>
        </is>
      </c>
      <c r="E2340" t="inlineStr">
        <is>
          <t>STRÖMSUND</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33718-2023</t>
        </is>
      </c>
      <c r="B2341" s="1" t="n">
        <v>45133</v>
      </c>
      <c r="C2341" s="1" t="n">
        <v>45718</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34002-2023</t>
        </is>
      </c>
      <c r="B2342" s="1" t="n">
        <v>45135</v>
      </c>
      <c r="C2342" s="1" t="n">
        <v>45718</v>
      </c>
      <c r="D2342" t="inlineStr">
        <is>
          <t>JÄMTLANDS LÄN</t>
        </is>
      </c>
      <c r="E2342" t="inlineStr">
        <is>
          <t>STRÖMSUND</t>
        </is>
      </c>
      <c r="F2342" t="inlineStr">
        <is>
          <t>SCA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34010-2023</t>
        </is>
      </c>
      <c r="B2343" s="1" t="n">
        <v>45134</v>
      </c>
      <c r="C2343" s="1" t="n">
        <v>45718</v>
      </c>
      <c r="D2343" t="inlineStr">
        <is>
          <t>JÄMTLANDS LÄN</t>
        </is>
      </c>
      <c r="E2343" t="inlineStr">
        <is>
          <t>STRÖMSUND</t>
        </is>
      </c>
      <c r="F2343" t="inlineStr">
        <is>
          <t>SCA</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34001-2023</t>
        </is>
      </c>
      <c r="B2344" s="1" t="n">
        <v>45135</v>
      </c>
      <c r="C2344" s="1" t="n">
        <v>45718</v>
      </c>
      <c r="D2344" t="inlineStr">
        <is>
          <t>JÄMTLANDS LÄN</t>
        </is>
      </c>
      <c r="E2344" t="inlineStr">
        <is>
          <t>STRÖMSUND</t>
        </is>
      </c>
      <c r="F2344" t="inlineStr">
        <is>
          <t>SCA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34005-2023</t>
        </is>
      </c>
      <c r="B2345" s="1" t="n">
        <v>45134</v>
      </c>
      <c r="C2345" s="1" t="n">
        <v>45718</v>
      </c>
      <c r="D2345" t="inlineStr">
        <is>
          <t>JÄMTLANDS LÄN</t>
        </is>
      </c>
      <c r="E2345" t="inlineStr">
        <is>
          <t>STRÖMSUND</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34003-2023</t>
        </is>
      </c>
      <c r="B2346" s="1" t="n">
        <v>45135</v>
      </c>
      <c r="C2346" s="1" t="n">
        <v>45718</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34007-2023</t>
        </is>
      </c>
      <c r="B2347" s="1" t="n">
        <v>45135</v>
      </c>
      <c r="C2347" s="1" t="n">
        <v>45718</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34009-2023</t>
        </is>
      </c>
      <c r="B2348" s="1" t="n">
        <v>45135</v>
      </c>
      <c r="C2348" s="1" t="n">
        <v>45718</v>
      </c>
      <c r="D2348" t="inlineStr">
        <is>
          <t>JÄMTLANDS LÄN</t>
        </is>
      </c>
      <c r="E2348" t="inlineStr">
        <is>
          <t>STRÖMSUND</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34004-2023</t>
        </is>
      </c>
      <c r="B2349" s="1" t="n">
        <v>45135</v>
      </c>
      <c r="C2349" s="1" t="n">
        <v>45718</v>
      </c>
      <c r="D2349" t="inlineStr">
        <is>
          <t>JÄMTLANDS LÄN</t>
        </is>
      </c>
      <c r="E2349" t="inlineStr">
        <is>
          <t>STRÖMSUND</t>
        </is>
      </c>
      <c r="F2349" t="inlineStr">
        <is>
          <t>SCA</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34008-2023</t>
        </is>
      </c>
      <c r="B2350" s="1" t="n">
        <v>45134</v>
      </c>
      <c r="C2350" s="1" t="n">
        <v>45718</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34479-2023</t>
        </is>
      </c>
      <c r="B2351" s="1" t="n">
        <v>45139</v>
      </c>
      <c r="C2351" s="1" t="n">
        <v>45718</v>
      </c>
      <c r="D2351" t="inlineStr">
        <is>
          <t>JÄMTLANDS LÄN</t>
        </is>
      </c>
      <c r="E2351" t="inlineStr">
        <is>
          <t>STRÖMSUND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34480-2023</t>
        </is>
      </c>
      <c r="B2352" s="1" t="n">
        <v>45140</v>
      </c>
      <c r="C2352" s="1" t="n">
        <v>45718</v>
      </c>
      <c r="D2352" t="inlineStr">
        <is>
          <t>JÄMTLANDS LÄN</t>
        </is>
      </c>
      <c r="E2352" t="inlineStr">
        <is>
          <t>STRÖMSUND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34824-2023</t>
        </is>
      </c>
      <c r="B2353" s="1" t="n">
        <v>45141</v>
      </c>
      <c r="C2353" s="1" t="n">
        <v>45718</v>
      </c>
      <c r="D2353" t="inlineStr">
        <is>
          <t>JÄMTLANDS LÄN</t>
        </is>
      </c>
      <c r="E2353" t="inlineStr">
        <is>
          <t>STRÖMSUND</t>
        </is>
      </c>
      <c r="F2353" t="inlineStr">
        <is>
          <t>Kyrkan</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34907-2023</t>
        </is>
      </c>
      <c r="B2354" s="1" t="n">
        <v>45141</v>
      </c>
      <c r="C2354" s="1" t="n">
        <v>45718</v>
      </c>
      <c r="D2354" t="inlineStr">
        <is>
          <t>JÄMTLANDS LÄN</t>
        </is>
      </c>
      <c r="E2354" t="inlineStr">
        <is>
          <t>STRÖMSUND</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35004-2023</t>
        </is>
      </c>
      <c r="B2355" s="1" t="n">
        <v>45143</v>
      </c>
      <c r="C2355" s="1" t="n">
        <v>45718</v>
      </c>
      <c r="D2355" t="inlineStr">
        <is>
          <t>JÄMTLANDS LÄN</t>
        </is>
      </c>
      <c r="E2355" t="inlineStr">
        <is>
          <t>STRÖMSUND</t>
        </is>
      </c>
      <c r="F2355" t="inlineStr">
        <is>
          <t>SCA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35007-2023</t>
        </is>
      </c>
      <c r="B2356" s="1" t="n">
        <v>45143</v>
      </c>
      <c r="C2356" s="1" t="n">
        <v>45718</v>
      </c>
      <c r="D2356" t="inlineStr">
        <is>
          <t>JÄMTLANDS LÄN</t>
        </is>
      </c>
      <c r="E2356" t="inlineStr">
        <is>
          <t>STRÖMSUND</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35012-2023</t>
        </is>
      </c>
      <c r="B2357" s="1" t="n">
        <v>45143</v>
      </c>
      <c r="C2357" s="1" t="n">
        <v>45718</v>
      </c>
      <c r="D2357" t="inlineStr">
        <is>
          <t>JÄMTLANDS LÄN</t>
        </is>
      </c>
      <c r="E2357" t="inlineStr">
        <is>
          <t>STRÖMSUND</t>
        </is>
      </c>
      <c r="F2357" t="inlineStr">
        <is>
          <t>SCA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35011-2023</t>
        </is>
      </c>
      <c r="B2358" s="1" t="n">
        <v>45143</v>
      </c>
      <c r="C2358" s="1" t="n">
        <v>45718</v>
      </c>
      <c r="D2358" t="inlineStr">
        <is>
          <t>JÄMTLANDS LÄN</t>
        </is>
      </c>
      <c r="E2358" t="inlineStr">
        <is>
          <t>STRÖMSUND</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35279-2023</t>
        </is>
      </c>
      <c r="B2359" s="1" t="n">
        <v>45146</v>
      </c>
      <c r="C2359" s="1" t="n">
        <v>45718</v>
      </c>
      <c r="D2359" t="inlineStr">
        <is>
          <t>JÄMTLANDS LÄN</t>
        </is>
      </c>
      <c r="E2359" t="inlineStr">
        <is>
          <t>STRÖMSUND</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35385-2023</t>
        </is>
      </c>
      <c r="B2360" s="1" t="n">
        <v>45145</v>
      </c>
      <c r="C2360" s="1" t="n">
        <v>45718</v>
      </c>
      <c r="D2360" t="inlineStr">
        <is>
          <t>JÄMTLANDS LÄN</t>
        </is>
      </c>
      <c r="E2360" t="inlineStr">
        <is>
          <t>STRÖMSUND</t>
        </is>
      </c>
      <c r="G2360" t="n">
        <v>29.8</v>
      </c>
      <c r="H2360" t="n">
        <v>0</v>
      </c>
      <c r="I2360" t="n">
        <v>0</v>
      </c>
      <c r="J2360" t="n">
        <v>0</v>
      </c>
      <c r="K2360" t="n">
        <v>0</v>
      </c>
      <c r="L2360" t="n">
        <v>0</v>
      </c>
      <c r="M2360" t="n">
        <v>0</v>
      </c>
      <c r="N2360" t="n">
        <v>0</v>
      </c>
      <c r="O2360" t="n">
        <v>0</v>
      </c>
      <c r="P2360" t="n">
        <v>0</v>
      </c>
      <c r="Q2360" t="n">
        <v>0</v>
      </c>
      <c r="R2360" s="2" t="inlineStr"/>
    </row>
    <row r="2361" ht="15" customHeight="1">
      <c r="A2361" t="inlineStr">
        <is>
          <t>A 35278-2023</t>
        </is>
      </c>
      <c r="B2361" s="1" t="n">
        <v>45146</v>
      </c>
      <c r="C2361" s="1" t="n">
        <v>45718</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35461-2023</t>
        </is>
      </c>
      <c r="B2362" s="1" t="n">
        <v>45146</v>
      </c>
      <c r="C2362" s="1" t="n">
        <v>45718</v>
      </c>
      <c r="D2362" t="inlineStr">
        <is>
          <t>JÄMTLANDS LÄN</t>
        </is>
      </c>
      <c r="E2362" t="inlineStr">
        <is>
          <t>STRÖMSUND</t>
        </is>
      </c>
      <c r="G2362" t="n">
        <v>11.1</v>
      </c>
      <c r="H2362" t="n">
        <v>0</v>
      </c>
      <c r="I2362" t="n">
        <v>0</v>
      </c>
      <c r="J2362" t="n">
        <v>0</v>
      </c>
      <c r="K2362" t="n">
        <v>0</v>
      </c>
      <c r="L2362" t="n">
        <v>0</v>
      </c>
      <c r="M2362" t="n">
        <v>0</v>
      </c>
      <c r="N2362" t="n">
        <v>0</v>
      </c>
      <c r="O2362" t="n">
        <v>0</v>
      </c>
      <c r="P2362" t="n">
        <v>0</v>
      </c>
      <c r="Q2362" t="n">
        <v>0</v>
      </c>
      <c r="R2362" s="2" t="inlineStr"/>
    </row>
    <row r="2363" ht="15" customHeight="1">
      <c r="A2363" t="inlineStr">
        <is>
          <t>A 35897-2023</t>
        </is>
      </c>
      <c r="B2363" s="1" t="n">
        <v>45148</v>
      </c>
      <c r="C2363" s="1" t="n">
        <v>45718</v>
      </c>
      <c r="D2363" t="inlineStr">
        <is>
          <t>JÄMTLANDS LÄN</t>
        </is>
      </c>
      <c r="E2363" t="inlineStr">
        <is>
          <t>STRÖMSUND</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36503-2023</t>
        </is>
      </c>
      <c r="B2364" s="1" t="n">
        <v>45153</v>
      </c>
      <c r="C2364" s="1" t="n">
        <v>45718</v>
      </c>
      <c r="D2364" t="inlineStr">
        <is>
          <t>JÄMTLANDS LÄN</t>
        </is>
      </c>
      <c r="E2364" t="inlineStr">
        <is>
          <t>STRÖMSUND</t>
        </is>
      </c>
      <c r="F2364" t="inlineStr">
        <is>
          <t>SCA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36507-2023</t>
        </is>
      </c>
      <c r="B2365" s="1" t="n">
        <v>45152</v>
      </c>
      <c r="C2365" s="1" t="n">
        <v>45718</v>
      </c>
      <c r="D2365" t="inlineStr">
        <is>
          <t>JÄMTLANDS LÄN</t>
        </is>
      </c>
      <c r="E2365" t="inlineStr">
        <is>
          <t>STRÖMSUND</t>
        </is>
      </c>
      <c r="F2365" t="inlineStr">
        <is>
          <t>SCA</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36524-2023</t>
        </is>
      </c>
      <c r="B2366" s="1" t="n">
        <v>45152</v>
      </c>
      <c r="C2366" s="1" t="n">
        <v>45718</v>
      </c>
      <c r="D2366" t="inlineStr">
        <is>
          <t>JÄMTLANDS LÄN</t>
        </is>
      </c>
      <c r="E2366" t="inlineStr">
        <is>
          <t>STRÖMSUND</t>
        </is>
      </c>
      <c r="G2366" t="n">
        <v>20.7</v>
      </c>
      <c r="H2366" t="n">
        <v>0</v>
      </c>
      <c r="I2366" t="n">
        <v>0</v>
      </c>
      <c r="J2366" t="n">
        <v>0</v>
      </c>
      <c r="K2366" t="n">
        <v>0</v>
      </c>
      <c r="L2366" t="n">
        <v>0</v>
      </c>
      <c r="M2366" t="n">
        <v>0</v>
      </c>
      <c r="N2366" t="n">
        <v>0</v>
      </c>
      <c r="O2366" t="n">
        <v>0</v>
      </c>
      <c r="P2366" t="n">
        <v>0</v>
      </c>
      <c r="Q2366" t="n">
        <v>0</v>
      </c>
      <c r="R2366" s="2" t="inlineStr"/>
    </row>
    <row r="2367" ht="15" customHeight="1">
      <c r="A2367" t="inlineStr">
        <is>
          <t>A 36394-2023</t>
        </is>
      </c>
      <c r="B2367" s="1" t="n">
        <v>45152</v>
      </c>
      <c r="C2367" s="1" t="n">
        <v>45718</v>
      </c>
      <c r="D2367" t="inlineStr">
        <is>
          <t>JÄMTLANDS LÄN</t>
        </is>
      </c>
      <c r="E2367" t="inlineStr">
        <is>
          <t>STRÖMSUND</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36502-2023</t>
        </is>
      </c>
      <c r="B2368" s="1" t="n">
        <v>45153</v>
      </c>
      <c r="C2368" s="1" t="n">
        <v>45718</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36764-2023</t>
        </is>
      </c>
      <c r="B2369" s="1" t="n">
        <v>45154</v>
      </c>
      <c r="C2369" s="1" t="n">
        <v>45718</v>
      </c>
      <c r="D2369" t="inlineStr">
        <is>
          <t>JÄMTLANDS LÄN</t>
        </is>
      </c>
      <c r="E2369" t="inlineStr">
        <is>
          <t>STRÖMSUND</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36749-2023</t>
        </is>
      </c>
      <c r="B2370" s="1" t="n">
        <v>45154</v>
      </c>
      <c r="C2370" s="1" t="n">
        <v>45718</v>
      </c>
      <c r="D2370" t="inlineStr">
        <is>
          <t>JÄMTLANDS LÄN</t>
        </is>
      </c>
      <c r="E2370" t="inlineStr">
        <is>
          <t>STRÖMSUND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36773-2023</t>
        </is>
      </c>
      <c r="B2371" s="1" t="n">
        <v>45154</v>
      </c>
      <c r="C2371" s="1" t="n">
        <v>45718</v>
      </c>
      <c r="D2371" t="inlineStr">
        <is>
          <t>JÄMTLANDS LÄN</t>
        </is>
      </c>
      <c r="E2371" t="inlineStr">
        <is>
          <t>STRÖMSUND</t>
        </is>
      </c>
      <c r="F2371" t="inlineStr">
        <is>
          <t>Holmen skog AB</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36968-2023</t>
        </is>
      </c>
      <c r="B2372" s="1" t="n">
        <v>45155</v>
      </c>
      <c r="C2372" s="1" t="n">
        <v>45718</v>
      </c>
      <c r="D2372" t="inlineStr">
        <is>
          <t>JÄMTLANDS LÄN</t>
        </is>
      </c>
      <c r="E2372" t="inlineStr">
        <is>
          <t>STRÖMSUND</t>
        </is>
      </c>
      <c r="F2372" t="inlineStr">
        <is>
          <t>SCA</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36993-2023</t>
        </is>
      </c>
      <c r="B2373" s="1" t="n">
        <v>45155</v>
      </c>
      <c r="C2373" s="1" t="n">
        <v>45718</v>
      </c>
      <c r="D2373" t="inlineStr">
        <is>
          <t>JÄMTLANDS LÄN</t>
        </is>
      </c>
      <c r="E2373" t="inlineStr">
        <is>
          <t>STRÖMSUND</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36959-2023</t>
        </is>
      </c>
      <c r="B2374" s="1" t="n">
        <v>45155</v>
      </c>
      <c r="C2374" s="1" t="n">
        <v>45718</v>
      </c>
      <c r="D2374" t="inlineStr">
        <is>
          <t>JÄMTLANDS LÄN</t>
        </is>
      </c>
      <c r="E2374" t="inlineStr">
        <is>
          <t>STRÖMSUND</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37146-2023</t>
        </is>
      </c>
      <c r="B2375" s="1" t="n">
        <v>45155</v>
      </c>
      <c r="C2375" s="1" t="n">
        <v>45718</v>
      </c>
      <c r="D2375" t="inlineStr">
        <is>
          <t>JÄMTLANDS LÄN</t>
        </is>
      </c>
      <c r="E2375" t="inlineStr">
        <is>
          <t>STRÖMSUND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37261-2023</t>
        </is>
      </c>
      <c r="B2376" s="1" t="n">
        <v>45155</v>
      </c>
      <c r="C2376" s="1" t="n">
        <v>45718</v>
      </c>
      <c r="D2376" t="inlineStr">
        <is>
          <t>JÄMTLANDS LÄN</t>
        </is>
      </c>
      <c r="E2376" t="inlineStr">
        <is>
          <t>STRÖMSUND</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37143-2023</t>
        </is>
      </c>
      <c r="B2377" s="1" t="n">
        <v>45155</v>
      </c>
      <c r="C2377" s="1" t="n">
        <v>45718</v>
      </c>
      <c r="D2377" t="inlineStr">
        <is>
          <t>JÄMTLANDS LÄN</t>
        </is>
      </c>
      <c r="E2377" t="inlineStr">
        <is>
          <t>STRÖMSUND</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37260-2023</t>
        </is>
      </c>
      <c r="B2378" s="1" t="n">
        <v>45155</v>
      </c>
      <c r="C2378" s="1" t="n">
        <v>45718</v>
      </c>
      <c r="D2378" t="inlineStr">
        <is>
          <t>JÄMTLANDS LÄN</t>
        </is>
      </c>
      <c r="E2378" t="inlineStr">
        <is>
          <t>STRÖMSUND</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37258-2023</t>
        </is>
      </c>
      <c r="B2379" s="1" t="n">
        <v>45156</v>
      </c>
      <c r="C2379" s="1" t="n">
        <v>45718</v>
      </c>
      <c r="D2379" t="inlineStr">
        <is>
          <t>JÄMTLANDS LÄN</t>
        </is>
      </c>
      <c r="E2379" t="inlineStr">
        <is>
          <t>STRÖMSUND</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37469-2023</t>
        </is>
      </c>
      <c r="B2380" s="1" t="n">
        <v>45157</v>
      </c>
      <c r="C2380" s="1" t="n">
        <v>45718</v>
      </c>
      <c r="D2380" t="inlineStr">
        <is>
          <t>JÄMTLANDS LÄN</t>
        </is>
      </c>
      <c r="E2380" t="inlineStr">
        <is>
          <t>STRÖMSUND</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37490-2023</t>
        </is>
      </c>
      <c r="B2381" s="1" t="n">
        <v>45157</v>
      </c>
      <c r="C2381" s="1" t="n">
        <v>45718</v>
      </c>
      <c r="D2381" t="inlineStr">
        <is>
          <t>JÄMTLANDS LÄN</t>
        </is>
      </c>
      <c r="E2381" t="inlineStr">
        <is>
          <t>STRÖMSUND</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37803-2023</t>
        </is>
      </c>
      <c r="B2382" s="1" t="n">
        <v>45160</v>
      </c>
      <c r="C2382" s="1" t="n">
        <v>45718</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37809-2023</t>
        </is>
      </c>
      <c r="B2383" s="1" t="n">
        <v>45160</v>
      </c>
      <c r="C2383" s="1" t="n">
        <v>45718</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38418-2023</t>
        </is>
      </c>
      <c r="B2384" s="1" t="n">
        <v>45160</v>
      </c>
      <c r="C2384" s="1" t="n">
        <v>45718</v>
      </c>
      <c r="D2384" t="inlineStr">
        <is>
          <t>JÄMTLANDS LÄN</t>
        </is>
      </c>
      <c r="E2384" t="inlineStr">
        <is>
          <t>STRÖMSUND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38248-2023</t>
        </is>
      </c>
      <c r="B2385" s="1" t="n">
        <v>45161</v>
      </c>
      <c r="C2385" s="1" t="n">
        <v>45718</v>
      </c>
      <c r="D2385" t="inlineStr">
        <is>
          <t>JÄMTLANDS LÄN</t>
        </is>
      </c>
      <c r="E2385" t="inlineStr">
        <is>
          <t>STRÖMSUND</t>
        </is>
      </c>
      <c r="F2385" t="inlineStr">
        <is>
          <t>Holmen skog AB</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38374-2023</t>
        </is>
      </c>
      <c r="B2386" s="1" t="n">
        <v>45162</v>
      </c>
      <c r="C2386" s="1" t="n">
        <v>45718</v>
      </c>
      <c r="D2386" t="inlineStr">
        <is>
          <t>JÄMTLANDS LÄN</t>
        </is>
      </c>
      <c r="E2386" t="inlineStr">
        <is>
          <t>STRÖMSUND</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38642-2023</t>
        </is>
      </c>
      <c r="B2387" s="1" t="n">
        <v>45162</v>
      </c>
      <c r="C2387" s="1" t="n">
        <v>45718</v>
      </c>
      <c r="D2387" t="inlineStr">
        <is>
          <t>JÄMTLANDS LÄN</t>
        </is>
      </c>
      <c r="E2387" t="inlineStr">
        <is>
          <t>STRÖMSUND</t>
        </is>
      </c>
      <c r="F2387" t="inlineStr">
        <is>
          <t>Holmen skog AB</t>
        </is>
      </c>
      <c r="G2387" t="n">
        <v>12.6</v>
      </c>
      <c r="H2387" t="n">
        <v>0</v>
      </c>
      <c r="I2387" t="n">
        <v>0</v>
      </c>
      <c r="J2387" t="n">
        <v>0</v>
      </c>
      <c r="K2387" t="n">
        <v>0</v>
      </c>
      <c r="L2387" t="n">
        <v>0</v>
      </c>
      <c r="M2387" t="n">
        <v>0</v>
      </c>
      <c r="N2387" t="n">
        <v>0</v>
      </c>
      <c r="O2387" t="n">
        <v>0</v>
      </c>
      <c r="P2387" t="n">
        <v>0</v>
      </c>
      <c r="Q2387" t="n">
        <v>0</v>
      </c>
      <c r="R2387" s="2" t="inlineStr"/>
    </row>
    <row r="2388" ht="15" customHeight="1">
      <c r="A2388" t="inlineStr">
        <is>
          <t>A 38842-2023</t>
        </is>
      </c>
      <c r="B2388" s="1" t="n">
        <v>45163</v>
      </c>
      <c r="C2388" s="1" t="n">
        <v>45718</v>
      </c>
      <c r="D2388" t="inlineStr">
        <is>
          <t>JÄMTLANDS LÄN</t>
        </is>
      </c>
      <c r="E2388" t="inlineStr">
        <is>
          <t>STRÖMSUND</t>
        </is>
      </c>
      <c r="F2388" t="inlineStr">
        <is>
          <t>Holmen skog AB</t>
        </is>
      </c>
      <c r="G2388" t="n">
        <v>11.4</v>
      </c>
      <c r="H2388" t="n">
        <v>0</v>
      </c>
      <c r="I2388" t="n">
        <v>0</v>
      </c>
      <c r="J2388" t="n">
        <v>0</v>
      </c>
      <c r="K2388" t="n">
        <v>0</v>
      </c>
      <c r="L2388" t="n">
        <v>0</v>
      </c>
      <c r="M2388" t="n">
        <v>0</v>
      </c>
      <c r="N2388" t="n">
        <v>0</v>
      </c>
      <c r="O2388" t="n">
        <v>0</v>
      </c>
      <c r="P2388" t="n">
        <v>0</v>
      </c>
      <c r="Q2388" t="n">
        <v>0</v>
      </c>
      <c r="R2388" s="2" t="inlineStr"/>
    </row>
    <row r="2389" ht="15" customHeight="1">
      <c r="A2389" t="inlineStr">
        <is>
          <t>A 39051-2023</t>
        </is>
      </c>
      <c r="B2389" s="1" t="n">
        <v>45163</v>
      </c>
      <c r="C2389" s="1" t="n">
        <v>45718</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39054-2023</t>
        </is>
      </c>
      <c r="B2390" s="1" t="n">
        <v>45164</v>
      </c>
      <c r="C2390" s="1" t="n">
        <v>45718</v>
      </c>
      <c r="D2390" t="inlineStr">
        <is>
          <t>JÄMTLANDS LÄN</t>
        </is>
      </c>
      <c r="E2390" t="inlineStr">
        <is>
          <t>STRÖMSUND</t>
        </is>
      </c>
      <c r="F2390" t="inlineStr">
        <is>
          <t>SCA</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39066-2023</t>
        </is>
      </c>
      <c r="B2391" s="1" t="n">
        <v>45164</v>
      </c>
      <c r="C2391" s="1" t="n">
        <v>45718</v>
      </c>
      <c r="D2391" t="inlineStr">
        <is>
          <t>JÄMTLANDS LÄN</t>
        </is>
      </c>
      <c r="E2391" t="inlineStr">
        <is>
          <t>STRÖMSUND</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38698-2023</t>
        </is>
      </c>
      <c r="B2392" s="1" t="n">
        <v>45163</v>
      </c>
      <c r="C2392" s="1" t="n">
        <v>45718</v>
      </c>
      <c r="D2392" t="inlineStr">
        <is>
          <t>JÄMTLANDS LÄN</t>
        </is>
      </c>
      <c r="E2392" t="inlineStr">
        <is>
          <t>STRÖMSUND</t>
        </is>
      </c>
      <c r="F2392" t="inlineStr">
        <is>
          <t>Holmen skog AB</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39064-2023</t>
        </is>
      </c>
      <c r="B2393" s="1" t="n">
        <v>45163</v>
      </c>
      <c r="C2393" s="1" t="n">
        <v>45718</v>
      </c>
      <c r="D2393" t="inlineStr">
        <is>
          <t>JÄMTLANDS LÄN</t>
        </is>
      </c>
      <c r="E2393" t="inlineStr">
        <is>
          <t>STRÖMSUND</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39080-2023</t>
        </is>
      </c>
      <c r="B2394" s="1" t="n">
        <v>45164</v>
      </c>
      <c r="C2394" s="1" t="n">
        <v>45718</v>
      </c>
      <c r="D2394" t="inlineStr">
        <is>
          <t>JÄMTLANDS LÄN</t>
        </is>
      </c>
      <c r="E2394" t="inlineStr">
        <is>
          <t>STRÖMSUND</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38740-2023</t>
        </is>
      </c>
      <c r="B2395" s="1" t="n">
        <v>45163</v>
      </c>
      <c r="C2395" s="1" t="n">
        <v>45718</v>
      </c>
      <c r="D2395" t="inlineStr">
        <is>
          <t>JÄMTLANDS LÄN</t>
        </is>
      </c>
      <c r="E2395" t="inlineStr">
        <is>
          <t>STRÖMSUND</t>
        </is>
      </c>
      <c r="F2395" t="inlineStr">
        <is>
          <t>Holmen skog AB</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39480-2023</t>
        </is>
      </c>
      <c r="B2396" s="1" t="n">
        <v>45167</v>
      </c>
      <c r="C2396" s="1" t="n">
        <v>45718</v>
      </c>
      <c r="D2396" t="inlineStr">
        <is>
          <t>JÄMTLANDS LÄN</t>
        </is>
      </c>
      <c r="E2396" t="inlineStr">
        <is>
          <t>STRÖMSUND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39479-2023</t>
        </is>
      </c>
      <c r="B2397" s="1" t="n">
        <v>45167</v>
      </c>
      <c r="C2397" s="1" t="n">
        <v>45718</v>
      </c>
      <c r="D2397" t="inlineStr">
        <is>
          <t>JÄMTLANDS LÄN</t>
        </is>
      </c>
      <c r="E2397" t="inlineStr">
        <is>
          <t>STRÖMSUND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39490-2023</t>
        </is>
      </c>
      <c r="B2398" s="1" t="n">
        <v>45166</v>
      </c>
      <c r="C2398" s="1" t="n">
        <v>45718</v>
      </c>
      <c r="D2398" t="inlineStr">
        <is>
          <t>JÄMTLANDS LÄN</t>
        </is>
      </c>
      <c r="E2398" t="inlineStr">
        <is>
          <t>STRÖMSUND</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39671-2023</t>
        </is>
      </c>
      <c r="B2399" s="1" t="n">
        <v>45167</v>
      </c>
      <c r="C2399" s="1" t="n">
        <v>45718</v>
      </c>
      <c r="D2399" t="inlineStr">
        <is>
          <t>JÄMTLANDS LÄN</t>
        </is>
      </c>
      <c r="E2399" t="inlineStr">
        <is>
          <t>STRÖMSUND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39799-2023</t>
        </is>
      </c>
      <c r="B2400" s="1" t="n">
        <v>45168</v>
      </c>
      <c r="C2400" s="1" t="n">
        <v>45718</v>
      </c>
      <c r="D2400" t="inlineStr">
        <is>
          <t>JÄMTLANDS LÄN</t>
        </is>
      </c>
      <c r="E2400" t="inlineStr">
        <is>
          <t>STRÖMSUND</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39817-2023</t>
        </is>
      </c>
      <c r="B2401" s="1" t="n">
        <v>45168</v>
      </c>
      <c r="C2401" s="1" t="n">
        <v>45718</v>
      </c>
      <c r="D2401" t="inlineStr">
        <is>
          <t>JÄMTLANDS LÄN</t>
        </is>
      </c>
      <c r="E2401" t="inlineStr">
        <is>
          <t>STRÖMSUND</t>
        </is>
      </c>
      <c r="F2401" t="inlineStr">
        <is>
          <t>SCA</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39792-2023</t>
        </is>
      </c>
      <c r="B2402" s="1" t="n">
        <v>45168</v>
      </c>
      <c r="C2402" s="1" t="n">
        <v>45718</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39800-2023</t>
        </is>
      </c>
      <c r="B2403" s="1" t="n">
        <v>45168</v>
      </c>
      <c r="C2403" s="1" t="n">
        <v>45718</v>
      </c>
      <c r="D2403" t="inlineStr">
        <is>
          <t>JÄMTLANDS LÄN</t>
        </is>
      </c>
      <c r="E2403" t="inlineStr">
        <is>
          <t>STRÖMSUND</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39870-2023</t>
        </is>
      </c>
      <c r="B2404" s="1" t="n">
        <v>45168</v>
      </c>
      <c r="C2404" s="1" t="n">
        <v>45718</v>
      </c>
      <c r="D2404" t="inlineStr">
        <is>
          <t>JÄMTLANDS LÄN</t>
        </is>
      </c>
      <c r="E2404" t="inlineStr">
        <is>
          <t>STRÖMSUND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39922-2023</t>
        </is>
      </c>
      <c r="B2405" s="1" t="n">
        <v>45168</v>
      </c>
      <c r="C2405" s="1" t="n">
        <v>45718</v>
      </c>
      <c r="D2405" t="inlineStr">
        <is>
          <t>JÄMTLANDS LÄN</t>
        </is>
      </c>
      <c r="E2405" t="inlineStr">
        <is>
          <t>STRÖMSUND</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39946-2023</t>
        </is>
      </c>
      <c r="B2406" s="1" t="n">
        <v>45168</v>
      </c>
      <c r="C2406" s="1" t="n">
        <v>45718</v>
      </c>
      <c r="D2406" t="inlineStr">
        <is>
          <t>JÄMTLANDS LÄN</t>
        </is>
      </c>
      <c r="E2406" t="inlineStr">
        <is>
          <t>STRÖMSUND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40104-2023</t>
        </is>
      </c>
      <c r="B2407" s="1" t="n">
        <v>45169</v>
      </c>
      <c r="C2407" s="1" t="n">
        <v>45718</v>
      </c>
      <c r="D2407" t="inlineStr">
        <is>
          <t>JÄMTLANDS LÄN</t>
        </is>
      </c>
      <c r="E2407" t="inlineStr">
        <is>
          <t>STRÖMSUND</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40102-2023</t>
        </is>
      </c>
      <c r="B2408" s="1" t="n">
        <v>45169</v>
      </c>
      <c r="C2408" s="1" t="n">
        <v>45718</v>
      </c>
      <c r="D2408" t="inlineStr">
        <is>
          <t>JÄMTLANDS LÄN</t>
        </is>
      </c>
      <c r="E2408" t="inlineStr">
        <is>
          <t>STRÖMSUND</t>
        </is>
      </c>
      <c r="F2408" t="inlineStr">
        <is>
          <t>SCA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40110-2023</t>
        </is>
      </c>
      <c r="B2409" s="1" t="n">
        <v>45168</v>
      </c>
      <c r="C2409" s="1" t="n">
        <v>45718</v>
      </c>
      <c r="D2409" t="inlineStr">
        <is>
          <t>JÄMTLANDS LÄN</t>
        </is>
      </c>
      <c r="E2409" t="inlineStr">
        <is>
          <t>STRÖMSUND</t>
        </is>
      </c>
      <c r="F2409" t="inlineStr">
        <is>
          <t>SCA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40103-2023</t>
        </is>
      </c>
      <c r="B2410" s="1" t="n">
        <v>45169</v>
      </c>
      <c r="C2410" s="1" t="n">
        <v>45718</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40101-2023</t>
        </is>
      </c>
      <c r="B2411" s="1" t="n">
        <v>45169</v>
      </c>
      <c r="C2411" s="1" t="n">
        <v>45718</v>
      </c>
      <c r="D2411" t="inlineStr">
        <is>
          <t>JÄMTLANDS LÄN</t>
        </is>
      </c>
      <c r="E2411" t="inlineStr">
        <is>
          <t>STRÖMSUND</t>
        </is>
      </c>
      <c r="F2411" t="inlineStr">
        <is>
          <t>SCA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40105-2023</t>
        </is>
      </c>
      <c r="B2412" s="1" t="n">
        <v>45169</v>
      </c>
      <c r="C2412" s="1" t="n">
        <v>45718</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40109-2023</t>
        </is>
      </c>
      <c r="B2413" s="1" t="n">
        <v>45168</v>
      </c>
      <c r="C2413" s="1" t="n">
        <v>45718</v>
      </c>
      <c r="D2413" t="inlineStr">
        <is>
          <t>JÄMTLANDS LÄN</t>
        </is>
      </c>
      <c r="E2413" t="inlineStr">
        <is>
          <t>STRÖMSUND</t>
        </is>
      </c>
      <c r="F2413" t="inlineStr">
        <is>
          <t>SCA</t>
        </is>
      </c>
      <c r="G2413" t="n">
        <v>55.1</v>
      </c>
      <c r="H2413" t="n">
        <v>0</v>
      </c>
      <c r="I2413" t="n">
        <v>0</v>
      </c>
      <c r="J2413" t="n">
        <v>0</v>
      </c>
      <c r="K2413" t="n">
        <v>0</v>
      </c>
      <c r="L2413" t="n">
        <v>0</v>
      </c>
      <c r="M2413" t="n">
        <v>0</v>
      </c>
      <c r="N2413" t="n">
        <v>0</v>
      </c>
      <c r="O2413" t="n">
        <v>0</v>
      </c>
      <c r="P2413" t="n">
        <v>0</v>
      </c>
      <c r="Q2413" t="n">
        <v>0</v>
      </c>
      <c r="R2413" s="2" t="inlineStr"/>
    </row>
    <row r="2414" ht="15" customHeight="1">
      <c r="A2414" t="inlineStr">
        <is>
          <t>A 40395-2023</t>
        </is>
      </c>
      <c r="B2414" s="1" t="n">
        <v>45170</v>
      </c>
      <c r="C2414" s="1" t="n">
        <v>45718</v>
      </c>
      <c r="D2414" t="inlineStr">
        <is>
          <t>JÄMTLANDS LÄN</t>
        </is>
      </c>
      <c r="E2414" t="inlineStr">
        <is>
          <t>STRÖMSUND</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40399-2023</t>
        </is>
      </c>
      <c r="B2415" s="1" t="n">
        <v>45170</v>
      </c>
      <c r="C2415" s="1" t="n">
        <v>45718</v>
      </c>
      <c r="D2415" t="inlineStr">
        <is>
          <t>JÄMTLANDS LÄN</t>
        </is>
      </c>
      <c r="E2415" t="inlineStr">
        <is>
          <t>STRÖMSUND</t>
        </is>
      </c>
      <c r="F2415" t="inlineStr">
        <is>
          <t>SCA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40407-2023</t>
        </is>
      </c>
      <c r="B2416" s="1" t="n">
        <v>45170</v>
      </c>
      <c r="C2416" s="1" t="n">
        <v>45718</v>
      </c>
      <c r="D2416" t="inlineStr">
        <is>
          <t>JÄMTLANDS LÄN</t>
        </is>
      </c>
      <c r="E2416" t="inlineStr">
        <is>
          <t>STRÖMSUND</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40398-2023</t>
        </is>
      </c>
      <c r="B2417" s="1" t="n">
        <v>45170</v>
      </c>
      <c r="C2417" s="1" t="n">
        <v>45718</v>
      </c>
      <c r="D2417" t="inlineStr">
        <is>
          <t>JÄMTLANDS LÄN</t>
        </is>
      </c>
      <c r="E2417" t="inlineStr">
        <is>
          <t>STRÖMSUND</t>
        </is>
      </c>
      <c r="F2417" t="inlineStr">
        <is>
          <t>SCA</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40440-2023</t>
        </is>
      </c>
      <c r="B2418" s="1" t="n">
        <v>45170</v>
      </c>
      <c r="C2418" s="1" t="n">
        <v>45718</v>
      </c>
      <c r="D2418" t="inlineStr">
        <is>
          <t>JÄMTLANDS LÄN</t>
        </is>
      </c>
      <c r="E2418" t="inlineStr">
        <is>
          <t>STRÖMSUND</t>
        </is>
      </c>
      <c r="F2418" t="inlineStr">
        <is>
          <t>SCA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40427-2023</t>
        </is>
      </c>
      <c r="B2419" s="1" t="n">
        <v>45170</v>
      </c>
      <c r="C2419" s="1" t="n">
        <v>45718</v>
      </c>
      <c r="D2419" t="inlineStr">
        <is>
          <t>JÄMTLANDS LÄN</t>
        </is>
      </c>
      <c r="E2419" t="inlineStr">
        <is>
          <t>STRÖMSUND</t>
        </is>
      </c>
      <c r="F2419" t="inlineStr">
        <is>
          <t>SCA</t>
        </is>
      </c>
      <c r="G2419" t="n">
        <v>12.2</v>
      </c>
      <c r="H2419" t="n">
        <v>0</v>
      </c>
      <c r="I2419" t="n">
        <v>0</v>
      </c>
      <c r="J2419" t="n">
        <v>0</v>
      </c>
      <c r="K2419" t="n">
        <v>0</v>
      </c>
      <c r="L2419" t="n">
        <v>0</v>
      </c>
      <c r="M2419" t="n">
        <v>0</v>
      </c>
      <c r="N2419" t="n">
        <v>0</v>
      </c>
      <c r="O2419" t="n">
        <v>0</v>
      </c>
      <c r="P2419" t="n">
        <v>0</v>
      </c>
      <c r="Q2419" t="n">
        <v>0</v>
      </c>
      <c r="R2419" s="2" t="inlineStr"/>
    </row>
    <row r="2420" ht="15" customHeight="1">
      <c r="A2420" t="inlineStr">
        <is>
          <t>A 40402-2023</t>
        </is>
      </c>
      <c r="B2420" s="1" t="n">
        <v>45170</v>
      </c>
      <c r="C2420" s="1" t="n">
        <v>45718</v>
      </c>
      <c r="D2420" t="inlineStr">
        <is>
          <t>JÄMTLANDS LÄN</t>
        </is>
      </c>
      <c r="E2420" t="inlineStr">
        <is>
          <t>STRÖMSUND</t>
        </is>
      </c>
      <c r="F2420" t="inlineStr">
        <is>
          <t>SCA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40396-2023</t>
        </is>
      </c>
      <c r="B2421" s="1" t="n">
        <v>45170</v>
      </c>
      <c r="C2421" s="1" t="n">
        <v>45718</v>
      </c>
      <c r="D2421" t="inlineStr">
        <is>
          <t>JÄMTLANDS LÄN</t>
        </is>
      </c>
      <c r="E2421" t="inlineStr">
        <is>
          <t>STRÖMSUND</t>
        </is>
      </c>
      <c r="F2421" t="inlineStr">
        <is>
          <t>SCA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40439-2023</t>
        </is>
      </c>
      <c r="B2422" s="1" t="n">
        <v>45169</v>
      </c>
      <c r="C2422" s="1" t="n">
        <v>45718</v>
      </c>
      <c r="D2422" t="inlineStr">
        <is>
          <t>JÄMTLANDS LÄN</t>
        </is>
      </c>
      <c r="E2422" t="inlineStr">
        <is>
          <t>STRÖMSUND</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40408-2023</t>
        </is>
      </c>
      <c r="B2423" s="1" t="n">
        <v>45170</v>
      </c>
      <c r="C2423" s="1" t="n">
        <v>45718</v>
      </c>
      <c r="D2423" t="inlineStr">
        <is>
          <t>JÄMTLANDS LÄN</t>
        </is>
      </c>
      <c r="E2423" t="inlineStr">
        <is>
          <t>STRÖMSUND</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40424-2023</t>
        </is>
      </c>
      <c r="B2424" s="1" t="n">
        <v>45170</v>
      </c>
      <c r="C2424" s="1" t="n">
        <v>45718</v>
      </c>
      <c r="D2424" t="inlineStr">
        <is>
          <t>JÄMTLANDS LÄN</t>
        </is>
      </c>
      <c r="E2424" t="inlineStr">
        <is>
          <t>STRÖMSUND</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40441-2023</t>
        </is>
      </c>
      <c r="B2425" s="1" t="n">
        <v>45169</v>
      </c>
      <c r="C2425" s="1" t="n">
        <v>45718</v>
      </c>
      <c r="D2425" t="inlineStr">
        <is>
          <t>JÄMTLANDS LÄN</t>
        </is>
      </c>
      <c r="E2425" t="inlineStr">
        <is>
          <t>STRÖMSUND</t>
        </is>
      </c>
      <c r="F2425" t="inlineStr">
        <is>
          <t>SCA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40625-2023</t>
        </is>
      </c>
      <c r="B2426" s="1" t="n">
        <v>45169</v>
      </c>
      <c r="C2426" s="1" t="n">
        <v>45718</v>
      </c>
      <c r="D2426" t="inlineStr">
        <is>
          <t>JÄMTLANDS LÄN</t>
        </is>
      </c>
      <c r="E2426" t="inlineStr">
        <is>
          <t>STRÖMSUND</t>
        </is>
      </c>
      <c r="G2426" t="n">
        <v>12.9</v>
      </c>
      <c r="H2426" t="n">
        <v>0</v>
      </c>
      <c r="I2426" t="n">
        <v>0</v>
      </c>
      <c r="J2426" t="n">
        <v>0</v>
      </c>
      <c r="K2426" t="n">
        <v>0</v>
      </c>
      <c r="L2426" t="n">
        <v>0</v>
      </c>
      <c r="M2426" t="n">
        <v>0</v>
      </c>
      <c r="N2426" t="n">
        <v>0</v>
      </c>
      <c r="O2426" t="n">
        <v>0</v>
      </c>
      <c r="P2426" t="n">
        <v>0</v>
      </c>
      <c r="Q2426" t="n">
        <v>0</v>
      </c>
      <c r="R2426" s="2" t="inlineStr"/>
    </row>
    <row r="2427" ht="15" customHeight="1">
      <c r="A2427" t="inlineStr">
        <is>
          <t>A 41150-2023</t>
        </is>
      </c>
      <c r="B2427" s="1" t="n">
        <v>45174</v>
      </c>
      <c r="C2427" s="1" t="n">
        <v>45718</v>
      </c>
      <c r="D2427" t="inlineStr">
        <is>
          <t>JÄMTLANDS LÄN</t>
        </is>
      </c>
      <c r="E2427" t="inlineStr">
        <is>
          <t>STRÖMSUND</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41536-2023</t>
        </is>
      </c>
      <c r="B2428" s="1" t="n">
        <v>45173</v>
      </c>
      <c r="C2428" s="1" t="n">
        <v>45718</v>
      </c>
      <c r="D2428" t="inlineStr">
        <is>
          <t>JÄMTLANDS LÄN</t>
        </is>
      </c>
      <c r="E2428" t="inlineStr">
        <is>
          <t>STRÖMSUND</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41268-2023</t>
        </is>
      </c>
      <c r="B2429" s="1" t="n">
        <v>45174</v>
      </c>
      <c r="C2429" s="1" t="n">
        <v>45718</v>
      </c>
      <c r="D2429" t="inlineStr">
        <is>
          <t>JÄMTLANDS LÄN</t>
        </is>
      </c>
      <c r="E2429" t="inlineStr">
        <is>
          <t>STRÖMSUND</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41970-2023</t>
        </is>
      </c>
      <c r="B2430" s="1" t="n">
        <v>45174</v>
      </c>
      <c r="C2430" s="1" t="n">
        <v>45718</v>
      </c>
      <c r="D2430" t="inlineStr">
        <is>
          <t>JÄMTLANDS LÄN</t>
        </is>
      </c>
      <c r="E2430" t="inlineStr">
        <is>
          <t>STRÖMSUND</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41978-2023</t>
        </is>
      </c>
      <c r="B2431" s="1" t="n">
        <v>45174</v>
      </c>
      <c r="C2431" s="1" t="n">
        <v>45718</v>
      </c>
      <c r="D2431" t="inlineStr">
        <is>
          <t>JÄMTLANDS LÄN</t>
        </is>
      </c>
      <c r="E2431" t="inlineStr">
        <is>
          <t>STRÖMSUND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41644-2023</t>
        </is>
      </c>
      <c r="B2432" s="1" t="n">
        <v>45175</v>
      </c>
      <c r="C2432" s="1" t="n">
        <v>45718</v>
      </c>
      <c r="D2432" t="inlineStr">
        <is>
          <t>JÄMTLANDS LÄN</t>
        </is>
      </c>
      <c r="E2432" t="inlineStr">
        <is>
          <t>STRÖMSUND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41902-2023</t>
        </is>
      </c>
      <c r="B2433" s="1" t="n">
        <v>45176</v>
      </c>
      <c r="C2433" s="1" t="n">
        <v>45718</v>
      </c>
      <c r="D2433" t="inlineStr">
        <is>
          <t>JÄMTLANDS LÄN</t>
        </is>
      </c>
      <c r="E2433" t="inlineStr">
        <is>
          <t>STRÖMSUND</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41917-2023</t>
        </is>
      </c>
      <c r="B2434" s="1" t="n">
        <v>45177</v>
      </c>
      <c r="C2434" s="1" t="n">
        <v>45718</v>
      </c>
      <c r="D2434" t="inlineStr">
        <is>
          <t>JÄMTLANDS LÄN</t>
        </is>
      </c>
      <c r="E2434" t="inlineStr">
        <is>
          <t>STRÖMSUND</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41921-2023</t>
        </is>
      </c>
      <c r="B2435" s="1" t="n">
        <v>45177</v>
      </c>
      <c r="C2435" s="1" t="n">
        <v>45718</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41903-2023</t>
        </is>
      </c>
      <c r="B2436" s="1" t="n">
        <v>45176</v>
      </c>
      <c r="C2436" s="1" t="n">
        <v>45718</v>
      </c>
      <c r="D2436" t="inlineStr">
        <is>
          <t>JÄMTLANDS LÄN</t>
        </is>
      </c>
      <c r="E2436" t="inlineStr">
        <is>
          <t>STRÖMSUND</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41916-2023</t>
        </is>
      </c>
      <c r="B2437" s="1" t="n">
        <v>45177</v>
      </c>
      <c r="C2437" s="1" t="n">
        <v>45718</v>
      </c>
      <c r="D2437" t="inlineStr">
        <is>
          <t>JÄMTLANDS LÄN</t>
        </is>
      </c>
      <c r="E2437" t="inlineStr">
        <is>
          <t>STRÖMSUND</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41939-2023</t>
        </is>
      </c>
      <c r="B2438" s="1" t="n">
        <v>45177</v>
      </c>
      <c r="C2438" s="1" t="n">
        <v>45718</v>
      </c>
      <c r="D2438" t="inlineStr">
        <is>
          <t>JÄMTLANDS LÄN</t>
        </is>
      </c>
      <c r="E2438" t="inlineStr">
        <is>
          <t>STRÖMSUND</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41940-2023</t>
        </is>
      </c>
      <c r="B2439" s="1" t="n">
        <v>45176</v>
      </c>
      <c r="C2439" s="1" t="n">
        <v>45718</v>
      </c>
      <c r="D2439" t="inlineStr">
        <is>
          <t>JÄMTLANDS LÄN</t>
        </is>
      </c>
      <c r="E2439" t="inlineStr">
        <is>
          <t>STRÖMSUND</t>
        </is>
      </c>
      <c r="F2439" t="inlineStr">
        <is>
          <t>SCA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42284-2023</t>
        </is>
      </c>
      <c r="B2440" s="1" t="n">
        <v>45180</v>
      </c>
      <c r="C2440" s="1" t="n">
        <v>45718</v>
      </c>
      <c r="D2440" t="inlineStr">
        <is>
          <t>JÄMTLANDS LÄN</t>
        </is>
      </c>
      <c r="E2440" t="inlineStr">
        <is>
          <t>STRÖMSUND</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42502-2023</t>
        </is>
      </c>
      <c r="B2441" s="1" t="n">
        <v>45181</v>
      </c>
      <c r="C2441" s="1" t="n">
        <v>45718</v>
      </c>
      <c r="D2441" t="inlineStr">
        <is>
          <t>JÄMTLANDS LÄN</t>
        </is>
      </c>
      <c r="E2441" t="inlineStr">
        <is>
          <t>STRÖMSUND</t>
        </is>
      </c>
      <c r="F2441" t="inlineStr">
        <is>
          <t>SCA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42287-2023</t>
        </is>
      </c>
      <c r="B2442" s="1" t="n">
        <v>45180</v>
      </c>
      <c r="C2442" s="1" t="n">
        <v>45718</v>
      </c>
      <c r="D2442" t="inlineStr">
        <is>
          <t>JÄMTLANDS LÄN</t>
        </is>
      </c>
      <c r="E2442" t="inlineStr">
        <is>
          <t>STRÖMSUND</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42291-2023</t>
        </is>
      </c>
      <c r="B2443" s="1" t="n">
        <v>45180</v>
      </c>
      <c r="C2443" s="1" t="n">
        <v>45718</v>
      </c>
      <c r="D2443" t="inlineStr">
        <is>
          <t>JÄMTLANDS LÄN</t>
        </is>
      </c>
      <c r="E2443" t="inlineStr">
        <is>
          <t>STRÖMSUND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42428-2023</t>
        </is>
      </c>
      <c r="B2444" s="1" t="n">
        <v>45180</v>
      </c>
      <c r="C2444" s="1" t="n">
        <v>45718</v>
      </c>
      <c r="D2444" t="inlineStr">
        <is>
          <t>JÄMTLANDS LÄN</t>
        </is>
      </c>
      <c r="E2444" t="inlineStr">
        <is>
          <t>STRÖMSUND</t>
        </is>
      </c>
      <c r="F2444" t="inlineStr">
        <is>
          <t>Holmen skog AB</t>
        </is>
      </c>
      <c r="G2444" t="n">
        <v>15.6</v>
      </c>
      <c r="H2444" t="n">
        <v>0</v>
      </c>
      <c r="I2444" t="n">
        <v>0</v>
      </c>
      <c r="J2444" t="n">
        <v>0</v>
      </c>
      <c r="K2444" t="n">
        <v>0</v>
      </c>
      <c r="L2444" t="n">
        <v>0</v>
      </c>
      <c r="M2444" t="n">
        <v>0</v>
      </c>
      <c r="N2444" t="n">
        <v>0</v>
      </c>
      <c r="O2444" t="n">
        <v>0</v>
      </c>
      <c r="P2444" t="n">
        <v>0</v>
      </c>
      <c r="Q2444" t="n">
        <v>0</v>
      </c>
      <c r="R2444" s="2" t="inlineStr"/>
    </row>
    <row r="2445" ht="15" customHeight="1">
      <c r="A2445" t="inlineStr">
        <is>
          <t>A 42448-2023</t>
        </is>
      </c>
      <c r="B2445" s="1" t="n">
        <v>45180</v>
      </c>
      <c r="C2445" s="1" t="n">
        <v>45718</v>
      </c>
      <c r="D2445" t="inlineStr">
        <is>
          <t>JÄMTLANDS LÄN</t>
        </is>
      </c>
      <c r="E2445" t="inlineStr">
        <is>
          <t>STRÖMSUND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43565-2023</t>
        </is>
      </c>
      <c r="B2446" s="1" t="n">
        <v>45181</v>
      </c>
      <c r="C2446" s="1" t="n">
        <v>45718</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43558-2023</t>
        </is>
      </c>
      <c r="B2447" s="1" t="n">
        <v>45181</v>
      </c>
      <c r="C2447" s="1" t="n">
        <v>45718</v>
      </c>
      <c r="D2447" t="inlineStr">
        <is>
          <t>JÄMTLANDS LÄN</t>
        </is>
      </c>
      <c r="E2447" t="inlineStr">
        <is>
          <t>STRÖMSUND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42966-2023</t>
        </is>
      </c>
      <c r="B2448" s="1" t="n">
        <v>45182</v>
      </c>
      <c r="C2448" s="1" t="n">
        <v>45718</v>
      </c>
      <c r="D2448" t="inlineStr">
        <is>
          <t>JÄMTLANDS LÄN</t>
        </is>
      </c>
      <c r="E2448" t="inlineStr">
        <is>
          <t>STRÖMSUND</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42964-2023</t>
        </is>
      </c>
      <c r="B2449" s="1" t="n">
        <v>45182</v>
      </c>
      <c r="C2449" s="1" t="n">
        <v>45718</v>
      </c>
      <c r="D2449" t="inlineStr">
        <is>
          <t>JÄMTLANDS LÄN</t>
        </is>
      </c>
      <c r="E2449" t="inlineStr">
        <is>
          <t>STRÖMSUND</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43112-2023</t>
        </is>
      </c>
      <c r="B2450" s="1" t="n">
        <v>45183</v>
      </c>
      <c r="C2450" s="1" t="n">
        <v>45718</v>
      </c>
      <c r="D2450" t="inlineStr">
        <is>
          <t>JÄMTLANDS LÄN</t>
        </is>
      </c>
      <c r="E2450" t="inlineStr">
        <is>
          <t>STRÖMSUND</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43421-2023</t>
        </is>
      </c>
      <c r="B2451" s="1" t="n">
        <v>45184</v>
      </c>
      <c r="C2451" s="1" t="n">
        <v>45718</v>
      </c>
      <c r="D2451" t="inlineStr">
        <is>
          <t>JÄMTLANDS LÄN</t>
        </is>
      </c>
      <c r="E2451" t="inlineStr">
        <is>
          <t>STRÖMSUND</t>
        </is>
      </c>
      <c r="F2451" t="inlineStr">
        <is>
          <t>SCA</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44642-2023</t>
        </is>
      </c>
      <c r="B2452" s="1" t="n">
        <v>45184</v>
      </c>
      <c r="C2452" s="1" t="n">
        <v>45718</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43947-2023</t>
        </is>
      </c>
      <c r="B2453" s="1" t="n">
        <v>45188</v>
      </c>
      <c r="C2453" s="1" t="n">
        <v>45718</v>
      </c>
      <c r="D2453" t="inlineStr">
        <is>
          <t>JÄMTLANDS LÄN</t>
        </is>
      </c>
      <c r="E2453" t="inlineStr">
        <is>
          <t>STRÖMSUND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43955-2023</t>
        </is>
      </c>
      <c r="B2454" s="1" t="n">
        <v>45188</v>
      </c>
      <c r="C2454" s="1" t="n">
        <v>45718</v>
      </c>
      <c r="D2454" t="inlineStr">
        <is>
          <t>JÄMTLANDS LÄN</t>
        </is>
      </c>
      <c r="E2454" t="inlineStr">
        <is>
          <t>STRÖMSUND</t>
        </is>
      </c>
      <c r="F2454" t="inlineStr">
        <is>
          <t>SCA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43953-2023</t>
        </is>
      </c>
      <c r="B2455" s="1" t="n">
        <v>45187</v>
      </c>
      <c r="C2455" s="1" t="n">
        <v>45718</v>
      </c>
      <c r="D2455" t="inlineStr">
        <is>
          <t>JÄMTLANDS LÄN</t>
        </is>
      </c>
      <c r="E2455" t="inlineStr">
        <is>
          <t>STRÖMSUND</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43956-2023</t>
        </is>
      </c>
      <c r="B2456" s="1" t="n">
        <v>45188</v>
      </c>
      <c r="C2456" s="1" t="n">
        <v>45718</v>
      </c>
      <c r="D2456" t="inlineStr">
        <is>
          <t>JÄMTLANDS LÄN</t>
        </is>
      </c>
      <c r="E2456" t="inlineStr">
        <is>
          <t>STRÖMSUND</t>
        </is>
      </c>
      <c r="F2456" t="inlineStr">
        <is>
          <t>SCA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43976-2023</t>
        </is>
      </c>
      <c r="B2457" s="1" t="n">
        <v>45187</v>
      </c>
      <c r="C2457" s="1" t="n">
        <v>45718</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44385-2023</t>
        </is>
      </c>
      <c r="B2458" s="1" t="n">
        <v>45189</v>
      </c>
      <c r="C2458" s="1" t="n">
        <v>45718</v>
      </c>
      <c r="D2458" t="inlineStr">
        <is>
          <t>JÄMTLANDS LÄN</t>
        </is>
      </c>
      <c r="E2458" t="inlineStr">
        <is>
          <t>STRÖMSUND</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44384-2023</t>
        </is>
      </c>
      <c r="B2459" s="1" t="n">
        <v>45189</v>
      </c>
      <c r="C2459" s="1" t="n">
        <v>45718</v>
      </c>
      <c r="D2459" t="inlineStr">
        <is>
          <t>JÄMTLANDS LÄN</t>
        </is>
      </c>
      <c r="E2459" t="inlineStr">
        <is>
          <t>STRÖMSUND</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44411-2023</t>
        </is>
      </c>
      <c r="B2460" s="1" t="n">
        <v>45189</v>
      </c>
      <c r="C2460" s="1" t="n">
        <v>45718</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44390-2023</t>
        </is>
      </c>
      <c r="B2461" s="1" t="n">
        <v>45189</v>
      </c>
      <c r="C2461" s="1" t="n">
        <v>45718</v>
      </c>
      <c r="D2461" t="inlineStr">
        <is>
          <t>JÄMTLANDS LÄN</t>
        </is>
      </c>
      <c r="E2461" t="inlineStr">
        <is>
          <t>STRÖMSUND</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44402-2023</t>
        </is>
      </c>
      <c r="B2462" s="1" t="n">
        <v>45188</v>
      </c>
      <c r="C2462" s="1" t="n">
        <v>45718</v>
      </c>
      <c r="D2462" t="inlineStr">
        <is>
          <t>JÄMTLANDS LÄN</t>
        </is>
      </c>
      <c r="E2462" t="inlineStr">
        <is>
          <t>STRÖMSUND</t>
        </is>
      </c>
      <c r="F2462" t="inlineStr">
        <is>
          <t>SCA</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45928-2023</t>
        </is>
      </c>
      <c r="B2463" s="1" t="n">
        <v>45189</v>
      </c>
      <c r="C2463" s="1" t="n">
        <v>45718</v>
      </c>
      <c r="D2463" t="inlineStr">
        <is>
          <t>JÄMTLANDS LÄN</t>
        </is>
      </c>
      <c r="E2463" t="inlineStr">
        <is>
          <t>STRÖMSUND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44995-2023</t>
        </is>
      </c>
      <c r="B2464" s="1" t="n">
        <v>45191</v>
      </c>
      <c r="C2464" s="1" t="n">
        <v>45718</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44813-2023</t>
        </is>
      </c>
      <c r="B2465" s="1" t="n">
        <v>45190</v>
      </c>
      <c r="C2465" s="1" t="n">
        <v>45718</v>
      </c>
      <c r="D2465" t="inlineStr">
        <is>
          <t>JÄMTLANDS LÄN</t>
        </is>
      </c>
      <c r="E2465" t="inlineStr">
        <is>
          <t>STRÖMSUND</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44969-2023</t>
        </is>
      </c>
      <c r="B2466" s="1" t="n">
        <v>45191</v>
      </c>
      <c r="C2466" s="1" t="n">
        <v>45718</v>
      </c>
      <c r="D2466" t="inlineStr">
        <is>
          <t>JÄMTLANDS LÄN</t>
        </is>
      </c>
      <c r="E2466" t="inlineStr">
        <is>
          <t>STRÖMSUND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45091-2023</t>
        </is>
      </c>
      <c r="B2467" s="1" t="n">
        <v>45191</v>
      </c>
      <c r="C2467" s="1" t="n">
        <v>45718</v>
      </c>
      <c r="D2467" t="inlineStr">
        <is>
          <t>JÄMTLANDS LÄN</t>
        </is>
      </c>
      <c r="E2467" t="inlineStr">
        <is>
          <t>STRÖMSUND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45329-2023</t>
        </is>
      </c>
      <c r="B2468" s="1" t="n">
        <v>45192</v>
      </c>
      <c r="C2468" s="1" t="n">
        <v>45718</v>
      </c>
      <c r="D2468" t="inlineStr">
        <is>
          <t>JÄMTLANDS LÄN</t>
        </is>
      </c>
      <c r="E2468" t="inlineStr">
        <is>
          <t>STRÖMSUND</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45341-2023</t>
        </is>
      </c>
      <c r="B2469" s="1" t="n">
        <v>45192</v>
      </c>
      <c r="C2469" s="1" t="n">
        <v>45718</v>
      </c>
      <c r="D2469" t="inlineStr">
        <is>
          <t>JÄMTLANDS LÄN</t>
        </is>
      </c>
      <c r="E2469" t="inlineStr">
        <is>
          <t>STRÖMSUND</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45340-2023</t>
        </is>
      </c>
      <c r="B2470" s="1" t="n">
        <v>45192</v>
      </c>
      <c r="C2470" s="1" t="n">
        <v>45718</v>
      </c>
      <c r="D2470" t="inlineStr">
        <is>
          <t>JÄMTLANDS LÄN</t>
        </is>
      </c>
      <c r="E2470" t="inlineStr">
        <is>
          <t>STRÖMSUND</t>
        </is>
      </c>
      <c r="F2470" t="inlineStr">
        <is>
          <t>SCA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45315-2023</t>
        </is>
      </c>
      <c r="B2471" s="1" t="n">
        <v>45191</v>
      </c>
      <c r="C2471" s="1" t="n">
        <v>45718</v>
      </c>
      <c r="D2471" t="inlineStr">
        <is>
          <t>JÄMTLANDS LÄN</t>
        </is>
      </c>
      <c r="E2471" t="inlineStr">
        <is>
          <t>STRÖMSUND</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45339-2023</t>
        </is>
      </c>
      <c r="B2472" s="1" t="n">
        <v>45192</v>
      </c>
      <c r="C2472" s="1" t="n">
        <v>45718</v>
      </c>
      <c r="D2472" t="inlineStr">
        <is>
          <t>JÄMTLANDS LÄN</t>
        </is>
      </c>
      <c r="E2472" t="inlineStr">
        <is>
          <t>STRÖMSUND</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45366-2023</t>
        </is>
      </c>
      <c r="B2473" s="1" t="n">
        <v>45192</v>
      </c>
      <c r="C2473" s="1" t="n">
        <v>45718</v>
      </c>
      <c r="D2473" t="inlineStr">
        <is>
          <t>JÄMTLANDS LÄN</t>
        </is>
      </c>
      <c r="E2473" t="inlineStr">
        <is>
          <t>STRÖMSUND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45497-2023</t>
        </is>
      </c>
      <c r="B2474" s="1" t="n">
        <v>45194</v>
      </c>
      <c r="C2474" s="1" t="n">
        <v>45718</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45566-2023</t>
        </is>
      </c>
      <c r="B2475" s="1" t="n">
        <v>45194</v>
      </c>
      <c r="C2475" s="1" t="n">
        <v>45718</v>
      </c>
      <c r="D2475" t="inlineStr">
        <is>
          <t>JÄMTLANDS LÄN</t>
        </is>
      </c>
      <c r="E2475" t="inlineStr">
        <is>
          <t>STRÖMSUND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45506-2023</t>
        </is>
      </c>
      <c r="B2476" s="1" t="n">
        <v>45194</v>
      </c>
      <c r="C2476" s="1" t="n">
        <v>45718</v>
      </c>
      <c r="D2476" t="inlineStr">
        <is>
          <t>JÄMTLANDS LÄN</t>
        </is>
      </c>
      <c r="E2476" t="inlineStr">
        <is>
          <t>STRÖMSUND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45584-2023</t>
        </is>
      </c>
      <c r="B2477" s="1" t="n">
        <v>45194</v>
      </c>
      <c r="C2477" s="1" t="n">
        <v>45718</v>
      </c>
      <c r="D2477" t="inlineStr">
        <is>
          <t>JÄMTLANDS LÄN</t>
        </is>
      </c>
      <c r="E2477" t="inlineStr">
        <is>
          <t>STRÖMSUND</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45502-2023</t>
        </is>
      </c>
      <c r="B2478" s="1" t="n">
        <v>45194</v>
      </c>
      <c r="C2478" s="1" t="n">
        <v>45718</v>
      </c>
      <c r="D2478" t="inlineStr">
        <is>
          <t>JÄMTLANDS LÄN</t>
        </is>
      </c>
      <c r="E2478" t="inlineStr">
        <is>
          <t>STRÖMSUND</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45809-2023</t>
        </is>
      </c>
      <c r="B2479" s="1" t="n">
        <v>45195</v>
      </c>
      <c r="C2479" s="1" t="n">
        <v>45718</v>
      </c>
      <c r="D2479" t="inlineStr">
        <is>
          <t>JÄMTLANDS LÄN</t>
        </is>
      </c>
      <c r="E2479" t="inlineStr">
        <is>
          <t>STRÖMSUND</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45938-2023</t>
        </is>
      </c>
      <c r="B2480" s="1" t="n">
        <v>45196</v>
      </c>
      <c r="C2480" s="1" t="n">
        <v>45718</v>
      </c>
      <c r="D2480" t="inlineStr">
        <is>
          <t>JÄMTLANDS LÄN</t>
        </is>
      </c>
      <c r="E2480" t="inlineStr">
        <is>
          <t>STRÖMSUND</t>
        </is>
      </c>
      <c r="F2480" t="inlineStr">
        <is>
          <t>SCA</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46788-2023</t>
        </is>
      </c>
      <c r="B2481" s="1" t="n">
        <v>45195</v>
      </c>
      <c r="C2481" s="1" t="n">
        <v>45718</v>
      </c>
      <c r="D2481" t="inlineStr">
        <is>
          <t>JÄMTLANDS LÄN</t>
        </is>
      </c>
      <c r="E2481" t="inlineStr">
        <is>
          <t>STRÖMSUND</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45975-2023</t>
        </is>
      </c>
      <c r="B2482" s="1" t="n">
        <v>45196</v>
      </c>
      <c r="C2482" s="1" t="n">
        <v>45718</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46789-2023</t>
        </is>
      </c>
      <c r="B2483" s="1" t="n">
        <v>45195</v>
      </c>
      <c r="C2483" s="1" t="n">
        <v>45718</v>
      </c>
      <c r="D2483" t="inlineStr">
        <is>
          <t>JÄMTLANDS LÄN</t>
        </is>
      </c>
      <c r="E2483" t="inlineStr">
        <is>
          <t>STRÖMSUND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46776-2023</t>
        </is>
      </c>
      <c r="B2484" s="1" t="n">
        <v>45195</v>
      </c>
      <c r="C2484" s="1" t="n">
        <v>45718</v>
      </c>
      <c r="D2484" t="inlineStr">
        <is>
          <t>JÄMTLANDS LÄN</t>
        </is>
      </c>
      <c r="E2484" t="inlineStr">
        <is>
          <t>STRÖMSUND</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46794-2023</t>
        </is>
      </c>
      <c r="B2485" s="1" t="n">
        <v>45195</v>
      </c>
      <c r="C2485" s="1" t="n">
        <v>45718</v>
      </c>
      <c r="D2485" t="inlineStr">
        <is>
          <t>JÄMTLANDS LÄN</t>
        </is>
      </c>
      <c r="E2485" t="inlineStr">
        <is>
          <t>STRÖMSUND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46793-2023</t>
        </is>
      </c>
      <c r="B2486" s="1" t="n">
        <v>45195</v>
      </c>
      <c r="C2486" s="1" t="n">
        <v>45718</v>
      </c>
      <c r="D2486" t="inlineStr">
        <is>
          <t>JÄMTLANDS LÄN</t>
        </is>
      </c>
      <c r="E2486" t="inlineStr">
        <is>
          <t>STRÖMSUND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46258-2023</t>
        </is>
      </c>
      <c r="B2487" s="1" t="n">
        <v>45197</v>
      </c>
      <c r="C2487" s="1" t="n">
        <v>45718</v>
      </c>
      <c r="D2487" t="inlineStr">
        <is>
          <t>JÄMTLANDS LÄN</t>
        </is>
      </c>
      <c r="E2487" t="inlineStr">
        <is>
          <t>STRÖMSUND</t>
        </is>
      </c>
      <c r="F2487" t="inlineStr">
        <is>
          <t>SCA</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46265-2023</t>
        </is>
      </c>
      <c r="B2488" s="1" t="n">
        <v>45196</v>
      </c>
      <c r="C2488" s="1" t="n">
        <v>45718</v>
      </c>
      <c r="D2488" t="inlineStr">
        <is>
          <t>JÄMTLANDS LÄN</t>
        </is>
      </c>
      <c r="E2488" t="inlineStr">
        <is>
          <t>STRÖMSUND</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46259-2023</t>
        </is>
      </c>
      <c r="B2489" s="1" t="n">
        <v>45197</v>
      </c>
      <c r="C2489" s="1" t="n">
        <v>45718</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46365-2023</t>
        </is>
      </c>
      <c r="B2490" s="1" t="n">
        <v>45197</v>
      </c>
      <c r="C2490" s="1" t="n">
        <v>45718</v>
      </c>
      <c r="D2490" t="inlineStr">
        <is>
          <t>JÄMTLANDS LÄN</t>
        </is>
      </c>
      <c r="E2490" t="inlineStr">
        <is>
          <t>STRÖMSUND</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46545-2023</t>
        </is>
      </c>
      <c r="B2491" s="1" t="n">
        <v>45198</v>
      </c>
      <c r="C2491" s="1" t="n">
        <v>45718</v>
      </c>
      <c r="D2491" t="inlineStr">
        <is>
          <t>JÄMTLANDS LÄN</t>
        </is>
      </c>
      <c r="E2491" t="inlineStr">
        <is>
          <t>STRÖMSUND</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46556-2023</t>
        </is>
      </c>
      <c r="B2492" s="1" t="n">
        <v>45198</v>
      </c>
      <c r="C2492" s="1" t="n">
        <v>45718</v>
      </c>
      <c r="D2492" t="inlineStr">
        <is>
          <t>JÄMTLANDS LÄN</t>
        </is>
      </c>
      <c r="E2492" t="inlineStr">
        <is>
          <t>STRÖMSUND</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46557-2023</t>
        </is>
      </c>
      <c r="B2493" s="1" t="n">
        <v>45197</v>
      </c>
      <c r="C2493" s="1" t="n">
        <v>45718</v>
      </c>
      <c r="D2493" t="inlineStr">
        <is>
          <t>JÄMTLANDS LÄN</t>
        </is>
      </c>
      <c r="E2493" t="inlineStr">
        <is>
          <t>STRÖMSUND</t>
        </is>
      </c>
      <c r="F2493" t="inlineStr">
        <is>
          <t>SCA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46807-2023</t>
        </is>
      </c>
      <c r="B2494" s="1" t="n">
        <v>45199</v>
      </c>
      <c r="C2494" s="1" t="n">
        <v>45718</v>
      </c>
      <c r="D2494" t="inlineStr">
        <is>
          <t>JÄMTLANDS LÄN</t>
        </is>
      </c>
      <c r="E2494" t="inlineStr">
        <is>
          <t>STRÖMSUND</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46811-2023</t>
        </is>
      </c>
      <c r="B2495" s="1" t="n">
        <v>45199</v>
      </c>
      <c r="C2495" s="1" t="n">
        <v>45718</v>
      </c>
      <c r="D2495" t="inlineStr">
        <is>
          <t>JÄMTLANDS LÄN</t>
        </is>
      </c>
      <c r="E2495" t="inlineStr">
        <is>
          <t>STRÖMSUND</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46813-2023</t>
        </is>
      </c>
      <c r="B2496" s="1" t="n">
        <v>45199</v>
      </c>
      <c r="C2496" s="1" t="n">
        <v>45718</v>
      </c>
      <c r="D2496" t="inlineStr">
        <is>
          <t>JÄMTLANDS LÄN</t>
        </is>
      </c>
      <c r="E2496" t="inlineStr">
        <is>
          <t>STRÖMSUND</t>
        </is>
      </c>
      <c r="F2496" t="inlineStr">
        <is>
          <t>SCA</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46770-2023</t>
        </is>
      </c>
      <c r="B2497" s="1" t="n">
        <v>45198</v>
      </c>
      <c r="C2497" s="1" t="n">
        <v>45718</v>
      </c>
      <c r="D2497" t="inlineStr">
        <is>
          <t>JÄMTLANDS LÄN</t>
        </is>
      </c>
      <c r="E2497" t="inlineStr">
        <is>
          <t>STRÖMSUND</t>
        </is>
      </c>
      <c r="F2497" t="inlineStr">
        <is>
          <t>Sveaskog</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46774-2023</t>
        </is>
      </c>
      <c r="B2498" s="1" t="n">
        <v>45198</v>
      </c>
      <c r="C2498" s="1" t="n">
        <v>45718</v>
      </c>
      <c r="D2498" t="inlineStr">
        <is>
          <t>JÄMTLANDS LÄN</t>
        </is>
      </c>
      <c r="E2498" t="inlineStr">
        <is>
          <t>STRÖMSUND</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47151-2023</t>
        </is>
      </c>
      <c r="B2499" s="1" t="n">
        <v>45201</v>
      </c>
      <c r="C2499" s="1" t="n">
        <v>45718</v>
      </c>
      <c r="D2499" t="inlineStr">
        <is>
          <t>JÄMTLANDS LÄN</t>
        </is>
      </c>
      <c r="E2499" t="inlineStr">
        <is>
          <t>STRÖMSUND</t>
        </is>
      </c>
      <c r="F2499" t="inlineStr">
        <is>
          <t>Holmen skog AB</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47178-2023</t>
        </is>
      </c>
      <c r="B2500" s="1" t="n">
        <v>45201</v>
      </c>
      <c r="C2500" s="1" t="n">
        <v>45718</v>
      </c>
      <c r="D2500" t="inlineStr">
        <is>
          <t>JÄMTLANDS LÄN</t>
        </is>
      </c>
      <c r="E2500" t="inlineStr">
        <is>
          <t>STRÖMSUND</t>
        </is>
      </c>
      <c r="F2500" t="inlineStr">
        <is>
          <t>SCA</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47182-2023</t>
        </is>
      </c>
      <c r="B2501" s="1" t="n">
        <v>45202</v>
      </c>
      <c r="C2501" s="1" t="n">
        <v>45718</v>
      </c>
      <c r="D2501" t="inlineStr">
        <is>
          <t>JÄMTLANDS LÄN</t>
        </is>
      </c>
      <c r="E2501" t="inlineStr">
        <is>
          <t>STRÖMSUND</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47116-2023</t>
        </is>
      </c>
      <c r="B2502" s="1" t="n">
        <v>45201</v>
      </c>
      <c r="C2502" s="1" t="n">
        <v>45718</v>
      </c>
      <c r="D2502" t="inlineStr">
        <is>
          <t>JÄMTLANDS LÄN</t>
        </is>
      </c>
      <c r="E2502" t="inlineStr">
        <is>
          <t>STRÖMSUND</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48328-2023</t>
        </is>
      </c>
      <c r="B2503" s="1" t="n">
        <v>45201</v>
      </c>
      <c r="C2503" s="1" t="n">
        <v>45718</v>
      </c>
      <c r="D2503" t="inlineStr">
        <is>
          <t>JÄMTLANDS LÄN</t>
        </is>
      </c>
      <c r="E2503" t="inlineStr">
        <is>
          <t>STRÖMSUND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47491-2023</t>
        </is>
      </c>
      <c r="B2504" s="1" t="n">
        <v>45203</v>
      </c>
      <c r="C2504" s="1" t="n">
        <v>45718</v>
      </c>
      <c r="D2504" t="inlineStr">
        <is>
          <t>JÄMTLANDS LÄN</t>
        </is>
      </c>
      <c r="E2504" t="inlineStr">
        <is>
          <t>STRÖMSUND</t>
        </is>
      </c>
      <c r="F2504" t="inlineStr">
        <is>
          <t>SCA</t>
        </is>
      </c>
      <c r="G2504" t="n">
        <v>12.6</v>
      </c>
      <c r="H2504" t="n">
        <v>0</v>
      </c>
      <c r="I2504" t="n">
        <v>0</v>
      </c>
      <c r="J2504" t="n">
        <v>0</v>
      </c>
      <c r="K2504" t="n">
        <v>0</v>
      </c>
      <c r="L2504" t="n">
        <v>0</v>
      </c>
      <c r="M2504" t="n">
        <v>0</v>
      </c>
      <c r="N2504" t="n">
        <v>0</v>
      </c>
      <c r="O2504" t="n">
        <v>0</v>
      </c>
      <c r="P2504" t="n">
        <v>0</v>
      </c>
      <c r="Q2504" t="n">
        <v>0</v>
      </c>
      <c r="R2504" s="2" t="inlineStr"/>
    </row>
    <row r="2505" ht="15" customHeight="1">
      <c r="A2505" t="inlineStr">
        <is>
          <t>A 47843-2023</t>
        </is>
      </c>
      <c r="B2505" s="1" t="n">
        <v>45204</v>
      </c>
      <c r="C2505" s="1" t="n">
        <v>45718</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48038-2023</t>
        </is>
      </c>
      <c r="B2506" s="1" t="n">
        <v>45204</v>
      </c>
      <c r="C2506" s="1" t="n">
        <v>45718</v>
      </c>
      <c r="D2506" t="inlineStr">
        <is>
          <t>JÄMTLANDS LÄN</t>
        </is>
      </c>
      <c r="E2506" t="inlineStr">
        <is>
          <t>STRÖMSUND</t>
        </is>
      </c>
      <c r="F2506" t="inlineStr">
        <is>
          <t>Holmen skog AB</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48042-2023</t>
        </is>
      </c>
      <c r="B2507" s="1" t="n">
        <v>45204</v>
      </c>
      <c r="C2507" s="1" t="n">
        <v>45718</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48071-2023</t>
        </is>
      </c>
      <c r="B2508" s="1" t="n">
        <v>45205</v>
      </c>
      <c r="C2508" s="1" t="n">
        <v>45718</v>
      </c>
      <c r="D2508" t="inlineStr">
        <is>
          <t>JÄMTLANDS LÄN</t>
        </is>
      </c>
      <c r="E2508" t="inlineStr">
        <is>
          <t>STRÖMSUND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48070-2023</t>
        </is>
      </c>
      <c r="B2509" s="1" t="n">
        <v>45204</v>
      </c>
      <c r="C2509" s="1" t="n">
        <v>45718</v>
      </c>
      <c r="D2509" t="inlineStr">
        <is>
          <t>JÄMTLANDS LÄN</t>
        </is>
      </c>
      <c r="E2509" t="inlineStr">
        <is>
          <t>STRÖMSUND</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48982-2023</t>
        </is>
      </c>
      <c r="B2510" s="1" t="n">
        <v>45204</v>
      </c>
      <c r="C2510" s="1" t="n">
        <v>45718</v>
      </c>
      <c r="D2510" t="inlineStr">
        <is>
          <t>JÄMTLANDS LÄN</t>
        </is>
      </c>
      <c r="E2510" t="inlineStr">
        <is>
          <t>STRÖMSUND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48994-2023</t>
        </is>
      </c>
      <c r="B2511" s="1" t="n">
        <v>45204</v>
      </c>
      <c r="C2511" s="1" t="n">
        <v>45718</v>
      </c>
      <c r="D2511" t="inlineStr">
        <is>
          <t>JÄMTLANDS LÄN</t>
        </is>
      </c>
      <c r="E2511" t="inlineStr">
        <is>
          <t>STRÖMSUND</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49008-2023</t>
        </is>
      </c>
      <c r="B2512" s="1" t="n">
        <v>45204</v>
      </c>
      <c r="C2512" s="1" t="n">
        <v>45718</v>
      </c>
      <c r="D2512" t="inlineStr">
        <is>
          <t>JÄMTLANDS LÄN</t>
        </is>
      </c>
      <c r="E2512" t="inlineStr">
        <is>
          <t>STRÖMSUND</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48976-2023</t>
        </is>
      </c>
      <c r="B2513" s="1" t="n">
        <v>45204</v>
      </c>
      <c r="C2513" s="1" t="n">
        <v>45718</v>
      </c>
      <c r="D2513" t="inlineStr">
        <is>
          <t>JÄMTLANDS LÄN</t>
        </is>
      </c>
      <c r="E2513" t="inlineStr">
        <is>
          <t>STRÖMSUND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48991-2023</t>
        </is>
      </c>
      <c r="B2514" s="1" t="n">
        <v>45204</v>
      </c>
      <c r="C2514" s="1" t="n">
        <v>45718</v>
      </c>
      <c r="D2514" t="inlineStr">
        <is>
          <t>JÄMTLANDS LÄN</t>
        </is>
      </c>
      <c r="E2514" t="inlineStr">
        <is>
          <t>STRÖMSUND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48988-2023</t>
        </is>
      </c>
      <c r="B2515" s="1" t="n">
        <v>45204</v>
      </c>
      <c r="C2515" s="1" t="n">
        <v>45718</v>
      </c>
      <c r="D2515" t="inlineStr">
        <is>
          <t>JÄMTLANDS LÄN</t>
        </is>
      </c>
      <c r="E2515" t="inlineStr">
        <is>
          <t>STRÖMSUND</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48997-2023</t>
        </is>
      </c>
      <c r="B2516" s="1" t="n">
        <v>45204</v>
      </c>
      <c r="C2516" s="1" t="n">
        <v>45718</v>
      </c>
      <c r="D2516" t="inlineStr">
        <is>
          <t>JÄMTLANDS LÄN</t>
        </is>
      </c>
      <c r="E2516" t="inlineStr">
        <is>
          <t>STRÖMSUND</t>
        </is>
      </c>
      <c r="G2516" t="n">
        <v>9</v>
      </c>
      <c r="H2516" t="n">
        <v>0</v>
      </c>
      <c r="I2516" t="n">
        <v>0</v>
      </c>
      <c r="J2516" t="n">
        <v>0</v>
      </c>
      <c r="K2516" t="n">
        <v>0</v>
      </c>
      <c r="L2516" t="n">
        <v>0</v>
      </c>
      <c r="M2516" t="n">
        <v>0</v>
      </c>
      <c r="N2516" t="n">
        <v>0</v>
      </c>
      <c r="O2516" t="n">
        <v>0</v>
      </c>
      <c r="P2516" t="n">
        <v>0</v>
      </c>
      <c r="Q2516" t="n">
        <v>0</v>
      </c>
      <c r="R2516" s="2" t="inlineStr"/>
    </row>
    <row r="2517" ht="15" customHeight="1">
      <c r="A2517" t="inlineStr">
        <is>
          <t>A 49091-2023</t>
        </is>
      </c>
      <c r="B2517" s="1" t="n">
        <v>45204</v>
      </c>
      <c r="C2517" s="1" t="n">
        <v>45718</v>
      </c>
      <c r="D2517" t="inlineStr">
        <is>
          <t>JÄMTLANDS LÄN</t>
        </is>
      </c>
      <c r="E2517" t="inlineStr">
        <is>
          <t>STRÖMSUND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48388-2023</t>
        </is>
      </c>
      <c r="B2518" s="1" t="n">
        <v>45205</v>
      </c>
      <c r="C2518" s="1" t="n">
        <v>45718</v>
      </c>
      <c r="D2518" t="inlineStr">
        <is>
          <t>JÄMTLANDS LÄN</t>
        </is>
      </c>
      <c r="E2518" t="inlineStr">
        <is>
          <t>STRÖMSUND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48420-2023</t>
        </is>
      </c>
      <c r="B2519" s="1" t="n">
        <v>45205</v>
      </c>
      <c r="C2519" s="1" t="n">
        <v>45718</v>
      </c>
      <c r="D2519" t="inlineStr">
        <is>
          <t>JÄMTLANDS LÄN</t>
        </is>
      </c>
      <c r="E2519" t="inlineStr">
        <is>
          <t>STRÖMSUND</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48476-2023</t>
        </is>
      </c>
      <c r="B2520" s="1" t="n">
        <v>45206</v>
      </c>
      <c r="C2520" s="1" t="n">
        <v>45718</v>
      </c>
      <c r="D2520" t="inlineStr">
        <is>
          <t>JÄMTLANDS LÄN</t>
        </is>
      </c>
      <c r="E2520" t="inlineStr">
        <is>
          <t>STRÖMSUND</t>
        </is>
      </c>
      <c r="F2520" t="inlineStr">
        <is>
          <t>SCA</t>
        </is>
      </c>
      <c r="G2520" t="n">
        <v>16.7</v>
      </c>
      <c r="H2520" t="n">
        <v>0</v>
      </c>
      <c r="I2520" t="n">
        <v>0</v>
      </c>
      <c r="J2520" t="n">
        <v>0</v>
      </c>
      <c r="K2520" t="n">
        <v>0</v>
      </c>
      <c r="L2520" t="n">
        <v>0</v>
      </c>
      <c r="M2520" t="n">
        <v>0</v>
      </c>
      <c r="N2520" t="n">
        <v>0</v>
      </c>
      <c r="O2520" t="n">
        <v>0</v>
      </c>
      <c r="P2520" t="n">
        <v>0</v>
      </c>
      <c r="Q2520" t="n">
        <v>0</v>
      </c>
      <c r="R2520" s="2" t="inlineStr"/>
    </row>
    <row r="2521" ht="15" customHeight="1">
      <c r="A2521" t="inlineStr">
        <is>
          <t>A 48775-2023</t>
        </is>
      </c>
      <c r="B2521" s="1" t="n">
        <v>45209</v>
      </c>
      <c r="C2521" s="1" t="n">
        <v>45718</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48637-2023</t>
        </is>
      </c>
      <c r="B2522" s="1" t="n">
        <v>45208</v>
      </c>
      <c r="C2522" s="1" t="n">
        <v>45718</v>
      </c>
      <c r="D2522" t="inlineStr">
        <is>
          <t>JÄMTLANDS LÄN</t>
        </is>
      </c>
      <c r="E2522" t="inlineStr">
        <is>
          <t>STRÖMSUND</t>
        </is>
      </c>
      <c r="F2522" t="inlineStr">
        <is>
          <t>Kommuner</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49763-2023</t>
        </is>
      </c>
      <c r="B2523" s="1" t="n">
        <v>45208</v>
      </c>
      <c r="C2523" s="1" t="n">
        <v>45718</v>
      </c>
      <c r="D2523" t="inlineStr">
        <is>
          <t>JÄMTLANDS LÄN</t>
        </is>
      </c>
      <c r="E2523" t="inlineStr">
        <is>
          <t>STRÖMSUND</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49147-2023</t>
        </is>
      </c>
      <c r="B2524" s="1" t="n">
        <v>45210</v>
      </c>
      <c r="C2524" s="1" t="n">
        <v>45718</v>
      </c>
      <c r="D2524" t="inlineStr">
        <is>
          <t>JÄMTLANDS LÄN</t>
        </is>
      </c>
      <c r="E2524" t="inlineStr">
        <is>
          <t>STRÖMSUND</t>
        </is>
      </c>
      <c r="F2524" t="inlineStr">
        <is>
          <t>Holmen skog AB</t>
        </is>
      </c>
      <c r="G2524" t="n">
        <v>12.5</v>
      </c>
      <c r="H2524" t="n">
        <v>0</v>
      </c>
      <c r="I2524" t="n">
        <v>0</v>
      </c>
      <c r="J2524" t="n">
        <v>0</v>
      </c>
      <c r="K2524" t="n">
        <v>0</v>
      </c>
      <c r="L2524" t="n">
        <v>0</v>
      </c>
      <c r="M2524" t="n">
        <v>0</v>
      </c>
      <c r="N2524" t="n">
        <v>0</v>
      </c>
      <c r="O2524" t="n">
        <v>0</v>
      </c>
      <c r="P2524" t="n">
        <v>0</v>
      </c>
      <c r="Q2524" t="n">
        <v>0</v>
      </c>
      <c r="R2524" s="2" t="inlineStr"/>
    </row>
    <row r="2525" ht="15" customHeight="1">
      <c r="A2525" t="inlineStr">
        <is>
          <t>A 50647-2023</t>
        </is>
      </c>
      <c r="B2525" s="1" t="n">
        <v>45210</v>
      </c>
      <c r="C2525" s="1" t="n">
        <v>45718</v>
      </c>
      <c r="D2525" t="inlineStr">
        <is>
          <t>JÄMTLANDS LÄN</t>
        </is>
      </c>
      <c r="E2525" t="inlineStr">
        <is>
          <t>STRÖMSUND</t>
        </is>
      </c>
      <c r="G2525" t="n">
        <v>15.1</v>
      </c>
      <c r="H2525" t="n">
        <v>0</v>
      </c>
      <c r="I2525" t="n">
        <v>0</v>
      </c>
      <c r="J2525" t="n">
        <v>0</v>
      </c>
      <c r="K2525" t="n">
        <v>0</v>
      </c>
      <c r="L2525" t="n">
        <v>0</v>
      </c>
      <c r="M2525" t="n">
        <v>0</v>
      </c>
      <c r="N2525" t="n">
        <v>0</v>
      </c>
      <c r="O2525" t="n">
        <v>0</v>
      </c>
      <c r="P2525" t="n">
        <v>0</v>
      </c>
      <c r="Q2525" t="n">
        <v>0</v>
      </c>
      <c r="R2525" s="2" t="inlineStr"/>
    </row>
    <row r="2526" ht="15" customHeight="1">
      <c r="A2526" t="inlineStr">
        <is>
          <t>A 49377-2023</t>
        </is>
      </c>
      <c r="B2526" s="1" t="n">
        <v>45211</v>
      </c>
      <c r="C2526" s="1" t="n">
        <v>45718</v>
      </c>
      <c r="D2526" t="inlineStr">
        <is>
          <t>JÄMTLANDS LÄN</t>
        </is>
      </c>
      <c r="E2526" t="inlineStr">
        <is>
          <t>STRÖMSUND</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49415-2023</t>
        </is>
      </c>
      <c r="B2527" s="1" t="n">
        <v>45211</v>
      </c>
      <c r="C2527" s="1" t="n">
        <v>45718</v>
      </c>
      <c r="D2527" t="inlineStr">
        <is>
          <t>JÄMTLANDS LÄN</t>
        </is>
      </c>
      <c r="E2527" t="inlineStr">
        <is>
          <t>STRÖMSUND</t>
        </is>
      </c>
      <c r="F2527" t="inlineStr">
        <is>
          <t>Holmen skog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51074-2023</t>
        </is>
      </c>
      <c r="B2528" s="1" t="n">
        <v>45211</v>
      </c>
      <c r="C2528" s="1" t="n">
        <v>45718</v>
      </c>
      <c r="D2528" t="inlineStr">
        <is>
          <t>JÄMTLANDS LÄN</t>
        </is>
      </c>
      <c r="E2528" t="inlineStr">
        <is>
          <t>STRÖMSUND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51077-2023</t>
        </is>
      </c>
      <c r="B2529" s="1" t="n">
        <v>45211</v>
      </c>
      <c r="C2529" s="1" t="n">
        <v>45718</v>
      </c>
      <c r="D2529" t="inlineStr">
        <is>
          <t>JÄMTLANDS LÄN</t>
        </is>
      </c>
      <c r="E2529" t="inlineStr">
        <is>
          <t>STRÖMSUND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51075-2023</t>
        </is>
      </c>
      <c r="B2530" s="1" t="n">
        <v>45211</v>
      </c>
      <c r="C2530" s="1" t="n">
        <v>45718</v>
      </c>
      <c r="D2530" t="inlineStr">
        <is>
          <t>JÄMTLANDS LÄN</t>
        </is>
      </c>
      <c r="E2530" t="inlineStr">
        <is>
          <t>STRÖMSUND</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49861-2023</t>
        </is>
      </c>
      <c r="B2531" s="1" t="n">
        <v>45212</v>
      </c>
      <c r="C2531" s="1" t="n">
        <v>45718</v>
      </c>
      <c r="D2531" t="inlineStr">
        <is>
          <t>JÄMTLANDS LÄN</t>
        </is>
      </c>
      <c r="E2531" t="inlineStr">
        <is>
          <t>STRÖMSUND</t>
        </is>
      </c>
      <c r="F2531" t="inlineStr">
        <is>
          <t>SCA</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50203-2023</t>
        </is>
      </c>
      <c r="B2532" s="1" t="n">
        <v>45216</v>
      </c>
      <c r="C2532" s="1" t="n">
        <v>45718</v>
      </c>
      <c r="D2532" t="inlineStr">
        <is>
          <t>JÄMTLANDS LÄN</t>
        </is>
      </c>
      <c r="E2532" t="inlineStr">
        <is>
          <t>STRÖMSUND</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50495-2023</t>
        </is>
      </c>
      <c r="B2533" s="1" t="n">
        <v>45216</v>
      </c>
      <c r="C2533" s="1" t="n">
        <v>45718</v>
      </c>
      <c r="D2533" t="inlineStr">
        <is>
          <t>JÄMTLANDS LÄN</t>
        </is>
      </c>
      <c r="E2533" t="inlineStr">
        <is>
          <t>STRÖMSUND</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52303-2023</t>
        </is>
      </c>
      <c r="B2534" s="1" t="n">
        <v>45217</v>
      </c>
      <c r="C2534" s="1" t="n">
        <v>45718</v>
      </c>
      <c r="D2534" t="inlineStr">
        <is>
          <t>JÄMTLANDS LÄN</t>
        </is>
      </c>
      <c r="E2534" t="inlineStr">
        <is>
          <t>STRÖMSUND</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51429-2023</t>
        </is>
      </c>
      <c r="B2535" s="1" t="n">
        <v>45220</v>
      </c>
      <c r="C2535" s="1" t="n">
        <v>45718</v>
      </c>
      <c r="D2535" t="inlineStr">
        <is>
          <t>JÄMTLANDS LÄN</t>
        </is>
      </c>
      <c r="E2535" t="inlineStr">
        <is>
          <t>STRÖMSUND</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51795-2023</t>
        </is>
      </c>
      <c r="B2536" s="1" t="n">
        <v>45222</v>
      </c>
      <c r="C2536" s="1" t="n">
        <v>45718</v>
      </c>
      <c r="D2536" t="inlineStr">
        <is>
          <t>JÄMTLANDS LÄN</t>
        </is>
      </c>
      <c r="E2536" t="inlineStr">
        <is>
          <t>STRÖMSUND</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51799-2023</t>
        </is>
      </c>
      <c r="B2537" s="1" t="n">
        <v>45223</v>
      </c>
      <c r="C2537" s="1" t="n">
        <v>45718</v>
      </c>
      <c r="D2537" t="inlineStr">
        <is>
          <t>JÄMTLANDS LÄN</t>
        </is>
      </c>
      <c r="E2537" t="inlineStr">
        <is>
          <t>STRÖMSUND</t>
        </is>
      </c>
      <c r="F2537" t="inlineStr">
        <is>
          <t>SCA</t>
        </is>
      </c>
      <c r="G2537" t="n">
        <v>42.6</v>
      </c>
      <c r="H2537" t="n">
        <v>0</v>
      </c>
      <c r="I2537" t="n">
        <v>0</v>
      </c>
      <c r="J2537" t="n">
        <v>0</v>
      </c>
      <c r="K2537" t="n">
        <v>0</v>
      </c>
      <c r="L2537" t="n">
        <v>0</v>
      </c>
      <c r="M2537" t="n">
        <v>0</v>
      </c>
      <c r="N2537" t="n">
        <v>0</v>
      </c>
      <c r="O2537" t="n">
        <v>0</v>
      </c>
      <c r="P2537" t="n">
        <v>0</v>
      </c>
      <c r="Q2537" t="n">
        <v>0</v>
      </c>
      <c r="R2537" s="2" t="inlineStr"/>
    </row>
    <row r="2538" ht="15" customHeight="1">
      <c r="A2538" t="inlineStr">
        <is>
          <t>A 51796-2023</t>
        </is>
      </c>
      <c r="B2538" s="1" t="n">
        <v>45222</v>
      </c>
      <c r="C2538" s="1" t="n">
        <v>45718</v>
      </c>
      <c r="D2538" t="inlineStr">
        <is>
          <t>JÄMTLANDS LÄN</t>
        </is>
      </c>
      <c r="E2538" t="inlineStr">
        <is>
          <t>STRÖMSUND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53025-2023</t>
        </is>
      </c>
      <c r="B2539" s="1" t="n">
        <v>45222</v>
      </c>
      <c r="C2539" s="1" t="n">
        <v>45718</v>
      </c>
      <c r="D2539" t="inlineStr">
        <is>
          <t>JÄMTLANDS LÄN</t>
        </is>
      </c>
      <c r="E2539" t="inlineStr">
        <is>
          <t>STRÖMSUND</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53024-2023</t>
        </is>
      </c>
      <c r="B2540" s="1" t="n">
        <v>45222</v>
      </c>
      <c r="C2540" s="1" t="n">
        <v>45718</v>
      </c>
      <c r="D2540" t="inlineStr">
        <is>
          <t>JÄMTLANDS LÄN</t>
        </is>
      </c>
      <c r="E2540" t="inlineStr">
        <is>
          <t>STRÖMSUND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51786-2023</t>
        </is>
      </c>
      <c r="B2541" s="1" t="n">
        <v>45222</v>
      </c>
      <c r="C2541" s="1" t="n">
        <v>45718</v>
      </c>
      <c r="D2541" t="inlineStr">
        <is>
          <t>JÄMTLANDS LÄN</t>
        </is>
      </c>
      <c r="E2541" t="inlineStr">
        <is>
          <t>STRÖMSUND</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52139-2023</t>
        </is>
      </c>
      <c r="B2542" s="1" t="n">
        <v>45223</v>
      </c>
      <c r="C2542" s="1" t="n">
        <v>45718</v>
      </c>
      <c r="D2542" t="inlineStr">
        <is>
          <t>JÄMTLANDS LÄN</t>
        </is>
      </c>
      <c r="E2542" t="inlineStr">
        <is>
          <t>STRÖMSUND</t>
        </is>
      </c>
      <c r="F2542" t="inlineStr">
        <is>
          <t>SCA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52108-2023</t>
        </is>
      </c>
      <c r="B2543" s="1" t="n">
        <v>45224</v>
      </c>
      <c r="C2543" s="1" t="n">
        <v>45718</v>
      </c>
      <c r="D2543" t="inlineStr">
        <is>
          <t>JÄMTLANDS LÄN</t>
        </is>
      </c>
      <c r="E2543" t="inlineStr">
        <is>
          <t>STRÖMSUND</t>
        </is>
      </c>
      <c r="G2543" t="n">
        <v>12.8</v>
      </c>
      <c r="H2543" t="n">
        <v>0</v>
      </c>
      <c r="I2543" t="n">
        <v>0</v>
      </c>
      <c r="J2543" t="n">
        <v>0</v>
      </c>
      <c r="K2543" t="n">
        <v>0</v>
      </c>
      <c r="L2543" t="n">
        <v>0</v>
      </c>
      <c r="M2543" t="n">
        <v>0</v>
      </c>
      <c r="N2543" t="n">
        <v>0</v>
      </c>
      <c r="O2543" t="n">
        <v>0</v>
      </c>
      <c r="P2543" t="n">
        <v>0</v>
      </c>
      <c r="Q2543" t="n">
        <v>0</v>
      </c>
      <c r="R2543" s="2" t="inlineStr"/>
    </row>
    <row r="2544" ht="15" customHeight="1">
      <c r="A2544" t="inlineStr">
        <is>
          <t>A 52113-2023</t>
        </is>
      </c>
      <c r="B2544" s="1" t="n">
        <v>45224</v>
      </c>
      <c r="C2544" s="1" t="n">
        <v>45718</v>
      </c>
      <c r="D2544" t="inlineStr">
        <is>
          <t>JÄMTLANDS LÄN</t>
        </is>
      </c>
      <c r="E2544" t="inlineStr">
        <is>
          <t>STRÖMSUND</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52121-2023</t>
        </is>
      </c>
      <c r="B2545" s="1" t="n">
        <v>45223</v>
      </c>
      <c r="C2545" s="1" t="n">
        <v>45718</v>
      </c>
      <c r="D2545" t="inlineStr">
        <is>
          <t>JÄMTLANDS LÄN</t>
        </is>
      </c>
      <c r="E2545" t="inlineStr">
        <is>
          <t>STRÖMSUND</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52134-2023</t>
        </is>
      </c>
      <c r="B2546" s="1" t="n">
        <v>45223</v>
      </c>
      <c r="C2546" s="1" t="n">
        <v>45718</v>
      </c>
      <c r="D2546" t="inlineStr">
        <is>
          <t>JÄMTLANDS LÄN</t>
        </is>
      </c>
      <c r="E2546" t="inlineStr">
        <is>
          <t>STRÖMSUND</t>
        </is>
      </c>
      <c r="F2546" t="inlineStr">
        <is>
          <t>SCA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52402-2023</t>
        </is>
      </c>
      <c r="B2547" s="1" t="n">
        <v>45225</v>
      </c>
      <c r="C2547" s="1" t="n">
        <v>45718</v>
      </c>
      <c r="D2547" t="inlineStr">
        <is>
          <t>JÄMTLANDS LÄN</t>
        </is>
      </c>
      <c r="E2547" t="inlineStr">
        <is>
          <t>STRÖMSUND</t>
        </is>
      </c>
      <c r="F2547" t="inlineStr">
        <is>
          <t>SCA</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52478-2023</t>
        </is>
      </c>
      <c r="B2548" s="1" t="n">
        <v>45225</v>
      </c>
      <c r="C2548" s="1" t="n">
        <v>45718</v>
      </c>
      <c r="D2548" t="inlineStr">
        <is>
          <t>JÄMTLANDS LÄN</t>
        </is>
      </c>
      <c r="E2548" t="inlineStr">
        <is>
          <t>STRÖMSUND</t>
        </is>
      </c>
      <c r="F2548" t="inlineStr">
        <is>
          <t>Holmen skog AB</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52725-2023</t>
        </is>
      </c>
      <c r="B2549" s="1" t="n">
        <v>45226</v>
      </c>
      <c r="C2549" s="1" t="n">
        <v>45718</v>
      </c>
      <c r="D2549" t="inlineStr">
        <is>
          <t>JÄMTLANDS LÄN</t>
        </is>
      </c>
      <c r="E2549" t="inlineStr">
        <is>
          <t>STRÖMSUND</t>
        </is>
      </c>
      <c r="G2549" t="n">
        <v>17.2</v>
      </c>
      <c r="H2549" t="n">
        <v>0</v>
      </c>
      <c r="I2549" t="n">
        <v>0</v>
      </c>
      <c r="J2549" t="n">
        <v>0</v>
      </c>
      <c r="K2549" t="n">
        <v>0</v>
      </c>
      <c r="L2549" t="n">
        <v>0</v>
      </c>
      <c r="M2549" t="n">
        <v>0</v>
      </c>
      <c r="N2549" t="n">
        <v>0</v>
      </c>
      <c r="O2549" t="n">
        <v>0</v>
      </c>
      <c r="P2549" t="n">
        <v>0</v>
      </c>
      <c r="Q2549" t="n">
        <v>0</v>
      </c>
      <c r="R2549" s="2" t="inlineStr"/>
    </row>
    <row r="2550" ht="15" customHeight="1">
      <c r="A2550" t="inlineStr">
        <is>
          <t>A 52733-2023</t>
        </is>
      </c>
      <c r="B2550" s="1" t="n">
        <v>45226</v>
      </c>
      <c r="C2550" s="1" t="n">
        <v>45718</v>
      </c>
      <c r="D2550" t="inlineStr">
        <is>
          <t>JÄMTLANDS LÄN</t>
        </is>
      </c>
      <c r="E2550" t="inlineStr">
        <is>
          <t>STRÖMSUND</t>
        </is>
      </c>
      <c r="F2550" t="inlineStr">
        <is>
          <t>SCA</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52737-2023</t>
        </is>
      </c>
      <c r="B2551" s="1" t="n">
        <v>45226</v>
      </c>
      <c r="C2551" s="1" t="n">
        <v>45718</v>
      </c>
      <c r="D2551" t="inlineStr">
        <is>
          <t>JÄMTLANDS LÄN</t>
        </is>
      </c>
      <c r="E2551" t="inlineStr">
        <is>
          <t>STRÖMSUND</t>
        </is>
      </c>
      <c r="F2551" t="inlineStr">
        <is>
          <t>SCA</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52735-2023</t>
        </is>
      </c>
      <c r="B2552" s="1" t="n">
        <v>45225</v>
      </c>
      <c r="C2552" s="1" t="n">
        <v>45718</v>
      </c>
      <c r="D2552" t="inlineStr">
        <is>
          <t>JÄMTLANDS LÄN</t>
        </is>
      </c>
      <c r="E2552" t="inlineStr">
        <is>
          <t>STRÖMSUND</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52736-2023</t>
        </is>
      </c>
      <c r="B2553" s="1" t="n">
        <v>45226</v>
      </c>
      <c r="C2553" s="1" t="n">
        <v>45718</v>
      </c>
      <c r="D2553" t="inlineStr">
        <is>
          <t>JÄMTLANDS LÄN</t>
        </is>
      </c>
      <c r="E2553" t="inlineStr">
        <is>
          <t>STRÖMSUND</t>
        </is>
      </c>
      <c r="F2553" t="inlineStr">
        <is>
          <t>SCA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52726-2023</t>
        </is>
      </c>
      <c r="B2554" s="1" t="n">
        <v>45225</v>
      </c>
      <c r="C2554" s="1" t="n">
        <v>45718</v>
      </c>
      <c r="D2554" t="inlineStr">
        <is>
          <t>JÄMTLANDS LÄN</t>
        </is>
      </c>
      <c r="E2554" t="inlineStr">
        <is>
          <t>STRÖMSUND</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52734-2023</t>
        </is>
      </c>
      <c r="B2555" s="1" t="n">
        <v>45225</v>
      </c>
      <c r="C2555" s="1" t="n">
        <v>45718</v>
      </c>
      <c r="D2555" t="inlineStr">
        <is>
          <t>JÄMTLANDS LÄN</t>
        </is>
      </c>
      <c r="E2555" t="inlineStr">
        <is>
          <t>STRÖMSUND</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52756-2023</t>
        </is>
      </c>
      <c r="B2556" s="1" t="n">
        <v>45225</v>
      </c>
      <c r="C2556" s="1" t="n">
        <v>45718</v>
      </c>
      <c r="D2556" t="inlineStr">
        <is>
          <t>JÄMTLANDS LÄN</t>
        </is>
      </c>
      <c r="E2556" t="inlineStr">
        <is>
          <t>STRÖMSUND</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54549-2023</t>
        </is>
      </c>
      <c r="B2557" s="1" t="n">
        <v>45226</v>
      </c>
      <c r="C2557" s="1" t="n">
        <v>45718</v>
      </c>
      <c r="D2557" t="inlineStr">
        <is>
          <t>JÄMTLANDS LÄN</t>
        </is>
      </c>
      <c r="E2557" t="inlineStr">
        <is>
          <t>STRÖMSUND</t>
        </is>
      </c>
      <c r="G2557" t="n">
        <v>29.2</v>
      </c>
      <c r="H2557" t="n">
        <v>0</v>
      </c>
      <c r="I2557" t="n">
        <v>0</v>
      </c>
      <c r="J2557" t="n">
        <v>0</v>
      </c>
      <c r="K2557" t="n">
        <v>0</v>
      </c>
      <c r="L2557" t="n">
        <v>0</v>
      </c>
      <c r="M2557" t="n">
        <v>0</v>
      </c>
      <c r="N2557" t="n">
        <v>0</v>
      </c>
      <c r="O2557" t="n">
        <v>0</v>
      </c>
      <c r="P2557" t="n">
        <v>0</v>
      </c>
      <c r="Q2557" t="n">
        <v>0</v>
      </c>
      <c r="R2557" s="2" t="inlineStr"/>
    </row>
    <row r="2558" ht="15" customHeight="1">
      <c r="A2558" t="inlineStr">
        <is>
          <t>A 53050-2023</t>
        </is>
      </c>
      <c r="B2558" s="1" t="n">
        <v>45227</v>
      </c>
      <c r="C2558" s="1" t="n">
        <v>45718</v>
      </c>
      <c r="D2558" t="inlineStr">
        <is>
          <t>JÄMTLANDS LÄN</t>
        </is>
      </c>
      <c r="E2558" t="inlineStr">
        <is>
          <t>STRÖMSUND</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52855-2023</t>
        </is>
      </c>
      <c r="B2559" s="1" t="n">
        <v>45226</v>
      </c>
      <c r="C2559" s="1" t="n">
        <v>45718</v>
      </c>
      <c r="D2559" t="inlineStr">
        <is>
          <t>JÄMTLANDS LÄN</t>
        </is>
      </c>
      <c r="E2559" t="inlineStr">
        <is>
          <t>STRÖMSUND</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52850-2023</t>
        </is>
      </c>
      <c r="B2560" s="1" t="n">
        <v>45226</v>
      </c>
      <c r="C2560" s="1" t="n">
        <v>45718</v>
      </c>
      <c r="D2560" t="inlineStr">
        <is>
          <t>JÄMTLANDS LÄN</t>
        </is>
      </c>
      <c r="E2560" t="inlineStr">
        <is>
          <t>STRÖMSUND</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52826-2023</t>
        </is>
      </c>
      <c r="B2561" s="1" t="n">
        <v>45226</v>
      </c>
      <c r="C2561" s="1" t="n">
        <v>45718</v>
      </c>
      <c r="D2561" t="inlineStr">
        <is>
          <t>JÄMTLANDS LÄN</t>
        </is>
      </c>
      <c r="E2561" t="inlineStr">
        <is>
          <t>STRÖMSUND</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52818-2023</t>
        </is>
      </c>
      <c r="B2562" s="1" t="n">
        <v>45226</v>
      </c>
      <c r="C2562" s="1" t="n">
        <v>45718</v>
      </c>
      <c r="D2562" t="inlineStr">
        <is>
          <t>JÄMTLANDS LÄN</t>
        </is>
      </c>
      <c r="E2562" t="inlineStr">
        <is>
          <t>STRÖMSUND</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53051-2023</t>
        </is>
      </c>
      <c r="B2563" s="1" t="n">
        <v>45227</v>
      </c>
      <c r="C2563" s="1" t="n">
        <v>45718</v>
      </c>
      <c r="D2563" t="inlineStr">
        <is>
          <t>JÄMTLANDS LÄN</t>
        </is>
      </c>
      <c r="E2563" t="inlineStr">
        <is>
          <t>STRÖMSUND</t>
        </is>
      </c>
      <c r="F2563" t="inlineStr">
        <is>
          <t>SCA</t>
        </is>
      </c>
      <c r="G2563" t="n">
        <v>11.9</v>
      </c>
      <c r="H2563" t="n">
        <v>0</v>
      </c>
      <c r="I2563" t="n">
        <v>0</v>
      </c>
      <c r="J2563" t="n">
        <v>0</v>
      </c>
      <c r="K2563" t="n">
        <v>0</v>
      </c>
      <c r="L2563" t="n">
        <v>0</v>
      </c>
      <c r="M2563" t="n">
        <v>0</v>
      </c>
      <c r="N2563" t="n">
        <v>0</v>
      </c>
      <c r="O2563" t="n">
        <v>0</v>
      </c>
      <c r="P2563" t="n">
        <v>0</v>
      </c>
      <c r="Q2563" t="n">
        <v>0</v>
      </c>
      <c r="R2563" s="2" t="inlineStr"/>
    </row>
    <row r="2564" ht="15" customHeight="1">
      <c r="A2564" t="inlineStr">
        <is>
          <t>A 53053-2023</t>
        </is>
      </c>
      <c r="B2564" s="1" t="n">
        <v>45226</v>
      </c>
      <c r="C2564" s="1" t="n">
        <v>45718</v>
      </c>
      <c r="D2564" t="inlineStr">
        <is>
          <t>JÄMTLANDS LÄN</t>
        </is>
      </c>
      <c r="E2564" t="inlineStr">
        <is>
          <t>STRÖMSUND</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53052-2023</t>
        </is>
      </c>
      <c r="B2565" s="1" t="n">
        <v>45226</v>
      </c>
      <c r="C2565" s="1" t="n">
        <v>45718</v>
      </c>
      <c r="D2565" t="inlineStr">
        <is>
          <t>JÄMTLANDS LÄN</t>
        </is>
      </c>
      <c r="E2565" t="inlineStr">
        <is>
          <t>STRÖMSUND</t>
        </is>
      </c>
      <c r="F2565" t="inlineStr">
        <is>
          <t>SCA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53142-2023</t>
        </is>
      </c>
      <c r="B2566" s="1" t="n">
        <v>45229</v>
      </c>
      <c r="C2566" s="1" t="n">
        <v>45718</v>
      </c>
      <c r="D2566" t="inlineStr">
        <is>
          <t>JÄMTLANDS LÄN</t>
        </is>
      </c>
      <c r="E2566" t="inlineStr">
        <is>
          <t>STRÖMSUND</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54899-2023</t>
        </is>
      </c>
      <c r="B2567" s="1" t="n">
        <v>45229</v>
      </c>
      <c r="C2567" s="1" t="n">
        <v>45718</v>
      </c>
      <c r="D2567" t="inlineStr">
        <is>
          <t>JÄMTLANDS LÄN</t>
        </is>
      </c>
      <c r="E2567" t="inlineStr">
        <is>
          <t>STRÖMSUND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54063-2023</t>
        </is>
      </c>
      <c r="B2568" s="1" t="n">
        <v>45231</v>
      </c>
      <c r="C2568" s="1" t="n">
        <v>45718</v>
      </c>
      <c r="D2568" t="inlineStr">
        <is>
          <t>JÄMTLANDS LÄN</t>
        </is>
      </c>
      <c r="E2568" t="inlineStr">
        <is>
          <t>STRÖMSUND</t>
        </is>
      </c>
      <c r="F2568" t="inlineStr">
        <is>
          <t>SCA</t>
        </is>
      </c>
      <c r="G2568" t="n">
        <v>10.6</v>
      </c>
      <c r="H2568" t="n">
        <v>0</v>
      </c>
      <c r="I2568" t="n">
        <v>0</v>
      </c>
      <c r="J2568" t="n">
        <v>0</v>
      </c>
      <c r="K2568" t="n">
        <v>0</v>
      </c>
      <c r="L2568" t="n">
        <v>0</v>
      </c>
      <c r="M2568" t="n">
        <v>0</v>
      </c>
      <c r="N2568" t="n">
        <v>0</v>
      </c>
      <c r="O2568" t="n">
        <v>0</v>
      </c>
      <c r="P2568" t="n">
        <v>0</v>
      </c>
      <c r="Q2568" t="n">
        <v>0</v>
      </c>
      <c r="R2568" s="2" t="inlineStr"/>
    </row>
    <row r="2569" ht="15" customHeight="1">
      <c r="A2569" t="inlineStr">
        <is>
          <t>A 54038-2023</t>
        </is>
      </c>
      <c r="B2569" s="1" t="n">
        <v>45231</v>
      </c>
      <c r="C2569" s="1" t="n">
        <v>45718</v>
      </c>
      <c r="D2569" t="inlineStr">
        <is>
          <t>JÄMTLANDS LÄN</t>
        </is>
      </c>
      <c r="E2569" t="inlineStr">
        <is>
          <t>STRÖMSUND</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54042-2023</t>
        </is>
      </c>
      <c r="B2570" s="1" t="n">
        <v>45232</v>
      </c>
      <c r="C2570" s="1" t="n">
        <v>45718</v>
      </c>
      <c r="D2570" t="inlineStr">
        <is>
          <t>JÄMTLANDS LÄN</t>
        </is>
      </c>
      <c r="E2570" t="inlineStr">
        <is>
          <t>STRÖMSUND</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54066-2023</t>
        </is>
      </c>
      <c r="B2571" s="1" t="n">
        <v>45231</v>
      </c>
      <c r="C2571" s="1" t="n">
        <v>45718</v>
      </c>
      <c r="D2571" t="inlineStr">
        <is>
          <t>JÄMTLANDS LÄN</t>
        </is>
      </c>
      <c r="E2571" t="inlineStr">
        <is>
          <t>STRÖMSUND</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54031-2023</t>
        </is>
      </c>
      <c r="B2572" s="1" t="n">
        <v>45231</v>
      </c>
      <c r="C2572" s="1" t="n">
        <v>45718</v>
      </c>
      <c r="D2572" t="inlineStr">
        <is>
          <t>JÄMTLANDS LÄN</t>
        </is>
      </c>
      <c r="E2572" t="inlineStr">
        <is>
          <t>STRÖMSUND</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54028-2023</t>
        </is>
      </c>
      <c r="B2573" s="1" t="n">
        <v>45231</v>
      </c>
      <c r="C2573" s="1" t="n">
        <v>45718</v>
      </c>
      <c r="D2573" t="inlineStr">
        <is>
          <t>JÄMTLANDS LÄN</t>
        </is>
      </c>
      <c r="E2573" t="inlineStr">
        <is>
          <t>STRÖMSUND</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54032-2023</t>
        </is>
      </c>
      <c r="B2574" s="1" t="n">
        <v>45231</v>
      </c>
      <c r="C2574" s="1" t="n">
        <v>45718</v>
      </c>
      <c r="D2574" t="inlineStr">
        <is>
          <t>JÄMTLANDS LÄN</t>
        </is>
      </c>
      <c r="E2574" t="inlineStr">
        <is>
          <t>STRÖMSUND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54061-2023</t>
        </is>
      </c>
      <c r="B2575" s="1" t="n">
        <v>45232</v>
      </c>
      <c r="C2575" s="1" t="n">
        <v>45718</v>
      </c>
      <c r="D2575" t="inlineStr">
        <is>
          <t>JÄMTLANDS LÄN</t>
        </is>
      </c>
      <c r="E2575" t="inlineStr">
        <is>
          <t>STRÖMSUND</t>
        </is>
      </c>
      <c r="F2575" t="inlineStr">
        <is>
          <t>SCA</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54077-2023</t>
        </is>
      </c>
      <c r="B2576" s="1" t="n">
        <v>45231</v>
      </c>
      <c r="C2576" s="1" t="n">
        <v>45718</v>
      </c>
      <c r="D2576" t="inlineStr">
        <is>
          <t>JÄMTLANDS LÄN</t>
        </is>
      </c>
      <c r="E2576" t="inlineStr">
        <is>
          <t>STRÖMSUND</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54315-2023</t>
        </is>
      </c>
      <c r="B2577" s="1" t="n">
        <v>45232</v>
      </c>
      <c r="C2577" s="1" t="n">
        <v>45718</v>
      </c>
      <c r="D2577" t="inlineStr">
        <is>
          <t>JÄMTLANDS LÄN</t>
        </is>
      </c>
      <c r="E2577" t="inlineStr">
        <is>
          <t>STRÖMSUND</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54319-2023</t>
        </is>
      </c>
      <c r="B2578" s="1" t="n">
        <v>45232</v>
      </c>
      <c r="C2578" s="1" t="n">
        <v>45718</v>
      </c>
      <c r="D2578" t="inlineStr">
        <is>
          <t>JÄMTLANDS LÄN</t>
        </is>
      </c>
      <c r="E2578" t="inlineStr">
        <is>
          <t>STRÖMSUND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56074-2023</t>
        </is>
      </c>
      <c r="B2579" s="1" t="n">
        <v>45233</v>
      </c>
      <c r="C2579" s="1" t="n">
        <v>45718</v>
      </c>
      <c r="D2579" t="inlineStr">
        <is>
          <t>JÄMTLANDS LÄN</t>
        </is>
      </c>
      <c r="E2579" t="inlineStr">
        <is>
          <t>STRÖMSUND</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54482-2023</t>
        </is>
      </c>
      <c r="B2580" s="1" t="n">
        <v>45233</v>
      </c>
      <c r="C2580" s="1" t="n">
        <v>45718</v>
      </c>
      <c r="D2580" t="inlineStr">
        <is>
          <t>JÄMTLANDS LÄN</t>
        </is>
      </c>
      <c r="E2580" t="inlineStr">
        <is>
          <t>STRÖMSUND</t>
        </is>
      </c>
      <c r="F2580" t="inlineStr">
        <is>
          <t>Holmen skog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54478-2023</t>
        </is>
      </c>
      <c r="B2581" s="1" t="n">
        <v>45233</v>
      </c>
      <c r="C2581" s="1" t="n">
        <v>45718</v>
      </c>
      <c r="D2581" t="inlineStr">
        <is>
          <t>JÄMTLANDS LÄN</t>
        </is>
      </c>
      <c r="E2581" t="inlineStr">
        <is>
          <t>STRÖMSUND</t>
        </is>
      </c>
      <c r="F2581" t="inlineStr">
        <is>
          <t>Holmen skog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54598-2023</t>
        </is>
      </c>
      <c r="B2582" s="1" t="n">
        <v>45233</v>
      </c>
      <c r="C2582" s="1" t="n">
        <v>45718</v>
      </c>
      <c r="D2582" t="inlineStr">
        <is>
          <t>JÄMTLANDS LÄN</t>
        </is>
      </c>
      <c r="E2582" t="inlineStr">
        <is>
          <t>STRÖMSUND</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54479-2023</t>
        </is>
      </c>
      <c r="B2583" s="1" t="n">
        <v>45233</v>
      </c>
      <c r="C2583" s="1" t="n">
        <v>45718</v>
      </c>
      <c r="D2583" t="inlineStr">
        <is>
          <t>JÄMTLANDS LÄN</t>
        </is>
      </c>
      <c r="E2583" t="inlineStr">
        <is>
          <t>STRÖMSUND</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54753-2023</t>
        </is>
      </c>
      <c r="B2584" s="1" t="n">
        <v>45236</v>
      </c>
      <c r="C2584" s="1" t="n">
        <v>45718</v>
      </c>
      <c r="D2584" t="inlineStr">
        <is>
          <t>JÄMTLANDS LÄN</t>
        </is>
      </c>
      <c r="E2584" t="inlineStr">
        <is>
          <t>STRÖMSUND</t>
        </is>
      </c>
      <c r="F2584" t="inlineStr">
        <is>
          <t>Sveaskog</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54980-2023</t>
        </is>
      </c>
      <c r="B2585" s="1" t="n">
        <v>45237</v>
      </c>
      <c r="C2585" s="1" t="n">
        <v>45718</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54974-2023</t>
        </is>
      </c>
      <c r="B2586" s="1" t="n">
        <v>45236</v>
      </c>
      <c r="C2586" s="1" t="n">
        <v>45718</v>
      </c>
      <c r="D2586" t="inlineStr">
        <is>
          <t>JÄMTLANDS LÄN</t>
        </is>
      </c>
      <c r="E2586" t="inlineStr">
        <is>
          <t>STRÖMSUND</t>
        </is>
      </c>
      <c r="G2586" t="n">
        <v>14.3</v>
      </c>
      <c r="H2586" t="n">
        <v>0</v>
      </c>
      <c r="I2586" t="n">
        <v>0</v>
      </c>
      <c r="J2586" t="n">
        <v>0</v>
      </c>
      <c r="K2586" t="n">
        <v>0</v>
      </c>
      <c r="L2586" t="n">
        <v>0</v>
      </c>
      <c r="M2586" t="n">
        <v>0</v>
      </c>
      <c r="N2586" t="n">
        <v>0</v>
      </c>
      <c r="O2586" t="n">
        <v>0</v>
      </c>
      <c r="P2586" t="n">
        <v>0</v>
      </c>
      <c r="Q2586" t="n">
        <v>0</v>
      </c>
      <c r="R2586" s="2" t="inlineStr"/>
    </row>
    <row r="2587" ht="15" customHeight="1">
      <c r="A2587" t="inlineStr">
        <is>
          <t>A 55073-2023</t>
        </is>
      </c>
      <c r="B2587" s="1" t="n">
        <v>45237</v>
      </c>
      <c r="C2587" s="1" t="n">
        <v>45718</v>
      </c>
      <c r="D2587" t="inlineStr">
        <is>
          <t>JÄMTLANDS LÄN</t>
        </is>
      </c>
      <c r="E2587" t="inlineStr">
        <is>
          <t>STRÖMSUND</t>
        </is>
      </c>
      <c r="G2587" t="n">
        <v>20.5</v>
      </c>
      <c r="H2587" t="n">
        <v>0</v>
      </c>
      <c r="I2587" t="n">
        <v>0</v>
      </c>
      <c r="J2587" t="n">
        <v>0</v>
      </c>
      <c r="K2587" t="n">
        <v>0</v>
      </c>
      <c r="L2587" t="n">
        <v>0</v>
      </c>
      <c r="M2587" t="n">
        <v>0</v>
      </c>
      <c r="N2587" t="n">
        <v>0</v>
      </c>
      <c r="O2587" t="n">
        <v>0</v>
      </c>
      <c r="P2587" t="n">
        <v>0</v>
      </c>
      <c r="Q2587" t="n">
        <v>0</v>
      </c>
      <c r="R2587" s="2" t="inlineStr"/>
    </row>
    <row r="2588" ht="15" customHeight="1">
      <c r="A2588" t="inlineStr">
        <is>
          <t>A 55177-2023</t>
        </is>
      </c>
      <c r="B2588" s="1" t="n">
        <v>45237</v>
      </c>
      <c r="C2588" s="1" t="n">
        <v>45718</v>
      </c>
      <c r="D2588" t="inlineStr">
        <is>
          <t>JÄMTLANDS LÄN</t>
        </is>
      </c>
      <c r="E2588" t="inlineStr">
        <is>
          <t>STRÖMSUND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55067-2023</t>
        </is>
      </c>
      <c r="B2589" s="1" t="n">
        <v>45237</v>
      </c>
      <c r="C2589" s="1" t="n">
        <v>45718</v>
      </c>
      <c r="D2589" t="inlineStr">
        <is>
          <t>JÄMTLANDS LÄN</t>
        </is>
      </c>
      <c r="E2589" t="inlineStr">
        <is>
          <t>STRÖMSUND</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55156-2023</t>
        </is>
      </c>
      <c r="B2590" s="1" t="n">
        <v>45237</v>
      </c>
      <c r="C2590" s="1" t="n">
        <v>45718</v>
      </c>
      <c r="D2590" t="inlineStr">
        <is>
          <t>JÄMTLANDS LÄN</t>
        </is>
      </c>
      <c r="E2590" t="inlineStr">
        <is>
          <t>STRÖMSUND</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55321-2023</t>
        </is>
      </c>
      <c r="B2591" s="1" t="n">
        <v>45237</v>
      </c>
      <c r="C2591" s="1" t="n">
        <v>45718</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55322-2023</t>
        </is>
      </c>
      <c r="B2592" s="1" t="n">
        <v>45237</v>
      </c>
      <c r="C2592" s="1" t="n">
        <v>45718</v>
      </c>
      <c r="D2592" t="inlineStr">
        <is>
          <t>JÄMTLANDS LÄN</t>
        </is>
      </c>
      <c r="E2592" t="inlineStr">
        <is>
          <t>STRÖMSUND</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56468-2023</t>
        </is>
      </c>
      <c r="B2593" s="1" t="n">
        <v>45237</v>
      </c>
      <c r="C2593" s="1" t="n">
        <v>45718</v>
      </c>
      <c r="D2593" t="inlineStr">
        <is>
          <t>JÄMTLANDS LÄN</t>
        </is>
      </c>
      <c r="E2593" t="inlineStr">
        <is>
          <t>STRÖMSUND</t>
        </is>
      </c>
      <c r="G2593" t="n">
        <v>9.800000000000001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55340-2023</t>
        </is>
      </c>
      <c r="B2594" s="1" t="n">
        <v>45237</v>
      </c>
      <c r="C2594" s="1" t="n">
        <v>45718</v>
      </c>
      <c r="D2594" t="inlineStr">
        <is>
          <t>JÄMTLANDS LÄN</t>
        </is>
      </c>
      <c r="E2594" t="inlineStr">
        <is>
          <t>STRÖMSUND</t>
        </is>
      </c>
      <c r="F2594" t="inlineStr">
        <is>
          <t>SCA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56422-2023</t>
        </is>
      </c>
      <c r="B2595" s="1" t="n">
        <v>45237</v>
      </c>
      <c r="C2595" s="1" t="n">
        <v>45718</v>
      </c>
      <c r="D2595" t="inlineStr">
        <is>
          <t>JÄMTLANDS LÄN</t>
        </is>
      </c>
      <c r="E2595" t="inlineStr">
        <is>
          <t>STRÖMSUND</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56437-2023</t>
        </is>
      </c>
      <c r="B2596" s="1" t="n">
        <v>45237</v>
      </c>
      <c r="C2596" s="1" t="n">
        <v>45718</v>
      </c>
      <c r="D2596" t="inlineStr">
        <is>
          <t>JÄMTLANDS LÄN</t>
        </is>
      </c>
      <c r="E2596" t="inlineStr">
        <is>
          <t>STRÖMSUND</t>
        </is>
      </c>
      <c r="G2596" t="n">
        <v>35.8</v>
      </c>
      <c r="H2596" t="n">
        <v>0</v>
      </c>
      <c r="I2596" t="n">
        <v>0</v>
      </c>
      <c r="J2596" t="n">
        <v>0</v>
      </c>
      <c r="K2596" t="n">
        <v>0</v>
      </c>
      <c r="L2596" t="n">
        <v>0</v>
      </c>
      <c r="M2596" t="n">
        <v>0</v>
      </c>
      <c r="N2596" t="n">
        <v>0</v>
      </c>
      <c r="O2596" t="n">
        <v>0</v>
      </c>
      <c r="P2596" t="n">
        <v>0</v>
      </c>
      <c r="Q2596" t="n">
        <v>0</v>
      </c>
      <c r="R2596" s="2" t="inlineStr"/>
    </row>
    <row r="2597" ht="15" customHeight="1">
      <c r="A2597" t="inlineStr">
        <is>
          <t>A 55323-2023</t>
        </is>
      </c>
      <c r="B2597" s="1" t="n">
        <v>45237</v>
      </c>
      <c r="C2597" s="1" t="n">
        <v>45718</v>
      </c>
      <c r="D2597" t="inlineStr">
        <is>
          <t>JÄMTLANDS LÄN</t>
        </is>
      </c>
      <c r="E2597" t="inlineStr">
        <is>
          <t>STRÖMSUND</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56484-2023</t>
        </is>
      </c>
      <c r="B2598" s="1" t="n">
        <v>45237</v>
      </c>
      <c r="C2598" s="1" t="n">
        <v>45718</v>
      </c>
      <c r="D2598" t="inlineStr">
        <is>
          <t>JÄMTLANDS LÄN</t>
        </is>
      </c>
      <c r="E2598" t="inlineStr">
        <is>
          <t>STRÖMSUND</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56480-2023</t>
        </is>
      </c>
      <c r="B2599" s="1" t="n">
        <v>45237</v>
      </c>
      <c r="C2599" s="1" t="n">
        <v>45718</v>
      </c>
      <c r="D2599" t="inlineStr">
        <is>
          <t>JÄMTLANDS LÄN</t>
        </is>
      </c>
      <c r="E2599" t="inlineStr">
        <is>
          <t>STRÖMSUND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56490-2023</t>
        </is>
      </c>
      <c r="B2600" s="1" t="n">
        <v>45237</v>
      </c>
      <c r="C2600" s="1" t="n">
        <v>45718</v>
      </c>
      <c r="D2600" t="inlineStr">
        <is>
          <t>JÄMTLANDS LÄN</t>
        </is>
      </c>
      <c r="E2600" t="inlineStr">
        <is>
          <t>STRÖMSUND</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55657-2023</t>
        </is>
      </c>
      <c r="B2601" s="1" t="n">
        <v>45238</v>
      </c>
      <c r="C2601" s="1" t="n">
        <v>45718</v>
      </c>
      <c r="D2601" t="inlineStr">
        <is>
          <t>JÄMTLANDS LÄN</t>
        </is>
      </c>
      <c r="E2601" t="inlineStr">
        <is>
          <t>STRÖMSUND</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55656-2023</t>
        </is>
      </c>
      <c r="B2602" s="1" t="n">
        <v>45239</v>
      </c>
      <c r="C2602" s="1" t="n">
        <v>45718</v>
      </c>
      <c r="D2602" t="inlineStr">
        <is>
          <t>JÄMTLANDS LÄN</t>
        </is>
      </c>
      <c r="E2602" t="inlineStr">
        <is>
          <t>STRÖMSUND</t>
        </is>
      </c>
      <c r="F2602" t="inlineStr">
        <is>
          <t>SCA</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55655-2023</t>
        </is>
      </c>
      <c r="B2603" s="1" t="n">
        <v>45239</v>
      </c>
      <c r="C2603" s="1" t="n">
        <v>45718</v>
      </c>
      <c r="D2603" t="inlineStr">
        <is>
          <t>JÄMTLANDS LÄN</t>
        </is>
      </c>
      <c r="E2603" t="inlineStr">
        <is>
          <t>STRÖMSUND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57476-2023</t>
        </is>
      </c>
      <c r="B2604" s="1" t="n">
        <v>45240</v>
      </c>
      <c r="C2604" s="1" t="n">
        <v>45718</v>
      </c>
      <c r="D2604" t="inlineStr">
        <is>
          <t>JÄMTLANDS LÄN</t>
        </is>
      </c>
      <c r="E2604" t="inlineStr">
        <is>
          <t>STRÖMSUND</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57348-2023</t>
        </is>
      </c>
      <c r="B2605" s="1" t="n">
        <v>45240</v>
      </c>
      <c r="C2605" s="1" t="n">
        <v>45718</v>
      </c>
      <c r="D2605" t="inlineStr">
        <is>
          <t>JÄMTLANDS LÄN</t>
        </is>
      </c>
      <c r="E2605" t="inlineStr">
        <is>
          <t>STRÖMSUND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57361-2023</t>
        </is>
      </c>
      <c r="B2606" s="1" t="n">
        <v>45240</v>
      </c>
      <c r="C2606" s="1" t="n">
        <v>45718</v>
      </c>
      <c r="D2606" t="inlineStr">
        <is>
          <t>JÄMTLANDS LÄN</t>
        </is>
      </c>
      <c r="E2606" t="inlineStr">
        <is>
          <t>STRÖMSUND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57431-2023</t>
        </is>
      </c>
      <c r="B2607" s="1" t="n">
        <v>45240</v>
      </c>
      <c r="C2607" s="1" t="n">
        <v>45718</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57429-2023</t>
        </is>
      </c>
      <c r="B2608" s="1" t="n">
        <v>45240</v>
      </c>
      <c r="C2608" s="1" t="n">
        <v>45718</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56312-2023</t>
        </is>
      </c>
      <c r="B2609" s="1" t="n">
        <v>45242</v>
      </c>
      <c r="C2609" s="1" t="n">
        <v>45718</v>
      </c>
      <c r="D2609" t="inlineStr">
        <is>
          <t>JÄMTLANDS LÄN</t>
        </is>
      </c>
      <c r="E2609" t="inlineStr">
        <is>
          <t>STRÖMSUND</t>
        </is>
      </c>
      <c r="F2609" t="inlineStr">
        <is>
          <t>SCA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56313-2023</t>
        </is>
      </c>
      <c r="B2610" s="1" t="n">
        <v>45243</v>
      </c>
      <c r="C2610" s="1" t="n">
        <v>45718</v>
      </c>
      <c r="D2610" t="inlineStr">
        <is>
          <t>JÄMTLANDS LÄN</t>
        </is>
      </c>
      <c r="E2610" t="inlineStr">
        <is>
          <t>STRÖMSUND</t>
        </is>
      </c>
      <c r="F2610" t="inlineStr">
        <is>
          <t>SCA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56314-2023</t>
        </is>
      </c>
      <c r="B2611" s="1" t="n">
        <v>45243</v>
      </c>
      <c r="C2611" s="1" t="n">
        <v>45718</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56691-2023</t>
        </is>
      </c>
      <c r="B2612" s="1" t="n">
        <v>45244</v>
      </c>
      <c r="C2612" s="1" t="n">
        <v>45718</v>
      </c>
      <c r="D2612" t="inlineStr">
        <is>
          <t>JÄMTLANDS LÄN</t>
        </is>
      </c>
      <c r="E2612" t="inlineStr">
        <is>
          <t>STRÖMSUND</t>
        </is>
      </c>
      <c r="F2612" t="inlineStr">
        <is>
          <t>SCA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57805-2023</t>
        </is>
      </c>
      <c r="B2613" s="1" t="n">
        <v>45243</v>
      </c>
      <c r="C2613" s="1" t="n">
        <v>45718</v>
      </c>
      <c r="D2613" t="inlineStr">
        <is>
          <t>JÄMTLANDS LÄN</t>
        </is>
      </c>
      <c r="E2613" t="inlineStr">
        <is>
          <t>STRÖMSUND</t>
        </is>
      </c>
      <c r="F2613" t="inlineStr">
        <is>
          <t>SCA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57729-2023</t>
        </is>
      </c>
      <c r="B2614" s="1" t="n">
        <v>45243</v>
      </c>
      <c r="C2614" s="1" t="n">
        <v>45718</v>
      </c>
      <c r="D2614" t="inlineStr">
        <is>
          <t>JÄMTLANDS LÄN</t>
        </is>
      </c>
      <c r="E2614" t="inlineStr">
        <is>
          <t>STRÖMSUND</t>
        </is>
      </c>
      <c r="G2614" t="n">
        <v>14.8</v>
      </c>
      <c r="H2614" t="n">
        <v>0</v>
      </c>
      <c r="I2614" t="n">
        <v>0</v>
      </c>
      <c r="J2614" t="n">
        <v>0</v>
      </c>
      <c r="K2614" t="n">
        <v>0</v>
      </c>
      <c r="L2614" t="n">
        <v>0</v>
      </c>
      <c r="M2614" t="n">
        <v>0</v>
      </c>
      <c r="N2614" t="n">
        <v>0</v>
      </c>
      <c r="O2614" t="n">
        <v>0</v>
      </c>
      <c r="P2614" t="n">
        <v>0</v>
      </c>
      <c r="Q2614" t="n">
        <v>0</v>
      </c>
      <c r="R2614" s="2" t="inlineStr"/>
    </row>
    <row r="2615" ht="15" customHeight="1">
      <c r="A2615" t="inlineStr">
        <is>
          <t>A 57804-2023</t>
        </is>
      </c>
      <c r="B2615" s="1" t="n">
        <v>45243</v>
      </c>
      <c r="C2615" s="1" t="n">
        <v>45718</v>
      </c>
      <c r="D2615" t="inlineStr">
        <is>
          <t>JÄMTLANDS LÄN</t>
        </is>
      </c>
      <c r="E2615" t="inlineStr">
        <is>
          <t>STRÖMSUND</t>
        </is>
      </c>
      <c r="F2615" t="inlineStr">
        <is>
          <t>SCA</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57055-2023</t>
        </is>
      </c>
      <c r="B2616" s="1" t="n">
        <v>45244</v>
      </c>
      <c r="C2616" s="1" t="n">
        <v>45718</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57048-2023</t>
        </is>
      </c>
      <c r="B2617" s="1" t="n">
        <v>45244</v>
      </c>
      <c r="C2617" s="1" t="n">
        <v>45718</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57068-2023</t>
        </is>
      </c>
      <c r="B2618" s="1" t="n">
        <v>45244</v>
      </c>
      <c r="C2618" s="1" t="n">
        <v>45718</v>
      </c>
      <c r="D2618" t="inlineStr">
        <is>
          <t>JÄMTLANDS LÄN</t>
        </is>
      </c>
      <c r="E2618" t="inlineStr">
        <is>
          <t>STRÖMSUND</t>
        </is>
      </c>
      <c r="F2618" t="inlineStr">
        <is>
          <t>SCA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57084-2023</t>
        </is>
      </c>
      <c r="B2619" s="1" t="n">
        <v>45245</v>
      </c>
      <c r="C2619" s="1" t="n">
        <v>45718</v>
      </c>
      <c r="D2619" t="inlineStr">
        <is>
          <t>JÄMTLANDS LÄN</t>
        </is>
      </c>
      <c r="E2619" t="inlineStr">
        <is>
          <t>STRÖMSUND</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57083-2023</t>
        </is>
      </c>
      <c r="B2620" s="1" t="n">
        <v>45244</v>
      </c>
      <c r="C2620" s="1" t="n">
        <v>45718</v>
      </c>
      <c r="D2620" t="inlineStr">
        <is>
          <t>JÄMTLANDS LÄN</t>
        </is>
      </c>
      <c r="E2620" t="inlineStr">
        <is>
          <t>STRÖMSUND</t>
        </is>
      </c>
      <c r="F2620" t="inlineStr">
        <is>
          <t>SCA</t>
        </is>
      </c>
      <c r="G2620" t="n">
        <v>31.1</v>
      </c>
      <c r="H2620" t="n">
        <v>0</v>
      </c>
      <c r="I2620" t="n">
        <v>0</v>
      </c>
      <c r="J2620" t="n">
        <v>0</v>
      </c>
      <c r="K2620" t="n">
        <v>0</v>
      </c>
      <c r="L2620" t="n">
        <v>0</v>
      </c>
      <c r="M2620" t="n">
        <v>0</v>
      </c>
      <c r="N2620" t="n">
        <v>0</v>
      </c>
      <c r="O2620" t="n">
        <v>0</v>
      </c>
      <c r="P2620" t="n">
        <v>0</v>
      </c>
      <c r="Q2620" t="n">
        <v>0</v>
      </c>
      <c r="R2620" s="2" t="inlineStr"/>
    </row>
    <row r="2621" ht="15" customHeight="1">
      <c r="A2621" t="inlineStr">
        <is>
          <t>A 57082-2023</t>
        </is>
      </c>
      <c r="B2621" s="1" t="n">
        <v>45245</v>
      </c>
      <c r="C2621" s="1" t="n">
        <v>45718</v>
      </c>
      <c r="D2621" t="inlineStr">
        <is>
          <t>JÄMTLANDS LÄN</t>
        </is>
      </c>
      <c r="E2621" t="inlineStr">
        <is>
          <t>STRÖMSUND</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57049-2023</t>
        </is>
      </c>
      <c r="B2622" s="1" t="n">
        <v>45244</v>
      </c>
      <c r="C2622" s="1" t="n">
        <v>45718</v>
      </c>
      <c r="D2622" t="inlineStr">
        <is>
          <t>JÄMTLANDS LÄN</t>
        </is>
      </c>
      <c r="E2622" t="inlineStr">
        <is>
          <t>STRÖMSUND</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57069-2023</t>
        </is>
      </c>
      <c r="B2623" s="1" t="n">
        <v>45244</v>
      </c>
      <c r="C2623" s="1" t="n">
        <v>45718</v>
      </c>
      <c r="D2623" t="inlineStr">
        <is>
          <t>JÄMTLANDS LÄN</t>
        </is>
      </c>
      <c r="E2623" t="inlineStr">
        <is>
          <t>STRÖMSUND</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57077-2023</t>
        </is>
      </c>
      <c r="B2624" s="1" t="n">
        <v>45245</v>
      </c>
      <c r="C2624" s="1" t="n">
        <v>45718</v>
      </c>
      <c r="D2624" t="inlineStr">
        <is>
          <t>JÄMTLANDS LÄN</t>
        </is>
      </c>
      <c r="E2624" t="inlineStr">
        <is>
          <t>STRÖMSUND</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57081-2023</t>
        </is>
      </c>
      <c r="B2625" s="1" t="n">
        <v>45244</v>
      </c>
      <c r="C2625" s="1" t="n">
        <v>45718</v>
      </c>
      <c r="D2625" t="inlineStr">
        <is>
          <t>JÄMTLANDS LÄN</t>
        </is>
      </c>
      <c r="E2625" t="inlineStr">
        <is>
          <t>STRÖMSUND</t>
        </is>
      </c>
      <c r="F2625" t="inlineStr">
        <is>
          <t>SCA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57416-2023</t>
        </is>
      </c>
      <c r="B2626" s="1" t="n">
        <v>45245</v>
      </c>
      <c r="C2626" s="1" t="n">
        <v>45718</v>
      </c>
      <c r="D2626" t="inlineStr">
        <is>
          <t>JÄMTLANDS LÄN</t>
        </is>
      </c>
      <c r="E2626" t="inlineStr">
        <is>
          <t>STRÖMSUND</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57382-2023</t>
        </is>
      </c>
      <c r="B2627" s="1" t="n">
        <v>45245</v>
      </c>
      <c r="C2627" s="1" t="n">
        <v>45718</v>
      </c>
      <c r="D2627" t="inlineStr">
        <is>
          <t>JÄMTLANDS LÄN</t>
        </is>
      </c>
      <c r="E2627" t="inlineStr">
        <is>
          <t>STRÖMSUND</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57385-2023</t>
        </is>
      </c>
      <c r="B2628" s="1" t="n">
        <v>45245</v>
      </c>
      <c r="C2628" s="1" t="n">
        <v>45718</v>
      </c>
      <c r="D2628" t="inlineStr">
        <is>
          <t>JÄMTLANDS LÄN</t>
        </is>
      </c>
      <c r="E2628" t="inlineStr">
        <is>
          <t>STRÖMSUND</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57383-2023</t>
        </is>
      </c>
      <c r="B2629" s="1" t="n">
        <v>45245</v>
      </c>
      <c r="C2629" s="1" t="n">
        <v>45718</v>
      </c>
      <c r="D2629" t="inlineStr">
        <is>
          <t>JÄMTLANDS LÄN</t>
        </is>
      </c>
      <c r="E2629" t="inlineStr">
        <is>
          <t>STRÖMSUND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57387-2023</t>
        </is>
      </c>
      <c r="B2630" s="1" t="n">
        <v>45245</v>
      </c>
      <c r="C2630" s="1" t="n">
        <v>45718</v>
      </c>
      <c r="D2630" t="inlineStr">
        <is>
          <t>JÄMTLANDS LÄN</t>
        </is>
      </c>
      <c r="E2630" t="inlineStr">
        <is>
          <t>STRÖMSUND</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57415-2023</t>
        </is>
      </c>
      <c r="B2631" s="1" t="n">
        <v>45246</v>
      </c>
      <c r="C2631" s="1" t="n">
        <v>45718</v>
      </c>
      <c r="D2631" t="inlineStr">
        <is>
          <t>JÄMTLANDS LÄN</t>
        </is>
      </c>
      <c r="E2631" t="inlineStr">
        <is>
          <t>STRÖMSUND</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57501-2023</t>
        </is>
      </c>
      <c r="B2632" s="1" t="n">
        <v>45246</v>
      </c>
      <c r="C2632" s="1" t="n">
        <v>45718</v>
      </c>
      <c r="D2632" t="inlineStr">
        <is>
          <t>JÄMTLANDS LÄN</t>
        </is>
      </c>
      <c r="E2632" t="inlineStr">
        <is>
          <t>STRÖMSUND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57581-2023</t>
        </is>
      </c>
      <c r="B2633" s="1" t="n">
        <v>45246</v>
      </c>
      <c r="C2633" s="1" t="n">
        <v>45718</v>
      </c>
      <c r="D2633" t="inlineStr">
        <is>
          <t>JÄMTLANDS LÄN</t>
        </is>
      </c>
      <c r="E2633" t="inlineStr">
        <is>
          <t>STRÖMSUND</t>
        </is>
      </c>
      <c r="F2633" t="inlineStr">
        <is>
          <t>Holmen skog AB</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57450-2023</t>
        </is>
      </c>
      <c r="B2634" s="1" t="n">
        <v>45246</v>
      </c>
      <c r="C2634" s="1" t="n">
        <v>45718</v>
      </c>
      <c r="D2634" t="inlineStr">
        <is>
          <t>JÄMTLANDS LÄN</t>
        </is>
      </c>
      <c r="E2634" t="inlineStr">
        <is>
          <t>STRÖMSUND</t>
        </is>
      </c>
      <c r="F2634" t="inlineStr">
        <is>
          <t>Holmen skog AB</t>
        </is>
      </c>
      <c r="G2634" t="n">
        <v>19.5</v>
      </c>
      <c r="H2634" t="n">
        <v>0</v>
      </c>
      <c r="I2634" t="n">
        <v>0</v>
      </c>
      <c r="J2634" t="n">
        <v>0</v>
      </c>
      <c r="K2634" t="n">
        <v>0</v>
      </c>
      <c r="L2634" t="n">
        <v>0</v>
      </c>
      <c r="M2634" t="n">
        <v>0</v>
      </c>
      <c r="N2634" t="n">
        <v>0</v>
      </c>
      <c r="O2634" t="n">
        <v>0</v>
      </c>
      <c r="P2634" t="n">
        <v>0</v>
      </c>
      <c r="Q2634" t="n">
        <v>0</v>
      </c>
      <c r="R2634" s="2" t="inlineStr"/>
    </row>
    <row r="2635" ht="15" customHeight="1">
      <c r="A2635" t="inlineStr">
        <is>
          <t>A 57454-2023</t>
        </is>
      </c>
      <c r="B2635" s="1" t="n">
        <v>45246</v>
      </c>
      <c r="C2635" s="1" t="n">
        <v>45718</v>
      </c>
      <c r="D2635" t="inlineStr">
        <is>
          <t>JÄMTLANDS LÄN</t>
        </is>
      </c>
      <c r="E2635" t="inlineStr">
        <is>
          <t>STRÖMSUND</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57499-2023</t>
        </is>
      </c>
      <c r="B2636" s="1" t="n">
        <v>45246</v>
      </c>
      <c r="C2636" s="1" t="n">
        <v>45718</v>
      </c>
      <c r="D2636" t="inlineStr">
        <is>
          <t>JÄMTLANDS LÄN</t>
        </is>
      </c>
      <c r="E2636" t="inlineStr">
        <is>
          <t>STRÖMSUND</t>
        </is>
      </c>
      <c r="F2636" t="inlineStr">
        <is>
          <t>Holmen skog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57504-2023</t>
        </is>
      </c>
      <c r="B2637" s="1" t="n">
        <v>45246</v>
      </c>
      <c r="C2637" s="1" t="n">
        <v>45718</v>
      </c>
      <c r="D2637" t="inlineStr">
        <is>
          <t>JÄMTLANDS LÄN</t>
        </is>
      </c>
      <c r="E2637" t="inlineStr">
        <is>
          <t>STRÖMSUND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57507-2023</t>
        </is>
      </c>
      <c r="B2638" s="1" t="n">
        <v>45246</v>
      </c>
      <c r="C2638" s="1" t="n">
        <v>45718</v>
      </c>
      <c r="D2638" t="inlineStr">
        <is>
          <t>JÄMTLANDS LÄN</t>
        </is>
      </c>
      <c r="E2638" t="inlineStr">
        <is>
          <t>STRÖMSUND</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57540-2023</t>
        </is>
      </c>
      <c r="B2639" s="1" t="n">
        <v>45246</v>
      </c>
      <c r="C2639" s="1" t="n">
        <v>45718</v>
      </c>
      <c r="D2639" t="inlineStr">
        <is>
          <t>JÄMTLANDS LÄN</t>
        </is>
      </c>
      <c r="E2639" t="inlineStr">
        <is>
          <t>STRÖMSUND</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57549-2023</t>
        </is>
      </c>
      <c r="B2640" s="1" t="n">
        <v>45246</v>
      </c>
      <c r="C2640" s="1" t="n">
        <v>45718</v>
      </c>
      <c r="D2640" t="inlineStr">
        <is>
          <t>JÄMTLANDS LÄN</t>
        </is>
      </c>
      <c r="E2640" t="inlineStr">
        <is>
          <t>STRÖMSUND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57445-2023</t>
        </is>
      </c>
      <c r="B2641" s="1" t="n">
        <v>45246</v>
      </c>
      <c r="C2641" s="1" t="n">
        <v>45718</v>
      </c>
      <c r="D2641" t="inlineStr">
        <is>
          <t>JÄMTLANDS LÄN</t>
        </is>
      </c>
      <c r="E2641" t="inlineStr">
        <is>
          <t>STRÖMSUND</t>
        </is>
      </c>
      <c r="F2641" t="inlineStr">
        <is>
          <t>Holmen skog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57537-2023</t>
        </is>
      </c>
      <c r="B2642" s="1" t="n">
        <v>45246</v>
      </c>
      <c r="C2642" s="1" t="n">
        <v>45718</v>
      </c>
      <c r="D2642" t="inlineStr">
        <is>
          <t>JÄMTLANDS LÄN</t>
        </is>
      </c>
      <c r="E2642" t="inlineStr">
        <is>
          <t>STRÖMSUND</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57542-2023</t>
        </is>
      </c>
      <c r="B2643" s="1" t="n">
        <v>45246</v>
      </c>
      <c r="C2643" s="1" t="n">
        <v>45718</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57748-2023</t>
        </is>
      </c>
      <c r="B2644" s="1" t="n">
        <v>45246</v>
      </c>
      <c r="C2644" s="1" t="n">
        <v>45718</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57596-2023</t>
        </is>
      </c>
      <c r="B2645" s="1" t="n">
        <v>45246</v>
      </c>
      <c r="C2645" s="1" t="n">
        <v>45718</v>
      </c>
      <c r="D2645" t="inlineStr">
        <is>
          <t>JÄMTLANDS LÄN</t>
        </is>
      </c>
      <c r="E2645" t="inlineStr">
        <is>
          <t>STRÖMSUND</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57789-2023</t>
        </is>
      </c>
      <c r="B2646" s="1" t="n">
        <v>45247</v>
      </c>
      <c r="C2646" s="1" t="n">
        <v>45718</v>
      </c>
      <c r="D2646" t="inlineStr">
        <is>
          <t>JÄMTLANDS LÄN</t>
        </is>
      </c>
      <c r="E2646" t="inlineStr">
        <is>
          <t>STRÖMSUND</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58584-2023</t>
        </is>
      </c>
      <c r="B2647" s="1" t="n">
        <v>45246</v>
      </c>
      <c r="C2647" s="1" t="n">
        <v>45718</v>
      </c>
      <c r="D2647" t="inlineStr">
        <is>
          <t>JÄMTLANDS LÄN</t>
        </is>
      </c>
      <c r="E2647" t="inlineStr">
        <is>
          <t>STRÖMSUND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57907-2023</t>
        </is>
      </c>
      <c r="B2648" s="1" t="n">
        <v>45247</v>
      </c>
      <c r="C2648" s="1" t="n">
        <v>45718</v>
      </c>
      <c r="D2648" t="inlineStr">
        <is>
          <t>JÄMTLANDS LÄN</t>
        </is>
      </c>
      <c r="E2648" t="inlineStr">
        <is>
          <t>STRÖMSUND</t>
        </is>
      </c>
      <c r="F2648" t="inlineStr">
        <is>
          <t>Kyrkan</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57912-2023</t>
        </is>
      </c>
      <c r="B2649" s="1" t="n">
        <v>45247</v>
      </c>
      <c r="C2649" s="1" t="n">
        <v>45718</v>
      </c>
      <c r="D2649" t="inlineStr">
        <is>
          <t>JÄMTLANDS LÄN</t>
        </is>
      </c>
      <c r="E2649" t="inlineStr">
        <is>
          <t>STRÖMSUND</t>
        </is>
      </c>
      <c r="F2649" t="inlineStr">
        <is>
          <t>Kyrkan</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57894-2023</t>
        </is>
      </c>
      <c r="B2650" s="1" t="n">
        <v>45247</v>
      </c>
      <c r="C2650" s="1" t="n">
        <v>45718</v>
      </c>
      <c r="D2650" t="inlineStr">
        <is>
          <t>JÄMTLANDS LÄN</t>
        </is>
      </c>
      <c r="E2650" t="inlineStr">
        <is>
          <t>STRÖMSUND</t>
        </is>
      </c>
      <c r="F2650" t="inlineStr">
        <is>
          <t>Kyrkan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57905-2023</t>
        </is>
      </c>
      <c r="B2651" s="1" t="n">
        <v>45247</v>
      </c>
      <c r="C2651" s="1" t="n">
        <v>45718</v>
      </c>
      <c r="D2651" t="inlineStr">
        <is>
          <t>JÄMTLANDS LÄN</t>
        </is>
      </c>
      <c r="E2651" t="inlineStr">
        <is>
          <t>STRÖMSUND</t>
        </is>
      </c>
      <c r="F2651" t="inlineStr">
        <is>
          <t>Kyrkan</t>
        </is>
      </c>
      <c r="G2651" t="n">
        <v>9.300000000000001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58076-2023</t>
        </is>
      </c>
      <c r="B2652" s="1" t="n">
        <v>45247</v>
      </c>
      <c r="C2652" s="1" t="n">
        <v>45718</v>
      </c>
      <c r="D2652" t="inlineStr">
        <is>
          <t>JÄMTLANDS LÄN</t>
        </is>
      </c>
      <c r="E2652" t="inlineStr">
        <is>
          <t>STRÖMSUND</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58152-2023</t>
        </is>
      </c>
      <c r="B2653" s="1" t="n">
        <v>45250</v>
      </c>
      <c r="C2653" s="1" t="n">
        <v>45718</v>
      </c>
      <c r="D2653" t="inlineStr">
        <is>
          <t>JÄMTLANDS LÄN</t>
        </is>
      </c>
      <c r="E2653" t="inlineStr">
        <is>
          <t>STRÖMSUND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58446-2023</t>
        </is>
      </c>
      <c r="B2654" s="1" t="n">
        <v>45250</v>
      </c>
      <c r="C2654" s="1" t="n">
        <v>45718</v>
      </c>
      <c r="D2654" t="inlineStr">
        <is>
          <t>JÄMTLANDS LÄN</t>
        </is>
      </c>
      <c r="E2654" t="inlineStr">
        <is>
          <t>STRÖMSUND</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58445-2023</t>
        </is>
      </c>
      <c r="B2655" s="1" t="n">
        <v>45250</v>
      </c>
      <c r="C2655" s="1" t="n">
        <v>45718</v>
      </c>
      <c r="D2655" t="inlineStr">
        <is>
          <t>JÄMTLANDS LÄN</t>
        </is>
      </c>
      <c r="E2655" t="inlineStr">
        <is>
          <t>STRÖMSUND</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58580-2023</t>
        </is>
      </c>
      <c r="B2656" s="1" t="n">
        <v>45251</v>
      </c>
      <c r="C2656" s="1" t="n">
        <v>45718</v>
      </c>
      <c r="D2656" t="inlineStr">
        <is>
          <t>JÄMTLANDS LÄN</t>
        </is>
      </c>
      <c r="E2656" t="inlineStr">
        <is>
          <t>STRÖMSUND</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58587-2023</t>
        </is>
      </c>
      <c r="B2657" s="1" t="n">
        <v>45251</v>
      </c>
      <c r="C2657" s="1" t="n">
        <v>45718</v>
      </c>
      <c r="D2657" t="inlineStr">
        <is>
          <t>JÄMTLANDS LÄN</t>
        </is>
      </c>
      <c r="E2657" t="inlineStr">
        <is>
          <t>STRÖMSUND</t>
        </is>
      </c>
      <c r="F2657" t="inlineStr">
        <is>
          <t>Holmen skog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59108-2023</t>
        </is>
      </c>
      <c r="B2658" s="1" t="n">
        <v>45251</v>
      </c>
      <c r="C2658" s="1" t="n">
        <v>45718</v>
      </c>
      <c r="D2658" t="inlineStr">
        <is>
          <t>JÄMTLANDS LÄN</t>
        </is>
      </c>
      <c r="E2658" t="inlineStr">
        <is>
          <t>STRÖMSUND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59149-2023</t>
        </is>
      </c>
      <c r="B2659" s="1" t="n">
        <v>45251</v>
      </c>
      <c r="C2659" s="1" t="n">
        <v>45718</v>
      </c>
      <c r="D2659" t="inlineStr">
        <is>
          <t>JÄMTLANDS LÄN</t>
        </is>
      </c>
      <c r="E2659" t="inlineStr">
        <is>
          <t>STRÖMSUND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58871-2023</t>
        </is>
      </c>
      <c r="B2660" s="1" t="n">
        <v>45252</v>
      </c>
      <c r="C2660" s="1" t="n">
        <v>45718</v>
      </c>
      <c r="D2660" t="inlineStr">
        <is>
          <t>JÄMTLANDS LÄN</t>
        </is>
      </c>
      <c r="E2660" t="inlineStr">
        <is>
          <t>STRÖMSUND</t>
        </is>
      </c>
      <c r="F2660" t="inlineStr">
        <is>
          <t>Holmen skog AB</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58881-2023</t>
        </is>
      </c>
      <c r="B2661" s="1" t="n">
        <v>45252</v>
      </c>
      <c r="C2661" s="1" t="n">
        <v>45718</v>
      </c>
      <c r="D2661" t="inlineStr">
        <is>
          <t>JÄMTLANDS LÄN</t>
        </is>
      </c>
      <c r="E2661" t="inlineStr">
        <is>
          <t>STRÖMSUND</t>
        </is>
      </c>
      <c r="F2661" t="inlineStr">
        <is>
          <t>Holmen skog AB</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59097-2023</t>
        </is>
      </c>
      <c r="B2662" s="1" t="n">
        <v>45253</v>
      </c>
      <c r="C2662" s="1" t="n">
        <v>45718</v>
      </c>
      <c r="D2662" t="inlineStr">
        <is>
          <t>JÄMTLANDS LÄN</t>
        </is>
      </c>
      <c r="E2662" t="inlineStr">
        <is>
          <t>STRÖMSUND</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59334-2023</t>
        </is>
      </c>
      <c r="B2663" s="1" t="n">
        <v>45252</v>
      </c>
      <c r="C2663" s="1" t="n">
        <v>45718</v>
      </c>
      <c r="D2663" t="inlineStr">
        <is>
          <t>JÄMTLANDS LÄN</t>
        </is>
      </c>
      <c r="E2663" t="inlineStr">
        <is>
          <t>STRÖMSUND</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59360-2023</t>
        </is>
      </c>
      <c r="B2664" s="1" t="n">
        <v>45253</v>
      </c>
      <c r="C2664" s="1" t="n">
        <v>45718</v>
      </c>
      <c r="D2664" t="inlineStr">
        <is>
          <t>JÄMTLANDS LÄN</t>
        </is>
      </c>
      <c r="E2664" t="inlineStr">
        <is>
          <t>STRÖMSUND</t>
        </is>
      </c>
      <c r="F2664" t="inlineStr">
        <is>
          <t>Holmen skog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59358-2023</t>
        </is>
      </c>
      <c r="B2665" s="1" t="n">
        <v>45253</v>
      </c>
      <c r="C2665" s="1" t="n">
        <v>45718</v>
      </c>
      <c r="D2665" t="inlineStr">
        <is>
          <t>JÄMTLANDS LÄN</t>
        </is>
      </c>
      <c r="E2665" t="inlineStr">
        <is>
          <t>STRÖMSUND</t>
        </is>
      </c>
      <c r="F2665" t="inlineStr">
        <is>
          <t>Holmen skog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59403-2023</t>
        </is>
      </c>
      <c r="B2666" s="1" t="n">
        <v>45253</v>
      </c>
      <c r="C2666" s="1" t="n">
        <v>45718</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59436-2023</t>
        </is>
      </c>
      <c r="B2667" s="1" t="n">
        <v>45253</v>
      </c>
      <c r="C2667" s="1" t="n">
        <v>45718</v>
      </c>
      <c r="D2667" t="inlineStr">
        <is>
          <t>JÄMTLANDS LÄN</t>
        </is>
      </c>
      <c r="E2667" t="inlineStr">
        <is>
          <t>STRÖMSUND</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59506-2023</t>
        </is>
      </c>
      <c r="B2668" s="1" t="n">
        <v>45253</v>
      </c>
      <c r="C2668" s="1" t="n">
        <v>45718</v>
      </c>
      <c r="D2668" t="inlineStr">
        <is>
          <t>JÄMTLANDS LÄN</t>
        </is>
      </c>
      <c r="E2668" t="inlineStr">
        <is>
          <t>STRÖMSUND</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59476-2023</t>
        </is>
      </c>
      <c r="B2669" s="1" t="n">
        <v>45254</v>
      </c>
      <c r="C2669" s="1" t="n">
        <v>45718</v>
      </c>
      <c r="D2669" t="inlineStr">
        <is>
          <t>JÄMTLANDS LÄN</t>
        </is>
      </c>
      <c r="E2669" t="inlineStr">
        <is>
          <t>STRÖMSUND</t>
        </is>
      </c>
      <c r="F2669" t="inlineStr">
        <is>
          <t>Holmen skog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59469-2023</t>
        </is>
      </c>
      <c r="B2670" s="1" t="n">
        <v>45254</v>
      </c>
      <c r="C2670" s="1" t="n">
        <v>45718</v>
      </c>
      <c r="D2670" t="inlineStr">
        <is>
          <t>JÄMTLANDS LÄN</t>
        </is>
      </c>
      <c r="E2670" t="inlineStr">
        <is>
          <t>STRÖMSUND</t>
        </is>
      </c>
      <c r="F2670" t="inlineStr">
        <is>
          <t>Holmen skog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59478-2023</t>
        </is>
      </c>
      <c r="B2671" s="1" t="n">
        <v>45254</v>
      </c>
      <c r="C2671" s="1" t="n">
        <v>45718</v>
      </c>
      <c r="D2671" t="inlineStr">
        <is>
          <t>JÄMTLANDS LÄN</t>
        </is>
      </c>
      <c r="E2671" t="inlineStr">
        <is>
          <t>STRÖMSUND</t>
        </is>
      </c>
      <c r="F2671" t="inlineStr">
        <is>
          <t>Holmen skog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59969-2023</t>
        </is>
      </c>
      <c r="B2672" s="1" t="n">
        <v>45254</v>
      </c>
      <c r="C2672" s="1" t="n">
        <v>45718</v>
      </c>
      <c r="D2672" t="inlineStr">
        <is>
          <t>JÄMTLANDS LÄN</t>
        </is>
      </c>
      <c r="E2672" t="inlineStr">
        <is>
          <t>STRÖMSUND</t>
        </is>
      </c>
      <c r="G2672" t="n">
        <v>23.3</v>
      </c>
      <c r="H2672" t="n">
        <v>0</v>
      </c>
      <c r="I2672" t="n">
        <v>0</v>
      </c>
      <c r="J2672" t="n">
        <v>0</v>
      </c>
      <c r="K2672" t="n">
        <v>0</v>
      </c>
      <c r="L2672" t="n">
        <v>0</v>
      </c>
      <c r="M2672" t="n">
        <v>0</v>
      </c>
      <c r="N2672" t="n">
        <v>0</v>
      </c>
      <c r="O2672" t="n">
        <v>0</v>
      </c>
      <c r="P2672" t="n">
        <v>0</v>
      </c>
      <c r="Q2672" t="n">
        <v>0</v>
      </c>
      <c r="R2672" s="2" t="inlineStr"/>
    </row>
    <row r="2673" ht="15" customHeight="1">
      <c r="A2673" t="inlineStr">
        <is>
          <t>A 59967-2023</t>
        </is>
      </c>
      <c r="B2673" s="1" t="n">
        <v>45254</v>
      </c>
      <c r="C2673" s="1" t="n">
        <v>45718</v>
      </c>
      <c r="D2673" t="inlineStr">
        <is>
          <t>JÄMTLANDS LÄN</t>
        </is>
      </c>
      <c r="E2673" t="inlineStr">
        <is>
          <t>STRÖMSUND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59742-2023</t>
        </is>
      </c>
      <c r="B2674" s="1" t="n">
        <v>45257</v>
      </c>
      <c r="C2674" s="1" t="n">
        <v>45718</v>
      </c>
      <c r="D2674" t="inlineStr">
        <is>
          <t>JÄMTLANDS LÄN</t>
        </is>
      </c>
      <c r="E2674" t="inlineStr">
        <is>
          <t>STRÖMSUND</t>
        </is>
      </c>
      <c r="F2674" t="inlineStr">
        <is>
          <t>Sveaskog</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60175-2023</t>
        </is>
      </c>
      <c r="B2675" s="1" t="n">
        <v>45257</v>
      </c>
      <c r="C2675" s="1" t="n">
        <v>45718</v>
      </c>
      <c r="D2675" t="inlineStr">
        <is>
          <t>JÄMTLANDS LÄN</t>
        </is>
      </c>
      <c r="E2675" t="inlineStr">
        <is>
          <t>STRÖMSUND</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60009-2023</t>
        </is>
      </c>
      <c r="B2676" s="1" t="n">
        <v>45258</v>
      </c>
      <c r="C2676" s="1" t="n">
        <v>45718</v>
      </c>
      <c r="D2676" t="inlineStr">
        <is>
          <t>JÄMTLANDS LÄN</t>
        </is>
      </c>
      <c r="E2676" t="inlineStr">
        <is>
          <t>STRÖMSUND</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60014-2023</t>
        </is>
      </c>
      <c r="B2677" s="1" t="n">
        <v>45258</v>
      </c>
      <c r="C2677" s="1" t="n">
        <v>45718</v>
      </c>
      <c r="D2677" t="inlineStr">
        <is>
          <t>JÄMTLANDS LÄN</t>
        </is>
      </c>
      <c r="E2677" t="inlineStr">
        <is>
          <t>STRÖMSUND</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60166-2023</t>
        </is>
      </c>
      <c r="B2678" s="1" t="n">
        <v>45257</v>
      </c>
      <c r="C2678" s="1" t="n">
        <v>45718</v>
      </c>
      <c r="D2678" t="inlineStr">
        <is>
          <t>JÄMTLANDS LÄN</t>
        </is>
      </c>
      <c r="E2678" t="inlineStr">
        <is>
          <t>STRÖMSUND</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60010-2023</t>
        </is>
      </c>
      <c r="B2679" s="1" t="n">
        <v>45257</v>
      </c>
      <c r="C2679" s="1" t="n">
        <v>45718</v>
      </c>
      <c r="D2679" t="inlineStr">
        <is>
          <t>JÄMTLANDS LÄN</t>
        </is>
      </c>
      <c r="E2679" t="inlineStr">
        <is>
          <t>STRÖMSUND</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60517-2023</t>
        </is>
      </c>
      <c r="B2680" s="1" t="n">
        <v>45257</v>
      </c>
      <c r="C2680" s="1" t="n">
        <v>45718</v>
      </c>
      <c r="D2680" t="inlineStr">
        <is>
          <t>JÄMTLANDS LÄN</t>
        </is>
      </c>
      <c r="E2680" t="inlineStr">
        <is>
          <t>STRÖMSUND</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60078-2023</t>
        </is>
      </c>
      <c r="B2681" s="1" t="n">
        <v>45258</v>
      </c>
      <c r="C2681" s="1" t="n">
        <v>45718</v>
      </c>
      <c r="D2681" t="inlineStr">
        <is>
          <t>JÄMTLANDS LÄN</t>
        </is>
      </c>
      <c r="E2681" t="inlineStr">
        <is>
          <t>STRÖMSUND</t>
        </is>
      </c>
      <c r="F2681" t="inlineStr">
        <is>
          <t>Holmen skog AB</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60334-2023</t>
        </is>
      </c>
      <c r="B2682" s="1" t="n">
        <v>45258</v>
      </c>
      <c r="C2682" s="1" t="n">
        <v>45718</v>
      </c>
      <c r="D2682" t="inlineStr">
        <is>
          <t>JÄMTLANDS LÄN</t>
        </is>
      </c>
      <c r="E2682" t="inlineStr">
        <is>
          <t>STRÖMSUND</t>
        </is>
      </c>
      <c r="F2682" t="inlineStr">
        <is>
          <t>SCA</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60335-2023</t>
        </is>
      </c>
      <c r="B2683" s="1" t="n">
        <v>45258</v>
      </c>
      <c r="C2683" s="1" t="n">
        <v>45718</v>
      </c>
      <c r="D2683" t="inlineStr">
        <is>
          <t>JÄMTLANDS LÄN</t>
        </is>
      </c>
      <c r="E2683" t="inlineStr">
        <is>
          <t>STRÖMSUND</t>
        </is>
      </c>
      <c r="F2683" t="inlineStr">
        <is>
          <t>SCA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60661-2023</t>
        </is>
      </c>
      <c r="B2684" s="1" t="n">
        <v>45259</v>
      </c>
      <c r="C2684" s="1" t="n">
        <v>45718</v>
      </c>
      <c r="D2684" t="inlineStr">
        <is>
          <t>JÄMTLANDS LÄN</t>
        </is>
      </c>
      <c r="E2684" t="inlineStr">
        <is>
          <t>STRÖMSUND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60684-2023</t>
        </is>
      </c>
      <c r="B2685" s="1" t="n">
        <v>45259</v>
      </c>
      <c r="C2685" s="1" t="n">
        <v>45718</v>
      </c>
      <c r="D2685" t="inlineStr">
        <is>
          <t>JÄMTLANDS LÄN</t>
        </is>
      </c>
      <c r="E2685" t="inlineStr">
        <is>
          <t>STRÖMSUND</t>
        </is>
      </c>
      <c r="G2685" t="n">
        <v>14.8</v>
      </c>
      <c r="H2685" t="n">
        <v>0</v>
      </c>
      <c r="I2685" t="n">
        <v>0</v>
      </c>
      <c r="J2685" t="n">
        <v>0</v>
      </c>
      <c r="K2685" t="n">
        <v>0</v>
      </c>
      <c r="L2685" t="n">
        <v>0</v>
      </c>
      <c r="M2685" t="n">
        <v>0</v>
      </c>
      <c r="N2685" t="n">
        <v>0</v>
      </c>
      <c r="O2685" t="n">
        <v>0</v>
      </c>
      <c r="P2685" t="n">
        <v>0</v>
      </c>
      <c r="Q2685" t="n">
        <v>0</v>
      </c>
      <c r="R2685" s="2" t="inlineStr"/>
    </row>
    <row r="2686" ht="15" customHeight="1">
      <c r="A2686" t="inlineStr">
        <is>
          <t>A 60726-2023</t>
        </is>
      </c>
      <c r="B2686" s="1" t="n">
        <v>45259</v>
      </c>
      <c r="C2686" s="1" t="n">
        <v>45718</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60848-2023</t>
        </is>
      </c>
      <c r="B2687" s="1" t="n">
        <v>45260</v>
      </c>
      <c r="C2687" s="1" t="n">
        <v>45718</v>
      </c>
      <c r="D2687" t="inlineStr">
        <is>
          <t>JÄMTLANDS LÄN</t>
        </is>
      </c>
      <c r="E2687" t="inlineStr">
        <is>
          <t>STRÖMSUND</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60850-2023</t>
        </is>
      </c>
      <c r="B2688" s="1" t="n">
        <v>45260</v>
      </c>
      <c r="C2688" s="1" t="n">
        <v>45718</v>
      </c>
      <c r="D2688" t="inlineStr">
        <is>
          <t>JÄMTLANDS LÄN</t>
        </is>
      </c>
      <c r="E2688" t="inlineStr">
        <is>
          <t>STRÖMSUND</t>
        </is>
      </c>
      <c r="G2688" t="n">
        <v>11.8</v>
      </c>
      <c r="H2688" t="n">
        <v>0</v>
      </c>
      <c r="I2688" t="n">
        <v>0</v>
      </c>
      <c r="J2688" t="n">
        <v>0</v>
      </c>
      <c r="K2688" t="n">
        <v>0</v>
      </c>
      <c r="L2688" t="n">
        <v>0</v>
      </c>
      <c r="M2688" t="n">
        <v>0</v>
      </c>
      <c r="N2688" t="n">
        <v>0</v>
      </c>
      <c r="O2688" t="n">
        <v>0</v>
      </c>
      <c r="P2688" t="n">
        <v>0</v>
      </c>
      <c r="Q2688" t="n">
        <v>0</v>
      </c>
      <c r="R2688" s="2" t="inlineStr"/>
    </row>
    <row r="2689" ht="15" customHeight="1">
      <c r="A2689" t="inlineStr">
        <is>
          <t>A 60849-2023</t>
        </is>
      </c>
      <c r="B2689" s="1" t="n">
        <v>45260</v>
      </c>
      <c r="C2689" s="1" t="n">
        <v>45718</v>
      </c>
      <c r="D2689" t="inlineStr">
        <is>
          <t>JÄMTLANDS LÄN</t>
        </is>
      </c>
      <c r="E2689" t="inlineStr">
        <is>
          <t>STRÖMSUND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60894-2023</t>
        </is>
      </c>
      <c r="B2690" s="1" t="n">
        <v>45261</v>
      </c>
      <c r="C2690" s="1" t="n">
        <v>45718</v>
      </c>
      <c r="D2690" t="inlineStr">
        <is>
          <t>JÄMTLANDS LÄN</t>
        </is>
      </c>
      <c r="E2690" t="inlineStr">
        <is>
          <t>STRÖMSUND</t>
        </is>
      </c>
      <c r="F2690" t="inlineStr">
        <is>
          <t>Holmen skog AB</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61131-2023</t>
        </is>
      </c>
      <c r="B2691" s="1" t="n">
        <v>45261</v>
      </c>
      <c r="C2691" s="1" t="n">
        <v>45718</v>
      </c>
      <c r="D2691" t="inlineStr">
        <is>
          <t>JÄMTLANDS LÄN</t>
        </is>
      </c>
      <c r="E2691" t="inlineStr">
        <is>
          <t>STRÖMSUND</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61136-2023</t>
        </is>
      </c>
      <c r="B2692" s="1" t="n">
        <v>45261</v>
      </c>
      <c r="C2692" s="1" t="n">
        <v>45718</v>
      </c>
      <c r="D2692" t="inlineStr">
        <is>
          <t>JÄMTLANDS LÄN</t>
        </is>
      </c>
      <c r="E2692" t="inlineStr">
        <is>
          <t>STRÖMSUND</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61494-2023</t>
        </is>
      </c>
      <c r="B2693" s="1" t="n">
        <v>45264</v>
      </c>
      <c r="C2693" s="1" t="n">
        <v>45718</v>
      </c>
      <c r="D2693" t="inlineStr">
        <is>
          <t>JÄMTLANDS LÄN</t>
        </is>
      </c>
      <c r="E2693" t="inlineStr">
        <is>
          <t>STRÖMSUND</t>
        </is>
      </c>
      <c r="F2693" t="inlineStr">
        <is>
          <t>SCA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61500-2023</t>
        </is>
      </c>
      <c r="B2694" s="1" t="n">
        <v>45264</v>
      </c>
      <c r="C2694" s="1" t="n">
        <v>45718</v>
      </c>
      <c r="D2694" t="inlineStr">
        <is>
          <t>JÄMTLANDS LÄN</t>
        </is>
      </c>
      <c r="E2694" t="inlineStr">
        <is>
          <t>STRÖMSUND</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61833-2023</t>
        </is>
      </c>
      <c r="B2695" s="1" t="n">
        <v>45264</v>
      </c>
      <c r="C2695" s="1" t="n">
        <v>45718</v>
      </c>
      <c r="D2695" t="inlineStr">
        <is>
          <t>JÄMTLANDS LÄN</t>
        </is>
      </c>
      <c r="E2695" t="inlineStr">
        <is>
          <t>STRÖMSUND</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62356-2023</t>
        </is>
      </c>
      <c r="B2696" s="1" t="n">
        <v>45267</v>
      </c>
      <c r="C2696" s="1" t="n">
        <v>45718</v>
      </c>
      <c r="D2696" t="inlineStr">
        <is>
          <t>JÄMTLANDS LÄN</t>
        </is>
      </c>
      <c r="E2696" t="inlineStr">
        <is>
          <t>STRÖMSUND</t>
        </is>
      </c>
      <c r="F2696" t="inlineStr">
        <is>
          <t>SCA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62543-2023</t>
        </is>
      </c>
      <c r="B2697" s="1" t="n">
        <v>45267</v>
      </c>
      <c r="C2697" s="1" t="n">
        <v>45718</v>
      </c>
      <c r="D2697" t="inlineStr">
        <is>
          <t>JÄMTLANDS LÄN</t>
        </is>
      </c>
      <c r="E2697" t="inlineStr">
        <is>
          <t>STRÖMSUND</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62544-2023</t>
        </is>
      </c>
      <c r="B2698" s="1" t="n">
        <v>45267</v>
      </c>
      <c r="C2698" s="1" t="n">
        <v>45718</v>
      </c>
      <c r="D2698" t="inlineStr">
        <is>
          <t>JÄMTLANDS LÄN</t>
        </is>
      </c>
      <c r="E2698" t="inlineStr">
        <is>
          <t>STRÖMSUND</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62470-2023</t>
        </is>
      </c>
      <c r="B2699" s="1" t="n">
        <v>45267</v>
      </c>
      <c r="C2699" s="1" t="n">
        <v>45718</v>
      </c>
      <c r="D2699" t="inlineStr">
        <is>
          <t>JÄMTLANDS LÄN</t>
        </is>
      </c>
      <c r="E2699" t="inlineStr">
        <is>
          <t>STRÖMSUND</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62493-2023</t>
        </is>
      </c>
      <c r="B2700" s="1" t="n">
        <v>45268</v>
      </c>
      <c r="C2700" s="1" t="n">
        <v>45718</v>
      </c>
      <c r="D2700" t="inlineStr">
        <is>
          <t>JÄMTLANDS LÄN</t>
        </is>
      </c>
      <c r="E2700" t="inlineStr">
        <is>
          <t>STRÖMSUND</t>
        </is>
      </c>
      <c r="F2700" t="inlineStr">
        <is>
          <t>Holmen skog AB</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62760-2023</t>
        </is>
      </c>
      <c r="B2701" s="1" t="n">
        <v>45268</v>
      </c>
      <c r="C2701" s="1" t="n">
        <v>45718</v>
      </c>
      <c r="D2701" t="inlineStr">
        <is>
          <t>JÄMTLANDS LÄN</t>
        </is>
      </c>
      <c r="E2701" t="inlineStr">
        <is>
          <t>STRÖMSUND</t>
        </is>
      </c>
      <c r="G2701" t="n">
        <v>12.1</v>
      </c>
      <c r="H2701" t="n">
        <v>0</v>
      </c>
      <c r="I2701" t="n">
        <v>0</v>
      </c>
      <c r="J2701" t="n">
        <v>0</v>
      </c>
      <c r="K2701" t="n">
        <v>0</v>
      </c>
      <c r="L2701" t="n">
        <v>0</v>
      </c>
      <c r="M2701" t="n">
        <v>0</v>
      </c>
      <c r="N2701" t="n">
        <v>0</v>
      </c>
      <c r="O2701" t="n">
        <v>0</v>
      </c>
      <c r="P2701" t="n">
        <v>0</v>
      </c>
      <c r="Q2701" t="n">
        <v>0</v>
      </c>
      <c r="R2701" s="2" t="inlineStr"/>
    </row>
    <row r="2702" ht="15" customHeight="1">
      <c r="A2702" t="inlineStr">
        <is>
          <t>A 63054-2023</t>
        </is>
      </c>
      <c r="B2702" s="1" t="n">
        <v>45272</v>
      </c>
      <c r="C2702" s="1" t="n">
        <v>45718</v>
      </c>
      <c r="D2702" t="inlineStr">
        <is>
          <t>JÄMTLANDS LÄN</t>
        </is>
      </c>
      <c r="E2702" t="inlineStr">
        <is>
          <t>STRÖMSUND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63140-2023</t>
        </is>
      </c>
      <c r="B2703" s="1" t="n">
        <v>45273</v>
      </c>
      <c r="C2703" s="1" t="n">
        <v>45718</v>
      </c>
      <c r="D2703" t="inlineStr">
        <is>
          <t>JÄMTLANDS LÄN</t>
        </is>
      </c>
      <c r="E2703" t="inlineStr">
        <is>
          <t>STRÖMSUND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63286-2023</t>
        </is>
      </c>
      <c r="B2704" s="1" t="n">
        <v>45273</v>
      </c>
      <c r="C2704" s="1" t="n">
        <v>45718</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63362-2023</t>
        </is>
      </c>
      <c r="B2705" s="1" t="n">
        <v>45273</v>
      </c>
      <c r="C2705" s="1" t="n">
        <v>45718</v>
      </c>
      <c r="D2705" t="inlineStr">
        <is>
          <t>JÄMTLANDS LÄN</t>
        </is>
      </c>
      <c r="E2705" t="inlineStr">
        <is>
          <t>STRÖMSUND</t>
        </is>
      </c>
      <c r="G2705" t="n">
        <v>17.9</v>
      </c>
      <c r="H2705" t="n">
        <v>0</v>
      </c>
      <c r="I2705" t="n">
        <v>0</v>
      </c>
      <c r="J2705" t="n">
        <v>0</v>
      </c>
      <c r="K2705" t="n">
        <v>0</v>
      </c>
      <c r="L2705" t="n">
        <v>0</v>
      </c>
      <c r="M2705" t="n">
        <v>0</v>
      </c>
      <c r="N2705" t="n">
        <v>0</v>
      </c>
      <c r="O2705" t="n">
        <v>0</v>
      </c>
      <c r="P2705" t="n">
        <v>0</v>
      </c>
      <c r="Q2705" t="n">
        <v>0</v>
      </c>
      <c r="R2705" s="2" t="inlineStr"/>
    </row>
    <row r="2706" ht="15" customHeight="1">
      <c r="A2706" t="inlineStr">
        <is>
          <t>A 63354-2023</t>
        </is>
      </c>
      <c r="B2706" s="1" t="n">
        <v>45273</v>
      </c>
      <c r="C2706" s="1" t="n">
        <v>45718</v>
      </c>
      <c r="D2706" t="inlineStr">
        <is>
          <t>JÄMTLANDS LÄN</t>
        </is>
      </c>
      <c r="E2706" t="inlineStr">
        <is>
          <t>STRÖMSUND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63287-2023</t>
        </is>
      </c>
      <c r="B2707" s="1" t="n">
        <v>45273</v>
      </c>
      <c r="C2707" s="1" t="n">
        <v>45718</v>
      </c>
      <c r="D2707" t="inlineStr">
        <is>
          <t>JÄMTLANDS LÄN</t>
        </is>
      </c>
      <c r="E2707" t="inlineStr">
        <is>
          <t>STRÖMSUND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63291-2023</t>
        </is>
      </c>
      <c r="B2708" s="1" t="n">
        <v>45273</v>
      </c>
      <c r="C2708" s="1" t="n">
        <v>45718</v>
      </c>
      <c r="D2708" t="inlineStr">
        <is>
          <t>JÄMTLANDS LÄN</t>
        </is>
      </c>
      <c r="E2708" t="inlineStr">
        <is>
          <t>STRÖMSUND</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63403-2023</t>
        </is>
      </c>
      <c r="B2709" s="1" t="n">
        <v>45274</v>
      </c>
      <c r="C2709" s="1" t="n">
        <v>45718</v>
      </c>
      <c r="D2709" t="inlineStr">
        <is>
          <t>JÄMTLANDS LÄN</t>
        </is>
      </c>
      <c r="E2709" t="inlineStr">
        <is>
          <t>STRÖMSUND</t>
        </is>
      </c>
      <c r="G2709" t="n">
        <v>16.9</v>
      </c>
      <c r="H2709" t="n">
        <v>0</v>
      </c>
      <c r="I2709" t="n">
        <v>0</v>
      </c>
      <c r="J2709" t="n">
        <v>0</v>
      </c>
      <c r="K2709" t="n">
        <v>0</v>
      </c>
      <c r="L2709" t="n">
        <v>0</v>
      </c>
      <c r="M2709" t="n">
        <v>0</v>
      </c>
      <c r="N2709" t="n">
        <v>0</v>
      </c>
      <c r="O2709" t="n">
        <v>0</v>
      </c>
      <c r="P2709" t="n">
        <v>0</v>
      </c>
      <c r="Q2709" t="n">
        <v>0</v>
      </c>
      <c r="R2709" s="2" t="inlineStr"/>
    </row>
    <row r="2710" ht="15" customHeight="1">
      <c r="A2710" t="inlineStr">
        <is>
          <t>A 63425-2023</t>
        </is>
      </c>
      <c r="B2710" s="1" t="n">
        <v>45274</v>
      </c>
      <c r="C2710" s="1" t="n">
        <v>45718</v>
      </c>
      <c r="D2710" t="inlineStr">
        <is>
          <t>JÄMTLANDS LÄN</t>
        </is>
      </c>
      <c r="E2710" t="inlineStr">
        <is>
          <t>STRÖMSUND</t>
        </is>
      </c>
      <c r="G2710" t="n">
        <v>14.9</v>
      </c>
      <c r="H2710" t="n">
        <v>0</v>
      </c>
      <c r="I2710" t="n">
        <v>0</v>
      </c>
      <c r="J2710" t="n">
        <v>0</v>
      </c>
      <c r="K2710" t="n">
        <v>0</v>
      </c>
      <c r="L2710" t="n">
        <v>0</v>
      </c>
      <c r="M2710" t="n">
        <v>0</v>
      </c>
      <c r="N2710" t="n">
        <v>0</v>
      </c>
      <c r="O2710" t="n">
        <v>0</v>
      </c>
      <c r="P2710" t="n">
        <v>0</v>
      </c>
      <c r="Q2710" t="n">
        <v>0</v>
      </c>
      <c r="R2710" s="2" t="inlineStr"/>
    </row>
    <row r="2711" ht="15" customHeight="1">
      <c r="A2711" t="inlineStr">
        <is>
          <t>A 63497-2023</t>
        </is>
      </c>
      <c r="B2711" s="1" t="n">
        <v>45274</v>
      </c>
      <c r="C2711" s="1" t="n">
        <v>45718</v>
      </c>
      <c r="D2711" t="inlineStr">
        <is>
          <t>JÄMTLANDS LÄN</t>
        </is>
      </c>
      <c r="E2711" t="inlineStr">
        <is>
          <t>STRÖMSUND</t>
        </is>
      </c>
      <c r="G2711" t="n">
        <v>12.1</v>
      </c>
      <c r="H2711" t="n">
        <v>0</v>
      </c>
      <c r="I2711" t="n">
        <v>0</v>
      </c>
      <c r="J2711" t="n">
        <v>0</v>
      </c>
      <c r="K2711" t="n">
        <v>0</v>
      </c>
      <c r="L2711" t="n">
        <v>0</v>
      </c>
      <c r="M2711" t="n">
        <v>0</v>
      </c>
      <c r="N2711" t="n">
        <v>0</v>
      </c>
      <c r="O2711" t="n">
        <v>0</v>
      </c>
      <c r="P2711" t="n">
        <v>0</v>
      </c>
      <c r="Q2711" t="n">
        <v>0</v>
      </c>
      <c r="R2711" s="2" t="inlineStr"/>
    </row>
    <row r="2712" ht="15" customHeight="1">
      <c r="A2712" t="inlineStr">
        <is>
          <t>A 63756-2023</t>
        </is>
      </c>
      <c r="B2712" s="1" t="n">
        <v>45278</v>
      </c>
      <c r="C2712" s="1" t="n">
        <v>45718</v>
      </c>
      <c r="D2712" t="inlineStr">
        <is>
          <t>JÄMTLANDS LÄN</t>
        </is>
      </c>
      <c r="E2712" t="inlineStr">
        <is>
          <t>STRÖMSUND</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63754-2023</t>
        </is>
      </c>
      <c r="B2713" s="1" t="n">
        <v>45278</v>
      </c>
      <c r="C2713" s="1" t="n">
        <v>45718</v>
      </c>
      <c r="D2713" t="inlineStr">
        <is>
          <t>JÄMTLANDS LÄN</t>
        </is>
      </c>
      <c r="E2713" t="inlineStr">
        <is>
          <t>STRÖMSUND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63753-2023</t>
        </is>
      </c>
      <c r="B2714" s="1" t="n">
        <v>45278</v>
      </c>
      <c r="C2714" s="1" t="n">
        <v>45718</v>
      </c>
      <c r="D2714" t="inlineStr">
        <is>
          <t>JÄMTLANDS LÄN</t>
        </is>
      </c>
      <c r="E2714" t="inlineStr">
        <is>
          <t>STRÖMSUND</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64007-2023</t>
        </is>
      </c>
      <c r="B2715" s="1" t="n">
        <v>45278</v>
      </c>
      <c r="C2715" s="1" t="n">
        <v>45718</v>
      </c>
      <c r="D2715" t="inlineStr">
        <is>
          <t>JÄMTLANDS LÄN</t>
        </is>
      </c>
      <c r="E2715" t="inlineStr">
        <is>
          <t>STRÖMSUND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64149-2023</t>
        </is>
      </c>
      <c r="B2716" s="1" t="n">
        <v>45279</v>
      </c>
      <c r="C2716" s="1" t="n">
        <v>45718</v>
      </c>
      <c r="D2716" t="inlineStr">
        <is>
          <t>JÄMTLANDS LÄN</t>
        </is>
      </c>
      <c r="E2716" t="inlineStr">
        <is>
          <t>STRÖMSUND</t>
        </is>
      </c>
      <c r="G2716" t="n">
        <v>12.7</v>
      </c>
      <c r="H2716" t="n">
        <v>0</v>
      </c>
      <c r="I2716" t="n">
        <v>0</v>
      </c>
      <c r="J2716" t="n">
        <v>0</v>
      </c>
      <c r="K2716" t="n">
        <v>0</v>
      </c>
      <c r="L2716" t="n">
        <v>0</v>
      </c>
      <c r="M2716" t="n">
        <v>0</v>
      </c>
      <c r="N2716" t="n">
        <v>0</v>
      </c>
      <c r="O2716" t="n">
        <v>0</v>
      </c>
      <c r="P2716" t="n">
        <v>0</v>
      </c>
      <c r="Q2716" t="n">
        <v>0</v>
      </c>
      <c r="R2716" s="2" t="inlineStr"/>
    </row>
    <row r="2717" ht="15" customHeight="1">
      <c r="A2717" t="inlineStr">
        <is>
          <t>A 64437-2023</t>
        </is>
      </c>
      <c r="B2717" s="1" t="n">
        <v>45280</v>
      </c>
      <c r="C2717" s="1" t="n">
        <v>45718</v>
      </c>
      <c r="D2717" t="inlineStr">
        <is>
          <t>JÄMTLANDS LÄN</t>
        </is>
      </c>
      <c r="E2717" t="inlineStr">
        <is>
          <t>STRÖMSUND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64505-2023</t>
        </is>
      </c>
      <c r="B2718" s="1" t="n">
        <v>45280</v>
      </c>
      <c r="C2718" s="1" t="n">
        <v>45718</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64559-2023</t>
        </is>
      </c>
      <c r="B2719" s="1" t="n">
        <v>45281</v>
      </c>
      <c r="C2719" s="1" t="n">
        <v>45718</v>
      </c>
      <c r="D2719" t="inlineStr">
        <is>
          <t>JÄMTLANDS LÄN</t>
        </is>
      </c>
      <c r="E2719" t="inlineStr">
        <is>
          <t>STRÖMSUND</t>
        </is>
      </c>
      <c r="F2719" t="inlineStr">
        <is>
          <t>Kyrkan</t>
        </is>
      </c>
      <c r="G2719" t="n">
        <v>16.2</v>
      </c>
      <c r="H2719" t="n">
        <v>0</v>
      </c>
      <c r="I2719" t="n">
        <v>0</v>
      </c>
      <c r="J2719" t="n">
        <v>0</v>
      </c>
      <c r="K2719" t="n">
        <v>0</v>
      </c>
      <c r="L2719" t="n">
        <v>0</v>
      </c>
      <c r="M2719" t="n">
        <v>0</v>
      </c>
      <c r="N2719" t="n">
        <v>0</v>
      </c>
      <c r="O2719" t="n">
        <v>0</v>
      </c>
      <c r="P2719" t="n">
        <v>0</v>
      </c>
      <c r="Q2719" t="n">
        <v>0</v>
      </c>
      <c r="R2719" s="2" t="inlineStr"/>
    </row>
    <row r="2720" ht="15" customHeight="1">
      <c r="A2720" t="inlineStr">
        <is>
          <t>A 64599-2023</t>
        </is>
      </c>
      <c r="B2720" s="1" t="n">
        <v>45281</v>
      </c>
      <c r="C2720" s="1" t="n">
        <v>45718</v>
      </c>
      <c r="D2720" t="inlineStr">
        <is>
          <t>JÄMTLANDS LÄN</t>
        </is>
      </c>
      <c r="E2720" t="inlineStr">
        <is>
          <t>STRÖMSUND</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64759-2023</t>
        </is>
      </c>
      <c r="B2721" s="1" t="n">
        <v>45282</v>
      </c>
      <c r="C2721" s="1" t="n">
        <v>45718</v>
      </c>
      <c r="D2721" t="inlineStr">
        <is>
          <t>JÄMTLANDS LÄN</t>
        </is>
      </c>
      <c r="E2721" t="inlineStr">
        <is>
          <t>STRÖMSUND</t>
        </is>
      </c>
      <c r="G2721" t="n">
        <v>25.2</v>
      </c>
      <c r="H2721" t="n">
        <v>0</v>
      </c>
      <c r="I2721" t="n">
        <v>0</v>
      </c>
      <c r="J2721" t="n">
        <v>0</v>
      </c>
      <c r="K2721" t="n">
        <v>0</v>
      </c>
      <c r="L2721" t="n">
        <v>0</v>
      </c>
      <c r="M2721" t="n">
        <v>0</v>
      </c>
      <c r="N2721" t="n">
        <v>0</v>
      </c>
      <c r="O2721" t="n">
        <v>0</v>
      </c>
      <c r="P2721" t="n">
        <v>0</v>
      </c>
      <c r="Q2721" t="n">
        <v>0</v>
      </c>
      <c r="R2721" s="2" t="inlineStr"/>
    </row>
    <row r="2722" ht="15" customHeight="1">
      <c r="A2722" t="inlineStr">
        <is>
          <t>A 6-2024</t>
        </is>
      </c>
      <c r="B2722" s="1" t="n">
        <v>45293</v>
      </c>
      <c r="C2722" s="1" t="n">
        <v>45718</v>
      </c>
      <c r="D2722" t="inlineStr">
        <is>
          <t>JÄMTLANDS LÄN</t>
        </is>
      </c>
      <c r="E2722" t="inlineStr">
        <is>
          <t>STRÖMSUND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254-2024</t>
        </is>
      </c>
      <c r="B2723" s="1" t="n">
        <v>45294</v>
      </c>
      <c r="C2723" s="1" t="n">
        <v>45718</v>
      </c>
      <c r="D2723" t="inlineStr">
        <is>
          <t>JÄMTLANDS LÄN</t>
        </is>
      </c>
      <c r="E2723" t="inlineStr">
        <is>
          <t>STRÖMSUND</t>
        </is>
      </c>
      <c r="F2723" t="inlineStr">
        <is>
          <t>SCA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247-2024</t>
        </is>
      </c>
      <c r="B2724" s="1" t="n">
        <v>45294</v>
      </c>
      <c r="C2724" s="1" t="n">
        <v>45718</v>
      </c>
      <c r="D2724" t="inlineStr">
        <is>
          <t>JÄMTLANDS LÄN</t>
        </is>
      </c>
      <c r="E2724" t="inlineStr">
        <is>
          <t>STRÖMSUND</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508-2024</t>
        </is>
      </c>
      <c r="B2725" s="1" t="n">
        <v>45299</v>
      </c>
      <c r="C2725" s="1" t="n">
        <v>45718</v>
      </c>
      <c r="D2725" t="inlineStr">
        <is>
          <t>JÄMTLANDS LÄN</t>
        </is>
      </c>
      <c r="E2725" t="inlineStr">
        <is>
          <t>STRÖMSUND</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655-2024</t>
        </is>
      </c>
      <c r="B2726" s="1" t="n">
        <v>45299</v>
      </c>
      <c r="C2726" s="1" t="n">
        <v>45718</v>
      </c>
      <c r="D2726" t="inlineStr">
        <is>
          <t>JÄMTLANDS LÄN</t>
        </is>
      </c>
      <c r="E2726" t="inlineStr">
        <is>
          <t>STRÖMSUND</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872-2024</t>
        </is>
      </c>
      <c r="B2727" s="1" t="n">
        <v>45301</v>
      </c>
      <c r="C2727" s="1" t="n">
        <v>45718</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1053-2024</t>
        </is>
      </c>
      <c r="B2728" s="1" t="n">
        <v>45302</v>
      </c>
      <c r="C2728" s="1" t="n">
        <v>45718</v>
      </c>
      <c r="D2728" t="inlineStr">
        <is>
          <t>JÄMTLANDS LÄN</t>
        </is>
      </c>
      <c r="E2728" t="inlineStr">
        <is>
          <t>STRÖMSUND</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1055-2024</t>
        </is>
      </c>
      <c r="B2729" s="1" t="n">
        <v>45302</v>
      </c>
      <c r="C2729" s="1" t="n">
        <v>45718</v>
      </c>
      <c r="D2729" t="inlineStr">
        <is>
          <t>JÄMTLANDS LÄN</t>
        </is>
      </c>
      <c r="E2729" t="inlineStr">
        <is>
          <t>STRÖMSUND</t>
        </is>
      </c>
      <c r="F2729" t="inlineStr">
        <is>
          <t>SCA</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1226-2024</t>
        </is>
      </c>
      <c r="B2730" s="1" t="n">
        <v>45302</v>
      </c>
      <c r="C2730" s="1" t="n">
        <v>45718</v>
      </c>
      <c r="D2730" t="inlineStr">
        <is>
          <t>JÄMTLANDS LÄN</t>
        </is>
      </c>
      <c r="E2730" t="inlineStr">
        <is>
          <t>STRÖMSUND</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1271-2024</t>
        </is>
      </c>
      <c r="B2731" s="1" t="n">
        <v>45302</v>
      </c>
      <c r="C2731" s="1" t="n">
        <v>45718</v>
      </c>
      <c r="D2731" t="inlineStr">
        <is>
          <t>JÄMTLANDS LÄN</t>
        </is>
      </c>
      <c r="E2731" t="inlineStr">
        <is>
          <t>STRÖMSUND</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1113-2024</t>
        </is>
      </c>
      <c r="B2732" s="1" t="n">
        <v>45302</v>
      </c>
      <c r="C2732" s="1" t="n">
        <v>45718</v>
      </c>
      <c r="D2732" t="inlineStr">
        <is>
          <t>JÄMTLANDS LÄN</t>
        </is>
      </c>
      <c r="E2732" t="inlineStr">
        <is>
          <t>STRÖMSUND</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1270-2024</t>
        </is>
      </c>
      <c r="B2733" s="1" t="n">
        <v>45302</v>
      </c>
      <c r="C2733" s="1" t="n">
        <v>45718</v>
      </c>
      <c r="D2733" t="inlineStr">
        <is>
          <t>JÄMTLANDS LÄN</t>
        </is>
      </c>
      <c r="E2733" t="inlineStr">
        <is>
          <t>STRÖMSUND</t>
        </is>
      </c>
      <c r="G2733" t="n">
        <v>13.6</v>
      </c>
      <c r="H2733" t="n">
        <v>0</v>
      </c>
      <c r="I2733" t="n">
        <v>0</v>
      </c>
      <c r="J2733" t="n">
        <v>0</v>
      </c>
      <c r="K2733" t="n">
        <v>0</v>
      </c>
      <c r="L2733" t="n">
        <v>0</v>
      </c>
      <c r="M2733" t="n">
        <v>0</v>
      </c>
      <c r="N2733" t="n">
        <v>0</v>
      </c>
      <c r="O2733" t="n">
        <v>0</v>
      </c>
      <c r="P2733" t="n">
        <v>0</v>
      </c>
      <c r="Q2733" t="n">
        <v>0</v>
      </c>
      <c r="R2733" s="2" t="inlineStr"/>
    </row>
    <row r="2734" ht="15" customHeight="1">
      <c r="A2734" t="inlineStr">
        <is>
          <t>A 1609-2024</t>
        </is>
      </c>
      <c r="B2734" s="1" t="n">
        <v>45306</v>
      </c>
      <c r="C2734" s="1" t="n">
        <v>45718</v>
      </c>
      <c r="D2734" t="inlineStr">
        <is>
          <t>JÄMTLANDS LÄN</t>
        </is>
      </c>
      <c r="E2734" t="inlineStr">
        <is>
          <t>STRÖMSUND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1676-2024</t>
        </is>
      </c>
      <c r="B2735" s="1" t="n">
        <v>45307</v>
      </c>
      <c r="C2735" s="1" t="n">
        <v>45718</v>
      </c>
      <c r="D2735" t="inlineStr">
        <is>
          <t>JÄMTLANDS LÄN</t>
        </is>
      </c>
      <c r="E2735" t="inlineStr">
        <is>
          <t>STRÖMSUND</t>
        </is>
      </c>
      <c r="F2735" t="inlineStr">
        <is>
          <t>SCA</t>
        </is>
      </c>
      <c r="G2735" t="n">
        <v>29.6</v>
      </c>
      <c r="H2735" t="n">
        <v>0</v>
      </c>
      <c r="I2735" t="n">
        <v>0</v>
      </c>
      <c r="J2735" t="n">
        <v>0</v>
      </c>
      <c r="K2735" t="n">
        <v>0</v>
      </c>
      <c r="L2735" t="n">
        <v>0</v>
      </c>
      <c r="M2735" t="n">
        <v>0</v>
      </c>
      <c r="N2735" t="n">
        <v>0</v>
      </c>
      <c r="O2735" t="n">
        <v>0</v>
      </c>
      <c r="P2735" t="n">
        <v>0</v>
      </c>
      <c r="Q2735" t="n">
        <v>0</v>
      </c>
      <c r="R2735" s="2" t="inlineStr"/>
    </row>
    <row r="2736" ht="15" customHeight="1">
      <c r="A2736" t="inlineStr">
        <is>
          <t>A 1677-2024</t>
        </is>
      </c>
      <c r="B2736" s="1" t="n">
        <v>45307</v>
      </c>
      <c r="C2736" s="1" t="n">
        <v>45718</v>
      </c>
      <c r="D2736" t="inlineStr">
        <is>
          <t>JÄMTLANDS LÄN</t>
        </is>
      </c>
      <c r="E2736" t="inlineStr">
        <is>
          <t>STRÖMSUND</t>
        </is>
      </c>
      <c r="F2736" t="inlineStr">
        <is>
          <t>SCA</t>
        </is>
      </c>
      <c r="G2736" t="n">
        <v>30.1</v>
      </c>
      <c r="H2736" t="n">
        <v>0</v>
      </c>
      <c r="I2736" t="n">
        <v>0</v>
      </c>
      <c r="J2736" t="n">
        <v>0</v>
      </c>
      <c r="K2736" t="n">
        <v>0</v>
      </c>
      <c r="L2736" t="n">
        <v>0</v>
      </c>
      <c r="M2736" t="n">
        <v>0</v>
      </c>
      <c r="N2736" t="n">
        <v>0</v>
      </c>
      <c r="O2736" t="n">
        <v>0</v>
      </c>
      <c r="P2736" t="n">
        <v>0</v>
      </c>
      <c r="Q2736" t="n">
        <v>0</v>
      </c>
      <c r="R2736" s="2" t="inlineStr"/>
    </row>
    <row r="2737" ht="15" customHeight="1">
      <c r="A2737" t="inlineStr">
        <is>
          <t>A 1798-2024</t>
        </is>
      </c>
      <c r="B2737" s="1" t="n">
        <v>45307</v>
      </c>
      <c r="C2737" s="1" t="n">
        <v>45718</v>
      </c>
      <c r="D2737" t="inlineStr">
        <is>
          <t>JÄMTLANDS LÄN</t>
        </is>
      </c>
      <c r="E2737" t="inlineStr">
        <is>
          <t>STRÖMSUND</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1801-2024</t>
        </is>
      </c>
      <c r="B2738" s="1" t="n">
        <v>45307</v>
      </c>
      <c r="C2738" s="1" t="n">
        <v>45718</v>
      </c>
      <c r="D2738" t="inlineStr">
        <is>
          <t>JÄMTLANDS LÄN</t>
        </is>
      </c>
      <c r="E2738" t="inlineStr">
        <is>
          <t>STRÖMSUND</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1929-2024</t>
        </is>
      </c>
      <c r="B2739" s="1" t="n">
        <v>45308</v>
      </c>
      <c r="C2739" s="1" t="n">
        <v>45718</v>
      </c>
      <c r="D2739" t="inlineStr">
        <is>
          <t>JÄMTLANDS LÄN</t>
        </is>
      </c>
      <c r="E2739" t="inlineStr">
        <is>
          <t>STRÖMSUND</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2109-2024</t>
        </is>
      </c>
      <c r="B2740" s="1" t="n">
        <v>45309</v>
      </c>
      <c r="C2740" s="1" t="n">
        <v>45718</v>
      </c>
      <c r="D2740" t="inlineStr">
        <is>
          <t>JÄMTLANDS LÄN</t>
        </is>
      </c>
      <c r="E2740" t="inlineStr">
        <is>
          <t>STRÖMSUND</t>
        </is>
      </c>
      <c r="G2740" t="n">
        <v>23.5</v>
      </c>
      <c r="H2740" t="n">
        <v>0</v>
      </c>
      <c r="I2740" t="n">
        <v>0</v>
      </c>
      <c r="J2740" t="n">
        <v>0</v>
      </c>
      <c r="K2740" t="n">
        <v>0</v>
      </c>
      <c r="L2740" t="n">
        <v>0</v>
      </c>
      <c r="M2740" t="n">
        <v>0</v>
      </c>
      <c r="N2740" t="n">
        <v>0</v>
      </c>
      <c r="O2740" t="n">
        <v>0</v>
      </c>
      <c r="P2740" t="n">
        <v>0</v>
      </c>
      <c r="Q2740" t="n">
        <v>0</v>
      </c>
      <c r="R2740" s="2" t="inlineStr"/>
    </row>
    <row r="2741" ht="15" customHeight="1">
      <c r="A2741" t="inlineStr">
        <is>
          <t>A 2625-2024</t>
        </is>
      </c>
      <c r="B2741" s="1" t="n">
        <v>45313</v>
      </c>
      <c r="C2741" s="1" t="n">
        <v>45718</v>
      </c>
      <c r="D2741" t="inlineStr">
        <is>
          <t>JÄMTLANDS LÄN</t>
        </is>
      </c>
      <c r="E2741" t="inlineStr">
        <is>
          <t>STRÖMSUND</t>
        </is>
      </c>
      <c r="F2741" t="inlineStr">
        <is>
          <t>SCA</t>
        </is>
      </c>
      <c r="G2741" t="n">
        <v>32.2</v>
      </c>
      <c r="H2741" t="n">
        <v>0</v>
      </c>
      <c r="I2741" t="n">
        <v>0</v>
      </c>
      <c r="J2741" t="n">
        <v>0</v>
      </c>
      <c r="K2741" t="n">
        <v>0</v>
      </c>
      <c r="L2741" t="n">
        <v>0</v>
      </c>
      <c r="M2741" t="n">
        <v>0</v>
      </c>
      <c r="N2741" t="n">
        <v>0</v>
      </c>
      <c r="O2741" t="n">
        <v>0</v>
      </c>
      <c r="P2741" t="n">
        <v>0</v>
      </c>
      <c r="Q2741" t="n">
        <v>0</v>
      </c>
      <c r="R2741" s="2" t="inlineStr"/>
    </row>
    <row r="2742" ht="15" customHeight="1">
      <c r="A2742" t="inlineStr">
        <is>
          <t>A 2619-2024</t>
        </is>
      </c>
      <c r="B2742" s="1" t="n">
        <v>45313</v>
      </c>
      <c r="C2742" s="1" t="n">
        <v>45718</v>
      </c>
      <c r="D2742" t="inlineStr">
        <is>
          <t>JÄMTLANDS LÄN</t>
        </is>
      </c>
      <c r="E2742" t="inlineStr">
        <is>
          <t>STRÖMSUND</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2623-2024</t>
        </is>
      </c>
      <c r="B2743" s="1" t="n">
        <v>45313</v>
      </c>
      <c r="C2743" s="1" t="n">
        <v>45718</v>
      </c>
      <c r="D2743" t="inlineStr">
        <is>
          <t>JÄMTLANDS LÄN</t>
        </is>
      </c>
      <c r="E2743" t="inlineStr">
        <is>
          <t>STRÖMSUND</t>
        </is>
      </c>
      <c r="F2743" t="inlineStr">
        <is>
          <t>SCA</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2626-2024</t>
        </is>
      </c>
      <c r="B2744" s="1" t="n">
        <v>45313</v>
      </c>
      <c r="C2744" s="1" t="n">
        <v>45718</v>
      </c>
      <c r="D2744" t="inlineStr">
        <is>
          <t>JÄMTLANDS LÄN</t>
        </is>
      </c>
      <c r="E2744" t="inlineStr">
        <is>
          <t>STRÖMSUND</t>
        </is>
      </c>
      <c r="F2744" t="inlineStr">
        <is>
          <t>SCA</t>
        </is>
      </c>
      <c r="G2744" t="n">
        <v>22.4</v>
      </c>
      <c r="H2744" t="n">
        <v>0</v>
      </c>
      <c r="I2744" t="n">
        <v>0</v>
      </c>
      <c r="J2744" t="n">
        <v>0</v>
      </c>
      <c r="K2744" t="n">
        <v>0</v>
      </c>
      <c r="L2744" t="n">
        <v>0</v>
      </c>
      <c r="M2744" t="n">
        <v>0</v>
      </c>
      <c r="N2744" t="n">
        <v>0</v>
      </c>
      <c r="O2744" t="n">
        <v>0</v>
      </c>
      <c r="P2744" t="n">
        <v>0</v>
      </c>
      <c r="Q2744" t="n">
        <v>0</v>
      </c>
      <c r="R2744" s="2" t="inlineStr"/>
    </row>
    <row r="2745" ht="15" customHeight="1">
      <c r="A2745" t="inlineStr">
        <is>
          <t>A 2624-2024</t>
        </is>
      </c>
      <c r="B2745" s="1" t="n">
        <v>45313</v>
      </c>
      <c r="C2745" s="1" t="n">
        <v>45718</v>
      </c>
      <c r="D2745" t="inlineStr">
        <is>
          <t>JÄMTLANDS LÄN</t>
        </is>
      </c>
      <c r="E2745" t="inlineStr">
        <is>
          <t>STRÖMSUND</t>
        </is>
      </c>
      <c r="F2745" t="inlineStr">
        <is>
          <t>SCA</t>
        </is>
      </c>
      <c r="G2745" t="n">
        <v>41.4</v>
      </c>
      <c r="H2745" t="n">
        <v>0</v>
      </c>
      <c r="I2745" t="n">
        <v>0</v>
      </c>
      <c r="J2745" t="n">
        <v>0</v>
      </c>
      <c r="K2745" t="n">
        <v>0</v>
      </c>
      <c r="L2745" t="n">
        <v>0</v>
      </c>
      <c r="M2745" t="n">
        <v>0</v>
      </c>
      <c r="N2745" t="n">
        <v>0</v>
      </c>
      <c r="O2745" t="n">
        <v>0</v>
      </c>
      <c r="P2745" t="n">
        <v>0</v>
      </c>
      <c r="Q2745" t="n">
        <v>0</v>
      </c>
      <c r="R2745" s="2" t="inlineStr"/>
    </row>
    <row r="2746" ht="15" customHeight="1">
      <c r="A2746" t="inlineStr">
        <is>
          <t>A 2663-2024</t>
        </is>
      </c>
      <c r="B2746" s="1" t="n">
        <v>45314</v>
      </c>
      <c r="C2746" s="1" t="n">
        <v>45718</v>
      </c>
      <c r="D2746" t="inlineStr">
        <is>
          <t>JÄMTLANDS LÄN</t>
        </is>
      </c>
      <c r="E2746" t="inlineStr">
        <is>
          <t>STRÖMSUND</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2643-2024</t>
        </is>
      </c>
      <c r="B2747" s="1" t="n">
        <v>45314</v>
      </c>
      <c r="C2747" s="1" t="n">
        <v>45718</v>
      </c>
      <c r="D2747" t="inlineStr">
        <is>
          <t>JÄMTLANDS LÄN</t>
        </is>
      </c>
      <c r="E2747" t="inlineStr">
        <is>
          <t>STRÖMSUND</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3239-2024</t>
        </is>
      </c>
      <c r="B2748" s="1" t="n">
        <v>45316</v>
      </c>
      <c r="C2748" s="1" t="n">
        <v>45718</v>
      </c>
      <c r="D2748" t="inlineStr">
        <is>
          <t>JÄMTLANDS LÄN</t>
        </is>
      </c>
      <c r="E2748" t="inlineStr">
        <is>
          <t>STRÖMSUND</t>
        </is>
      </c>
      <c r="F2748" t="inlineStr">
        <is>
          <t>SCA</t>
        </is>
      </c>
      <c r="G2748" t="n">
        <v>26.1</v>
      </c>
      <c r="H2748" t="n">
        <v>0</v>
      </c>
      <c r="I2748" t="n">
        <v>0</v>
      </c>
      <c r="J2748" t="n">
        <v>0</v>
      </c>
      <c r="K2748" t="n">
        <v>0</v>
      </c>
      <c r="L2748" t="n">
        <v>0</v>
      </c>
      <c r="M2748" t="n">
        <v>0</v>
      </c>
      <c r="N2748" t="n">
        <v>0</v>
      </c>
      <c r="O2748" t="n">
        <v>0</v>
      </c>
      <c r="P2748" t="n">
        <v>0</v>
      </c>
      <c r="Q2748" t="n">
        <v>0</v>
      </c>
      <c r="R2748" s="2" t="inlineStr"/>
    </row>
    <row r="2749" ht="15" customHeight="1">
      <c r="A2749" t="inlineStr">
        <is>
          <t>A 3519-2024</t>
        </is>
      </c>
      <c r="B2749" s="1" t="n">
        <v>45320</v>
      </c>
      <c r="C2749" s="1" t="n">
        <v>45718</v>
      </c>
      <c r="D2749" t="inlineStr">
        <is>
          <t>JÄMTLANDS LÄN</t>
        </is>
      </c>
      <c r="E2749" t="inlineStr">
        <is>
          <t>STRÖMSUND</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3623-2024</t>
        </is>
      </c>
      <c r="B2750" s="1" t="n">
        <v>45320</v>
      </c>
      <c r="C2750" s="1" t="n">
        <v>45718</v>
      </c>
      <c r="D2750" t="inlineStr">
        <is>
          <t>JÄMTLANDS LÄN</t>
        </is>
      </c>
      <c r="E2750" t="inlineStr">
        <is>
          <t>STRÖMSUND</t>
        </is>
      </c>
      <c r="F2750" t="inlineStr">
        <is>
          <t>SCA</t>
        </is>
      </c>
      <c r="G2750" t="n">
        <v>22.9</v>
      </c>
      <c r="H2750" t="n">
        <v>0</v>
      </c>
      <c r="I2750" t="n">
        <v>0</v>
      </c>
      <c r="J2750" t="n">
        <v>0</v>
      </c>
      <c r="K2750" t="n">
        <v>0</v>
      </c>
      <c r="L2750" t="n">
        <v>0</v>
      </c>
      <c r="M2750" t="n">
        <v>0</v>
      </c>
      <c r="N2750" t="n">
        <v>0</v>
      </c>
      <c r="O2750" t="n">
        <v>0</v>
      </c>
      <c r="P2750" t="n">
        <v>0</v>
      </c>
      <c r="Q2750" t="n">
        <v>0</v>
      </c>
      <c r="R2750" s="2" t="inlineStr"/>
    </row>
    <row r="2751" ht="15" customHeight="1">
      <c r="A2751" t="inlineStr">
        <is>
          <t>A 3629-2024</t>
        </is>
      </c>
      <c r="B2751" s="1" t="n">
        <v>45320</v>
      </c>
      <c r="C2751" s="1" t="n">
        <v>45718</v>
      </c>
      <c r="D2751" t="inlineStr">
        <is>
          <t>JÄMTLANDS LÄN</t>
        </is>
      </c>
      <c r="E2751" t="inlineStr">
        <is>
          <t>STRÖMSUND</t>
        </is>
      </c>
      <c r="F2751" t="inlineStr">
        <is>
          <t>SCA</t>
        </is>
      </c>
      <c r="G2751" t="n">
        <v>29.9</v>
      </c>
      <c r="H2751" t="n">
        <v>0</v>
      </c>
      <c r="I2751" t="n">
        <v>0</v>
      </c>
      <c r="J2751" t="n">
        <v>0</v>
      </c>
      <c r="K2751" t="n">
        <v>0</v>
      </c>
      <c r="L2751" t="n">
        <v>0</v>
      </c>
      <c r="M2751" t="n">
        <v>0</v>
      </c>
      <c r="N2751" t="n">
        <v>0</v>
      </c>
      <c r="O2751" t="n">
        <v>0</v>
      </c>
      <c r="P2751" t="n">
        <v>0</v>
      </c>
      <c r="Q2751" t="n">
        <v>0</v>
      </c>
      <c r="R2751" s="2" t="inlineStr"/>
    </row>
    <row r="2752" ht="15" customHeight="1">
      <c r="A2752" t="inlineStr">
        <is>
          <t>A 3622-2024</t>
        </is>
      </c>
      <c r="B2752" s="1" t="n">
        <v>45320</v>
      </c>
      <c r="C2752" s="1" t="n">
        <v>45718</v>
      </c>
      <c r="D2752" t="inlineStr">
        <is>
          <t>JÄMTLANDS LÄN</t>
        </is>
      </c>
      <c r="E2752" t="inlineStr">
        <is>
          <t>STRÖMSUND</t>
        </is>
      </c>
      <c r="F2752" t="inlineStr">
        <is>
          <t>SCA</t>
        </is>
      </c>
      <c r="G2752" t="n">
        <v>14.5</v>
      </c>
      <c r="H2752" t="n">
        <v>0</v>
      </c>
      <c r="I2752" t="n">
        <v>0</v>
      </c>
      <c r="J2752" t="n">
        <v>0</v>
      </c>
      <c r="K2752" t="n">
        <v>0</v>
      </c>
      <c r="L2752" t="n">
        <v>0</v>
      </c>
      <c r="M2752" t="n">
        <v>0</v>
      </c>
      <c r="N2752" t="n">
        <v>0</v>
      </c>
      <c r="O2752" t="n">
        <v>0</v>
      </c>
      <c r="P2752" t="n">
        <v>0</v>
      </c>
      <c r="Q2752" t="n">
        <v>0</v>
      </c>
      <c r="R2752" s="2" t="inlineStr"/>
    </row>
    <row r="2753" ht="15" customHeight="1">
      <c r="A2753" t="inlineStr">
        <is>
          <t>A 3628-2024</t>
        </is>
      </c>
      <c r="B2753" s="1" t="n">
        <v>45320</v>
      </c>
      <c r="C2753" s="1" t="n">
        <v>45718</v>
      </c>
      <c r="D2753" t="inlineStr">
        <is>
          <t>JÄMTLANDS LÄN</t>
        </is>
      </c>
      <c r="E2753" t="inlineStr">
        <is>
          <t>STRÖMSUND</t>
        </is>
      </c>
      <c r="F2753" t="inlineStr">
        <is>
          <t>SCA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3743-2024</t>
        </is>
      </c>
      <c r="B2754" s="1" t="n">
        <v>45321</v>
      </c>
      <c r="C2754" s="1" t="n">
        <v>45718</v>
      </c>
      <c r="D2754" t="inlineStr">
        <is>
          <t>JÄMTLANDS LÄN</t>
        </is>
      </c>
      <c r="E2754" t="inlineStr">
        <is>
          <t>STRÖMSUND</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3835-2024</t>
        </is>
      </c>
      <c r="B2755" s="1" t="n">
        <v>45321</v>
      </c>
      <c r="C2755" s="1" t="n">
        <v>45718</v>
      </c>
      <c r="D2755" t="inlineStr">
        <is>
          <t>JÄMTLANDS LÄN</t>
        </is>
      </c>
      <c r="E2755" t="inlineStr">
        <is>
          <t>STRÖMSUND</t>
        </is>
      </c>
      <c r="F2755" t="inlineStr">
        <is>
          <t>SCA</t>
        </is>
      </c>
      <c r="G2755" t="n">
        <v>28.5</v>
      </c>
      <c r="H2755" t="n">
        <v>0</v>
      </c>
      <c r="I2755" t="n">
        <v>0</v>
      </c>
      <c r="J2755" t="n">
        <v>0</v>
      </c>
      <c r="K2755" t="n">
        <v>0</v>
      </c>
      <c r="L2755" t="n">
        <v>0</v>
      </c>
      <c r="M2755" t="n">
        <v>0</v>
      </c>
      <c r="N2755" t="n">
        <v>0</v>
      </c>
      <c r="O2755" t="n">
        <v>0</v>
      </c>
      <c r="P2755" t="n">
        <v>0</v>
      </c>
      <c r="Q2755" t="n">
        <v>0</v>
      </c>
      <c r="R2755" s="2" t="inlineStr"/>
    </row>
    <row r="2756" ht="15" customHeight="1">
      <c r="A2756" t="inlineStr">
        <is>
          <t>A 3834-2024</t>
        </is>
      </c>
      <c r="B2756" s="1" t="n">
        <v>45321</v>
      </c>
      <c r="C2756" s="1" t="n">
        <v>45718</v>
      </c>
      <c r="D2756" t="inlineStr">
        <is>
          <t>JÄMTLANDS LÄN</t>
        </is>
      </c>
      <c r="E2756" t="inlineStr">
        <is>
          <t>STRÖMSUND</t>
        </is>
      </c>
      <c r="F2756" t="inlineStr">
        <is>
          <t>SCA</t>
        </is>
      </c>
      <c r="G2756" t="n">
        <v>30.9</v>
      </c>
      <c r="H2756" t="n">
        <v>0</v>
      </c>
      <c r="I2756" t="n">
        <v>0</v>
      </c>
      <c r="J2756" t="n">
        <v>0</v>
      </c>
      <c r="K2756" t="n">
        <v>0</v>
      </c>
      <c r="L2756" t="n">
        <v>0</v>
      </c>
      <c r="M2756" t="n">
        <v>0</v>
      </c>
      <c r="N2756" t="n">
        <v>0</v>
      </c>
      <c r="O2756" t="n">
        <v>0</v>
      </c>
      <c r="P2756" t="n">
        <v>0</v>
      </c>
      <c r="Q2756" t="n">
        <v>0</v>
      </c>
      <c r="R2756" s="2" t="inlineStr"/>
    </row>
    <row r="2757" ht="15" customHeight="1">
      <c r="A2757" t="inlineStr">
        <is>
          <t>A 3841-2024</t>
        </is>
      </c>
      <c r="B2757" s="1" t="n">
        <v>45321</v>
      </c>
      <c r="C2757" s="1" t="n">
        <v>45718</v>
      </c>
      <c r="D2757" t="inlineStr">
        <is>
          <t>JÄMTLANDS LÄN</t>
        </is>
      </c>
      <c r="E2757" t="inlineStr">
        <is>
          <t>STRÖMSUND</t>
        </is>
      </c>
      <c r="F2757" t="inlineStr">
        <is>
          <t>SCA</t>
        </is>
      </c>
      <c r="G2757" t="n">
        <v>19.4</v>
      </c>
      <c r="H2757" t="n">
        <v>0</v>
      </c>
      <c r="I2757" t="n">
        <v>0</v>
      </c>
      <c r="J2757" t="n">
        <v>0</v>
      </c>
      <c r="K2757" t="n">
        <v>0</v>
      </c>
      <c r="L2757" t="n">
        <v>0</v>
      </c>
      <c r="M2757" t="n">
        <v>0</v>
      </c>
      <c r="N2757" t="n">
        <v>0</v>
      </c>
      <c r="O2757" t="n">
        <v>0</v>
      </c>
      <c r="P2757" t="n">
        <v>0</v>
      </c>
      <c r="Q2757" t="n">
        <v>0</v>
      </c>
      <c r="R2757" s="2" t="inlineStr"/>
    </row>
    <row r="2758" ht="15" customHeight="1">
      <c r="A2758" t="inlineStr">
        <is>
          <t>A 3994-2024</t>
        </is>
      </c>
      <c r="B2758" s="1" t="n">
        <v>45322</v>
      </c>
      <c r="C2758" s="1" t="n">
        <v>45718</v>
      </c>
      <c r="D2758" t="inlineStr">
        <is>
          <t>JÄMTLANDS LÄN</t>
        </is>
      </c>
      <c r="E2758" t="inlineStr">
        <is>
          <t>STRÖMSUND</t>
        </is>
      </c>
      <c r="F2758" t="inlineStr">
        <is>
          <t>SCA</t>
        </is>
      </c>
      <c r="G2758" t="n">
        <v>40.8</v>
      </c>
      <c r="H2758" t="n">
        <v>0</v>
      </c>
      <c r="I2758" t="n">
        <v>0</v>
      </c>
      <c r="J2758" t="n">
        <v>0</v>
      </c>
      <c r="K2758" t="n">
        <v>0</v>
      </c>
      <c r="L2758" t="n">
        <v>0</v>
      </c>
      <c r="M2758" t="n">
        <v>0</v>
      </c>
      <c r="N2758" t="n">
        <v>0</v>
      </c>
      <c r="O2758" t="n">
        <v>0</v>
      </c>
      <c r="P2758" t="n">
        <v>0</v>
      </c>
      <c r="Q2758" t="n">
        <v>0</v>
      </c>
      <c r="R2758" s="2" t="inlineStr"/>
    </row>
    <row r="2759" ht="15" customHeight="1">
      <c r="A2759" t="inlineStr">
        <is>
          <t>A 3997-2024</t>
        </is>
      </c>
      <c r="B2759" s="1" t="n">
        <v>45322</v>
      </c>
      <c r="C2759" s="1" t="n">
        <v>45718</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4178-2024</t>
        </is>
      </c>
      <c r="B2760" s="1" t="n">
        <v>45323</v>
      </c>
      <c r="C2760" s="1" t="n">
        <v>45718</v>
      </c>
      <c r="D2760" t="inlineStr">
        <is>
          <t>JÄMTLANDS LÄN</t>
        </is>
      </c>
      <c r="E2760" t="inlineStr">
        <is>
          <t>STRÖMSUND</t>
        </is>
      </c>
      <c r="F2760" t="inlineStr">
        <is>
          <t>SCA</t>
        </is>
      </c>
      <c r="G2760" t="n">
        <v>36.4</v>
      </c>
      <c r="H2760" t="n">
        <v>0</v>
      </c>
      <c r="I2760" t="n">
        <v>0</v>
      </c>
      <c r="J2760" t="n">
        <v>0</v>
      </c>
      <c r="K2760" t="n">
        <v>0</v>
      </c>
      <c r="L2760" t="n">
        <v>0</v>
      </c>
      <c r="M2760" t="n">
        <v>0</v>
      </c>
      <c r="N2760" t="n">
        <v>0</v>
      </c>
      <c r="O2760" t="n">
        <v>0</v>
      </c>
      <c r="P2760" t="n">
        <v>0</v>
      </c>
      <c r="Q2760" t="n">
        <v>0</v>
      </c>
      <c r="R2760" s="2" t="inlineStr"/>
    </row>
    <row r="2761" ht="15" customHeight="1">
      <c r="A2761" t="inlineStr">
        <is>
          <t>A 4177-2024</t>
        </is>
      </c>
      <c r="B2761" s="1" t="n">
        <v>45323</v>
      </c>
      <c r="C2761" s="1" t="n">
        <v>45718</v>
      </c>
      <c r="D2761" t="inlineStr">
        <is>
          <t>JÄMTLANDS LÄN</t>
        </is>
      </c>
      <c r="E2761" t="inlineStr">
        <is>
          <t>STRÖMSUND</t>
        </is>
      </c>
      <c r="F2761" t="inlineStr">
        <is>
          <t>SCA</t>
        </is>
      </c>
      <c r="G2761" t="n">
        <v>37.5</v>
      </c>
      <c r="H2761" t="n">
        <v>0</v>
      </c>
      <c r="I2761" t="n">
        <v>0</v>
      </c>
      <c r="J2761" t="n">
        <v>0</v>
      </c>
      <c r="K2761" t="n">
        <v>0</v>
      </c>
      <c r="L2761" t="n">
        <v>0</v>
      </c>
      <c r="M2761" t="n">
        <v>0</v>
      </c>
      <c r="N2761" t="n">
        <v>0</v>
      </c>
      <c r="O2761" t="n">
        <v>0</v>
      </c>
      <c r="P2761" t="n">
        <v>0</v>
      </c>
      <c r="Q2761" t="n">
        <v>0</v>
      </c>
      <c r="R2761" s="2" t="inlineStr"/>
    </row>
    <row r="2762" ht="15" customHeight="1">
      <c r="A2762" t="inlineStr">
        <is>
          <t>A 4179-2024</t>
        </is>
      </c>
      <c r="B2762" s="1" t="n">
        <v>45323</v>
      </c>
      <c r="C2762" s="1" t="n">
        <v>45718</v>
      </c>
      <c r="D2762" t="inlineStr">
        <is>
          <t>JÄMTLANDS LÄN</t>
        </is>
      </c>
      <c r="E2762" t="inlineStr">
        <is>
          <t>STRÖMSUND</t>
        </is>
      </c>
      <c r="F2762" t="inlineStr">
        <is>
          <t>SCA</t>
        </is>
      </c>
      <c r="G2762" t="n">
        <v>19.9</v>
      </c>
      <c r="H2762" t="n">
        <v>0</v>
      </c>
      <c r="I2762" t="n">
        <v>0</v>
      </c>
      <c r="J2762" t="n">
        <v>0</v>
      </c>
      <c r="K2762" t="n">
        <v>0</v>
      </c>
      <c r="L2762" t="n">
        <v>0</v>
      </c>
      <c r="M2762" t="n">
        <v>0</v>
      </c>
      <c r="N2762" t="n">
        <v>0</v>
      </c>
      <c r="O2762" t="n">
        <v>0</v>
      </c>
      <c r="P2762" t="n">
        <v>0</v>
      </c>
      <c r="Q2762" t="n">
        <v>0</v>
      </c>
      <c r="R2762" s="2" t="inlineStr"/>
    </row>
    <row r="2763" ht="15" customHeight="1">
      <c r="A2763" t="inlineStr">
        <is>
          <t>A 4449-2024</t>
        </is>
      </c>
      <c r="B2763" s="1" t="n">
        <v>45324</v>
      </c>
      <c r="C2763" s="1" t="n">
        <v>45718</v>
      </c>
      <c r="D2763" t="inlineStr">
        <is>
          <t>JÄMTLANDS LÄN</t>
        </is>
      </c>
      <c r="E2763" t="inlineStr">
        <is>
          <t>STRÖMSUND</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4378-2024</t>
        </is>
      </c>
      <c r="B2764" s="1" t="n">
        <v>45326</v>
      </c>
      <c r="C2764" s="1" t="n">
        <v>45718</v>
      </c>
      <c r="D2764" t="inlineStr">
        <is>
          <t>JÄMTLANDS LÄN</t>
        </is>
      </c>
      <c r="E2764" t="inlineStr">
        <is>
          <t>STRÖMSUND</t>
        </is>
      </c>
      <c r="F2764" t="inlineStr">
        <is>
          <t>SCA</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4436-2024</t>
        </is>
      </c>
      <c r="B2765" s="1" t="n">
        <v>45327</v>
      </c>
      <c r="C2765" s="1" t="n">
        <v>45718</v>
      </c>
      <c r="D2765" t="inlineStr">
        <is>
          <t>JÄMTLANDS LÄN</t>
        </is>
      </c>
      <c r="E2765" t="inlineStr">
        <is>
          <t>STRÖMSUND</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4507-2024</t>
        </is>
      </c>
      <c r="B2766" s="1" t="n">
        <v>45327</v>
      </c>
      <c r="C2766" s="1" t="n">
        <v>45718</v>
      </c>
      <c r="D2766" t="inlineStr">
        <is>
          <t>JÄMTLANDS LÄN</t>
        </is>
      </c>
      <c r="E2766" t="inlineStr">
        <is>
          <t>STRÖMSUND</t>
        </is>
      </c>
      <c r="F2766" t="inlineStr">
        <is>
          <t>Kyrkan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4514-2024</t>
        </is>
      </c>
      <c r="B2767" s="1" t="n">
        <v>45327</v>
      </c>
      <c r="C2767" s="1" t="n">
        <v>45718</v>
      </c>
      <c r="D2767" t="inlineStr">
        <is>
          <t>JÄMTLANDS LÄN</t>
        </is>
      </c>
      <c r="E2767" t="inlineStr">
        <is>
          <t>STRÖMSUND</t>
        </is>
      </c>
      <c r="F2767" t="inlineStr">
        <is>
          <t>Kyrkan</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4586-2024</t>
        </is>
      </c>
      <c r="B2768" s="1" t="n">
        <v>45327</v>
      </c>
      <c r="C2768" s="1" t="n">
        <v>45718</v>
      </c>
      <c r="D2768" t="inlineStr">
        <is>
          <t>JÄMTLANDS LÄN</t>
        </is>
      </c>
      <c r="E2768" t="inlineStr">
        <is>
          <t>STRÖMSUND</t>
        </is>
      </c>
      <c r="F2768" t="inlineStr">
        <is>
          <t>SCA</t>
        </is>
      </c>
      <c r="G2768" t="n">
        <v>28.8</v>
      </c>
      <c r="H2768" t="n">
        <v>0</v>
      </c>
      <c r="I2768" t="n">
        <v>0</v>
      </c>
      <c r="J2768" t="n">
        <v>0</v>
      </c>
      <c r="K2768" t="n">
        <v>0</v>
      </c>
      <c r="L2768" t="n">
        <v>0</v>
      </c>
      <c r="M2768" t="n">
        <v>0</v>
      </c>
      <c r="N2768" t="n">
        <v>0</v>
      </c>
      <c r="O2768" t="n">
        <v>0</v>
      </c>
      <c r="P2768" t="n">
        <v>0</v>
      </c>
      <c r="Q2768" t="n">
        <v>0</v>
      </c>
      <c r="R2768" s="2" t="inlineStr"/>
    </row>
    <row r="2769" ht="15" customHeight="1">
      <c r="A2769" t="inlineStr">
        <is>
          <t>A 4579-2024</t>
        </is>
      </c>
      <c r="B2769" s="1" t="n">
        <v>45327</v>
      </c>
      <c r="C2769" s="1" t="n">
        <v>45718</v>
      </c>
      <c r="D2769" t="inlineStr">
        <is>
          <t>JÄMTLANDS LÄN</t>
        </is>
      </c>
      <c r="E2769" t="inlineStr">
        <is>
          <t>STRÖMSUND</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4588-2024</t>
        </is>
      </c>
      <c r="B2770" s="1" t="n">
        <v>45327</v>
      </c>
      <c r="C2770" s="1" t="n">
        <v>45718</v>
      </c>
      <c r="D2770" t="inlineStr">
        <is>
          <t>JÄMTLANDS LÄN</t>
        </is>
      </c>
      <c r="E2770" t="inlineStr">
        <is>
          <t>STRÖMSUND</t>
        </is>
      </c>
      <c r="F2770" t="inlineStr">
        <is>
          <t>SCA</t>
        </is>
      </c>
      <c r="G2770" t="n">
        <v>23.9</v>
      </c>
      <c r="H2770" t="n">
        <v>0</v>
      </c>
      <c r="I2770" t="n">
        <v>0</v>
      </c>
      <c r="J2770" t="n">
        <v>0</v>
      </c>
      <c r="K2770" t="n">
        <v>0</v>
      </c>
      <c r="L2770" t="n">
        <v>0</v>
      </c>
      <c r="M2770" t="n">
        <v>0</v>
      </c>
      <c r="N2770" t="n">
        <v>0</v>
      </c>
      <c r="O2770" t="n">
        <v>0</v>
      </c>
      <c r="P2770" t="n">
        <v>0</v>
      </c>
      <c r="Q2770" t="n">
        <v>0</v>
      </c>
      <c r="R2770" s="2" t="inlineStr"/>
    </row>
    <row r="2771" ht="15" customHeight="1">
      <c r="A2771" t="inlineStr">
        <is>
          <t>A 4663-2024</t>
        </is>
      </c>
      <c r="B2771" s="1" t="n">
        <v>45328</v>
      </c>
      <c r="C2771" s="1" t="n">
        <v>45718</v>
      </c>
      <c r="D2771" t="inlineStr">
        <is>
          <t>JÄMTLANDS LÄN</t>
        </is>
      </c>
      <c r="E2771" t="inlineStr">
        <is>
          <t>STRÖMSUND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4825-2024</t>
        </is>
      </c>
      <c r="B2772" s="1" t="n">
        <v>45328</v>
      </c>
      <c r="C2772" s="1" t="n">
        <v>45718</v>
      </c>
      <c r="D2772" t="inlineStr">
        <is>
          <t>JÄMTLANDS LÄN</t>
        </is>
      </c>
      <c r="E2772" t="inlineStr">
        <is>
          <t>STRÖMSUND</t>
        </is>
      </c>
      <c r="F2772" t="inlineStr">
        <is>
          <t>SCA</t>
        </is>
      </c>
      <c r="G2772" t="n">
        <v>33.1</v>
      </c>
      <c r="H2772" t="n">
        <v>0</v>
      </c>
      <c r="I2772" t="n">
        <v>0</v>
      </c>
      <c r="J2772" t="n">
        <v>0</v>
      </c>
      <c r="K2772" t="n">
        <v>0</v>
      </c>
      <c r="L2772" t="n">
        <v>0</v>
      </c>
      <c r="M2772" t="n">
        <v>0</v>
      </c>
      <c r="N2772" t="n">
        <v>0</v>
      </c>
      <c r="O2772" t="n">
        <v>0</v>
      </c>
      <c r="P2772" t="n">
        <v>0</v>
      </c>
      <c r="Q2772" t="n">
        <v>0</v>
      </c>
      <c r="R2772" s="2" t="inlineStr"/>
    </row>
    <row r="2773" ht="15" customHeight="1">
      <c r="A2773" t="inlineStr">
        <is>
          <t>A 4823-2024</t>
        </is>
      </c>
      <c r="B2773" s="1" t="n">
        <v>45328</v>
      </c>
      <c r="C2773" s="1" t="n">
        <v>45718</v>
      </c>
      <c r="D2773" t="inlineStr">
        <is>
          <t>JÄMTLANDS LÄN</t>
        </is>
      </c>
      <c r="E2773" t="inlineStr">
        <is>
          <t>STRÖMSUND</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5068-2024</t>
        </is>
      </c>
      <c r="B2774" s="1" t="n">
        <v>45329</v>
      </c>
      <c r="C2774" s="1" t="n">
        <v>45718</v>
      </c>
      <c r="D2774" t="inlineStr">
        <is>
          <t>JÄMTLANDS LÄN</t>
        </is>
      </c>
      <c r="E2774" t="inlineStr">
        <is>
          <t>STRÖMSUND</t>
        </is>
      </c>
      <c r="F2774" t="inlineStr">
        <is>
          <t>SCA</t>
        </is>
      </c>
      <c r="G2774" t="n">
        <v>28.3</v>
      </c>
      <c r="H2774" t="n">
        <v>0</v>
      </c>
      <c r="I2774" t="n">
        <v>0</v>
      </c>
      <c r="J2774" t="n">
        <v>0</v>
      </c>
      <c r="K2774" t="n">
        <v>0</v>
      </c>
      <c r="L2774" t="n">
        <v>0</v>
      </c>
      <c r="M2774" t="n">
        <v>0</v>
      </c>
      <c r="N2774" t="n">
        <v>0</v>
      </c>
      <c r="O2774" t="n">
        <v>0</v>
      </c>
      <c r="P2774" t="n">
        <v>0</v>
      </c>
      <c r="Q2774" t="n">
        <v>0</v>
      </c>
      <c r="R2774" s="2" t="inlineStr"/>
    </row>
    <row r="2775" ht="15" customHeight="1">
      <c r="A2775" t="inlineStr">
        <is>
          <t>A 5105-2024</t>
        </is>
      </c>
      <c r="B2775" s="1" t="n">
        <v>45330</v>
      </c>
      <c r="C2775" s="1" t="n">
        <v>45718</v>
      </c>
      <c r="D2775" t="inlineStr">
        <is>
          <t>JÄMTLANDS LÄN</t>
        </is>
      </c>
      <c r="E2775" t="inlineStr">
        <is>
          <t>STRÖMSUND</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5260-2024</t>
        </is>
      </c>
      <c r="B2776" s="1" t="n">
        <v>45331</v>
      </c>
      <c r="C2776" s="1" t="n">
        <v>45718</v>
      </c>
      <c r="D2776" t="inlineStr">
        <is>
          <t>JÄMTLANDS LÄN</t>
        </is>
      </c>
      <c r="E2776" t="inlineStr">
        <is>
          <t>STRÖMSUND</t>
        </is>
      </c>
      <c r="F2776" t="inlineStr">
        <is>
          <t>SCA</t>
        </is>
      </c>
      <c r="G2776" t="n">
        <v>22.6</v>
      </c>
      <c r="H2776" t="n">
        <v>0</v>
      </c>
      <c r="I2776" t="n">
        <v>0</v>
      </c>
      <c r="J2776" t="n">
        <v>0</v>
      </c>
      <c r="K2776" t="n">
        <v>0</v>
      </c>
      <c r="L2776" t="n">
        <v>0</v>
      </c>
      <c r="M2776" t="n">
        <v>0</v>
      </c>
      <c r="N2776" t="n">
        <v>0</v>
      </c>
      <c r="O2776" t="n">
        <v>0</v>
      </c>
      <c r="P2776" t="n">
        <v>0</v>
      </c>
      <c r="Q2776" t="n">
        <v>0</v>
      </c>
      <c r="R2776" s="2" t="inlineStr"/>
    </row>
    <row r="2777" ht="15" customHeight="1">
      <c r="A2777" t="inlineStr">
        <is>
          <t>A 5259-2024</t>
        </is>
      </c>
      <c r="B2777" s="1" t="n">
        <v>45330</v>
      </c>
      <c r="C2777" s="1" t="n">
        <v>45718</v>
      </c>
      <c r="D2777" t="inlineStr">
        <is>
          <t>JÄMTLANDS LÄN</t>
        </is>
      </c>
      <c r="E2777" t="inlineStr">
        <is>
          <t>STRÖMSUND</t>
        </is>
      </c>
      <c r="F2777" t="inlineStr">
        <is>
          <t>SCA</t>
        </is>
      </c>
      <c r="G2777" t="n">
        <v>25.8</v>
      </c>
      <c r="H2777" t="n">
        <v>0</v>
      </c>
      <c r="I2777" t="n">
        <v>0</v>
      </c>
      <c r="J2777" t="n">
        <v>0</v>
      </c>
      <c r="K2777" t="n">
        <v>0</v>
      </c>
      <c r="L2777" t="n">
        <v>0</v>
      </c>
      <c r="M2777" t="n">
        <v>0</v>
      </c>
      <c r="N2777" t="n">
        <v>0</v>
      </c>
      <c r="O2777" t="n">
        <v>0</v>
      </c>
      <c r="P2777" t="n">
        <v>0</v>
      </c>
      <c r="Q2777" t="n">
        <v>0</v>
      </c>
      <c r="R2777" s="2" t="inlineStr"/>
    </row>
    <row r="2778" ht="15" customHeight="1">
      <c r="A2778" t="inlineStr">
        <is>
          <t>A 5262-2024</t>
        </is>
      </c>
      <c r="B2778" s="1" t="n">
        <v>45330</v>
      </c>
      <c r="C2778" s="1" t="n">
        <v>45718</v>
      </c>
      <c r="D2778" t="inlineStr">
        <is>
          <t>JÄMTLANDS LÄN</t>
        </is>
      </c>
      <c r="E2778" t="inlineStr">
        <is>
          <t>STRÖMSUND</t>
        </is>
      </c>
      <c r="F2778" t="inlineStr">
        <is>
          <t>SCA</t>
        </is>
      </c>
      <c r="G2778" t="n">
        <v>19.7</v>
      </c>
      <c r="H2778" t="n">
        <v>0</v>
      </c>
      <c r="I2778" t="n">
        <v>0</v>
      </c>
      <c r="J2778" t="n">
        <v>0</v>
      </c>
      <c r="K2778" t="n">
        <v>0</v>
      </c>
      <c r="L2778" t="n">
        <v>0</v>
      </c>
      <c r="M2778" t="n">
        <v>0</v>
      </c>
      <c r="N2778" t="n">
        <v>0</v>
      </c>
      <c r="O2778" t="n">
        <v>0</v>
      </c>
      <c r="P2778" t="n">
        <v>0</v>
      </c>
      <c r="Q2778" t="n">
        <v>0</v>
      </c>
      <c r="R2778" s="2" t="inlineStr"/>
    </row>
    <row r="2779" ht="15" customHeight="1">
      <c r="A2779" t="inlineStr">
        <is>
          <t>A 5267-2024</t>
        </is>
      </c>
      <c r="B2779" s="1" t="n">
        <v>45331</v>
      </c>
      <c r="C2779" s="1" t="n">
        <v>45718</v>
      </c>
      <c r="D2779" t="inlineStr">
        <is>
          <t>JÄMTLANDS LÄN</t>
        </is>
      </c>
      <c r="E2779" t="inlineStr">
        <is>
          <t>STRÖMSUND</t>
        </is>
      </c>
      <c r="F2779" t="inlineStr">
        <is>
          <t>SCA</t>
        </is>
      </c>
      <c r="G2779" t="n">
        <v>29.1</v>
      </c>
      <c r="H2779" t="n">
        <v>0</v>
      </c>
      <c r="I2779" t="n">
        <v>0</v>
      </c>
      <c r="J2779" t="n">
        <v>0</v>
      </c>
      <c r="K2779" t="n">
        <v>0</v>
      </c>
      <c r="L2779" t="n">
        <v>0</v>
      </c>
      <c r="M2779" t="n">
        <v>0</v>
      </c>
      <c r="N2779" t="n">
        <v>0</v>
      </c>
      <c r="O2779" t="n">
        <v>0</v>
      </c>
      <c r="P2779" t="n">
        <v>0</v>
      </c>
      <c r="Q2779" t="n">
        <v>0</v>
      </c>
      <c r="R2779" s="2" t="inlineStr"/>
    </row>
    <row r="2780" ht="15" customHeight="1">
      <c r="A2780" t="inlineStr">
        <is>
          <t>A 5261-2024</t>
        </is>
      </c>
      <c r="B2780" s="1" t="n">
        <v>45331</v>
      </c>
      <c r="C2780" s="1" t="n">
        <v>45718</v>
      </c>
      <c r="D2780" t="inlineStr">
        <is>
          <t>JÄMTLANDS LÄN</t>
        </is>
      </c>
      <c r="E2780" t="inlineStr">
        <is>
          <t>STRÖMSUND</t>
        </is>
      </c>
      <c r="F2780" t="inlineStr">
        <is>
          <t>SCA</t>
        </is>
      </c>
      <c r="G2780" t="n">
        <v>29.7</v>
      </c>
      <c r="H2780" t="n">
        <v>0</v>
      </c>
      <c r="I2780" t="n">
        <v>0</v>
      </c>
      <c r="J2780" t="n">
        <v>0</v>
      </c>
      <c r="K2780" t="n">
        <v>0</v>
      </c>
      <c r="L2780" t="n">
        <v>0</v>
      </c>
      <c r="M2780" t="n">
        <v>0</v>
      </c>
      <c r="N2780" t="n">
        <v>0</v>
      </c>
      <c r="O2780" t="n">
        <v>0</v>
      </c>
      <c r="P2780" t="n">
        <v>0</v>
      </c>
      <c r="Q2780" t="n">
        <v>0</v>
      </c>
      <c r="R2780" s="2" t="inlineStr"/>
    </row>
    <row r="2781" ht="15" customHeight="1">
      <c r="A2781" t="inlineStr">
        <is>
          <t>A 5333-2024</t>
        </is>
      </c>
      <c r="B2781" s="1" t="n">
        <v>45331</v>
      </c>
      <c r="C2781" s="1" t="n">
        <v>45718</v>
      </c>
      <c r="D2781" t="inlineStr">
        <is>
          <t>JÄMTLANDS LÄN</t>
        </is>
      </c>
      <c r="E2781" t="inlineStr">
        <is>
          <t>STRÖMSUND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5350-2024</t>
        </is>
      </c>
      <c r="B2782" s="1" t="n">
        <v>45331</v>
      </c>
      <c r="C2782" s="1" t="n">
        <v>45718</v>
      </c>
      <c r="D2782" t="inlineStr">
        <is>
          <t>JÄMTLANDS LÄN</t>
        </is>
      </c>
      <c r="E2782" t="inlineStr">
        <is>
          <t>STRÖMSUND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5327-2024</t>
        </is>
      </c>
      <c r="B2783" s="1" t="n">
        <v>45331</v>
      </c>
      <c r="C2783" s="1" t="n">
        <v>45718</v>
      </c>
      <c r="D2783" t="inlineStr">
        <is>
          <t>JÄMTLANDS LÄN</t>
        </is>
      </c>
      <c r="E2783" t="inlineStr">
        <is>
          <t>STRÖMSUND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5443-2024</t>
        </is>
      </c>
      <c r="B2784" s="1" t="n">
        <v>45331</v>
      </c>
      <c r="C2784" s="1" t="n">
        <v>45718</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5449-2024</t>
        </is>
      </c>
      <c r="B2785" s="1" t="n">
        <v>45331</v>
      </c>
      <c r="C2785" s="1" t="n">
        <v>45718</v>
      </c>
      <c r="D2785" t="inlineStr">
        <is>
          <t>JÄMTLANDS LÄN</t>
        </is>
      </c>
      <c r="E2785" t="inlineStr">
        <is>
          <t>STRÖMSUND</t>
        </is>
      </c>
      <c r="F2785" t="inlineStr">
        <is>
          <t>SCA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5453-2024</t>
        </is>
      </c>
      <c r="B2786" s="1" t="n">
        <v>45331</v>
      </c>
      <c r="C2786" s="1" t="n">
        <v>45718</v>
      </c>
      <c r="D2786" t="inlineStr">
        <is>
          <t>JÄMTLANDS LÄN</t>
        </is>
      </c>
      <c r="E2786" t="inlineStr">
        <is>
          <t>STRÖMSUND</t>
        </is>
      </c>
      <c r="F2786" t="inlineStr">
        <is>
          <t>SCA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5451-2024</t>
        </is>
      </c>
      <c r="B2787" s="1" t="n">
        <v>45331</v>
      </c>
      <c r="C2787" s="1" t="n">
        <v>45718</v>
      </c>
      <c r="D2787" t="inlineStr">
        <is>
          <t>JÄMTLANDS LÄN</t>
        </is>
      </c>
      <c r="E2787" t="inlineStr">
        <is>
          <t>STRÖMSUND</t>
        </is>
      </c>
      <c r="F2787" t="inlineStr">
        <is>
          <t>SCA</t>
        </is>
      </c>
      <c r="G2787" t="n">
        <v>13.5</v>
      </c>
      <c r="H2787" t="n">
        <v>0</v>
      </c>
      <c r="I2787" t="n">
        <v>0</v>
      </c>
      <c r="J2787" t="n">
        <v>0</v>
      </c>
      <c r="K2787" t="n">
        <v>0</v>
      </c>
      <c r="L2787" t="n">
        <v>0</v>
      </c>
      <c r="M2787" t="n">
        <v>0</v>
      </c>
      <c r="N2787" t="n">
        <v>0</v>
      </c>
      <c r="O2787" t="n">
        <v>0</v>
      </c>
      <c r="P2787" t="n">
        <v>0</v>
      </c>
      <c r="Q2787" t="n">
        <v>0</v>
      </c>
      <c r="R2787" s="2" t="inlineStr"/>
    </row>
    <row r="2788" ht="15" customHeight="1">
      <c r="A2788" t="inlineStr">
        <is>
          <t>A 5444-2024</t>
        </is>
      </c>
      <c r="B2788" s="1" t="n">
        <v>45331</v>
      </c>
      <c r="C2788" s="1" t="n">
        <v>45718</v>
      </c>
      <c r="D2788" t="inlineStr">
        <is>
          <t>JÄMTLANDS LÄN</t>
        </is>
      </c>
      <c r="E2788" t="inlineStr">
        <is>
          <t>STRÖMSUND</t>
        </is>
      </c>
      <c r="F2788" t="inlineStr">
        <is>
          <t>SCA</t>
        </is>
      </c>
      <c r="G2788" t="n">
        <v>25.5</v>
      </c>
      <c r="H2788" t="n">
        <v>0</v>
      </c>
      <c r="I2788" t="n">
        <v>0</v>
      </c>
      <c r="J2788" t="n">
        <v>0</v>
      </c>
      <c r="K2788" t="n">
        <v>0</v>
      </c>
      <c r="L2788" t="n">
        <v>0</v>
      </c>
      <c r="M2788" t="n">
        <v>0</v>
      </c>
      <c r="N2788" t="n">
        <v>0</v>
      </c>
      <c r="O2788" t="n">
        <v>0</v>
      </c>
      <c r="P2788" t="n">
        <v>0</v>
      </c>
      <c r="Q2788" t="n">
        <v>0</v>
      </c>
      <c r="R2788" s="2" t="inlineStr"/>
    </row>
    <row r="2789" ht="15" customHeight="1">
      <c r="A2789" t="inlineStr">
        <is>
          <t>A 5450-2024</t>
        </is>
      </c>
      <c r="B2789" s="1" t="n">
        <v>45331</v>
      </c>
      <c r="C2789" s="1" t="n">
        <v>45718</v>
      </c>
      <c r="D2789" t="inlineStr">
        <is>
          <t>JÄMTLANDS LÄN</t>
        </is>
      </c>
      <c r="E2789" t="inlineStr">
        <is>
          <t>STRÖMSUND</t>
        </is>
      </c>
      <c r="F2789" t="inlineStr">
        <is>
          <t>SCA</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5454-2024</t>
        </is>
      </c>
      <c r="B2790" s="1" t="n">
        <v>45331</v>
      </c>
      <c r="C2790" s="1" t="n">
        <v>45718</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5736-2024</t>
        </is>
      </c>
      <c r="B2791" s="1" t="n">
        <v>45334</v>
      </c>
      <c r="C2791" s="1" t="n">
        <v>45718</v>
      </c>
      <c r="D2791" t="inlineStr">
        <is>
          <t>JÄMTLANDS LÄN</t>
        </is>
      </c>
      <c r="E2791" t="inlineStr">
        <is>
          <t>STRÖMSUND</t>
        </is>
      </c>
      <c r="F2791" t="inlineStr">
        <is>
          <t>SCA</t>
        </is>
      </c>
      <c r="G2791" t="n">
        <v>30.3</v>
      </c>
      <c r="H2791" t="n">
        <v>0</v>
      </c>
      <c r="I2791" t="n">
        <v>0</v>
      </c>
      <c r="J2791" t="n">
        <v>0</v>
      </c>
      <c r="K2791" t="n">
        <v>0</v>
      </c>
      <c r="L2791" t="n">
        <v>0</v>
      </c>
      <c r="M2791" t="n">
        <v>0</v>
      </c>
      <c r="N2791" t="n">
        <v>0</v>
      </c>
      <c r="O2791" t="n">
        <v>0</v>
      </c>
      <c r="P2791" t="n">
        <v>0</v>
      </c>
      <c r="Q2791" t="n">
        <v>0</v>
      </c>
      <c r="R2791" s="2" t="inlineStr"/>
    </row>
    <row r="2792" ht="15" customHeight="1">
      <c r="A2792" t="inlineStr">
        <is>
          <t>A 6083-2024</t>
        </is>
      </c>
      <c r="B2792" s="1" t="n">
        <v>45337</v>
      </c>
      <c r="C2792" s="1" t="n">
        <v>45718</v>
      </c>
      <c r="D2792" t="inlineStr">
        <is>
          <t>JÄMTLANDS LÄN</t>
        </is>
      </c>
      <c r="E2792" t="inlineStr">
        <is>
          <t>STRÖMSUND</t>
        </is>
      </c>
      <c r="F2792" t="inlineStr">
        <is>
          <t>SCA</t>
        </is>
      </c>
      <c r="G2792" t="n">
        <v>45.8</v>
      </c>
      <c r="H2792" t="n">
        <v>0</v>
      </c>
      <c r="I2792" t="n">
        <v>0</v>
      </c>
      <c r="J2792" t="n">
        <v>0</v>
      </c>
      <c r="K2792" t="n">
        <v>0</v>
      </c>
      <c r="L2792" t="n">
        <v>0</v>
      </c>
      <c r="M2792" t="n">
        <v>0</v>
      </c>
      <c r="N2792" t="n">
        <v>0</v>
      </c>
      <c r="O2792" t="n">
        <v>0</v>
      </c>
      <c r="P2792" t="n">
        <v>0</v>
      </c>
      <c r="Q2792" t="n">
        <v>0</v>
      </c>
      <c r="R2792" s="2" t="inlineStr"/>
    </row>
    <row r="2793" ht="15" customHeight="1">
      <c r="A2793" t="inlineStr">
        <is>
          <t>A 5930-2024</t>
        </is>
      </c>
      <c r="B2793" s="1" t="n">
        <v>45336</v>
      </c>
      <c r="C2793" s="1" t="n">
        <v>45718</v>
      </c>
      <c r="D2793" t="inlineStr">
        <is>
          <t>JÄMTLANDS LÄN</t>
        </is>
      </c>
      <c r="E2793" t="inlineStr">
        <is>
          <t>STRÖMSUND</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6085-2024</t>
        </is>
      </c>
      <c r="B2794" s="1" t="n">
        <v>45336</v>
      </c>
      <c r="C2794" s="1" t="n">
        <v>45718</v>
      </c>
      <c r="D2794" t="inlineStr">
        <is>
          <t>JÄMTLANDS LÄN</t>
        </is>
      </c>
      <c r="E2794" t="inlineStr">
        <is>
          <t>STRÖMSUND</t>
        </is>
      </c>
      <c r="F2794" t="inlineStr">
        <is>
          <t>SCA</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6174-2024</t>
        </is>
      </c>
      <c r="B2795" s="1" t="n">
        <v>45337</v>
      </c>
      <c r="C2795" s="1" t="n">
        <v>45718</v>
      </c>
      <c r="D2795" t="inlineStr">
        <is>
          <t>JÄMTLANDS LÄN</t>
        </is>
      </c>
      <c r="E2795" t="inlineStr">
        <is>
          <t>STRÖMSUND</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6112-2024</t>
        </is>
      </c>
      <c r="B2796" s="1" t="n">
        <v>45337</v>
      </c>
      <c r="C2796" s="1" t="n">
        <v>45718</v>
      </c>
      <c r="D2796" t="inlineStr">
        <is>
          <t>JÄMTLANDS LÄN</t>
        </is>
      </c>
      <c r="E2796" t="inlineStr">
        <is>
          <t>STRÖMSUND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6287-2024</t>
        </is>
      </c>
      <c r="B2797" s="1" t="n">
        <v>45337</v>
      </c>
      <c r="C2797" s="1" t="n">
        <v>45718</v>
      </c>
      <c r="D2797" t="inlineStr">
        <is>
          <t>JÄMTLANDS LÄN</t>
        </is>
      </c>
      <c r="E2797" t="inlineStr">
        <is>
          <t>STRÖMSUND</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6476-2024</t>
        </is>
      </c>
      <c r="B2798" s="1" t="n">
        <v>45338</v>
      </c>
      <c r="C2798" s="1" t="n">
        <v>45718</v>
      </c>
      <c r="D2798" t="inlineStr">
        <is>
          <t>JÄMTLANDS LÄN</t>
        </is>
      </c>
      <c r="E2798" t="inlineStr">
        <is>
          <t>STRÖMSUND</t>
        </is>
      </c>
      <c r="F2798" t="inlineStr">
        <is>
          <t>SCA</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6478-2024</t>
        </is>
      </c>
      <c r="B2799" s="1" t="n">
        <v>45338</v>
      </c>
      <c r="C2799" s="1" t="n">
        <v>45718</v>
      </c>
      <c r="D2799" t="inlineStr">
        <is>
          <t>JÄMTLANDS LÄN</t>
        </is>
      </c>
      <c r="E2799" t="inlineStr">
        <is>
          <t>STRÖMSUND</t>
        </is>
      </c>
      <c r="F2799" t="inlineStr">
        <is>
          <t>SCA</t>
        </is>
      </c>
      <c r="G2799" t="n">
        <v>17.6</v>
      </c>
      <c r="H2799" t="n">
        <v>0</v>
      </c>
      <c r="I2799" t="n">
        <v>0</v>
      </c>
      <c r="J2799" t="n">
        <v>0</v>
      </c>
      <c r="K2799" t="n">
        <v>0</v>
      </c>
      <c r="L2799" t="n">
        <v>0</v>
      </c>
      <c r="M2799" t="n">
        <v>0</v>
      </c>
      <c r="N2799" t="n">
        <v>0</v>
      </c>
      <c r="O2799" t="n">
        <v>0</v>
      </c>
      <c r="P2799" t="n">
        <v>0</v>
      </c>
      <c r="Q2799" t="n">
        <v>0</v>
      </c>
      <c r="R2799" s="2" t="inlineStr"/>
    </row>
    <row r="2800" ht="15" customHeight="1">
      <c r="A2800" t="inlineStr">
        <is>
          <t>A 6475-2024</t>
        </is>
      </c>
      <c r="B2800" s="1" t="n">
        <v>45338</v>
      </c>
      <c r="C2800" s="1" t="n">
        <v>45718</v>
      </c>
      <c r="D2800" t="inlineStr">
        <is>
          <t>JÄMTLANDS LÄN</t>
        </is>
      </c>
      <c r="E2800" t="inlineStr">
        <is>
          <t>STRÖMSUND</t>
        </is>
      </c>
      <c r="F2800" t="inlineStr">
        <is>
          <t>SCA</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6479-2024</t>
        </is>
      </c>
      <c r="B2801" s="1" t="n">
        <v>45338</v>
      </c>
      <c r="C2801" s="1" t="n">
        <v>45718</v>
      </c>
      <c r="D2801" t="inlineStr">
        <is>
          <t>JÄMTLANDS LÄN</t>
        </is>
      </c>
      <c r="E2801" t="inlineStr">
        <is>
          <t>STRÖMSUND</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6512-2024</t>
        </is>
      </c>
      <c r="B2802" s="1" t="n">
        <v>45340</v>
      </c>
      <c r="C2802" s="1" t="n">
        <v>45718</v>
      </c>
      <c r="D2802" t="inlineStr">
        <is>
          <t>JÄMTLANDS LÄN</t>
        </is>
      </c>
      <c r="E2802" t="inlineStr">
        <is>
          <t>STRÖMSUND</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6566-2024</t>
        </is>
      </c>
      <c r="B2803" s="1" t="n">
        <v>45341</v>
      </c>
      <c r="C2803" s="1" t="n">
        <v>45718</v>
      </c>
      <c r="D2803" t="inlineStr">
        <is>
          <t>JÄMTLANDS LÄN</t>
        </is>
      </c>
      <c r="E2803" t="inlineStr">
        <is>
          <t>STRÖMSUND</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6693-2024</t>
        </is>
      </c>
      <c r="B2804" s="1" t="n">
        <v>45341</v>
      </c>
      <c r="C2804" s="1" t="n">
        <v>45718</v>
      </c>
      <c r="D2804" t="inlineStr">
        <is>
          <t>JÄMTLANDS LÄN</t>
        </is>
      </c>
      <c r="E2804" t="inlineStr">
        <is>
          <t>STRÖMSUND</t>
        </is>
      </c>
      <c r="F2804" t="inlineStr">
        <is>
          <t>SCA</t>
        </is>
      </c>
      <c r="G2804" t="n">
        <v>14.2</v>
      </c>
      <c r="H2804" t="n">
        <v>0</v>
      </c>
      <c r="I2804" t="n">
        <v>0</v>
      </c>
      <c r="J2804" t="n">
        <v>0</v>
      </c>
      <c r="K2804" t="n">
        <v>0</v>
      </c>
      <c r="L2804" t="n">
        <v>0</v>
      </c>
      <c r="M2804" t="n">
        <v>0</v>
      </c>
      <c r="N2804" t="n">
        <v>0</v>
      </c>
      <c r="O2804" t="n">
        <v>0</v>
      </c>
      <c r="P2804" t="n">
        <v>0</v>
      </c>
      <c r="Q2804" t="n">
        <v>0</v>
      </c>
      <c r="R2804" s="2" t="inlineStr"/>
    </row>
    <row r="2805" ht="15" customHeight="1">
      <c r="A2805" t="inlineStr">
        <is>
          <t>A 6696-2024</t>
        </is>
      </c>
      <c r="B2805" s="1" t="n">
        <v>45341</v>
      </c>
      <c r="C2805" s="1" t="n">
        <v>45718</v>
      </c>
      <c r="D2805" t="inlineStr">
        <is>
          <t>JÄMTLANDS LÄN</t>
        </is>
      </c>
      <c r="E2805" t="inlineStr">
        <is>
          <t>STRÖMSUND</t>
        </is>
      </c>
      <c r="F2805" t="inlineStr">
        <is>
          <t>SCA</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6695-2024</t>
        </is>
      </c>
      <c r="B2806" s="1" t="n">
        <v>45341</v>
      </c>
      <c r="C2806" s="1" t="n">
        <v>45718</v>
      </c>
      <c r="D2806" t="inlineStr">
        <is>
          <t>JÄMTLANDS LÄN</t>
        </is>
      </c>
      <c r="E2806" t="inlineStr">
        <is>
          <t>STRÖMSUND</t>
        </is>
      </c>
      <c r="F2806" t="inlineStr">
        <is>
          <t>SCA</t>
        </is>
      </c>
      <c r="G2806" t="n">
        <v>19.5</v>
      </c>
      <c r="H2806" t="n">
        <v>0</v>
      </c>
      <c r="I2806" t="n">
        <v>0</v>
      </c>
      <c r="J2806" t="n">
        <v>0</v>
      </c>
      <c r="K2806" t="n">
        <v>0</v>
      </c>
      <c r="L2806" t="n">
        <v>0</v>
      </c>
      <c r="M2806" t="n">
        <v>0</v>
      </c>
      <c r="N2806" t="n">
        <v>0</v>
      </c>
      <c r="O2806" t="n">
        <v>0</v>
      </c>
      <c r="P2806" t="n">
        <v>0</v>
      </c>
      <c r="Q2806" t="n">
        <v>0</v>
      </c>
      <c r="R2806" s="2" t="inlineStr"/>
    </row>
    <row r="2807" ht="15" customHeight="1">
      <c r="A2807" t="inlineStr">
        <is>
          <t>A 6894-2024</t>
        </is>
      </c>
      <c r="B2807" s="1" t="n">
        <v>45342</v>
      </c>
      <c r="C2807" s="1" t="n">
        <v>45718</v>
      </c>
      <c r="D2807" t="inlineStr">
        <is>
          <t>JÄMTLANDS LÄN</t>
        </is>
      </c>
      <c r="E2807" t="inlineStr">
        <is>
          <t>STRÖMSUND</t>
        </is>
      </c>
      <c r="G2807" t="n">
        <v>16.3</v>
      </c>
      <c r="H2807" t="n">
        <v>0</v>
      </c>
      <c r="I2807" t="n">
        <v>0</v>
      </c>
      <c r="J2807" t="n">
        <v>0</v>
      </c>
      <c r="K2807" t="n">
        <v>0</v>
      </c>
      <c r="L2807" t="n">
        <v>0</v>
      </c>
      <c r="M2807" t="n">
        <v>0</v>
      </c>
      <c r="N2807" t="n">
        <v>0</v>
      </c>
      <c r="O2807" t="n">
        <v>0</v>
      </c>
      <c r="P2807" t="n">
        <v>0</v>
      </c>
      <c r="Q2807" t="n">
        <v>0</v>
      </c>
      <c r="R2807" s="2" t="inlineStr"/>
    </row>
    <row r="2808" ht="15" customHeight="1">
      <c r="A2808" t="inlineStr">
        <is>
          <t>A 6961-2024</t>
        </is>
      </c>
      <c r="B2808" s="1" t="n">
        <v>45343</v>
      </c>
      <c r="C2808" s="1" t="n">
        <v>45718</v>
      </c>
      <c r="D2808" t="inlineStr">
        <is>
          <t>JÄMTLANDS LÄN</t>
        </is>
      </c>
      <c r="E2808" t="inlineStr">
        <is>
          <t>STRÖMSUND</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7112-2024</t>
        </is>
      </c>
      <c r="B2809" s="1" t="n">
        <v>45343</v>
      </c>
      <c r="C2809" s="1" t="n">
        <v>45718</v>
      </c>
      <c r="D2809" t="inlineStr">
        <is>
          <t>JÄMTLANDS LÄN</t>
        </is>
      </c>
      <c r="E2809" t="inlineStr">
        <is>
          <t>STRÖMSUND</t>
        </is>
      </c>
      <c r="F2809" t="inlineStr">
        <is>
          <t>SCA</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7293-2024</t>
        </is>
      </c>
      <c r="B2810" s="1" t="n">
        <v>45344</v>
      </c>
      <c r="C2810" s="1" t="n">
        <v>45718</v>
      </c>
      <c r="D2810" t="inlineStr">
        <is>
          <t>JÄMTLANDS LÄN</t>
        </is>
      </c>
      <c r="E2810" t="inlineStr">
        <is>
          <t>STRÖMSUND</t>
        </is>
      </c>
      <c r="F2810" t="inlineStr">
        <is>
          <t>SCA</t>
        </is>
      </c>
      <c r="G2810" t="n">
        <v>14.8</v>
      </c>
      <c r="H2810" t="n">
        <v>0</v>
      </c>
      <c r="I2810" t="n">
        <v>0</v>
      </c>
      <c r="J2810" t="n">
        <v>0</v>
      </c>
      <c r="K2810" t="n">
        <v>0</v>
      </c>
      <c r="L2810" t="n">
        <v>0</v>
      </c>
      <c r="M2810" t="n">
        <v>0</v>
      </c>
      <c r="N2810" t="n">
        <v>0</v>
      </c>
      <c r="O2810" t="n">
        <v>0</v>
      </c>
      <c r="P2810" t="n">
        <v>0</v>
      </c>
      <c r="Q2810" t="n">
        <v>0</v>
      </c>
      <c r="R2810" s="2" t="inlineStr"/>
    </row>
    <row r="2811" ht="15" customHeight="1">
      <c r="A2811" t="inlineStr">
        <is>
          <t>A 7302-2024</t>
        </is>
      </c>
      <c r="B2811" s="1" t="n">
        <v>45344</v>
      </c>
      <c r="C2811" s="1" t="n">
        <v>45718</v>
      </c>
      <c r="D2811" t="inlineStr">
        <is>
          <t>JÄMTLANDS LÄN</t>
        </is>
      </c>
      <c r="E2811" t="inlineStr">
        <is>
          <t>STRÖMSUND</t>
        </is>
      </c>
      <c r="F2811" t="inlineStr">
        <is>
          <t>SCA</t>
        </is>
      </c>
      <c r="G2811" t="n">
        <v>30.8</v>
      </c>
      <c r="H2811" t="n">
        <v>0</v>
      </c>
      <c r="I2811" t="n">
        <v>0</v>
      </c>
      <c r="J2811" t="n">
        <v>0</v>
      </c>
      <c r="K2811" t="n">
        <v>0</v>
      </c>
      <c r="L2811" t="n">
        <v>0</v>
      </c>
      <c r="M2811" t="n">
        <v>0</v>
      </c>
      <c r="N2811" t="n">
        <v>0</v>
      </c>
      <c r="O2811" t="n">
        <v>0</v>
      </c>
      <c r="P2811" t="n">
        <v>0</v>
      </c>
      <c r="Q2811" t="n">
        <v>0</v>
      </c>
      <c r="R2811" s="2" t="inlineStr"/>
    </row>
    <row r="2812" ht="15" customHeight="1">
      <c r="A2812" t="inlineStr">
        <is>
          <t>A 7301-2024</t>
        </is>
      </c>
      <c r="B2812" s="1" t="n">
        <v>45344</v>
      </c>
      <c r="C2812" s="1" t="n">
        <v>45718</v>
      </c>
      <c r="D2812" t="inlineStr">
        <is>
          <t>JÄMTLANDS LÄN</t>
        </is>
      </c>
      <c r="E2812" t="inlineStr">
        <is>
          <t>STRÖMSUND</t>
        </is>
      </c>
      <c r="F2812" t="inlineStr">
        <is>
          <t>SCA</t>
        </is>
      </c>
      <c r="G2812" t="n">
        <v>28.2</v>
      </c>
      <c r="H2812" t="n">
        <v>0</v>
      </c>
      <c r="I2812" t="n">
        <v>0</v>
      </c>
      <c r="J2812" t="n">
        <v>0</v>
      </c>
      <c r="K2812" t="n">
        <v>0</v>
      </c>
      <c r="L2812" t="n">
        <v>0</v>
      </c>
      <c r="M2812" t="n">
        <v>0</v>
      </c>
      <c r="N2812" t="n">
        <v>0</v>
      </c>
      <c r="O2812" t="n">
        <v>0</v>
      </c>
      <c r="P2812" t="n">
        <v>0</v>
      </c>
      <c r="Q2812" t="n">
        <v>0</v>
      </c>
      <c r="R2812" s="2" t="inlineStr"/>
    </row>
    <row r="2813" ht="15" customHeight="1">
      <c r="A2813" t="inlineStr">
        <is>
          <t>A 7572-2024</t>
        </is>
      </c>
      <c r="B2813" s="1" t="n">
        <v>45348</v>
      </c>
      <c r="C2813" s="1" t="n">
        <v>45718</v>
      </c>
      <c r="D2813" t="inlineStr">
        <is>
          <t>JÄMTLANDS LÄN</t>
        </is>
      </c>
      <c r="E2813" t="inlineStr">
        <is>
          <t>STRÖMSUND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7803-2024</t>
        </is>
      </c>
      <c r="B2814" s="1" t="n">
        <v>45348</v>
      </c>
      <c r="C2814" s="1" t="n">
        <v>45718</v>
      </c>
      <c r="D2814" t="inlineStr">
        <is>
          <t>JÄMTLANDS LÄN</t>
        </is>
      </c>
      <c r="E2814" t="inlineStr">
        <is>
          <t>STRÖMSUND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7690-2024</t>
        </is>
      </c>
      <c r="B2815" s="1" t="n">
        <v>45349</v>
      </c>
      <c r="C2815" s="1" t="n">
        <v>45718</v>
      </c>
      <c r="D2815" t="inlineStr">
        <is>
          <t>JÄMTLANDS LÄN</t>
        </is>
      </c>
      <c r="E2815" t="inlineStr">
        <is>
          <t>STRÖMSUND</t>
        </is>
      </c>
      <c r="F2815" t="inlineStr">
        <is>
          <t>SCA</t>
        </is>
      </c>
      <c r="G2815" t="n">
        <v>19.1</v>
      </c>
      <c r="H2815" t="n">
        <v>0</v>
      </c>
      <c r="I2815" t="n">
        <v>0</v>
      </c>
      <c r="J2815" t="n">
        <v>0</v>
      </c>
      <c r="K2815" t="n">
        <v>0</v>
      </c>
      <c r="L2815" t="n">
        <v>0</v>
      </c>
      <c r="M2815" t="n">
        <v>0</v>
      </c>
      <c r="N2815" t="n">
        <v>0</v>
      </c>
      <c r="O2815" t="n">
        <v>0</v>
      </c>
      <c r="P2815" t="n">
        <v>0</v>
      </c>
      <c r="Q2815" t="n">
        <v>0</v>
      </c>
      <c r="R2815" s="2" t="inlineStr"/>
    </row>
    <row r="2816" ht="15" customHeight="1">
      <c r="A2816" t="inlineStr">
        <is>
          <t>A 8134-2024</t>
        </is>
      </c>
      <c r="B2816" s="1" t="n">
        <v>45349</v>
      </c>
      <c r="C2816" s="1" t="n">
        <v>45718</v>
      </c>
      <c r="D2816" t="inlineStr">
        <is>
          <t>JÄMTLANDS LÄN</t>
        </is>
      </c>
      <c r="E2816" t="inlineStr">
        <is>
          <t>STRÖMSUND</t>
        </is>
      </c>
      <c r="G2816" t="n">
        <v>22.9</v>
      </c>
      <c r="H2816" t="n">
        <v>0</v>
      </c>
      <c r="I2816" t="n">
        <v>0</v>
      </c>
      <c r="J2816" t="n">
        <v>0</v>
      </c>
      <c r="K2816" t="n">
        <v>0</v>
      </c>
      <c r="L2816" t="n">
        <v>0</v>
      </c>
      <c r="M2816" t="n">
        <v>0</v>
      </c>
      <c r="N2816" t="n">
        <v>0</v>
      </c>
      <c r="O2816" t="n">
        <v>0</v>
      </c>
      <c r="P2816" t="n">
        <v>0</v>
      </c>
      <c r="Q2816" t="n">
        <v>0</v>
      </c>
      <c r="R2816" s="2" t="inlineStr"/>
    </row>
    <row r="2817" ht="15" customHeight="1">
      <c r="A2817" t="inlineStr">
        <is>
          <t>A 8133-2024</t>
        </is>
      </c>
      <c r="B2817" s="1" t="n">
        <v>45349</v>
      </c>
      <c r="C2817" s="1" t="n">
        <v>45718</v>
      </c>
      <c r="D2817" t="inlineStr">
        <is>
          <t>JÄMTLANDS LÄN</t>
        </is>
      </c>
      <c r="E2817" t="inlineStr">
        <is>
          <t>STRÖMSUND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7854-2024</t>
        </is>
      </c>
      <c r="B2818" s="1" t="n">
        <v>45350</v>
      </c>
      <c r="C2818" s="1" t="n">
        <v>45718</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8297-2024</t>
        </is>
      </c>
      <c r="B2819" s="1" t="n">
        <v>45350</v>
      </c>
      <c r="C2819" s="1" t="n">
        <v>45718</v>
      </c>
      <c r="D2819" t="inlineStr">
        <is>
          <t>JÄMTLANDS LÄN</t>
        </is>
      </c>
      <c r="E2819" t="inlineStr">
        <is>
          <t>STRÖMSUND</t>
        </is>
      </c>
      <c r="F2819" t="inlineStr">
        <is>
          <t>Kyrkan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8419-2024</t>
        </is>
      </c>
      <c r="B2820" s="1" t="n">
        <v>45352</v>
      </c>
      <c r="C2820" s="1" t="n">
        <v>45718</v>
      </c>
      <c r="D2820" t="inlineStr">
        <is>
          <t>JÄMTLANDS LÄN</t>
        </is>
      </c>
      <c r="E2820" t="inlineStr">
        <is>
          <t>STRÖMSUND</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8420-2024</t>
        </is>
      </c>
      <c r="B2821" s="1" t="n">
        <v>45352</v>
      </c>
      <c r="C2821" s="1" t="n">
        <v>45718</v>
      </c>
      <c r="D2821" t="inlineStr">
        <is>
          <t>JÄMTLANDS LÄN</t>
        </is>
      </c>
      <c r="E2821" t="inlineStr">
        <is>
          <t>STRÖMSUND</t>
        </is>
      </c>
      <c r="F2821" t="inlineStr">
        <is>
          <t>SCA</t>
        </is>
      </c>
      <c r="G2821" t="n">
        <v>9.800000000000001</v>
      </c>
      <c r="H2821" t="n">
        <v>0</v>
      </c>
      <c r="I2821" t="n">
        <v>0</v>
      </c>
      <c r="J2821" t="n">
        <v>0</v>
      </c>
      <c r="K2821" t="n">
        <v>0</v>
      </c>
      <c r="L2821" t="n">
        <v>0</v>
      </c>
      <c r="M2821" t="n">
        <v>0</v>
      </c>
      <c r="N2821" t="n">
        <v>0</v>
      </c>
      <c r="O2821" t="n">
        <v>0</v>
      </c>
      <c r="P2821" t="n">
        <v>0</v>
      </c>
      <c r="Q2821" t="n">
        <v>0</v>
      </c>
      <c r="R2821" s="2" t="inlineStr"/>
      <c r="U2821">
        <f>HYPERLINK("https://klasma.github.io/Logging_2313/knärot/A 8420-2024 karta knärot.png", "A 8420-2024")</f>
        <v/>
      </c>
      <c r="V2821">
        <f>HYPERLINK("https://klasma.github.io/Logging_2313/klagomål/A 8420-2024 FSC-klagomål.docx", "A 8420-2024")</f>
        <v/>
      </c>
      <c r="W2821">
        <f>HYPERLINK("https://klasma.github.io/Logging_2313/klagomålsmail/A 8420-2024 FSC-klagomål mail.docx", "A 8420-2024")</f>
        <v/>
      </c>
      <c r="X2821">
        <f>HYPERLINK("https://klasma.github.io/Logging_2313/tillsyn/A 8420-2024 tillsynsbegäran.docx", "A 8420-2024")</f>
        <v/>
      </c>
      <c r="Y2821">
        <f>HYPERLINK("https://klasma.github.io/Logging_2313/tillsynsmail/A 8420-2024 tillsynsbegäran mail.docx", "A 8420-2024")</f>
        <v/>
      </c>
    </row>
    <row r="2822" ht="15" customHeight="1">
      <c r="A2822" t="inlineStr">
        <is>
          <t>A 8421-2024</t>
        </is>
      </c>
      <c r="B2822" s="1" t="n">
        <v>45353</v>
      </c>
      <c r="C2822" s="1" t="n">
        <v>45718</v>
      </c>
      <c r="D2822" t="inlineStr">
        <is>
          <t>JÄMTLANDS LÄN</t>
        </is>
      </c>
      <c r="E2822" t="inlineStr">
        <is>
          <t>STRÖMSUND</t>
        </is>
      </c>
      <c r="F2822" t="inlineStr">
        <is>
          <t>SCA</t>
        </is>
      </c>
      <c r="G2822" t="n">
        <v>35.8</v>
      </c>
      <c r="H2822" t="n">
        <v>0</v>
      </c>
      <c r="I2822" t="n">
        <v>0</v>
      </c>
      <c r="J2822" t="n">
        <v>0</v>
      </c>
      <c r="K2822" t="n">
        <v>0</v>
      </c>
      <c r="L2822" t="n">
        <v>0</v>
      </c>
      <c r="M2822" t="n">
        <v>0</v>
      </c>
      <c r="N2822" t="n">
        <v>0</v>
      </c>
      <c r="O2822" t="n">
        <v>0</v>
      </c>
      <c r="P2822" t="n">
        <v>0</v>
      </c>
      <c r="Q2822" t="n">
        <v>0</v>
      </c>
      <c r="R2822" s="2" t="inlineStr"/>
    </row>
    <row r="2823" ht="15" customHeight="1">
      <c r="A2823" t="inlineStr">
        <is>
          <t>A 8663-2024</t>
        </is>
      </c>
      <c r="B2823" s="1" t="n">
        <v>45356</v>
      </c>
      <c r="C2823" s="1" t="n">
        <v>45718</v>
      </c>
      <c r="D2823" t="inlineStr">
        <is>
          <t>JÄMTLANDS LÄN</t>
        </is>
      </c>
      <c r="E2823" t="inlineStr">
        <is>
          <t>STRÖMSUND</t>
        </is>
      </c>
      <c r="F2823" t="inlineStr">
        <is>
          <t>SCA</t>
        </is>
      </c>
      <c r="G2823" t="n">
        <v>24.8</v>
      </c>
      <c r="H2823" t="n">
        <v>0</v>
      </c>
      <c r="I2823" t="n">
        <v>0</v>
      </c>
      <c r="J2823" t="n">
        <v>0</v>
      </c>
      <c r="K2823" t="n">
        <v>0</v>
      </c>
      <c r="L2823" t="n">
        <v>0</v>
      </c>
      <c r="M2823" t="n">
        <v>0</v>
      </c>
      <c r="N2823" t="n">
        <v>0</v>
      </c>
      <c r="O2823" t="n">
        <v>0</v>
      </c>
      <c r="P2823" t="n">
        <v>0</v>
      </c>
      <c r="Q2823" t="n">
        <v>0</v>
      </c>
      <c r="R2823" s="2" t="inlineStr"/>
    </row>
    <row r="2824" ht="15" customHeight="1">
      <c r="A2824" t="inlineStr">
        <is>
          <t>A 8637-2024</t>
        </is>
      </c>
      <c r="B2824" s="1" t="n">
        <v>45356</v>
      </c>
      <c r="C2824" s="1" t="n">
        <v>45718</v>
      </c>
      <c r="D2824" t="inlineStr">
        <is>
          <t>JÄMTLANDS LÄN</t>
        </is>
      </c>
      <c r="E2824" t="inlineStr">
        <is>
          <t>STRÖMSUND</t>
        </is>
      </c>
      <c r="F2824" t="inlineStr">
        <is>
          <t>SCA</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8661-2024</t>
        </is>
      </c>
      <c r="B2825" s="1" t="n">
        <v>45356</v>
      </c>
      <c r="C2825" s="1" t="n">
        <v>45718</v>
      </c>
      <c r="D2825" t="inlineStr">
        <is>
          <t>JÄMTLANDS LÄN</t>
        </is>
      </c>
      <c r="E2825" t="inlineStr">
        <is>
          <t>STRÖMSUND</t>
        </is>
      </c>
      <c r="F2825" t="inlineStr">
        <is>
          <t>SCA</t>
        </is>
      </c>
      <c r="G2825" t="n">
        <v>28.8</v>
      </c>
      <c r="H2825" t="n">
        <v>0</v>
      </c>
      <c r="I2825" t="n">
        <v>0</v>
      </c>
      <c r="J2825" t="n">
        <v>0</v>
      </c>
      <c r="K2825" t="n">
        <v>0</v>
      </c>
      <c r="L2825" t="n">
        <v>0</v>
      </c>
      <c r="M2825" t="n">
        <v>0</v>
      </c>
      <c r="N2825" t="n">
        <v>0</v>
      </c>
      <c r="O2825" t="n">
        <v>0</v>
      </c>
      <c r="P2825" t="n">
        <v>0</v>
      </c>
      <c r="Q2825" t="n">
        <v>0</v>
      </c>
      <c r="R2825" s="2" t="inlineStr"/>
    </row>
    <row r="2826" ht="15" customHeight="1">
      <c r="A2826" t="inlineStr">
        <is>
          <t>A 8743-2024</t>
        </is>
      </c>
      <c r="B2826" s="1" t="n">
        <v>45356</v>
      </c>
      <c r="C2826" s="1" t="n">
        <v>45718</v>
      </c>
      <c r="D2826" t="inlineStr">
        <is>
          <t>JÄMTLANDS LÄN</t>
        </is>
      </c>
      <c r="E2826" t="inlineStr">
        <is>
          <t>STRÖMSUND</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8662-2024</t>
        </is>
      </c>
      <c r="B2827" s="1" t="n">
        <v>45356</v>
      </c>
      <c r="C2827" s="1" t="n">
        <v>45718</v>
      </c>
      <c r="D2827" t="inlineStr">
        <is>
          <t>JÄMTLANDS LÄN</t>
        </is>
      </c>
      <c r="E2827" t="inlineStr">
        <is>
          <t>STRÖMSUND</t>
        </is>
      </c>
      <c r="F2827" t="inlineStr">
        <is>
          <t>SCA</t>
        </is>
      </c>
      <c r="G2827" t="n">
        <v>24.6</v>
      </c>
      <c r="H2827" t="n">
        <v>0</v>
      </c>
      <c r="I2827" t="n">
        <v>0</v>
      </c>
      <c r="J2827" t="n">
        <v>0</v>
      </c>
      <c r="K2827" t="n">
        <v>0</v>
      </c>
      <c r="L2827" t="n">
        <v>0</v>
      </c>
      <c r="M2827" t="n">
        <v>0</v>
      </c>
      <c r="N2827" t="n">
        <v>0</v>
      </c>
      <c r="O2827" t="n">
        <v>0</v>
      </c>
      <c r="P2827" t="n">
        <v>0</v>
      </c>
      <c r="Q2827" t="n">
        <v>0</v>
      </c>
      <c r="R2827" s="2" t="inlineStr"/>
    </row>
    <row r="2828" ht="15" customHeight="1">
      <c r="A2828" t="inlineStr">
        <is>
          <t>A 8745-2024</t>
        </is>
      </c>
      <c r="B2828" s="1" t="n">
        <v>45356</v>
      </c>
      <c r="C2828" s="1" t="n">
        <v>45718</v>
      </c>
      <c r="D2828" t="inlineStr">
        <is>
          <t>JÄMTLANDS LÄN</t>
        </is>
      </c>
      <c r="E2828" t="inlineStr">
        <is>
          <t>STRÖMSUND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9035-2024</t>
        </is>
      </c>
      <c r="B2829" s="1" t="n">
        <v>45356</v>
      </c>
      <c r="C2829" s="1" t="n">
        <v>45718</v>
      </c>
      <c r="D2829" t="inlineStr">
        <is>
          <t>JÄMTLANDS LÄN</t>
        </is>
      </c>
      <c r="E2829" t="inlineStr">
        <is>
          <t>STRÖMSUND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8895-2024</t>
        </is>
      </c>
      <c r="B2830" s="1" t="n">
        <v>45357</v>
      </c>
      <c r="C2830" s="1" t="n">
        <v>45718</v>
      </c>
      <c r="D2830" t="inlineStr">
        <is>
          <t>JÄMTLANDS LÄN</t>
        </is>
      </c>
      <c r="E2830" t="inlineStr">
        <is>
          <t>STRÖMSUND</t>
        </is>
      </c>
      <c r="F2830" t="inlineStr">
        <is>
          <t>Holmen skog AB</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9329-2024</t>
        </is>
      </c>
      <c r="B2831" s="1" t="n">
        <v>45359</v>
      </c>
      <c r="C2831" s="1" t="n">
        <v>45718</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9514-2024</t>
        </is>
      </c>
      <c r="B2832" s="1" t="n">
        <v>45359</v>
      </c>
      <c r="C2832" s="1" t="n">
        <v>45718</v>
      </c>
      <c r="D2832" t="inlineStr">
        <is>
          <t>JÄMTLANDS LÄN</t>
        </is>
      </c>
      <c r="E2832" t="inlineStr">
        <is>
          <t>STRÖMSUND</t>
        </is>
      </c>
      <c r="G2832" t="n">
        <v>15.9</v>
      </c>
      <c r="H2832" t="n">
        <v>0</v>
      </c>
      <c r="I2832" t="n">
        <v>0</v>
      </c>
      <c r="J2832" t="n">
        <v>0</v>
      </c>
      <c r="K2832" t="n">
        <v>0</v>
      </c>
      <c r="L2832" t="n">
        <v>0</v>
      </c>
      <c r="M2832" t="n">
        <v>0</v>
      </c>
      <c r="N2832" t="n">
        <v>0</v>
      </c>
      <c r="O2832" t="n">
        <v>0</v>
      </c>
      <c r="P2832" t="n">
        <v>0</v>
      </c>
      <c r="Q2832" t="n">
        <v>0</v>
      </c>
      <c r="R2832" s="2" t="inlineStr"/>
    </row>
    <row r="2833" ht="15" customHeight="1">
      <c r="A2833" t="inlineStr">
        <is>
          <t>A 9559-2024</t>
        </is>
      </c>
      <c r="B2833" s="1" t="n">
        <v>45360</v>
      </c>
      <c r="C2833" s="1" t="n">
        <v>45718</v>
      </c>
      <c r="D2833" t="inlineStr">
        <is>
          <t>JÄMTLANDS LÄN</t>
        </is>
      </c>
      <c r="E2833" t="inlineStr">
        <is>
          <t>STRÖMSUND</t>
        </is>
      </c>
      <c r="F2833" t="inlineStr">
        <is>
          <t>SCA</t>
        </is>
      </c>
      <c r="G2833" t="n">
        <v>28.3</v>
      </c>
      <c r="H2833" t="n">
        <v>0</v>
      </c>
      <c r="I2833" t="n">
        <v>0</v>
      </c>
      <c r="J2833" t="n">
        <v>0</v>
      </c>
      <c r="K2833" t="n">
        <v>0</v>
      </c>
      <c r="L2833" t="n">
        <v>0</v>
      </c>
      <c r="M2833" t="n">
        <v>0</v>
      </c>
      <c r="N2833" t="n">
        <v>0</v>
      </c>
      <c r="O2833" t="n">
        <v>0</v>
      </c>
      <c r="P2833" t="n">
        <v>0</v>
      </c>
      <c r="Q2833" t="n">
        <v>0</v>
      </c>
      <c r="R2833" s="2" t="inlineStr"/>
    </row>
    <row r="2834" ht="15" customHeight="1">
      <c r="A2834" t="inlineStr">
        <is>
          <t>A 9706-2024</t>
        </is>
      </c>
      <c r="B2834" s="1" t="n">
        <v>45362</v>
      </c>
      <c r="C2834" s="1" t="n">
        <v>45718</v>
      </c>
      <c r="D2834" t="inlineStr">
        <is>
          <t>JÄMTLANDS LÄN</t>
        </is>
      </c>
      <c r="E2834" t="inlineStr">
        <is>
          <t>STRÖMSUND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9707-2024</t>
        </is>
      </c>
      <c r="B2835" s="1" t="n">
        <v>45362</v>
      </c>
      <c r="C2835" s="1" t="n">
        <v>45718</v>
      </c>
      <c r="D2835" t="inlineStr">
        <is>
          <t>JÄMTLANDS LÄN</t>
        </is>
      </c>
      <c r="E2835" t="inlineStr">
        <is>
          <t>STRÖMSUND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9824-2024</t>
        </is>
      </c>
      <c r="B2836" s="1" t="n">
        <v>45363</v>
      </c>
      <c r="C2836" s="1" t="n">
        <v>45718</v>
      </c>
      <c r="D2836" t="inlineStr">
        <is>
          <t>JÄMTLANDS LÄN</t>
        </is>
      </c>
      <c r="E2836" t="inlineStr">
        <is>
          <t>STRÖMSUND</t>
        </is>
      </c>
      <c r="F2836" t="inlineStr">
        <is>
          <t>SCA</t>
        </is>
      </c>
      <c r="G2836" t="n">
        <v>21.5</v>
      </c>
      <c r="H2836" t="n">
        <v>0</v>
      </c>
      <c r="I2836" t="n">
        <v>0</v>
      </c>
      <c r="J2836" t="n">
        <v>0</v>
      </c>
      <c r="K2836" t="n">
        <v>0</v>
      </c>
      <c r="L2836" t="n">
        <v>0</v>
      </c>
      <c r="M2836" t="n">
        <v>0</v>
      </c>
      <c r="N2836" t="n">
        <v>0</v>
      </c>
      <c r="O2836" t="n">
        <v>0</v>
      </c>
      <c r="P2836" t="n">
        <v>0</v>
      </c>
      <c r="Q2836" t="n">
        <v>0</v>
      </c>
      <c r="R2836" s="2" t="inlineStr"/>
    </row>
    <row r="2837" ht="15" customHeight="1">
      <c r="A2837" t="inlineStr">
        <is>
          <t>A 9940-2024</t>
        </is>
      </c>
      <c r="B2837" s="1" t="n">
        <v>45363</v>
      </c>
      <c r="C2837" s="1" t="n">
        <v>45718</v>
      </c>
      <c r="D2837" t="inlineStr">
        <is>
          <t>JÄMTLANDS LÄN</t>
        </is>
      </c>
      <c r="E2837" t="inlineStr">
        <is>
          <t>STRÖMSUND</t>
        </is>
      </c>
      <c r="F2837" t="inlineStr">
        <is>
          <t>Holmen skog AB</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10033-2024</t>
        </is>
      </c>
      <c r="B2838" s="1" t="n">
        <v>45364</v>
      </c>
      <c r="C2838" s="1" t="n">
        <v>45718</v>
      </c>
      <c r="D2838" t="inlineStr">
        <is>
          <t>JÄMTLANDS LÄN</t>
        </is>
      </c>
      <c r="E2838" t="inlineStr">
        <is>
          <t>STRÖMSUND</t>
        </is>
      </c>
      <c r="F2838" t="inlineStr">
        <is>
          <t>SCA</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10041-2024</t>
        </is>
      </c>
      <c r="B2839" s="1" t="n">
        <v>45364</v>
      </c>
      <c r="C2839" s="1" t="n">
        <v>45718</v>
      </c>
      <c r="D2839" t="inlineStr">
        <is>
          <t>JÄMTLANDS LÄN</t>
        </is>
      </c>
      <c r="E2839" t="inlineStr">
        <is>
          <t>STRÖMSUND</t>
        </is>
      </c>
      <c r="F2839" t="inlineStr">
        <is>
          <t>SCA</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10031-2024</t>
        </is>
      </c>
      <c r="B2840" s="1" t="n">
        <v>45364</v>
      </c>
      <c r="C2840" s="1" t="n">
        <v>45718</v>
      </c>
      <c r="D2840" t="inlineStr">
        <is>
          <t>JÄMTLANDS LÄN</t>
        </is>
      </c>
      <c r="E2840" t="inlineStr">
        <is>
          <t>STRÖMSUND</t>
        </is>
      </c>
      <c r="F2840" t="inlineStr">
        <is>
          <t>SCA</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10043-2024</t>
        </is>
      </c>
      <c r="B2841" s="1" t="n">
        <v>45364</v>
      </c>
      <c r="C2841" s="1" t="n">
        <v>45718</v>
      </c>
      <c r="D2841" t="inlineStr">
        <is>
          <t>JÄMTLANDS LÄN</t>
        </is>
      </c>
      <c r="E2841" t="inlineStr">
        <is>
          <t>STRÖMSUND</t>
        </is>
      </c>
      <c r="F2841" t="inlineStr">
        <is>
          <t>SCA</t>
        </is>
      </c>
      <c r="G2841" t="n">
        <v>18.7</v>
      </c>
      <c r="H2841" t="n">
        <v>0</v>
      </c>
      <c r="I2841" t="n">
        <v>0</v>
      </c>
      <c r="J2841" t="n">
        <v>0</v>
      </c>
      <c r="K2841" t="n">
        <v>0</v>
      </c>
      <c r="L2841" t="n">
        <v>0</v>
      </c>
      <c r="M2841" t="n">
        <v>0</v>
      </c>
      <c r="N2841" t="n">
        <v>0</v>
      </c>
      <c r="O2841" t="n">
        <v>0</v>
      </c>
      <c r="P2841" t="n">
        <v>0</v>
      </c>
      <c r="Q2841" t="n">
        <v>0</v>
      </c>
      <c r="R2841" s="2" t="inlineStr"/>
    </row>
    <row r="2842" ht="15" customHeight="1">
      <c r="A2842" t="inlineStr">
        <is>
          <t>A 10030-2024</t>
        </is>
      </c>
      <c r="B2842" s="1" t="n">
        <v>45364</v>
      </c>
      <c r="C2842" s="1" t="n">
        <v>45718</v>
      </c>
      <c r="D2842" t="inlineStr">
        <is>
          <t>JÄMTLANDS LÄN</t>
        </is>
      </c>
      <c r="E2842" t="inlineStr">
        <is>
          <t>STRÖMSUND</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10034-2024</t>
        </is>
      </c>
      <c r="B2843" s="1" t="n">
        <v>45364</v>
      </c>
      <c r="C2843" s="1" t="n">
        <v>45718</v>
      </c>
      <c r="D2843" t="inlineStr">
        <is>
          <t>JÄMTLANDS LÄN</t>
        </is>
      </c>
      <c r="E2843" t="inlineStr">
        <is>
          <t>STRÖMSUND</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10042-2024</t>
        </is>
      </c>
      <c r="B2844" s="1" t="n">
        <v>45364</v>
      </c>
      <c r="C2844" s="1" t="n">
        <v>45718</v>
      </c>
      <c r="D2844" t="inlineStr">
        <is>
          <t>JÄMTLANDS LÄN</t>
        </is>
      </c>
      <c r="E2844" t="inlineStr">
        <is>
          <t>STRÖMSUND</t>
        </is>
      </c>
      <c r="F2844" t="inlineStr">
        <is>
          <t>SCA</t>
        </is>
      </c>
      <c r="G2844" t="n">
        <v>13.4</v>
      </c>
      <c r="H2844" t="n">
        <v>0</v>
      </c>
      <c r="I2844" t="n">
        <v>0</v>
      </c>
      <c r="J2844" t="n">
        <v>0</v>
      </c>
      <c r="K2844" t="n">
        <v>0</v>
      </c>
      <c r="L2844" t="n">
        <v>0</v>
      </c>
      <c r="M2844" t="n">
        <v>0</v>
      </c>
      <c r="N2844" t="n">
        <v>0</v>
      </c>
      <c r="O2844" t="n">
        <v>0</v>
      </c>
      <c r="P2844" t="n">
        <v>0</v>
      </c>
      <c r="Q2844" t="n">
        <v>0</v>
      </c>
      <c r="R2844" s="2" t="inlineStr"/>
    </row>
    <row r="2845" ht="15" customHeight="1">
      <c r="A2845" t="inlineStr">
        <is>
          <t>A 10032-2024</t>
        </is>
      </c>
      <c r="B2845" s="1" t="n">
        <v>45364</v>
      </c>
      <c r="C2845" s="1" t="n">
        <v>45718</v>
      </c>
      <c r="D2845" t="inlineStr">
        <is>
          <t>JÄMTLANDS LÄN</t>
        </is>
      </c>
      <c r="E2845" t="inlineStr">
        <is>
          <t>STRÖMSUND</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10212-2024</t>
        </is>
      </c>
      <c r="B2846" s="1" t="n">
        <v>45364</v>
      </c>
      <c r="C2846" s="1" t="n">
        <v>45718</v>
      </c>
      <c r="D2846" t="inlineStr">
        <is>
          <t>JÄMTLANDS LÄN</t>
        </is>
      </c>
      <c r="E2846" t="inlineStr">
        <is>
          <t>STRÖMSUND</t>
        </is>
      </c>
      <c r="F2846" t="inlineStr">
        <is>
          <t>SCA</t>
        </is>
      </c>
      <c r="G2846" t="n">
        <v>36.5</v>
      </c>
      <c r="H2846" t="n">
        <v>0</v>
      </c>
      <c r="I2846" t="n">
        <v>0</v>
      </c>
      <c r="J2846" t="n">
        <v>0</v>
      </c>
      <c r="K2846" t="n">
        <v>0</v>
      </c>
      <c r="L2846" t="n">
        <v>0</v>
      </c>
      <c r="M2846" t="n">
        <v>0</v>
      </c>
      <c r="N2846" t="n">
        <v>0</v>
      </c>
      <c r="O2846" t="n">
        <v>0</v>
      </c>
      <c r="P2846" t="n">
        <v>0</v>
      </c>
      <c r="Q2846" t="n">
        <v>0</v>
      </c>
      <c r="R2846" s="2" t="inlineStr"/>
    </row>
    <row r="2847" ht="15" customHeight="1">
      <c r="A2847" t="inlineStr">
        <is>
          <t>A 10216-2024</t>
        </is>
      </c>
      <c r="B2847" s="1" t="n">
        <v>45364</v>
      </c>
      <c r="C2847" s="1" t="n">
        <v>45718</v>
      </c>
      <c r="D2847" t="inlineStr">
        <is>
          <t>JÄMTLANDS LÄN</t>
        </is>
      </c>
      <c r="E2847" t="inlineStr">
        <is>
          <t>STRÖMSUND</t>
        </is>
      </c>
      <c r="F2847" t="inlineStr">
        <is>
          <t>SCA</t>
        </is>
      </c>
      <c r="G2847" t="n">
        <v>31.2</v>
      </c>
      <c r="H2847" t="n">
        <v>0</v>
      </c>
      <c r="I2847" t="n">
        <v>0</v>
      </c>
      <c r="J2847" t="n">
        <v>0</v>
      </c>
      <c r="K2847" t="n">
        <v>0</v>
      </c>
      <c r="L2847" t="n">
        <v>0</v>
      </c>
      <c r="M2847" t="n">
        <v>0</v>
      </c>
      <c r="N2847" t="n">
        <v>0</v>
      </c>
      <c r="O2847" t="n">
        <v>0</v>
      </c>
      <c r="P2847" t="n">
        <v>0</v>
      </c>
      <c r="Q2847" t="n">
        <v>0</v>
      </c>
      <c r="R2847" s="2" t="inlineStr"/>
    </row>
    <row r="2848" ht="15" customHeight="1">
      <c r="A2848" t="inlineStr">
        <is>
          <t>A 10422-2024</t>
        </is>
      </c>
      <c r="B2848" s="1" t="n">
        <v>45365</v>
      </c>
      <c r="C2848" s="1" t="n">
        <v>45718</v>
      </c>
      <c r="D2848" t="inlineStr">
        <is>
          <t>JÄMTLANDS LÄN</t>
        </is>
      </c>
      <c r="E2848" t="inlineStr">
        <is>
          <t>STRÖMSUND</t>
        </is>
      </c>
      <c r="G2848" t="n">
        <v>9.9</v>
      </c>
      <c r="H2848" t="n">
        <v>0</v>
      </c>
      <c r="I2848" t="n">
        <v>0</v>
      </c>
      <c r="J2848" t="n">
        <v>0</v>
      </c>
      <c r="K2848" t="n">
        <v>0</v>
      </c>
      <c r="L2848" t="n">
        <v>0</v>
      </c>
      <c r="M2848" t="n">
        <v>0</v>
      </c>
      <c r="N2848" t="n">
        <v>0</v>
      </c>
      <c r="O2848" t="n">
        <v>0</v>
      </c>
      <c r="P2848" t="n">
        <v>0</v>
      </c>
      <c r="Q2848" t="n">
        <v>0</v>
      </c>
      <c r="R2848" s="2" t="inlineStr"/>
    </row>
    <row r="2849" ht="15" customHeight="1">
      <c r="A2849" t="inlineStr">
        <is>
          <t>A 10611-2024</t>
        </is>
      </c>
      <c r="B2849" s="1" t="n">
        <v>45367</v>
      </c>
      <c r="C2849" s="1" t="n">
        <v>45718</v>
      </c>
      <c r="D2849" t="inlineStr">
        <is>
          <t>JÄMTLANDS LÄN</t>
        </is>
      </c>
      <c r="E2849" t="inlineStr">
        <is>
          <t>STRÖMSUND</t>
        </is>
      </c>
      <c r="F2849" t="inlineStr">
        <is>
          <t>SCA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10622-2024</t>
        </is>
      </c>
      <c r="B2850" s="1" t="n">
        <v>45367</v>
      </c>
      <c r="C2850" s="1" t="n">
        <v>45718</v>
      </c>
      <c r="D2850" t="inlineStr">
        <is>
          <t>JÄMTLANDS LÄN</t>
        </is>
      </c>
      <c r="E2850" t="inlineStr">
        <is>
          <t>STRÖMSUND</t>
        </is>
      </c>
      <c r="F2850" t="inlineStr">
        <is>
          <t>SCA</t>
        </is>
      </c>
      <c r="G2850" t="n">
        <v>30.8</v>
      </c>
      <c r="H2850" t="n">
        <v>0</v>
      </c>
      <c r="I2850" t="n">
        <v>0</v>
      </c>
      <c r="J2850" t="n">
        <v>0</v>
      </c>
      <c r="K2850" t="n">
        <v>0</v>
      </c>
      <c r="L2850" t="n">
        <v>0</v>
      </c>
      <c r="M2850" t="n">
        <v>0</v>
      </c>
      <c r="N2850" t="n">
        <v>0</v>
      </c>
      <c r="O2850" t="n">
        <v>0</v>
      </c>
      <c r="P2850" t="n">
        <v>0</v>
      </c>
      <c r="Q2850" t="n">
        <v>0</v>
      </c>
      <c r="R2850" s="2" t="inlineStr"/>
    </row>
    <row r="2851" ht="15" customHeight="1">
      <c r="A2851" t="inlineStr">
        <is>
          <t>A 10865-2024</t>
        </is>
      </c>
      <c r="B2851" s="1" t="n">
        <v>45370</v>
      </c>
      <c r="C2851" s="1" t="n">
        <v>45718</v>
      </c>
      <c r="D2851" t="inlineStr">
        <is>
          <t>JÄMTLANDS LÄN</t>
        </is>
      </c>
      <c r="E2851" t="inlineStr">
        <is>
          <t>STRÖMSUND</t>
        </is>
      </c>
      <c r="F2851" t="inlineStr">
        <is>
          <t>SCA</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10864-2024</t>
        </is>
      </c>
      <c r="B2852" s="1" t="n">
        <v>45370</v>
      </c>
      <c r="C2852" s="1" t="n">
        <v>45718</v>
      </c>
      <c r="D2852" t="inlineStr">
        <is>
          <t>JÄMTLANDS LÄN</t>
        </is>
      </c>
      <c r="E2852" t="inlineStr">
        <is>
          <t>STRÖMSUND</t>
        </is>
      </c>
      <c r="F2852" t="inlineStr">
        <is>
          <t>SCA</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11340-2024</t>
        </is>
      </c>
      <c r="B2853" s="1" t="n">
        <v>45372</v>
      </c>
      <c r="C2853" s="1" t="n">
        <v>45718</v>
      </c>
      <c r="D2853" t="inlineStr">
        <is>
          <t>JÄMTLANDS LÄN</t>
        </is>
      </c>
      <c r="E2853" t="inlineStr">
        <is>
          <t>STRÖMSUND</t>
        </is>
      </c>
      <c r="F2853" t="inlineStr">
        <is>
          <t>SCA</t>
        </is>
      </c>
      <c r="G2853" t="n">
        <v>13.7</v>
      </c>
      <c r="H2853" t="n">
        <v>0</v>
      </c>
      <c r="I2853" t="n">
        <v>0</v>
      </c>
      <c r="J2853" t="n">
        <v>0</v>
      </c>
      <c r="K2853" t="n">
        <v>0</v>
      </c>
      <c r="L2853" t="n">
        <v>0</v>
      </c>
      <c r="M2853" t="n">
        <v>0</v>
      </c>
      <c r="N2853" t="n">
        <v>0</v>
      </c>
      <c r="O2853" t="n">
        <v>0</v>
      </c>
      <c r="P2853" t="n">
        <v>0</v>
      </c>
      <c r="Q2853" t="n">
        <v>0</v>
      </c>
      <c r="R2853" s="2" t="inlineStr"/>
      <c r="U2853">
        <f>HYPERLINK("https://klasma.github.io/Logging_2313/knärot/A 11340-2024 karta knärot.png", "A 11340-2024")</f>
        <v/>
      </c>
      <c r="V2853">
        <f>HYPERLINK("https://klasma.github.io/Logging_2313/klagomål/A 11340-2024 FSC-klagomål.docx", "A 11340-2024")</f>
        <v/>
      </c>
      <c r="W2853">
        <f>HYPERLINK("https://klasma.github.io/Logging_2313/klagomålsmail/A 11340-2024 FSC-klagomål mail.docx", "A 11340-2024")</f>
        <v/>
      </c>
      <c r="X2853">
        <f>HYPERLINK("https://klasma.github.io/Logging_2313/tillsyn/A 11340-2024 tillsynsbegäran.docx", "A 11340-2024")</f>
        <v/>
      </c>
      <c r="Y2853">
        <f>HYPERLINK("https://klasma.github.io/Logging_2313/tillsynsmail/A 11340-2024 tillsynsbegäran mail.docx", "A 11340-2024")</f>
        <v/>
      </c>
    </row>
    <row r="2854" ht="15" customHeight="1">
      <c r="A2854" t="inlineStr">
        <is>
          <t>A 11341-2024</t>
        </is>
      </c>
      <c r="B2854" s="1" t="n">
        <v>45372</v>
      </c>
      <c r="C2854" s="1" t="n">
        <v>45718</v>
      </c>
      <c r="D2854" t="inlineStr">
        <is>
          <t>JÄMTLANDS LÄN</t>
        </is>
      </c>
      <c r="E2854" t="inlineStr">
        <is>
          <t>STRÖMSUND</t>
        </is>
      </c>
      <c r="F2854" t="inlineStr">
        <is>
          <t>SCA</t>
        </is>
      </c>
      <c r="G2854" t="n">
        <v>19.4</v>
      </c>
      <c r="H2854" t="n">
        <v>0</v>
      </c>
      <c r="I2854" t="n">
        <v>0</v>
      </c>
      <c r="J2854" t="n">
        <v>0</v>
      </c>
      <c r="K2854" t="n">
        <v>0</v>
      </c>
      <c r="L2854" t="n">
        <v>0</v>
      </c>
      <c r="M2854" t="n">
        <v>0</v>
      </c>
      <c r="N2854" t="n">
        <v>0</v>
      </c>
      <c r="O2854" t="n">
        <v>0</v>
      </c>
      <c r="P2854" t="n">
        <v>0</v>
      </c>
      <c r="Q2854" t="n">
        <v>0</v>
      </c>
      <c r="R2854" s="2" t="inlineStr"/>
    </row>
    <row r="2855" ht="15" customHeight="1">
      <c r="A2855" t="inlineStr">
        <is>
          <t>A 11753-2024</t>
        </is>
      </c>
      <c r="B2855" s="1" t="n">
        <v>45373</v>
      </c>
      <c r="C2855" s="1" t="n">
        <v>45718</v>
      </c>
      <c r="D2855" t="inlineStr">
        <is>
          <t>JÄMTLANDS LÄN</t>
        </is>
      </c>
      <c r="E2855" t="inlineStr">
        <is>
          <t>STRÖMSUND</t>
        </is>
      </c>
      <c r="F2855" t="inlineStr">
        <is>
          <t>SCA</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11763-2024</t>
        </is>
      </c>
      <c r="B2856" s="1" t="n">
        <v>45373</v>
      </c>
      <c r="C2856" s="1" t="n">
        <v>45718</v>
      </c>
      <c r="D2856" t="inlineStr">
        <is>
          <t>JÄMTLANDS LÄN</t>
        </is>
      </c>
      <c r="E2856" t="inlineStr">
        <is>
          <t>STRÖMSUND</t>
        </is>
      </c>
      <c r="F2856" t="inlineStr">
        <is>
          <t>SCA</t>
        </is>
      </c>
      <c r="G2856" t="n">
        <v>31.6</v>
      </c>
      <c r="H2856" t="n">
        <v>0</v>
      </c>
      <c r="I2856" t="n">
        <v>0</v>
      </c>
      <c r="J2856" t="n">
        <v>0</v>
      </c>
      <c r="K2856" t="n">
        <v>0</v>
      </c>
      <c r="L2856" t="n">
        <v>0</v>
      </c>
      <c r="M2856" t="n">
        <v>0</v>
      </c>
      <c r="N2856" t="n">
        <v>0</v>
      </c>
      <c r="O2856" t="n">
        <v>0</v>
      </c>
      <c r="P2856" t="n">
        <v>0</v>
      </c>
      <c r="Q2856" t="n">
        <v>0</v>
      </c>
      <c r="R2856" s="2" t="inlineStr"/>
    </row>
    <row r="2857" ht="15" customHeight="1">
      <c r="A2857" t="inlineStr">
        <is>
          <t>A 11755-2024</t>
        </is>
      </c>
      <c r="B2857" s="1" t="n">
        <v>45373</v>
      </c>
      <c r="C2857" s="1" t="n">
        <v>45718</v>
      </c>
      <c r="D2857" t="inlineStr">
        <is>
          <t>JÄMTLANDS LÄN</t>
        </is>
      </c>
      <c r="E2857" t="inlineStr">
        <is>
          <t>STRÖMSUND</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11762-2024</t>
        </is>
      </c>
      <c r="B2858" s="1" t="n">
        <v>45373</v>
      </c>
      <c r="C2858" s="1" t="n">
        <v>45718</v>
      </c>
      <c r="D2858" t="inlineStr">
        <is>
          <t>JÄMTLANDS LÄN</t>
        </is>
      </c>
      <c r="E2858" t="inlineStr">
        <is>
          <t>STRÖMSUND</t>
        </is>
      </c>
      <c r="F2858" t="inlineStr">
        <is>
          <t>SCA</t>
        </is>
      </c>
      <c r="G2858" t="n">
        <v>26.7</v>
      </c>
      <c r="H2858" t="n">
        <v>0</v>
      </c>
      <c r="I2858" t="n">
        <v>0</v>
      </c>
      <c r="J2858" t="n">
        <v>0</v>
      </c>
      <c r="K2858" t="n">
        <v>0</v>
      </c>
      <c r="L2858" t="n">
        <v>0</v>
      </c>
      <c r="M2858" t="n">
        <v>0</v>
      </c>
      <c r="N2858" t="n">
        <v>0</v>
      </c>
      <c r="O2858" t="n">
        <v>0</v>
      </c>
      <c r="P2858" t="n">
        <v>0</v>
      </c>
      <c r="Q2858" t="n">
        <v>0</v>
      </c>
      <c r="R2858" s="2" t="inlineStr"/>
    </row>
    <row r="2859" ht="15" customHeight="1">
      <c r="A2859" t="inlineStr">
        <is>
          <t>A 11811-2024</t>
        </is>
      </c>
      <c r="B2859" s="1" t="n">
        <v>45376</v>
      </c>
      <c r="C2859" s="1" t="n">
        <v>45718</v>
      </c>
      <c r="D2859" t="inlineStr">
        <is>
          <t>JÄMTLANDS LÄN</t>
        </is>
      </c>
      <c r="E2859" t="inlineStr">
        <is>
          <t>STRÖMSUND</t>
        </is>
      </c>
      <c r="F2859" t="inlineStr">
        <is>
          <t>SCA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11978-2024</t>
        </is>
      </c>
      <c r="B2860" s="1" t="n">
        <v>45376</v>
      </c>
      <c r="C2860" s="1" t="n">
        <v>45718</v>
      </c>
      <c r="D2860" t="inlineStr">
        <is>
          <t>JÄMTLANDS LÄN</t>
        </is>
      </c>
      <c r="E2860" t="inlineStr">
        <is>
          <t>STRÖMSUND</t>
        </is>
      </c>
      <c r="F2860" t="inlineStr">
        <is>
          <t>SCA</t>
        </is>
      </c>
      <c r="G2860" t="n">
        <v>11.1</v>
      </c>
      <c r="H2860" t="n">
        <v>0</v>
      </c>
      <c r="I2860" t="n">
        <v>0</v>
      </c>
      <c r="J2860" t="n">
        <v>0</v>
      </c>
      <c r="K2860" t="n">
        <v>0</v>
      </c>
      <c r="L2860" t="n">
        <v>0</v>
      </c>
      <c r="M2860" t="n">
        <v>0</v>
      </c>
      <c r="N2860" t="n">
        <v>0</v>
      </c>
      <c r="O2860" t="n">
        <v>0</v>
      </c>
      <c r="P2860" t="n">
        <v>0</v>
      </c>
      <c r="Q2860" t="n">
        <v>0</v>
      </c>
      <c r="R2860" s="2" t="inlineStr"/>
    </row>
    <row r="2861" ht="15" customHeight="1">
      <c r="A2861" t="inlineStr">
        <is>
          <t>A 12078-2024</t>
        </is>
      </c>
      <c r="B2861" s="1" t="n">
        <v>45377</v>
      </c>
      <c r="C2861" s="1" t="n">
        <v>45718</v>
      </c>
      <c r="D2861" t="inlineStr">
        <is>
          <t>JÄMTLANDS LÄN</t>
        </is>
      </c>
      <c r="E2861" t="inlineStr">
        <is>
          <t>STRÖMSUND</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12869-2024</t>
        </is>
      </c>
      <c r="B2862" s="1" t="n">
        <v>45385</v>
      </c>
      <c r="C2862" s="1" t="n">
        <v>45718</v>
      </c>
      <c r="D2862" t="inlineStr">
        <is>
          <t>JÄMTLANDS LÄN</t>
        </is>
      </c>
      <c r="E2862" t="inlineStr">
        <is>
          <t>STRÖMSUND</t>
        </is>
      </c>
      <c r="F2862" t="inlineStr">
        <is>
          <t>SCA</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12866-2024</t>
        </is>
      </c>
      <c r="B2863" s="1" t="n">
        <v>45385</v>
      </c>
      <c r="C2863" s="1" t="n">
        <v>45718</v>
      </c>
      <c r="D2863" t="inlineStr">
        <is>
          <t>JÄMTLANDS LÄN</t>
        </is>
      </c>
      <c r="E2863" t="inlineStr">
        <is>
          <t>STRÖMSUND</t>
        </is>
      </c>
      <c r="F2863" t="inlineStr">
        <is>
          <t>SCA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12956-2024</t>
        </is>
      </c>
      <c r="B2864" s="1" t="n">
        <v>45385</v>
      </c>
      <c r="C2864" s="1" t="n">
        <v>45718</v>
      </c>
      <c r="D2864" t="inlineStr">
        <is>
          <t>JÄMTLANDS LÄN</t>
        </is>
      </c>
      <c r="E2864" t="inlineStr">
        <is>
          <t>STRÖMSUND</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13129-2024</t>
        </is>
      </c>
      <c r="B2865" s="1" t="n">
        <v>45386</v>
      </c>
      <c r="C2865" s="1" t="n">
        <v>45718</v>
      </c>
      <c r="D2865" t="inlineStr">
        <is>
          <t>JÄMTLANDS LÄN</t>
        </is>
      </c>
      <c r="E2865" t="inlineStr">
        <is>
          <t>STRÖMSUND</t>
        </is>
      </c>
      <c r="F2865" t="inlineStr">
        <is>
          <t>SCA</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13236-2024</t>
        </is>
      </c>
      <c r="B2866" s="1" t="n">
        <v>45386</v>
      </c>
      <c r="C2866" s="1" t="n">
        <v>45718</v>
      </c>
      <c r="D2866" t="inlineStr">
        <is>
          <t>JÄMTLANDS LÄN</t>
        </is>
      </c>
      <c r="E2866" t="inlineStr">
        <is>
          <t>STRÖMSUND</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13339-2024</t>
        </is>
      </c>
      <c r="B2867" s="1" t="n">
        <v>45387</v>
      </c>
      <c r="C2867" s="1" t="n">
        <v>45718</v>
      </c>
      <c r="D2867" t="inlineStr">
        <is>
          <t>JÄMTLANDS LÄN</t>
        </is>
      </c>
      <c r="E2867" t="inlineStr">
        <is>
          <t>STRÖMSUND</t>
        </is>
      </c>
      <c r="G2867" t="n">
        <v>12.6</v>
      </c>
      <c r="H2867" t="n">
        <v>0</v>
      </c>
      <c r="I2867" t="n">
        <v>0</v>
      </c>
      <c r="J2867" t="n">
        <v>0</v>
      </c>
      <c r="K2867" t="n">
        <v>0</v>
      </c>
      <c r="L2867" t="n">
        <v>0</v>
      </c>
      <c r="M2867" t="n">
        <v>0</v>
      </c>
      <c r="N2867" t="n">
        <v>0</v>
      </c>
      <c r="O2867" t="n">
        <v>0</v>
      </c>
      <c r="P2867" t="n">
        <v>0</v>
      </c>
      <c r="Q2867" t="n">
        <v>0</v>
      </c>
      <c r="R2867" s="2" t="inlineStr"/>
    </row>
    <row r="2868" ht="15" customHeight="1">
      <c r="A2868" t="inlineStr">
        <is>
          <t>A 13499-2024</t>
        </is>
      </c>
      <c r="B2868" s="1" t="n">
        <v>45387</v>
      </c>
      <c r="C2868" s="1" t="n">
        <v>45718</v>
      </c>
      <c r="D2868" t="inlineStr">
        <is>
          <t>JÄMTLANDS LÄN</t>
        </is>
      </c>
      <c r="E2868" t="inlineStr">
        <is>
          <t>STRÖMSUND</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13494-2024</t>
        </is>
      </c>
      <c r="B2869" s="1" t="n">
        <v>45387</v>
      </c>
      <c r="C2869" s="1" t="n">
        <v>45718</v>
      </c>
      <c r="D2869" t="inlineStr">
        <is>
          <t>JÄMTLANDS LÄN</t>
        </is>
      </c>
      <c r="E2869" t="inlineStr">
        <is>
          <t>STRÖMSUND</t>
        </is>
      </c>
      <c r="F2869" t="inlineStr">
        <is>
          <t>Kommuner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13590-2024</t>
        </is>
      </c>
      <c r="B2870" s="1" t="n">
        <v>45389</v>
      </c>
      <c r="C2870" s="1" t="n">
        <v>45718</v>
      </c>
      <c r="D2870" t="inlineStr">
        <is>
          <t>JÄMTLANDS LÄN</t>
        </is>
      </c>
      <c r="E2870" t="inlineStr">
        <is>
          <t>STRÖMSUND</t>
        </is>
      </c>
      <c r="F2870" t="inlineStr">
        <is>
          <t>SCA</t>
        </is>
      </c>
      <c r="G2870" t="n">
        <v>11.3</v>
      </c>
      <c r="H2870" t="n">
        <v>0</v>
      </c>
      <c r="I2870" t="n">
        <v>0</v>
      </c>
      <c r="J2870" t="n">
        <v>0</v>
      </c>
      <c r="K2870" t="n">
        <v>0</v>
      </c>
      <c r="L2870" t="n">
        <v>0</v>
      </c>
      <c r="M2870" t="n">
        <v>0</v>
      </c>
      <c r="N2870" t="n">
        <v>0</v>
      </c>
      <c r="O2870" t="n">
        <v>0</v>
      </c>
      <c r="P2870" t="n">
        <v>0</v>
      </c>
      <c r="Q2870" t="n">
        <v>0</v>
      </c>
      <c r="R2870" s="2" t="inlineStr"/>
    </row>
    <row r="2871" ht="15" customHeight="1">
      <c r="A2871" t="inlineStr">
        <is>
          <t>A 13584-2024</t>
        </is>
      </c>
      <c r="B2871" s="1" t="n">
        <v>45389</v>
      </c>
      <c r="C2871" s="1" t="n">
        <v>45718</v>
      </c>
      <c r="D2871" t="inlineStr">
        <is>
          <t>JÄMTLANDS LÄN</t>
        </is>
      </c>
      <c r="E2871" t="inlineStr">
        <is>
          <t>STRÖMSUND</t>
        </is>
      </c>
      <c r="G2871" t="n">
        <v>47.8</v>
      </c>
      <c r="H2871" t="n">
        <v>0</v>
      </c>
      <c r="I2871" t="n">
        <v>0</v>
      </c>
      <c r="J2871" t="n">
        <v>0</v>
      </c>
      <c r="K2871" t="n">
        <v>0</v>
      </c>
      <c r="L2871" t="n">
        <v>0</v>
      </c>
      <c r="M2871" t="n">
        <v>0</v>
      </c>
      <c r="N2871" t="n">
        <v>0</v>
      </c>
      <c r="O2871" t="n">
        <v>0</v>
      </c>
      <c r="P2871" t="n">
        <v>0</v>
      </c>
      <c r="Q2871" t="n">
        <v>0</v>
      </c>
      <c r="R2871" s="2" t="inlineStr"/>
    </row>
    <row r="2872" ht="15" customHeight="1">
      <c r="A2872" t="inlineStr">
        <is>
          <t>A 13894-2024</t>
        </is>
      </c>
      <c r="B2872" s="1" t="n">
        <v>45391</v>
      </c>
      <c r="C2872" s="1" t="n">
        <v>45718</v>
      </c>
      <c r="D2872" t="inlineStr">
        <is>
          <t>JÄMTLANDS LÄN</t>
        </is>
      </c>
      <c r="E2872" t="inlineStr">
        <is>
          <t>STRÖMSUND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13924-2024</t>
        </is>
      </c>
      <c r="B2873" s="1" t="n">
        <v>45392</v>
      </c>
      <c r="C2873" s="1" t="n">
        <v>45718</v>
      </c>
      <c r="D2873" t="inlineStr">
        <is>
          <t>JÄMTLANDS LÄN</t>
        </is>
      </c>
      <c r="E2873" t="inlineStr">
        <is>
          <t>STRÖMSUND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14570-2024</t>
        </is>
      </c>
      <c r="B2874" s="1" t="n">
        <v>45395</v>
      </c>
      <c r="C2874" s="1" t="n">
        <v>45718</v>
      </c>
      <c r="D2874" t="inlineStr">
        <is>
          <t>JÄMTLANDS LÄN</t>
        </is>
      </c>
      <c r="E2874" t="inlineStr">
        <is>
          <t>STRÖMSUND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14568-2024</t>
        </is>
      </c>
      <c r="B2875" s="1" t="n">
        <v>45394</v>
      </c>
      <c r="C2875" s="1" t="n">
        <v>45718</v>
      </c>
      <c r="D2875" t="inlineStr">
        <is>
          <t>JÄMTLANDS LÄN</t>
        </is>
      </c>
      <c r="E2875" t="inlineStr">
        <is>
          <t>STRÖMSUND</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14583-2024</t>
        </is>
      </c>
      <c r="B2876" s="1" t="n">
        <v>45395</v>
      </c>
      <c r="C2876" s="1" t="n">
        <v>45718</v>
      </c>
      <c r="D2876" t="inlineStr">
        <is>
          <t>JÄMTLANDS LÄN</t>
        </is>
      </c>
      <c r="E2876" t="inlineStr">
        <is>
          <t>STRÖMSUND</t>
        </is>
      </c>
      <c r="F2876" t="inlineStr">
        <is>
          <t>SCA</t>
        </is>
      </c>
      <c r="G2876" t="n">
        <v>14.4</v>
      </c>
      <c r="H2876" t="n">
        <v>0</v>
      </c>
      <c r="I2876" t="n">
        <v>0</v>
      </c>
      <c r="J2876" t="n">
        <v>0</v>
      </c>
      <c r="K2876" t="n">
        <v>0</v>
      </c>
      <c r="L2876" t="n">
        <v>0</v>
      </c>
      <c r="M2876" t="n">
        <v>0</v>
      </c>
      <c r="N2876" t="n">
        <v>0</v>
      </c>
      <c r="O2876" t="n">
        <v>0</v>
      </c>
      <c r="P2876" t="n">
        <v>0</v>
      </c>
      <c r="Q2876" t="n">
        <v>0</v>
      </c>
      <c r="R2876" s="2" t="inlineStr"/>
    </row>
    <row r="2877" ht="15" customHeight="1">
      <c r="A2877" t="inlineStr">
        <is>
          <t>A 14569-2024</t>
        </is>
      </c>
      <c r="B2877" s="1" t="n">
        <v>45394</v>
      </c>
      <c r="C2877" s="1" t="n">
        <v>45718</v>
      </c>
      <c r="D2877" t="inlineStr">
        <is>
          <t>JÄMTLANDS LÄN</t>
        </is>
      </c>
      <c r="E2877" t="inlineStr">
        <is>
          <t>STRÖMSUND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14812-2024</t>
        </is>
      </c>
      <c r="B2878" s="1" t="n">
        <v>45397</v>
      </c>
      <c r="C2878" s="1" t="n">
        <v>45718</v>
      </c>
      <c r="D2878" t="inlineStr">
        <is>
          <t>JÄMTLANDS LÄN</t>
        </is>
      </c>
      <c r="E2878" t="inlineStr">
        <is>
          <t>STRÖMSUND</t>
        </is>
      </c>
      <c r="F2878" t="inlineStr">
        <is>
          <t>SCA</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14966-2024</t>
        </is>
      </c>
      <c r="B2879" s="1" t="n">
        <v>45399</v>
      </c>
      <c r="C2879" s="1" t="n">
        <v>45718</v>
      </c>
      <c r="D2879" t="inlineStr">
        <is>
          <t>JÄMTLANDS LÄN</t>
        </is>
      </c>
      <c r="E2879" t="inlineStr">
        <is>
          <t>STRÖMSUND</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14978-2024</t>
        </is>
      </c>
      <c r="B2880" s="1" t="n">
        <v>45399</v>
      </c>
      <c r="C2880" s="1" t="n">
        <v>45718</v>
      </c>
      <c r="D2880" t="inlineStr">
        <is>
          <t>JÄMTLANDS LÄN</t>
        </is>
      </c>
      <c r="E2880" t="inlineStr">
        <is>
          <t>STRÖMSUND</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14967-2024</t>
        </is>
      </c>
      <c r="B2881" s="1" t="n">
        <v>45399</v>
      </c>
      <c r="C2881" s="1" t="n">
        <v>45718</v>
      </c>
      <c r="D2881" t="inlineStr">
        <is>
          <t>JÄMTLANDS LÄN</t>
        </is>
      </c>
      <c r="E2881" t="inlineStr">
        <is>
          <t>STRÖMSUND</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15364-2024</t>
        </is>
      </c>
      <c r="B2882" s="1" t="n">
        <v>45400</v>
      </c>
      <c r="C2882" s="1" t="n">
        <v>45718</v>
      </c>
      <c r="D2882" t="inlineStr">
        <is>
          <t>JÄMTLANDS LÄN</t>
        </is>
      </c>
      <c r="E2882" t="inlineStr">
        <is>
          <t>STRÖMSUND</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15375-2024</t>
        </is>
      </c>
      <c r="B2883" s="1" t="n">
        <v>45400</v>
      </c>
      <c r="C2883" s="1" t="n">
        <v>45718</v>
      </c>
      <c r="D2883" t="inlineStr">
        <is>
          <t>JÄMTLANDS LÄN</t>
        </is>
      </c>
      <c r="E2883" t="inlineStr">
        <is>
          <t>STRÖMSUND</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15858-2024</t>
        </is>
      </c>
      <c r="B2884" s="1" t="n">
        <v>45405</v>
      </c>
      <c r="C2884" s="1" t="n">
        <v>45718</v>
      </c>
      <c r="D2884" t="inlineStr">
        <is>
          <t>JÄMTLANDS LÄN</t>
        </is>
      </c>
      <c r="E2884" t="inlineStr">
        <is>
          <t>STRÖMSUND</t>
        </is>
      </c>
      <c r="F2884" t="inlineStr">
        <is>
          <t>SCA</t>
        </is>
      </c>
      <c r="G2884" t="n">
        <v>33.8</v>
      </c>
      <c r="H2884" t="n">
        <v>0</v>
      </c>
      <c r="I2884" t="n">
        <v>0</v>
      </c>
      <c r="J2884" t="n">
        <v>0</v>
      </c>
      <c r="K2884" t="n">
        <v>0</v>
      </c>
      <c r="L2884" t="n">
        <v>0</v>
      </c>
      <c r="M2884" t="n">
        <v>0</v>
      </c>
      <c r="N2884" t="n">
        <v>0</v>
      </c>
      <c r="O2884" t="n">
        <v>0</v>
      </c>
      <c r="P2884" t="n">
        <v>0</v>
      </c>
      <c r="Q2884" t="n">
        <v>0</v>
      </c>
      <c r="R2884" s="2" t="inlineStr"/>
    </row>
    <row r="2885" ht="15" customHeight="1">
      <c r="A2885" t="inlineStr">
        <is>
          <t>A 16053-2024</t>
        </is>
      </c>
      <c r="B2885" s="1" t="n">
        <v>45406</v>
      </c>
      <c r="C2885" s="1" t="n">
        <v>45718</v>
      </c>
      <c r="D2885" t="inlineStr">
        <is>
          <t>JÄMTLANDS LÄN</t>
        </is>
      </c>
      <c r="E2885" t="inlineStr">
        <is>
          <t>STRÖMSUND</t>
        </is>
      </c>
      <c r="F2885" t="inlineStr">
        <is>
          <t>SCA</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16242-2024</t>
        </is>
      </c>
      <c r="B2886" s="1" t="n">
        <v>45407</v>
      </c>
      <c r="C2886" s="1" t="n">
        <v>45718</v>
      </c>
      <c r="D2886" t="inlineStr">
        <is>
          <t>JÄMTLANDS LÄN</t>
        </is>
      </c>
      <c r="E2886" t="inlineStr">
        <is>
          <t>STRÖMSUND</t>
        </is>
      </c>
      <c r="F2886" t="inlineStr">
        <is>
          <t>SCA</t>
        </is>
      </c>
      <c r="G2886" t="n">
        <v>31.2</v>
      </c>
      <c r="H2886" t="n">
        <v>0</v>
      </c>
      <c r="I2886" t="n">
        <v>0</v>
      </c>
      <c r="J2886" t="n">
        <v>0</v>
      </c>
      <c r="K2886" t="n">
        <v>0</v>
      </c>
      <c r="L2886" t="n">
        <v>0</v>
      </c>
      <c r="M2886" t="n">
        <v>0</v>
      </c>
      <c r="N2886" t="n">
        <v>0</v>
      </c>
      <c r="O2886" t="n">
        <v>0</v>
      </c>
      <c r="P2886" t="n">
        <v>0</v>
      </c>
      <c r="Q2886" t="n">
        <v>0</v>
      </c>
      <c r="R2886" s="2" t="inlineStr"/>
    </row>
    <row r="2887" ht="15" customHeight="1">
      <c r="A2887" t="inlineStr">
        <is>
          <t>A 16236-2024</t>
        </is>
      </c>
      <c r="B2887" s="1" t="n">
        <v>45407</v>
      </c>
      <c r="C2887" s="1" t="n">
        <v>45718</v>
      </c>
      <c r="D2887" t="inlineStr">
        <is>
          <t>JÄMTLANDS LÄN</t>
        </is>
      </c>
      <c r="E2887" t="inlineStr">
        <is>
          <t>STRÖMSUND</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16458-2024</t>
        </is>
      </c>
      <c r="B2888" s="1" t="n">
        <v>45408</v>
      </c>
      <c r="C2888" s="1" t="n">
        <v>45718</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16464-2024</t>
        </is>
      </c>
      <c r="B2889" s="1" t="n">
        <v>45408</v>
      </c>
      <c r="C2889" s="1" t="n">
        <v>45718</v>
      </c>
      <c r="D2889" t="inlineStr">
        <is>
          <t>JÄMTLANDS LÄN</t>
        </is>
      </c>
      <c r="E2889" t="inlineStr">
        <is>
          <t>STRÖMSUND</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16490-2024</t>
        </is>
      </c>
      <c r="B2890" s="1" t="n">
        <v>45408</v>
      </c>
      <c r="C2890" s="1" t="n">
        <v>45718</v>
      </c>
      <c r="D2890" t="inlineStr">
        <is>
          <t>JÄMTLANDS LÄN</t>
        </is>
      </c>
      <c r="E2890" t="inlineStr">
        <is>
          <t>STRÖMSUND</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17098-2024</t>
        </is>
      </c>
      <c r="B2891" s="1" t="n">
        <v>45412</v>
      </c>
      <c r="C2891" s="1" t="n">
        <v>45718</v>
      </c>
      <c r="D2891" t="inlineStr">
        <is>
          <t>JÄMTLANDS LÄN</t>
        </is>
      </c>
      <c r="E2891" t="inlineStr">
        <is>
          <t>STRÖMSUND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17105-2024</t>
        </is>
      </c>
      <c r="B2892" s="1" t="n">
        <v>45412</v>
      </c>
      <c r="C2892" s="1" t="n">
        <v>45718</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17435-2024</t>
        </is>
      </c>
      <c r="B2893" s="1" t="n">
        <v>45415</v>
      </c>
      <c r="C2893" s="1" t="n">
        <v>45718</v>
      </c>
      <c r="D2893" t="inlineStr">
        <is>
          <t>JÄMTLANDS LÄN</t>
        </is>
      </c>
      <c r="E2893" t="inlineStr">
        <is>
          <t>STRÖMSUND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17442-2024</t>
        </is>
      </c>
      <c r="B2894" s="1" t="n">
        <v>45415</v>
      </c>
      <c r="C2894" s="1" t="n">
        <v>45718</v>
      </c>
      <c r="D2894" t="inlineStr">
        <is>
          <t>JÄMTLANDS LÄN</t>
        </is>
      </c>
      <c r="E2894" t="inlineStr">
        <is>
          <t>STRÖMSUND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17728-2024</t>
        </is>
      </c>
      <c r="B2895" s="1" t="n">
        <v>45418</v>
      </c>
      <c r="C2895" s="1" t="n">
        <v>45718</v>
      </c>
      <c r="D2895" t="inlineStr">
        <is>
          <t>JÄMTLANDS LÄN</t>
        </is>
      </c>
      <c r="E2895" t="inlineStr">
        <is>
          <t>STRÖMSUND</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18234-2024</t>
        </is>
      </c>
      <c r="B2896" s="1" t="n">
        <v>45421</v>
      </c>
      <c r="C2896" s="1" t="n">
        <v>45718</v>
      </c>
      <c r="D2896" t="inlineStr">
        <is>
          <t>JÄMTLANDS LÄN</t>
        </is>
      </c>
      <c r="E2896" t="inlineStr">
        <is>
          <t>STRÖMSUND</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18233-2024</t>
        </is>
      </c>
      <c r="B2897" s="1" t="n">
        <v>45421</v>
      </c>
      <c r="C2897" s="1" t="n">
        <v>45718</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18237-2024</t>
        </is>
      </c>
      <c r="B2898" s="1" t="n">
        <v>45421</v>
      </c>
      <c r="C2898" s="1" t="n">
        <v>45718</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18236-2024</t>
        </is>
      </c>
      <c r="B2899" s="1" t="n">
        <v>45421</v>
      </c>
      <c r="C2899" s="1" t="n">
        <v>45718</v>
      </c>
      <c r="D2899" t="inlineStr">
        <is>
          <t>JÄMTLANDS LÄN</t>
        </is>
      </c>
      <c r="E2899" t="inlineStr">
        <is>
          <t>STRÖMSUND</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18240-2024</t>
        </is>
      </c>
      <c r="B2900" s="1" t="n">
        <v>45421</v>
      </c>
      <c r="C2900" s="1" t="n">
        <v>45718</v>
      </c>
      <c r="D2900" t="inlineStr">
        <is>
          <t>JÄMTLANDS LÄN</t>
        </is>
      </c>
      <c r="E2900" t="inlineStr">
        <is>
          <t>STRÖMSUND</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18235-2024</t>
        </is>
      </c>
      <c r="B2901" s="1" t="n">
        <v>45421</v>
      </c>
      <c r="C2901" s="1" t="n">
        <v>45718</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18298-2024</t>
        </is>
      </c>
      <c r="B2902" s="1" t="n">
        <v>45421</v>
      </c>
      <c r="C2902" s="1" t="n">
        <v>45718</v>
      </c>
      <c r="D2902" t="inlineStr">
        <is>
          <t>JÄMTLANDS LÄN</t>
        </is>
      </c>
      <c r="E2902" t="inlineStr">
        <is>
          <t>STRÖMSUND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18325-2024</t>
        </is>
      </c>
      <c r="B2903" s="1" t="n">
        <v>45422</v>
      </c>
      <c r="C2903" s="1" t="n">
        <v>45718</v>
      </c>
      <c r="D2903" t="inlineStr">
        <is>
          <t>JÄMTLANDS LÄN</t>
        </is>
      </c>
      <c r="E2903" t="inlineStr">
        <is>
          <t>STRÖMSUND</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18770-2024</t>
        </is>
      </c>
      <c r="B2904" s="1" t="n">
        <v>45426</v>
      </c>
      <c r="C2904" s="1" t="n">
        <v>45718</v>
      </c>
      <c r="D2904" t="inlineStr">
        <is>
          <t>JÄMTLANDS LÄN</t>
        </is>
      </c>
      <c r="E2904" t="inlineStr">
        <is>
          <t>STRÖMSUND</t>
        </is>
      </c>
      <c r="F2904" t="inlineStr">
        <is>
          <t>Kyrkan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18912-2024</t>
        </is>
      </c>
      <c r="B2905" s="1" t="n">
        <v>45426</v>
      </c>
      <c r="C2905" s="1" t="n">
        <v>45718</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18915-2024</t>
        </is>
      </c>
      <c r="B2906" s="1" t="n">
        <v>45426</v>
      </c>
      <c r="C2906" s="1" t="n">
        <v>45718</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19006-2024</t>
        </is>
      </c>
      <c r="B2907" s="1" t="n">
        <v>45427</v>
      </c>
      <c r="C2907" s="1" t="n">
        <v>45718</v>
      </c>
      <c r="D2907" t="inlineStr">
        <is>
          <t>JÄMTLANDS LÄN</t>
        </is>
      </c>
      <c r="E2907" t="inlineStr">
        <is>
          <t>STRÖMSUND</t>
        </is>
      </c>
      <c r="F2907" t="inlineStr">
        <is>
          <t>Holmen skog AB</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19340-2024</t>
        </is>
      </c>
      <c r="B2908" s="1" t="n">
        <v>45429</v>
      </c>
      <c r="C2908" s="1" t="n">
        <v>45718</v>
      </c>
      <c r="D2908" t="inlineStr">
        <is>
          <t>JÄMTLANDS LÄN</t>
        </is>
      </c>
      <c r="E2908" t="inlineStr">
        <is>
          <t>STRÖMSUND</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19346-2024</t>
        </is>
      </c>
      <c r="B2909" s="1" t="n">
        <v>45429</v>
      </c>
      <c r="C2909" s="1" t="n">
        <v>45718</v>
      </c>
      <c r="D2909" t="inlineStr">
        <is>
          <t>JÄMTLANDS LÄN</t>
        </is>
      </c>
      <c r="E2909" t="inlineStr">
        <is>
          <t>STRÖMSUND</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19483-2024</t>
        </is>
      </c>
      <c r="B2910" s="1" t="n">
        <v>45429</v>
      </c>
      <c r="C2910" s="1" t="n">
        <v>45718</v>
      </c>
      <c r="D2910" t="inlineStr">
        <is>
          <t>JÄMTLANDS LÄN</t>
        </is>
      </c>
      <c r="E2910" t="inlineStr">
        <is>
          <t>STRÖMSUND</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19794-2024</t>
        </is>
      </c>
      <c r="B2911" s="1" t="n">
        <v>45433</v>
      </c>
      <c r="C2911" s="1" t="n">
        <v>45718</v>
      </c>
      <c r="D2911" t="inlineStr">
        <is>
          <t>JÄMTLANDS LÄN</t>
        </is>
      </c>
      <c r="E2911" t="inlineStr">
        <is>
          <t>STRÖMSUND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19995-2024</t>
        </is>
      </c>
      <c r="B2912" s="1" t="n">
        <v>45434</v>
      </c>
      <c r="C2912" s="1" t="n">
        <v>45718</v>
      </c>
      <c r="D2912" t="inlineStr">
        <is>
          <t>JÄMTLANDS LÄN</t>
        </is>
      </c>
      <c r="E2912" t="inlineStr">
        <is>
          <t>STRÖMSUND</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20274-2024</t>
        </is>
      </c>
      <c r="B2913" s="1" t="n">
        <v>45435</v>
      </c>
      <c r="C2913" s="1" t="n">
        <v>45718</v>
      </c>
      <c r="D2913" t="inlineStr">
        <is>
          <t>JÄMTLANDS LÄN</t>
        </is>
      </c>
      <c r="E2913" t="inlineStr">
        <is>
          <t>STRÖMSUND</t>
        </is>
      </c>
      <c r="F2913" t="inlineStr">
        <is>
          <t>SCA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20271-2024</t>
        </is>
      </c>
      <c r="B2914" s="1" t="n">
        <v>45435</v>
      </c>
      <c r="C2914" s="1" t="n">
        <v>45718</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20275-2024</t>
        </is>
      </c>
      <c r="B2915" s="1" t="n">
        <v>45435</v>
      </c>
      <c r="C2915" s="1" t="n">
        <v>45718</v>
      </c>
      <c r="D2915" t="inlineStr">
        <is>
          <t>JÄMTLANDS LÄN</t>
        </is>
      </c>
      <c r="E2915" t="inlineStr">
        <is>
          <t>STRÖMSUND</t>
        </is>
      </c>
      <c r="F2915" t="inlineStr">
        <is>
          <t>SCA</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20273-2024</t>
        </is>
      </c>
      <c r="B2916" s="1" t="n">
        <v>45434</v>
      </c>
      <c r="C2916" s="1" t="n">
        <v>45718</v>
      </c>
      <c r="D2916" t="inlineStr">
        <is>
          <t>JÄMTLANDS LÄN</t>
        </is>
      </c>
      <c r="E2916" t="inlineStr">
        <is>
          <t>STRÖMSUND</t>
        </is>
      </c>
      <c r="F2916" t="inlineStr">
        <is>
          <t>SCA</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20180-2024</t>
        </is>
      </c>
      <c r="B2917" s="1" t="n">
        <v>45434</v>
      </c>
      <c r="C2917" s="1" t="n">
        <v>45718</v>
      </c>
      <c r="D2917" t="inlineStr">
        <is>
          <t>JÄMTLANDS LÄN</t>
        </is>
      </c>
      <c r="E2917" t="inlineStr">
        <is>
          <t>STRÖMSUND</t>
        </is>
      </c>
      <c r="F2917" t="inlineStr">
        <is>
          <t>Holmen skog AB</t>
        </is>
      </c>
      <c r="G2917" t="n">
        <v>21.5</v>
      </c>
      <c r="H2917" t="n">
        <v>0</v>
      </c>
      <c r="I2917" t="n">
        <v>0</v>
      </c>
      <c r="J2917" t="n">
        <v>0</v>
      </c>
      <c r="K2917" t="n">
        <v>0</v>
      </c>
      <c r="L2917" t="n">
        <v>0</v>
      </c>
      <c r="M2917" t="n">
        <v>0</v>
      </c>
      <c r="N2917" t="n">
        <v>0</v>
      </c>
      <c r="O2917" t="n">
        <v>0</v>
      </c>
      <c r="P2917" t="n">
        <v>0</v>
      </c>
      <c r="Q2917" t="n">
        <v>0</v>
      </c>
      <c r="R2917" s="2" t="inlineStr"/>
    </row>
    <row r="2918" ht="15" customHeight="1">
      <c r="A2918" t="inlineStr">
        <is>
          <t>A 20272-2024</t>
        </is>
      </c>
      <c r="B2918" s="1" t="n">
        <v>45435</v>
      </c>
      <c r="C2918" s="1" t="n">
        <v>45718</v>
      </c>
      <c r="D2918" t="inlineStr">
        <is>
          <t>JÄMTLANDS LÄN</t>
        </is>
      </c>
      <c r="E2918" t="inlineStr">
        <is>
          <t>STRÖMSUND</t>
        </is>
      </c>
      <c r="F2918" t="inlineStr">
        <is>
          <t>SCA</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20505-2024</t>
        </is>
      </c>
      <c r="B2919" s="1" t="n">
        <v>45436</v>
      </c>
      <c r="C2919" s="1" t="n">
        <v>45718</v>
      </c>
      <c r="D2919" t="inlineStr">
        <is>
          <t>JÄMTLANDS LÄN</t>
        </is>
      </c>
      <c r="E2919" t="inlineStr">
        <is>
          <t>STRÖMSUND</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20508-2024</t>
        </is>
      </c>
      <c r="B2920" s="1" t="n">
        <v>45436</v>
      </c>
      <c r="C2920" s="1" t="n">
        <v>45718</v>
      </c>
      <c r="D2920" t="inlineStr">
        <is>
          <t>JÄMTLANDS LÄN</t>
        </is>
      </c>
      <c r="E2920" t="inlineStr">
        <is>
          <t>STRÖMSUND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20693-2024</t>
        </is>
      </c>
      <c r="B2921" s="1" t="n">
        <v>45436</v>
      </c>
      <c r="C2921" s="1" t="n">
        <v>45718</v>
      </c>
      <c r="D2921" t="inlineStr">
        <is>
          <t>JÄMTLANDS LÄN</t>
        </is>
      </c>
      <c r="E2921" t="inlineStr">
        <is>
          <t>STRÖMSUND</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20767-2024</t>
        </is>
      </c>
      <c r="B2922" s="1" t="n">
        <v>45436</v>
      </c>
      <c r="C2922" s="1" t="n">
        <v>45718</v>
      </c>
      <c r="D2922" t="inlineStr">
        <is>
          <t>JÄMTLANDS LÄN</t>
        </is>
      </c>
      <c r="E2922" t="inlineStr">
        <is>
          <t>STRÖMSUND</t>
        </is>
      </c>
      <c r="F2922" t="inlineStr">
        <is>
          <t>SCA</t>
        </is>
      </c>
      <c r="G2922" t="n">
        <v>22.2</v>
      </c>
      <c r="H2922" t="n">
        <v>0</v>
      </c>
      <c r="I2922" t="n">
        <v>0</v>
      </c>
      <c r="J2922" t="n">
        <v>0</v>
      </c>
      <c r="K2922" t="n">
        <v>0</v>
      </c>
      <c r="L2922" t="n">
        <v>0</v>
      </c>
      <c r="M2922" t="n">
        <v>0</v>
      </c>
      <c r="N2922" t="n">
        <v>0</v>
      </c>
      <c r="O2922" t="n">
        <v>0</v>
      </c>
      <c r="P2922" t="n">
        <v>0</v>
      </c>
      <c r="Q2922" t="n">
        <v>0</v>
      </c>
      <c r="R2922" s="2" t="inlineStr"/>
    </row>
    <row r="2923" ht="15" customHeight="1">
      <c r="A2923" t="inlineStr">
        <is>
          <t>A 21209-2024</t>
        </is>
      </c>
      <c r="B2923" s="1" t="n">
        <v>45440</v>
      </c>
      <c r="C2923" s="1" t="n">
        <v>45718</v>
      </c>
      <c r="D2923" t="inlineStr">
        <is>
          <t>JÄMTLANDS LÄN</t>
        </is>
      </c>
      <c r="E2923" t="inlineStr">
        <is>
          <t>STRÖMSUND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21212-2024</t>
        </is>
      </c>
      <c r="B2924" s="1" t="n">
        <v>45440</v>
      </c>
      <c r="C2924" s="1" t="n">
        <v>45718</v>
      </c>
      <c r="D2924" t="inlineStr">
        <is>
          <t>JÄMTLANDS LÄN</t>
        </is>
      </c>
      <c r="E2924" t="inlineStr">
        <is>
          <t>STRÖMSUND</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21377-2024</t>
        </is>
      </c>
      <c r="B2925" s="1" t="n">
        <v>45440</v>
      </c>
      <c r="C2925" s="1" t="n">
        <v>45718</v>
      </c>
      <c r="D2925" t="inlineStr">
        <is>
          <t>JÄMTLANDS LÄN</t>
        </is>
      </c>
      <c r="E2925" t="inlineStr">
        <is>
          <t>STRÖMSUND</t>
        </is>
      </c>
      <c r="F2925" t="inlineStr">
        <is>
          <t>SCA</t>
        </is>
      </c>
      <c r="G2925" t="n">
        <v>20.4</v>
      </c>
      <c r="H2925" t="n">
        <v>0</v>
      </c>
      <c r="I2925" t="n">
        <v>0</v>
      </c>
      <c r="J2925" t="n">
        <v>0</v>
      </c>
      <c r="K2925" t="n">
        <v>0</v>
      </c>
      <c r="L2925" t="n">
        <v>0</v>
      </c>
      <c r="M2925" t="n">
        <v>0</v>
      </c>
      <c r="N2925" t="n">
        <v>0</v>
      </c>
      <c r="O2925" t="n">
        <v>0</v>
      </c>
      <c r="P2925" t="n">
        <v>0</v>
      </c>
      <c r="Q2925" t="n">
        <v>0</v>
      </c>
      <c r="R2925" s="2" t="inlineStr"/>
    </row>
    <row r="2926" ht="15" customHeight="1">
      <c r="A2926" t="inlineStr">
        <is>
          <t>A 21546-2024</t>
        </is>
      </c>
      <c r="B2926" s="1" t="n">
        <v>45441</v>
      </c>
      <c r="C2926" s="1" t="n">
        <v>45718</v>
      </c>
      <c r="D2926" t="inlineStr">
        <is>
          <t>JÄMTLANDS LÄN</t>
        </is>
      </c>
      <c r="E2926" t="inlineStr">
        <is>
          <t>STRÖMSUND</t>
        </is>
      </c>
      <c r="F2926" t="inlineStr">
        <is>
          <t>Holmen skog AB</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21603-2024</t>
        </is>
      </c>
      <c r="B2927" s="1" t="n">
        <v>45442</v>
      </c>
      <c r="C2927" s="1" t="n">
        <v>45718</v>
      </c>
      <c r="D2927" t="inlineStr">
        <is>
          <t>JÄMTLANDS LÄN</t>
        </is>
      </c>
      <c r="E2927" t="inlineStr">
        <is>
          <t>STRÖMSUND</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21605-2024</t>
        </is>
      </c>
      <c r="B2928" s="1" t="n">
        <v>45442</v>
      </c>
      <c r="C2928" s="1" t="n">
        <v>45718</v>
      </c>
      <c r="D2928" t="inlineStr">
        <is>
          <t>JÄMTLANDS LÄN</t>
        </is>
      </c>
      <c r="E2928" t="inlineStr">
        <is>
          <t>STRÖMSUND</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21616-2024</t>
        </is>
      </c>
      <c r="B2929" s="1" t="n">
        <v>45442</v>
      </c>
      <c r="C2929" s="1" t="n">
        <v>45718</v>
      </c>
      <c r="D2929" t="inlineStr">
        <is>
          <t>JÄMTLANDS LÄN</t>
        </is>
      </c>
      <c r="E2929" t="inlineStr">
        <is>
          <t>STRÖMSUND</t>
        </is>
      </c>
      <c r="F2929" t="inlineStr">
        <is>
          <t>SCA</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21551-2024</t>
        </is>
      </c>
      <c r="B2930" s="1" t="n">
        <v>45441</v>
      </c>
      <c r="C2930" s="1" t="n">
        <v>45718</v>
      </c>
      <c r="D2930" t="inlineStr">
        <is>
          <t>JÄMTLANDS LÄN</t>
        </is>
      </c>
      <c r="E2930" t="inlineStr">
        <is>
          <t>STRÖMSUND</t>
        </is>
      </c>
      <c r="F2930" t="inlineStr">
        <is>
          <t>Holmen skog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21553-2024</t>
        </is>
      </c>
      <c r="B2931" s="1" t="n">
        <v>45441</v>
      </c>
      <c r="C2931" s="1" t="n">
        <v>45718</v>
      </c>
      <c r="D2931" t="inlineStr">
        <is>
          <t>JÄMTLANDS LÄN</t>
        </is>
      </c>
      <c r="E2931" t="inlineStr">
        <is>
          <t>STRÖMSUND</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21549-2024</t>
        </is>
      </c>
      <c r="B2932" s="1" t="n">
        <v>45441</v>
      </c>
      <c r="C2932" s="1" t="n">
        <v>45718</v>
      </c>
      <c r="D2932" t="inlineStr">
        <is>
          <t>JÄMTLANDS LÄN</t>
        </is>
      </c>
      <c r="E2932" t="inlineStr">
        <is>
          <t>STRÖMSUND</t>
        </is>
      </c>
      <c r="F2932" t="inlineStr">
        <is>
          <t>Holmen skog AB</t>
        </is>
      </c>
      <c r="G2932" t="n">
        <v>15.8</v>
      </c>
      <c r="H2932" t="n">
        <v>0</v>
      </c>
      <c r="I2932" t="n">
        <v>0</v>
      </c>
      <c r="J2932" t="n">
        <v>0</v>
      </c>
      <c r="K2932" t="n">
        <v>0</v>
      </c>
      <c r="L2932" t="n">
        <v>0</v>
      </c>
      <c r="M2932" t="n">
        <v>0</v>
      </c>
      <c r="N2932" t="n">
        <v>0</v>
      </c>
      <c r="O2932" t="n">
        <v>0</v>
      </c>
      <c r="P2932" t="n">
        <v>0</v>
      </c>
      <c r="Q2932" t="n">
        <v>0</v>
      </c>
      <c r="R2932" s="2" t="inlineStr"/>
    </row>
    <row r="2933" ht="15" customHeight="1">
      <c r="A2933" t="inlineStr">
        <is>
          <t>A 21554-2024</t>
        </is>
      </c>
      <c r="B2933" s="1" t="n">
        <v>45441</v>
      </c>
      <c r="C2933" s="1" t="n">
        <v>45718</v>
      </c>
      <c r="D2933" t="inlineStr">
        <is>
          <t>JÄMTLANDS LÄN</t>
        </is>
      </c>
      <c r="E2933" t="inlineStr">
        <is>
          <t>STRÖMSUND</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21550-2024</t>
        </is>
      </c>
      <c r="B2934" s="1" t="n">
        <v>45441</v>
      </c>
      <c r="C2934" s="1" t="n">
        <v>45718</v>
      </c>
      <c r="D2934" t="inlineStr">
        <is>
          <t>JÄMTLANDS LÄN</t>
        </is>
      </c>
      <c r="E2934" t="inlineStr">
        <is>
          <t>STRÖMSUND</t>
        </is>
      </c>
      <c r="F2934" t="inlineStr">
        <is>
          <t>Holmen skog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21713-2024</t>
        </is>
      </c>
      <c r="B2935" s="1" t="n">
        <v>45442</v>
      </c>
      <c r="C2935" s="1" t="n">
        <v>45718</v>
      </c>
      <c r="D2935" t="inlineStr">
        <is>
          <t>JÄMTLANDS LÄN</t>
        </is>
      </c>
      <c r="E2935" t="inlineStr">
        <is>
          <t>STRÖMSUND</t>
        </is>
      </c>
      <c r="F2935" t="inlineStr">
        <is>
          <t>Holmen skog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21840-2024</t>
        </is>
      </c>
      <c r="B2936" s="1" t="n">
        <v>45443</v>
      </c>
      <c r="C2936" s="1" t="n">
        <v>45718</v>
      </c>
      <c r="D2936" t="inlineStr">
        <is>
          <t>JÄMTLANDS LÄN</t>
        </is>
      </c>
      <c r="E2936" t="inlineStr">
        <is>
          <t>STRÖMSUND</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21735-2024</t>
        </is>
      </c>
      <c r="B2937" s="1" t="n">
        <v>45442</v>
      </c>
      <c r="C2937" s="1" t="n">
        <v>45718</v>
      </c>
      <c r="D2937" t="inlineStr">
        <is>
          <t>JÄMTLANDS LÄN</t>
        </is>
      </c>
      <c r="E2937" t="inlineStr">
        <is>
          <t>STRÖMSUND</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21861-2024</t>
        </is>
      </c>
      <c r="B2938" s="1" t="n">
        <v>45443</v>
      </c>
      <c r="C2938" s="1" t="n">
        <v>45718</v>
      </c>
      <c r="D2938" t="inlineStr">
        <is>
          <t>JÄMTLANDS LÄN</t>
        </is>
      </c>
      <c r="E2938" t="inlineStr">
        <is>
          <t>STRÖMSUND</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22115-2024</t>
        </is>
      </c>
      <c r="B2939" s="1" t="n">
        <v>45443</v>
      </c>
      <c r="C2939" s="1" t="n">
        <v>45718</v>
      </c>
      <c r="D2939" t="inlineStr">
        <is>
          <t>JÄMTLANDS LÄN</t>
        </is>
      </c>
      <c r="E2939" t="inlineStr">
        <is>
          <t>STRÖMSUND</t>
        </is>
      </c>
      <c r="F2939" t="inlineStr">
        <is>
          <t>SCA</t>
        </is>
      </c>
      <c r="G2939" t="n">
        <v>16.6</v>
      </c>
      <c r="H2939" t="n">
        <v>0</v>
      </c>
      <c r="I2939" t="n">
        <v>0</v>
      </c>
      <c r="J2939" t="n">
        <v>0</v>
      </c>
      <c r="K2939" t="n">
        <v>0</v>
      </c>
      <c r="L2939" t="n">
        <v>0</v>
      </c>
      <c r="M2939" t="n">
        <v>0</v>
      </c>
      <c r="N2939" t="n">
        <v>0</v>
      </c>
      <c r="O2939" t="n">
        <v>0</v>
      </c>
      <c r="P2939" t="n">
        <v>0</v>
      </c>
      <c r="Q2939" t="n">
        <v>0</v>
      </c>
      <c r="R2939" s="2" t="inlineStr"/>
    </row>
    <row r="2940" ht="15" customHeight="1">
      <c r="A2940" t="inlineStr">
        <is>
          <t>A 22139-2024</t>
        </is>
      </c>
      <c r="B2940" s="1" t="n">
        <v>45445</v>
      </c>
      <c r="C2940" s="1" t="n">
        <v>45718</v>
      </c>
      <c r="D2940" t="inlineStr">
        <is>
          <t>JÄMTLANDS LÄN</t>
        </is>
      </c>
      <c r="E2940" t="inlineStr">
        <is>
          <t>STRÖMSUND</t>
        </is>
      </c>
      <c r="F2940" t="inlineStr">
        <is>
          <t>SCA</t>
        </is>
      </c>
      <c r="G2940" t="n">
        <v>8.5</v>
      </c>
      <c r="H2940" t="n">
        <v>0</v>
      </c>
      <c r="I2940" t="n">
        <v>0</v>
      </c>
      <c r="J2940" t="n">
        <v>0</v>
      </c>
      <c r="K2940" t="n">
        <v>0</v>
      </c>
      <c r="L2940" t="n">
        <v>0</v>
      </c>
      <c r="M2940" t="n">
        <v>0</v>
      </c>
      <c r="N2940" t="n">
        <v>0</v>
      </c>
      <c r="O2940" t="n">
        <v>0</v>
      </c>
      <c r="P2940" t="n">
        <v>0</v>
      </c>
      <c r="Q2940" t="n">
        <v>0</v>
      </c>
      <c r="R2940" s="2" t="inlineStr"/>
    </row>
    <row r="2941" ht="15" customHeight="1">
      <c r="A2941" t="inlineStr">
        <is>
          <t>A 22138-2024</t>
        </is>
      </c>
      <c r="B2941" s="1" t="n">
        <v>45445</v>
      </c>
      <c r="C2941" s="1" t="n">
        <v>45718</v>
      </c>
      <c r="D2941" t="inlineStr">
        <is>
          <t>JÄMTLANDS LÄN</t>
        </is>
      </c>
      <c r="E2941" t="inlineStr">
        <is>
          <t>STRÖMSUND</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22141-2024</t>
        </is>
      </c>
      <c r="B2942" s="1" t="n">
        <v>45445</v>
      </c>
      <c r="C2942" s="1" t="n">
        <v>45718</v>
      </c>
      <c r="D2942" t="inlineStr">
        <is>
          <t>JÄMTLANDS LÄN</t>
        </is>
      </c>
      <c r="E2942" t="inlineStr">
        <is>
          <t>STRÖMSUND</t>
        </is>
      </c>
      <c r="F2942" t="inlineStr">
        <is>
          <t>SCA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22140-2024</t>
        </is>
      </c>
      <c r="B2943" s="1" t="n">
        <v>45445</v>
      </c>
      <c r="C2943" s="1" t="n">
        <v>45718</v>
      </c>
      <c r="D2943" t="inlineStr">
        <is>
          <t>JÄMTLANDS LÄN</t>
        </is>
      </c>
      <c r="E2943" t="inlineStr">
        <is>
          <t>STRÖMSUND</t>
        </is>
      </c>
      <c r="F2943" t="inlineStr">
        <is>
          <t>SCA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22451-2024</t>
        </is>
      </c>
      <c r="B2944" s="1" t="n">
        <v>45447</v>
      </c>
      <c r="C2944" s="1" t="n">
        <v>45718</v>
      </c>
      <c r="D2944" t="inlineStr">
        <is>
          <t>JÄMTLANDS LÄN</t>
        </is>
      </c>
      <c r="E2944" t="inlineStr">
        <is>
          <t>STRÖMSUND</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22445-2024</t>
        </is>
      </c>
      <c r="B2945" s="1" t="n">
        <v>45447</v>
      </c>
      <c r="C2945" s="1" t="n">
        <v>45718</v>
      </c>
      <c r="D2945" t="inlineStr">
        <is>
          <t>JÄMTLANDS LÄN</t>
        </is>
      </c>
      <c r="E2945" t="inlineStr">
        <is>
          <t>STRÖMSUND</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22481-2024</t>
        </is>
      </c>
      <c r="B2946" s="1" t="n">
        <v>45447</v>
      </c>
      <c r="C2946" s="1" t="n">
        <v>45718</v>
      </c>
      <c r="D2946" t="inlineStr">
        <is>
          <t>JÄMTLANDS LÄN</t>
        </is>
      </c>
      <c r="E2946" t="inlineStr">
        <is>
          <t>STRÖMSUND</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22477-2024</t>
        </is>
      </c>
      <c r="B2947" s="1" t="n">
        <v>45447</v>
      </c>
      <c r="C2947" s="1" t="n">
        <v>45718</v>
      </c>
      <c r="D2947" t="inlineStr">
        <is>
          <t>JÄMTLANDS LÄN</t>
        </is>
      </c>
      <c r="E2947" t="inlineStr">
        <is>
          <t>STRÖMSUND</t>
        </is>
      </c>
      <c r="F2947" t="inlineStr">
        <is>
          <t>SCA</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22453-2024</t>
        </is>
      </c>
      <c r="B2948" s="1" t="n">
        <v>45447</v>
      </c>
      <c r="C2948" s="1" t="n">
        <v>45718</v>
      </c>
      <c r="D2948" t="inlineStr">
        <is>
          <t>JÄMTLANDS LÄN</t>
        </is>
      </c>
      <c r="E2948" t="inlineStr">
        <is>
          <t>STRÖMSUND</t>
        </is>
      </c>
      <c r="F2948" t="inlineStr">
        <is>
          <t>SCA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22444-2024</t>
        </is>
      </c>
      <c r="B2949" s="1" t="n">
        <v>45447</v>
      </c>
      <c r="C2949" s="1" t="n">
        <v>45718</v>
      </c>
      <c r="D2949" t="inlineStr">
        <is>
          <t>JÄMTLANDS LÄN</t>
        </is>
      </c>
      <c r="E2949" t="inlineStr">
        <is>
          <t>STRÖMSUND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22452-2024</t>
        </is>
      </c>
      <c r="B2950" s="1" t="n">
        <v>45447</v>
      </c>
      <c r="C2950" s="1" t="n">
        <v>45718</v>
      </c>
      <c r="D2950" t="inlineStr">
        <is>
          <t>JÄMTLANDS LÄN</t>
        </is>
      </c>
      <c r="E2950" t="inlineStr">
        <is>
          <t>STRÖMSUND</t>
        </is>
      </c>
      <c r="F2950" t="inlineStr">
        <is>
          <t>SCA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22676-2024</t>
        </is>
      </c>
      <c r="B2951" s="1" t="n">
        <v>45448</v>
      </c>
      <c r="C2951" s="1" t="n">
        <v>45718</v>
      </c>
      <c r="D2951" t="inlineStr">
        <is>
          <t>JÄMTLANDS LÄN</t>
        </is>
      </c>
      <c r="E2951" t="inlineStr">
        <is>
          <t>STRÖMSUND</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22643-2024</t>
        </is>
      </c>
      <c r="B2952" s="1" t="n">
        <v>45447</v>
      </c>
      <c r="C2952" s="1" t="n">
        <v>45718</v>
      </c>
      <c r="D2952" t="inlineStr">
        <is>
          <t>JÄMTLANDS LÄN</t>
        </is>
      </c>
      <c r="E2952" t="inlineStr">
        <is>
          <t>STRÖMSUND</t>
        </is>
      </c>
      <c r="F2952" t="inlineStr">
        <is>
          <t>Holmen skog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22651-2024</t>
        </is>
      </c>
      <c r="B2953" s="1" t="n">
        <v>45447</v>
      </c>
      <c r="C2953" s="1" t="n">
        <v>45718</v>
      </c>
      <c r="D2953" t="inlineStr">
        <is>
          <t>JÄMTLANDS LÄN</t>
        </is>
      </c>
      <c r="E2953" t="inlineStr">
        <is>
          <t>STRÖMSUND</t>
        </is>
      </c>
      <c r="F2953" t="inlineStr">
        <is>
          <t>Holmen skog AB</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23531-2024</t>
        </is>
      </c>
      <c r="B2954" s="1" t="n">
        <v>45454</v>
      </c>
      <c r="C2954" s="1" t="n">
        <v>45718</v>
      </c>
      <c r="D2954" t="inlineStr">
        <is>
          <t>JÄMTLANDS LÄN</t>
        </is>
      </c>
      <c r="E2954" t="inlineStr">
        <is>
          <t>STRÖMSUND</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23675-2024</t>
        </is>
      </c>
      <c r="B2955" s="1" t="n">
        <v>45454</v>
      </c>
      <c r="C2955" s="1" t="n">
        <v>45718</v>
      </c>
      <c r="D2955" t="inlineStr">
        <is>
          <t>JÄMTLANDS LÄN</t>
        </is>
      </c>
      <c r="E2955" t="inlineStr">
        <is>
          <t>STRÖMSUND</t>
        </is>
      </c>
      <c r="F2955" t="inlineStr">
        <is>
          <t>Holmen skog AB</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23735-2024</t>
        </is>
      </c>
      <c r="B2956" s="1" t="n">
        <v>45455</v>
      </c>
      <c r="C2956" s="1" t="n">
        <v>45718</v>
      </c>
      <c r="D2956" t="inlineStr">
        <is>
          <t>JÄMTLANDS LÄN</t>
        </is>
      </c>
      <c r="E2956" t="inlineStr">
        <is>
          <t>STRÖMSUND</t>
        </is>
      </c>
      <c r="F2956" t="inlineStr">
        <is>
          <t>SCA</t>
        </is>
      </c>
      <c r="G2956" t="n">
        <v>12.3</v>
      </c>
      <c r="H2956" t="n">
        <v>0</v>
      </c>
      <c r="I2956" t="n">
        <v>0</v>
      </c>
      <c r="J2956" t="n">
        <v>0</v>
      </c>
      <c r="K2956" t="n">
        <v>0</v>
      </c>
      <c r="L2956" t="n">
        <v>0</v>
      </c>
      <c r="M2956" t="n">
        <v>0</v>
      </c>
      <c r="N2956" t="n">
        <v>0</v>
      </c>
      <c r="O2956" t="n">
        <v>0</v>
      </c>
      <c r="P2956" t="n">
        <v>0</v>
      </c>
      <c r="Q2956" t="n">
        <v>0</v>
      </c>
      <c r="R2956" s="2" t="inlineStr"/>
    </row>
    <row r="2957" ht="15" customHeight="1">
      <c r="A2957" t="inlineStr">
        <is>
          <t>A 23728-2024</t>
        </is>
      </c>
      <c r="B2957" s="1" t="n">
        <v>45455</v>
      </c>
      <c r="C2957" s="1" t="n">
        <v>45718</v>
      </c>
      <c r="D2957" t="inlineStr">
        <is>
          <t>JÄMTLANDS LÄN</t>
        </is>
      </c>
      <c r="E2957" t="inlineStr">
        <is>
          <t>STRÖMSUND</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23941-2024</t>
        </is>
      </c>
      <c r="B2958" s="1" t="n">
        <v>45456</v>
      </c>
      <c r="C2958" s="1" t="n">
        <v>45718</v>
      </c>
      <c r="D2958" t="inlineStr">
        <is>
          <t>JÄMTLANDS LÄN</t>
        </is>
      </c>
      <c r="E2958" t="inlineStr">
        <is>
          <t>STRÖMSUND</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23922-2024</t>
        </is>
      </c>
      <c r="B2959" s="1" t="n">
        <v>45456</v>
      </c>
      <c r="C2959" s="1" t="n">
        <v>45718</v>
      </c>
      <c r="D2959" t="inlineStr">
        <is>
          <t>JÄMTLANDS LÄN</t>
        </is>
      </c>
      <c r="E2959" t="inlineStr">
        <is>
          <t>STRÖMSUND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23934-2024</t>
        </is>
      </c>
      <c r="B2960" s="1" t="n">
        <v>45456</v>
      </c>
      <c r="C2960" s="1" t="n">
        <v>45718</v>
      </c>
      <c r="D2960" t="inlineStr">
        <is>
          <t>JÄMTLANDS LÄN</t>
        </is>
      </c>
      <c r="E2960" t="inlineStr">
        <is>
          <t>STRÖMSUND</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23942-2024</t>
        </is>
      </c>
      <c r="B2961" s="1" t="n">
        <v>45456</v>
      </c>
      <c r="C2961" s="1" t="n">
        <v>45718</v>
      </c>
      <c r="D2961" t="inlineStr">
        <is>
          <t>JÄMTLANDS LÄN</t>
        </is>
      </c>
      <c r="E2961" t="inlineStr">
        <is>
          <t>STRÖMSUND</t>
        </is>
      </c>
      <c r="F2961" t="inlineStr">
        <is>
          <t>SCA</t>
        </is>
      </c>
      <c r="G2961" t="n">
        <v>10.1</v>
      </c>
      <c r="H2961" t="n">
        <v>0</v>
      </c>
      <c r="I2961" t="n">
        <v>0</v>
      </c>
      <c r="J2961" t="n">
        <v>0</v>
      </c>
      <c r="K2961" t="n">
        <v>0</v>
      </c>
      <c r="L2961" t="n">
        <v>0</v>
      </c>
      <c r="M2961" t="n">
        <v>0</v>
      </c>
      <c r="N2961" t="n">
        <v>0</v>
      </c>
      <c r="O2961" t="n">
        <v>0</v>
      </c>
      <c r="P2961" t="n">
        <v>0</v>
      </c>
      <c r="Q2961" t="n">
        <v>0</v>
      </c>
      <c r="R2961" s="2" t="inlineStr"/>
    </row>
    <row r="2962" ht="15" customHeight="1">
      <c r="A2962" t="inlineStr">
        <is>
          <t>A 24060-2024</t>
        </is>
      </c>
      <c r="B2962" s="1" t="n">
        <v>45456</v>
      </c>
      <c r="C2962" s="1" t="n">
        <v>45718</v>
      </c>
      <c r="D2962" t="inlineStr">
        <is>
          <t>JÄMTLANDS LÄN</t>
        </is>
      </c>
      <c r="E2962" t="inlineStr">
        <is>
          <t>STRÖMSUND</t>
        </is>
      </c>
      <c r="F2962" t="inlineStr">
        <is>
          <t>Holmen skog AB</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24042-2024</t>
        </is>
      </c>
      <c r="B2963" s="1" t="n">
        <v>45456</v>
      </c>
      <c r="C2963" s="1" t="n">
        <v>45718</v>
      </c>
      <c r="D2963" t="inlineStr">
        <is>
          <t>JÄMTLANDS LÄN</t>
        </is>
      </c>
      <c r="E2963" t="inlineStr">
        <is>
          <t>STRÖMSUND</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24059-2024</t>
        </is>
      </c>
      <c r="B2964" s="1" t="n">
        <v>45456</v>
      </c>
      <c r="C2964" s="1" t="n">
        <v>45718</v>
      </c>
      <c r="D2964" t="inlineStr">
        <is>
          <t>JÄMTLANDS LÄN</t>
        </is>
      </c>
      <c r="E2964" t="inlineStr">
        <is>
          <t>STRÖMSUND</t>
        </is>
      </c>
      <c r="F2964" t="inlineStr">
        <is>
          <t>Holmen skog AB</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24206-2024</t>
        </is>
      </c>
      <c r="B2965" s="1" t="n">
        <v>45456</v>
      </c>
      <c r="C2965" s="1" t="n">
        <v>45718</v>
      </c>
      <c r="D2965" t="inlineStr">
        <is>
          <t>JÄMTLANDS LÄN</t>
        </is>
      </c>
      <c r="E2965" t="inlineStr">
        <is>
          <t>STRÖMSUND</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24214-2024</t>
        </is>
      </c>
      <c r="B2966" s="1" t="n">
        <v>45457</v>
      </c>
      <c r="C2966" s="1" t="n">
        <v>45718</v>
      </c>
      <c r="D2966" t="inlineStr">
        <is>
          <t>JÄMTLANDS LÄN</t>
        </is>
      </c>
      <c r="E2966" t="inlineStr">
        <is>
          <t>STRÖMSUND</t>
        </is>
      </c>
      <c r="F2966" t="inlineStr">
        <is>
          <t>Holmen skog AB</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24430-2024</t>
        </is>
      </c>
      <c r="B2967" s="1" t="n">
        <v>45458</v>
      </c>
      <c r="C2967" s="1" t="n">
        <v>45718</v>
      </c>
      <c r="D2967" t="inlineStr">
        <is>
          <t>JÄMTLANDS LÄN</t>
        </is>
      </c>
      <c r="E2967" t="inlineStr">
        <is>
          <t>STRÖMSUND</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24438-2024</t>
        </is>
      </c>
      <c r="B2968" s="1" t="n">
        <v>45458</v>
      </c>
      <c r="C2968" s="1" t="n">
        <v>45718</v>
      </c>
      <c r="D2968" t="inlineStr">
        <is>
          <t>JÄMTLANDS LÄN</t>
        </is>
      </c>
      <c r="E2968" t="inlineStr">
        <is>
          <t>STRÖMSUND</t>
        </is>
      </c>
      <c r="F2968" t="inlineStr">
        <is>
          <t>SCA</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24311-2024</t>
        </is>
      </c>
      <c r="B2969" s="1" t="n">
        <v>45457</v>
      </c>
      <c r="C2969" s="1" t="n">
        <v>45718</v>
      </c>
      <c r="D2969" t="inlineStr">
        <is>
          <t>JÄMTLANDS LÄN</t>
        </is>
      </c>
      <c r="E2969" t="inlineStr">
        <is>
          <t>STRÖMSUND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24429-2024</t>
        </is>
      </c>
      <c r="B2970" s="1" t="n">
        <v>45458</v>
      </c>
      <c r="C2970" s="1" t="n">
        <v>45718</v>
      </c>
      <c r="D2970" t="inlineStr">
        <is>
          <t>JÄMTLANDS LÄN</t>
        </is>
      </c>
      <c r="E2970" t="inlineStr">
        <is>
          <t>STRÖMSUND</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24804-2024</t>
        </is>
      </c>
      <c r="B2971" s="1" t="n">
        <v>45461</v>
      </c>
      <c r="C2971" s="1" t="n">
        <v>45718</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24800-2024</t>
        </is>
      </c>
      <c r="B2972" s="1" t="n">
        <v>45461</v>
      </c>
      <c r="C2972" s="1" t="n">
        <v>45718</v>
      </c>
      <c r="D2972" t="inlineStr">
        <is>
          <t>JÄMTLANDS LÄN</t>
        </is>
      </c>
      <c r="E2972" t="inlineStr">
        <is>
          <t>STRÖMSUND</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24802-2024</t>
        </is>
      </c>
      <c r="B2973" s="1" t="n">
        <v>45461</v>
      </c>
      <c r="C2973" s="1" t="n">
        <v>45718</v>
      </c>
      <c r="D2973" t="inlineStr">
        <is>
          <t>JÄMTLANDS LÄN</t>
        </is>
      </c>
      <c r="E2973" t="inlineStr">
        <is>
          <t>STRÖMSUND</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24801-2024</t>
        </is>
      </c>
      <c r="B2974" s="1" t="n">
        <v>45461</v>
      </c>
      <c r="C2974" s="1" t="n">
        <v>45718</v>
      </c>
      <c r="D2974" t="inlineStr">
        <is>
          <t>JÄMTLANDS LÄN</t>
        </is>
      </c>
      <c r="E2974" t="inlineStr">
        <is>
          <t>STRÖMSUND</t>
        </is>
      </c>
      <c r="F2974" t="inlineStr">
        <is>
          <t>SCA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24805-2024</t>
        </is>
      </c>
      <c r="B2975" s="1" t="n">
        <v>45461</v>
      </c>
      <c r="C2975" s="1" t="n">
        <v>45718</v>
      </c>
      <c r="D2975" t="inlineStr">
        <is>
          <t>JÄMTLANDS LÄN</t>
        </is>
      </c>
      <c r="E2975" t="inlineStr">
        <is>
          <t>STRÖMSUND</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25359-2024</t>
        </is>
      </c>
      <c r="B2976" s="1" t="n">
        <v>45463</v>
      </c>
      <c r="C2976" s="1" t="n">
        <v>45718</v>
      </c>
      <c r="D2976" t="inlineStr">
        <is>
          <t>JÄMTLANDS LÄN</t>
        </is>
      </c>
      <c r="E2976" t="inlineStr">
        <is>
          <t>STRÖMSUND</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25371-2024</t>
        </is>
      </c>
      <c r="B2977" s="1" t="n">
        <v>45463</v>
      </c>
      <c r="C2977" s="1" t="n">
        <v>45718</v>
      </c>
      <c r="D2977" t="inlineStr">
        <is>
          <t>JÄMTLANDS LÄN</t>
        </is>
      </c>
      <c r="E2977" t="inlineStr">
        <is>
          <t>STRÖMSUND</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25370-2024</t>
        </is>
      </c>
      <c r="B2978" s="1" t="n">
        <v>45463</v>
      </c>
      <c r="C2978" s="1" t="n">
        <v>45718</v>
      </c>
      <c r="D2978" t="inlineStr">
        <is>
          <t>JÄMTLANDS LÄN</t>
        </is>
      </c>
      <c r="E2978" t="inlineStr">
        <is>
          <t>STRÖMSUND</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25378-2024</t>
        </is>
      </c>
      <c r="B2979" s="1" t="n">
        <v>45463</v>
      </c>
      <c r="C2979" s="1" t="n">
        <v>45718</v>
      </c>
      <c r="D2979" t="inlineStr">
        <is>
          <t>JÄMTLANDS LÄN</t>
        </is>
      </c>
      <c r="E2979" t="inlineStr">
        <is>
          <t>STRÖMSUND</t>
        </is>
      </c>
      <c r="F2979" t="inlineStr">
        <is>
          <t>SCA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25365-2024</t>
        </is>
      </c>
      <c r="B2980" s="1" t="n">
        <v>45463</v>
      </c>
      <c r="C2980" s="1" t="n">
        <v>45718</v>
      </c>
      <c r="D2980" t="inlineStr">
        <is>
          <t>JÄMTLANDS LÄN</t>
        </is>
      </c>
      <c r="E2980" t="inlineStr">
        <is>
          <t>STRÖMSUND</t>
        </is>
      </c>
      <c r="F2980" t="inlineStr">
        <is>
          <t>SCA</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25361-2024</t>
        </is>
      </c>
      <c r="B2981" s="1" t="n">
        <v>45463</v>
      </c>
      <c r="C2981" s="1" t="n">
        <v>45718</v>
      </c>
      <c r="D2981" t="inlineStr">
        <is>
          <t>JÄMTLANDS LÄN</t>
        </is>
      </c>
      <c r="E2981" t="inlineStr">
        <is>
          <t>STRÖMSUND</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25587-2024</t>
        </is>
      </c>
      <c r="B2982" s="1" t="n">
        <v>45463</v>
      </c>
      <c r="C2982" s="1" t="n">
        <v>45718</v>
      </c>
      <c r="D2982" t="inlineStr">
        <is>
          <t>JÄMTLANDS LÄN</t>
        </is>
      </c>
      <c r="E2982" t="inlineStr">
        <is>
          <t>STRÖMSUND</t>
        </is>
      </c>
      <c r="F2982" t="inlineStr">
        <is>
          <t>Holmen skog AB</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25479-2024</t>
        </is>
      </c>
      <c r="B2983" s="1" t="n">
        <v>45463</v>
      </c>
      <c r="C2983" s="1" t="n">
        <v>45718</v>
      </c>
      <c r="D2983" t="inlineStr">
        <is>
          <t>JÄMTLANDS LÄN</t>
        </is>
      </c>
      <c r="E2983" t="inlineStr">
        <is>
          <t>STRÖMSUND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25445-2024</t>
        </is>
      </c>
      <c r="B2984" s="1" t="n">
        <v>45463</v>
      </c>
      <c r="C2984" s="1" t="n">
        <v>45718</v>
      </c>
      <c r="D2984" t="inlineStr">
        <is>
          <t>JÄMTLANDS LÄN</t>
        </is>
      </c>
      <c r="E2984" t="inlineStr">
        <is>
          <t>STRÖMSUND</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25999-2024</t>
        </is>
      </c>
      <c r="B2985" s="1" t="n">
        <v>45468</v>
      </c>
      <c r="C2985" s="1" t="n">
        <v>45718</v>
      </c>
      <c r="D2985" t="inlineStr">
        <is>
          <t>JÄMTLANDS LÄN</t>
        </is>
      </c>
      <c r="E2985" t="inlineStr">
        <is>
          <t>STRÖMSUND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26035-2024</t>
        </is>
      </c>
      <c r="B2986" s="1" t="n">
        <v>45468</v>
      </c>
      <c r="C2986" s="1" t="n">
        <v>45718</v>
      </c>
      <c r="D2986" t="inlineStr">
        <is>
          <t>JÄMTLANDS LÄN</t>
        </is>
      </c>
      <c r="E2986" t="inlineStr">
        <is>
          <t>STRÖMSUND</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26036-2024</t>
        </is>
      </c>
      <c r="B2987" s="1" t="n">
        <v>45468</v>
      </c>
      <c r="C2987" s="1" t="n">
        <v>45718</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26033-2024</t>
        </is>
      </c>
      <c r="B2988" s="1" t="n">
        <v>45468</v>
      </c>
      <c r="C2988" s="1" t="n">
        <v>45718</v>
      </c>
      <c r="D2988" t="inlineStr">
        <is>
          <t>JÄMTLANDS LÄN</t>
        </is>
      </c>
      <c r="E2988" t="inlineStr">
        <is>
          <t>STRÖMSUND</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26037-2024</t>
        </is>
      </c>
      <c r="B2989" s="1" t="n">
        <v>45468</v>
      </c>
      <c r="C2989" s="1" t="n">
        <v>45718</v>
      </c>
      <c r="D2989" t="inlineStr">
        <is>
          <t>JÄMTLANDS LÄN</t>
        </is>
      </c>
      <c r="E2989" t="inlineStr">
        <is>
          <t>STRÖMSUND</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26301-2024</t>
        </is>
      </c>
      <c r="B2990" s="1" t="n">
        <v>45469</v>
      </c>
      <c r="C2990" s="1" t="n">
        <v>45718</v>
      </c>
      <c r="D2990" t="inlineStr">
        <is>
          <t>JÄMTLANDS LÄN</t>
        </is>
      </c>
      <c r="E2990" t="inlineStr">
        <is>
          <t>STRÖMSUND</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26048-2024</t>
        </is>
      </c>
      <c r="B2991" s="1" t="n">
        <v>45468</v>
      </c>
      <c r="C2991" s="1" t="n">
        <v>45718</v>
      </c>
      <c r="D2991" t="inlineStr">
        <is>
          <t>JÄMTLANDS LÄN</t>
        </is>
      </c>
      <c r="E2991" t="inlineStr">
        <is>
          <t>STRÖMSUND</t>
        </is>
      </c>
      <c r="F2991" t="inlineStr">
        <is>
          <t>Holmen skog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26638-2024</t>
        </is>
      </c>
      <c r="B2992" s="1" t="n">
        <v>45470</v>
      </c>
      <c r="C2992" s="1" t="n">
        <v>45718</v>
      </c>
      <c r="D2992" t="inlineStr">
        <is>
          <t>JÄMTLANDS LÄN</t>
        </is>
      </c>
      <c r="E2992" t="inlineStr">
        <is>
          <t>STRÖMSUND</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26635-2024</t>
        </is>
      </c>
      <c r="B2993" s="1" t="n">
        <v>45470</v>
      </c>
      <c r="C2993" s="1" t="n">
        <v>45718</v>
      </c>
      <c r="D2993" t="inlineStr">
        <is>
          <t>JÄMTLANDS LÄN</t>
        </is>
      </c>
      <c r="E2993" t="inlineStr">
        <is>
          <t>STRÖMSUND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26667-2024</t>
        </is>
      </c>
      <c r="B2994" s="1" t="n">
        <v>45470</v>
      </c>
      <c r="C2994" s="1" t="n">
        <v>45718</v>
      </c>
      <c r="D2994" t="inlineStr">
        <is>
          <t>JÄMTLANDS LÄN</t>
        </is>
      </c>
      <c r="E2994" t="inlineStr">
        <is>
          <t>STRÖMSUND</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26665-2024</t>
        </is>
      </c>
      <c r="B2995" s="1" t="n">
        <v>45470</v>
      </c>
      <c r="C2995" s="1" t="n">
        <v>45718</v>
      </c>
      <c r="D2995" t="inlineStr">
        <is>
          <t>JÄMTLANDS LÄN</t>
        </is>
      </c>
      <c r="E2995" t="inlineStr">
        <is>
          <t>STRÖMSUND</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26663-2024</t>
        </is>
      </c>
      <c r="B2996" s="1" t="n">
        <v>45470</v>
      </c>
      <c r="C2996" s="1" t="n">
        <v>45718</v>
      </c>
      <c r="D2996" t="inlineStr">
        <is>
          <t>JÄMTLANDS LÄN</t>
        </is>
      </c>
      <c r="E2996" t="inlineStr">
        <is>
          <t>STRÖMSUND</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26650-2024</t>
        </is>
      </c>
      <c r="B2997" s="1" t="n">
        <v>45470</v>
      </c>
      <c r="C2997" s="1" t="n">
        <v>45718</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26666-2024</t>
        </is>
      </c>
      <c r="B2998" s="1" t="n">
        <v>45470</v>
      </c>
      <c r="C2998" s="1" t="n">
        <v>45718</v>
      </c>
      <c r="D2998" t="inlineStr">
        <is>
          <t>JÄMTLANDS LÄN</t>
        </is>
      </c>
      <c r="E2998" t="inlineStr">
        <is>
          <t>STRÖMSUND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26636-2024</t>
        </is>
      </c>
      <c r="B2999" s="1" t="n">
        <v>45470</v>
      </c>
      <c r="C2999" s="1" t="n">
        <v>45718</v>
      </c>
      <c r="D2999" t="inlineStr">
        <is>
          <t>JÄMTLANDS LÄN</t>
        </is>
      </c>
      <c r="E2999" t="inlineStr">
        <is>
          <t>STRÖMSUND</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26664-2024</t>
        </is>
      </c>
      <c r="B3000" s="1" t="n">
        <v>45470</v>
      </c>
      <c r="C3000" s="1" t="n">
        <v>45718</v>
      </c>
      <c r="D3000" t="inlineStr">
        <is>
          <t>JÄMTLANDS LÄN</t>
        </is>
      </c>
      <c r="E3000" t="inlineStr">
        <is>
          <t>STRÖMSUND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26934-2024</t>
        </is>
      </c>
      <c r="B3001" s="1" t="n">
        <v>45471</v>
      </c>
      <c r="C3001" s="1" t="n">
        <v>45718</v>
      </c>
      <c r="D3001" t="inlineStr">
        <is>
          <t>JÄMTLANDS LÄN</t>
        </is>
      </c>
      <c r="E3001" t="inlineStr">
        <is>
          <t>STRÖMSUND</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26960-2024</t>
        </is>
      </c>
      <c r="B3002" s="1" t="n">
        <v>45471</v>
      </c>
      <c r="C3002" s="1" t="n">
        <v>45718</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27121-2024</t>
        </is>
      </c>
      <c r="B3003" s="1" t="n">
        <v>45471</v>
      </c>
      <c r="C3003" s="1" t="n">
        <v>45718</v>
      </c>
      <c r="D3003" t="inlineStr">
        <is>
          <t>JÄMTLANDS LÄN</t>
        </is>
      </c>
      <c r="E3003" t="inlineStr">
        <is>
          <t>STRÖMSUND</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27276-2024</t>
        </is>
      </c>
      <c r="B3004" s="1" t="n">
        <v>45472</v>
      </c>
      <c r="C3004" s="1" t="n">
        <v>45718</v>
      </c>
      <c r="D3004" t="inlineStr">
        <is>
          <t>JÄMTLANDS LÄN</t>
        </is>
      </c>
      <c r="E3004" t="inlineStr">
        <is>
          <t>STRÖMSUND</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27298-2024</t>
        </is>
      </c>
      <c r="B3005" s="1" t="n">
        <v>45472</v>
      </c>
      <c r="C3005" s="1" t="n">
        <v>45718</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27279-2024</t>
        </is>
      </c>
      <c r="B3006" s="1" t="n">
        <v>45472</v>
      </c>
      <c r="C3006" s="1" t="n">
        <v>45718</v>
      </c>
      <c r="D3006" t="inlineStr">
        <is>
          <t>JÄMTLANDS LÄN</t>
        </is>
      </c>
      <c r="E3006" t="inlineStr">
        <is>
          <t>STRÖMSUND</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27323-2024</t>
        </is>
      </c>
      <c r="B3007" s="1" t="n">
        <v>45471</v>
      </c>
      <c r="C3007" s="1" t="n">
        <v>45718</v>
      </c>
      <c r="D3007" t="inlineStr">
        <is>
          <t>JÄMTLANDS LÄN</t>
        </is>
      </c>
      <c r="E3007" t="inlineStr">
        <is>
          <t>STRÖMSUND</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27587-2024</t>
        </is>
      </c>
      <c r="B3008" s="1" t="n">
        <v>45474</v>
      </c>
      <c r="C3008" s="1" t="n">
        <v>45718</v>
      </c>
      <c r="D3008" t="inlineStr">
        <is>
          <t>JÄMTLANDS LÄN</t>
        </is>
      </c>
      <c r="E3008" t="inlineStr">
        <is>
          <t>STRÖMSUND</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27643-2024</t>
        </is>
      </c>
      <c r="B3009" s="1" t="n">
        <v>45475</v>
      </c>
      <c r="C3009" s="1" t="n">
        <v>45718</v>
      </c>
      <c r="D3009" t="inlineStr">
        <is>
          <t>JÄMTLANDS LÄN</t>
        </is>
      </c>
      <c r="E3009" t="inlineStr">
        <is>
          <t>STRÖMSUND</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27640-2024</t>
        </is>
      </c>
      <c r="B3010" s="1" t="n">
        <v>45475</v>
      </c>
      <c r="C3010" s="1" t="n">
        <v>45718</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27648-2024</t>
        </is>
      </c>
      <c r="B3011" s="1" t="n">
        <v>45475</v>
      </c>
      <c r="C3011" s="1" t="n">
        <v>45718</v>
      </c>
      <c r="D3011" t="inlineStr">
        <is>
          <t>JÄMTLANDS LÄN</t>
        </is>
      </c>
      <c r="E3011" t="inlineStr">
        <is>
          <t>STRÖMSUND</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27664-2024</t>
        </is>
      </c>
      <c r="B3012" s="1" t="n">
        <v>45475</v>
      </c>
      <c r="C3012" s="1" t="n">
        <v>45718</v>
      </c>
      <c r="D3012" t="inlineStr">
        <is>
          <t>JÄMTLANDS LÄN</t>
        </is>
      </c>
      <c r="E3012" t="inlineStr">
        <is>
          <t>STRÖMSUND</t>
        </is>
      </c>
      <c r="F3012" t="inlineStr">
        <is>
          <t>SCA</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27638-2024</t>
        </is>
      </c>
      <c r="B3013" s="1" t="n">
        <v>45475</v>
      </c>
      <c r="C3013" s="1" t="n">
        <v>45718</v>
      </c>
      <c r="D3013" t="inlineStr">
        <is>
          <t>JÄMTLANDS LÄN</t>
        </is>
      </c>
      <c r="E3013" t="inlineStr">
        <is>
          <t>STRÖMSUND</t>
        </is>
      </c>
      <c r="F3013" t="inlineStr">
        <is>
          <t>SCA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27642-2024</t>
        </is>
      </c>
      <c r="B3014" s="1" t="n">
        <v>45475</v>
      </c>
      <c r="C3014" s="1" t="n">
        <v>45718</v>
      </c>
      <c r="D3014" t="inlineStr">
        <is>
          <t>JÄMTLANDS LÄN</t>
        </is>
      </c>
      <c r="E3014" t="inlineStr">
        <is>
          <t>STRÖMSUND</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27659-2024</t>
        </is>
      </c>
      <c r="B3015" s="1" t="n">
        <v>45475</v>
      </c>
      <c r="C3015" s="1" t="n">
        <v>45718</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27663-2024</t>
        </is>
      </c>
      <c r="B3016" s="1" t="n">
        <v>45475</v>
      </c>
      <c r="C3016" s="1" t="n">
        <v>45718</v>
      </c>
      <c r="D3016" t="inlineStr">
        <is>
          <t>JÄMTLANDS LÄN</t>
        </is>
      </c>
      <c r="E3016" t="inlineStr">
        <is>
          <t>STRÖMSUND</t>
        </is>
      </c>
      <c r="F3016" t="inlineStr">
        <is>
          <t>SCA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27637-2024</t>
        </is>
      </c>
      <c r="B3017" s="1" t="n">
        <v>45475</v>
      </c>
      <c r="C3017" s="1" t="n">
        <v>45718</v>
      </c>
      <c r="D3017" t="inlineStr">
        <is>
          <t>JÄMTLANDS LÄN</t>
        </is>
      </c>
      <c r="E3017" t="inlineStr">
        <is>
          <t>STRÖMSUND</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27649-2024</t>
        </is>
      </c>
      <c r="B3018" s="1" t="n">
        <v>45475</v>
      </c>
      <c r="C3018" s="1" t="n">
        <v>45718</v>
      </c>
      <c r="D3018" t="inlineStr">
        <is>
          <t>JÄMTLANDS LÄN</t>
        </is>
      </c>
      <c r="E3018" t="inlineStr">
        <is>
          <t>STRÖMSUND</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27665-2024</t>
        </is>
      </c>
      <c r="B3019" s="1" t="n">
        <v>45475</v>
      </c>
      <c r="C3019" s="1" t="n">
        <v>45718</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27898-2024</t>
        </is>
      </c>
      <c r="B3020" s="1" t="n">
        <v>45476</v>
      </c>
      <c r="C3020" s="1" t="n">
        <v>45718</v>
      </c>
      <c r="D3020" t="inlineStr">
        <is>
          <t>JÄMTLANDS LÄN</t>
        </is>
      </c>
      <c r="E3020" t="inlineStr">
        <is>
          <t>STRÖMSUND</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27923-2024</t>
        </is>
      </c>
      <c r="B3021" s="1" t="n">
        <v>45476</v>
      </c>
      <c r="C3021" s="1" t="n">
        <v>45718</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28174-2024</t>
        </is>
      </c>
      <c r="B3022" s="1" t="n">
        <v>45477</v>
      </c>
      <c r="C3022" s="1" t="n">
        <v>45718</v>
      </c>
      <c r="D3022" t="inlineStr">
        <is>
          <t>JÄMTLANDS LÄN</t>
        </is>
      </c>
      <c r="E3022" t="inlineStr">
        <is>
          <t>STRÖMSUND</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28510-2024</t>
        </is>
      </c>
      <c r="B3023" s="1" t="n">
        <v>45478</v>
      </c>
      <c r="C3023" s="1" t="n">
        <v>45718</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28443-2024</t>
        </is>
      </c>
      <c r="B3024" s="1" t="n">
        <v>45477</v>
      </c>
      <c r="C3024" s="1" t="n">
        <v>45718</v>
      </c>
      <c r="D3024" t="inlineStr">
        <is>
          <t>JÄMTLANDS LÄN</t>
        </is>
      </c>
      <c r="E3024" t="inlineStr">
        <is>
          <t>STRÖMSUND</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28511-2024</t>
        </is>
      </c>
      <c r="B3025" s="1" t="n">
        <v>45478</v>
      </c>
      <c r="C3025" s="1" t="n">
        <v>45718</v>
      </c>
      <c r="D3025" t="inlineStr">
        <is>
          <t>JÄMTLANDS LÄN</t>
        </is>
      </c>
      <c r="E3025" t="inlineStr">
        <is>
          <t>STRÖMSUND</t>
        </is>
      </c>
      <c r="F3025" t="inlineStr">
        <is>
          <t>SCA</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28602-2024</t>
        </is>
      </c>
      <c r="B3026" s="1" t="n">
        <v>45478</v>
      </c>
      <c r="C3026" s="1" t="n">
        <v>45718</v>
      </c>
      <c r="D3026" t="inlineStr">
        <is>
          <t>JÄMTLANDS LÄN</t>
        </is>
      </c>
      <c r="E3026" t="inlineStr">
        <is>
          <t>STRÖMSUND</t>
        </is>
      </c>
      <c r="G3026" t="n">
        <v>18.6</v>
      </c>
      <c r="H3026" t="n">
        <v>0</v>
      </c>
      <c r="I3026" t="n">
        <v>0</v>
      </c>
      <c r="J3026" t="n">
        <v>0</v>
      </c>
      <c r="K3026" t="n">
        <v>0</v>
      </c>
      <c r="L3026" t="n">
        <v>0</v>
      </c>
      <c r="M3026" t="n">
        <v>0</v>
      </c>
      <c r="N3026" t="n">
        <v>0</v>
      </c>
      <c r="O3026" t="n">
        <v>0</v>
      </c>
      <c r="P3026" t="n">
        <v>0</v>
      </c>
      <c r="Q3026" t="n">
        <v>0</v>
      </c>
      <c r="R3026" s="2" t="inlineStr"/>
    </row>
    <row r="3027" ht="15" customHeight="1">
      <c r="A3027" t="inlineStr">
        <is>
          <t>A 28865-2024</t>
        </is>
      </c>
      <c r="B3027" s="1" t="n">
        <v>45479</v>
      </c>
      <c r="C3027" s="1" t="n">
        <v>45718</v>
      </c>
      <c r="D3027" t="inlineStr">
        <is>
          <t>JÄMTLANDS LÄN</t>
        </is>
      </c>
      <c r="E3027" t="inlineStr">
        <is>
          <t>STRÖMSUND</t>
        </is>
      </c>
      <c r="F3027" t="inlineStr">
        <is>
          <t>SCA</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28874-2024</t>
        </is>
      </c>
      <c r="B3028" s="1" t="n">
        <v>45479</v>
      </c>
      <c r="C3028" s="1" t="n">
        <v>45718</v>
      </c>
      <c r="D3028" t="inlineStr">
        <is>
          <t>JÄMTLANDS LÄN</t>
        </is>
      </c>
      <c r="E3028" t="inlineStr">
        <is>
          <t>STRÖMSUND</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28878-2024</t>
        </is>
      </c>
      <c r="B3029" s="1" t="n">
        <v>45479</v>
      </c>
      <c r="C3029" s="1" t="n">
        <v>45718</v>
      </c>
      <c r="D3029" t="inlineStr">
        <is>
          <t>JÄMTLANDS LÄN</t>
        </is>
      </c>
      <c r="E3029" t="inlineStr">
        <is>
          <t>STRÖMSUND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28864-2024</t>
        </is>
      </c>
      <c r="B3030" s="1" t="n">
        <v>45479</v>
      </c>
      <c r="C3030" s="1" t="n">
        <v>45718</v>
      </c>
      <c r="D3030" t="inlineStr">
        <is>
          <t>JÄMTLANDS LÄN</t>
        </is>
      </c>
      <c r="E3030" t="inlineStr">
        <is>
          <t>STRÖMSUND</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29113-2024</t>
        </is>
      </c>
      <c r="B3031" s="1" t="n">
        <v>45482</v>
      </c>
      <c r="C3031" s="1" t="n">
        <v>45718</v>
      </c>
      <c r="D3031" t="inlineStr">
        <is>
          <t>JÄMTLANDS LÄN</t>
        </is>
      </c>
      <c r="E3031" t="inlineStr">
        <is>
          <t>STRÖMSUND</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29096-2024</t>
        </is>
      </c>
      <c r="B3032" s="1" t="n">
        <v>45482</v>
      </c>
      <c r="C3032" s="1" t="n">
        <v>45718</v>
      </c>
      <c r="D3032" t="inlineStr">
        <is>
          <t>JÄMTLANDS LÄN</t>
        </is>
      </c>
      <c r="E3032" t="inlineStr">
        <is>
          <t>STRÖMSUND</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29091-2024</t>
        </is>
      </c>
      <c r="B3033" s="1" t="n">
        <v>45482</v>
      </c>
      <c r="C3033" s="1" t="n">
        <v>45718</v>
      </c>
      <c r="D3033" t="inlineStr">
        <is>
          <t>JÄMTLANDS LÄN</t>
        </is>
      </c>
      <c r="E3033" t="inlineStr">
        <is>
          <t>STRÖMSUND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29107-2024</t>
        </is>
      </c>
      <c r="B3034" s="1" t="n">
        <v>45482</v>
      </c>
      <c r="C3034" s="1" t="n">
        <v>45718</v>
      </c>
      <c r="D3034" t="inlineStr">
        <is>
          <t>JÄMTLANDS LÄN</t>
        </is>
      </c>
      <c r="E3034" t="inlineStr">
        <is>
          <t>STRÖMSUND</t>
        </is>
      </c>
      <c r="F3034" t="inlineStr">
        <is>
          <t>SCA</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29098-2024</t>
        </is>
      </c>
      <c r="B3035" s="1" t="n">
        <v>45482</v>
      </c>
      <c r="C3035" s="1" t="n">
        <v>45718</v>
      </c>
      <c r="D3035" t="inlineStr">
        <is>
          <t>JÄMTLANDS LÄN</t>
        </is>
      </c>
      <c r="E3035" t="inlineStr">
        <is>
          <t>STRÖMSUND</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29097-2024</t>
        </is>
      </c>
      <c r="B3036" s="1" t="n">
        <v>45482</v>
      </c>
      <c r="C3036" s="1" t="n">
        <v>45718</v>
      </c>
      <c r="D3036" t="inlineStr">
        <is>
          <t>JÄMTLANDS LÄN</t>
        </is>
      </c>
      <c r="E3036" t="inlineStr">
        <is>
          <t>STRÖMSUND</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29221-2024</t>
        </is>
      </c>
      <c r="B3037" s="1" t="n">
        <v>45482</v>
      </c>
      <c r="C3037" s="1" t="n">
        <v>45718</v>
      </c>
      <c r="D3037" t="inlineStr">
        <is>
          <t>JÄMTLANDS LÄN</t>
        </is>
      </c>
      <c r="E3037" t="inlineStr">
        <is>
          <t>STRÖMSUND</t>
        </is>
      </c>
      <c r="G3037" t="n">
        <v>39.4</v>
      </c>
      <c r="H3037" t="n">
        <v>0</v>
      </c>
      <c r="I3037" t="n">
        <v>0</v>
      </c>
      <c r="J3037" t="n">
        <v>0</v>
      </c>
      <c r="K3037" t="n">
        <v>0</v>
      </c>
      <c r="L3037" t="n">
        <v>0</v>
      </c>
      <c r="M3037" t="n">
        <v>0</v>
      </c>
      <c r="N3037" t="n">
        <v>0</v>
      </c>
      <c r="O3037" t="n">
        <v>0</v>
      </c>
      <c r="P3037" t="n">
        <v>0</v>
      </c>
      <c r="Q3037" t="n">
        <v>0</v>
      </c>
      <c r="R3037" s="2" t="inlineStr"/>
    </row>
    <row r="3038" ht="15" customHeight="1">
      <c r="A3038" t="inlineStr">
        <is>
          <t>A 29274-2024</t>
        </is>
      </c>
      <c r="B3038" s="1" t="n">
        <v>45483</v>
      </c>
      <c r="C3038" s="1" t="n">
        <v>45718</v>
      </c>
      <c r="D3038" t="inlineStr">
        <is>
          <t>JÄMTLANDS LÄN</t>
        </is>
      </c>
      <c r="E3038" t="inlineStr">
        <is>
          <t>STRÖMSUND</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29242-2024</t>
        </is>
      </c>
      <c r="B3039" s="1" t="n">
        <v>45483</v>
      </c>
      <c r="C3039" s="1" t="n">
        <v>45718</v>
      </c>
      <c r="D3039" t="inlineStr">
        <is>
          <t>JÄMTLANDS LÄN</t>
        </is>
      </c>
      <c r="E3039" t="inlineStr">
        <is>
          <t>STRÖMSUND</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29171-2024</t>
        </is>
      </c>
      <c r="B3040" s="1" t="n">
        <v>45482</v>
      </c>
      <c r="C3040" s="1" t="n">
        <v>45718</v>
      </c>
      <c r="D3040" t="inlineStr">
        <is>
          <t>JÄMTLANDS LÄN</t>
        </is>
      </c>
      <c r="E3040" t="inlineStr">
        <is>
          <t>STRÖMSUND</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29266-2024</t>
        </is>
      </c>
      <c r="B3041" s="1" t="n">
        <v>45483</v>
      </c>
      <c r="C3041" s="1" t="n">
        <v>45718</v>
      </c>
      <c r="D3041" t="inlineStr">
        <is>
          <t>JÄMTLANDS LÄN</t>
        </is>
      </c>
      <c r="E3041" t="inlineStr">
        <is>
          <t>STRÖMSUND</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29243-2024</t>
        </is>
      </c>
      <c r="B3042" s="1" t="n">
        <v>45483</v>
      </c>
      <c r="C3042" s="1" t="n">
        <v>45718</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29273-2024</t>
        </is>
      </c>
      <c r="B3043" s="1" t="n">
        <v>45483</v>
      </c>
      <c r="C3043" s="1" t="n">
        <v>45718</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29413-2024</t>
        </is>
      </c>
      <c r="B3044" s="1" t="n">
        <v>45483</v>
      </c>
      <c r="C3044" s="1" t="n">
        <v>45718</v>
      </c>
      <c r="D3044" t="inlineStr">
        <is>
          <t>JÄMTLANDS LÄN</t>
        </is>
      </c>
      <c r="E3044" t="inlineStr">
        <is>
          <t>STRÖMSUND</t>
        </is>
      </c>
      <c r="G3044" t="n">
        <v>18.1</v>
      </c>
      <c r="H3044" t="n">
        <v>0</v>
      </c>
      <c r="I3044" t="n">
        <v>0</v>
      </c>
      <c r="J3044" t="n">
        <v>0</v>
      </c>
      <c r="K3044" t="n">
        <v>0</v>
      </c>
      <c r="L3044" t="n">
        <v>0</v>
      </c>
      <c r="M3044" t="n">
        <v>0</v>
      </c>
      <c r="N3044" t="n">
        <v>0</v>
      </c>
      <c r="O3044" t="n">
        <v>0</v>
      </c>
      <c r="P3044" t="n">
        <v>0</v>
      </c>
      <c r="Q3044" t="n">
        <v>0</v>
      </c>
      <c r="R3044" s="2" t="inlineStr"/>
    </row>
    <row r="3045" ht="15" customHeight="1">
      <c r="A3045" t="inlineStr">
        <is>
          <t>A 29669-2024</t>
        </is>
      </c>
      <c r="B3045" s="1" t="n">
        <v>45485</v>
      </c>
      <c r="C3045" s="1" t="n">
        <v>45718</v>
      </c>
      <c r="D3045" t="inlineStr">
        <is>
          <t>JÄMTLANDS LÄN</t>
        </is>
      </c>
      <c r="E3045" t="inlineStr">
        <is>
          <t>STRÖMSUND</t>
        </is>
      </c>
      <c r="F3045" t="inlineStr">
        <is>
          <t>SCA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29671-2024</t>
        </is>
      </c>
      <c r="B3046" s="1" t="n">
        <v>45485</v>
      </c>
      <c r="C3046" s="1" t="n">
        <v>45718</v>
      </c>
      <c r="D3046" t="inlineStr">
        <is>
          <t>JÄMTLANDS LÄN</t>
        </is>
      </c>
      <c r="E3046" t="inlineStr">
        <is>
          <t>STRÖMSUND</t>
        </is>
      </c>
      <c r="F3046" t="inlineStr">
        <is>
          <t>SCA</t>
        </is>
      </c>
      <c r="G3046" t="n">
        <v>42.3</v>
      </c>
      <c r="H3046" t="n">
        <v>0</v>
      </c>
      <c r="I3046" t="n">
        <v>0</v>
      </c>
      <c r="J3046" t="n">
        <v>0</v>
      </c>
      <c r="K3046" t="n">
        <v>0</v>
      </c>
      <c r="L3046" t="n">
        <v>0</v>
      </c>
      <c r="M3046" t="n">
        <v>0</v>
      </c>
      <c r="N3046" t="n">
        <v>0</v>
      </c>
      <c r="O3046" t="n">
        <v>0</v>
      </c>
      <c r="P3046" t="n">
        <v>0</v>
      </c>
      <c r="Q3046" t="n">
        <v>0</v>
      </c>
      <c r="R3046" s="2" t="inlineStr"/>
    </row>
    <row r="3047" ht="15" customHeight="1">
      <c r="A3047" t="inlineStr">
        <is>
          <t>A 29670-2024</t>
        </is>
      </c>
      <c r="B3047" s="1" t="n">
        <v>45485</v>
      </c>
      <c r="C3047" s="1" t="n">
        <v>45718</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29668-2024</t>
        </is>
      </c>
      <c r="B3048" s="1" t="n">
        <v>45485</v>
      </c>
      <c r="C3048" s="1" t="n">
        <v>45718</v>
      </c>
      <c r="D3048" t="inlineStr">
        <is>
          <t>JÄMTLANDS LÄN</t>
        </is>
      </c>
      <c r="E3048" t="inlineStr">
        <is>
          <t>STRÖMSUND</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29487-2024</t>
        </is>
      </c>
      <c r="B3049" s="1" t="n">
        <v>45484</v>
      </c>
      <c r="C3049" s="1" t="n">
        <v>45718</v>
      </c>
      <c r="D3049" t="inlineStr">
        <is>
          <t>JÄMTLANDS LÄN</t>
        </is>
      </c>
      <c r="E3049" t="inlineStr">
        <is>
          <t>STRÖMSUND</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29586-2024</t>
        </is>
      </c>
      <c r="B3050" s="1" t="n">
        <v>45484</v>
      </c>
      <c r="C3050" s="1" t="n">
        <v>45718</v>
      </c>
      <c r="D3050" t="inlineStr">
        <is>
          <t>JÄMTLANDS LÄN</t>
        </is>
      </c>
      <c r="E3050" t="inlineStr">
        <is>
          <t>STRÖMSUND</t>
        </is>
      </c>
      <c r="F3050" t="inlineStr">
        <is>
          <t>Holmen skog AB</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29875-2024</t>
        </is>
      </c>
      <c r="B3051" s="1" t="n">
        <v>45486</v>
      </c>
      <c r="C3051" s="1" t="n">
        <v>45718</v>
      </c>
      <c r="D3051" t="inlineStr">
        <is>
          <t>JÄMTLANDS LÄN</t>
        </is>
      </c>
      <c r="E3051" t="inlineStr">
        <is>
          <t>STRÖMSUND</t>
        </is>
      </c>
      <c r="G3051" t="n">
        <v>9</v>
      </c>
      <c r="H3051" t="n">
        <v>0</v>
      </c>
      <c r="I3051" t="n">
        <v>0</v>
      </c>
      <c r="J3051" t="n">
        <v>0</v>
      </c>
      <c r="K3051" t="n">
        <v>0</v>
      </c>
      <c r="L3051" t="n">
        <v>0</v>
      </c>
      <c r="M3051" t="n">
        <v>0</v>
      </c>
      <c r="N3051" t="n">
        <v>0</v>
      </c>
      <c r="O3051" t="n">
        <v>0</v>
      </c>
      <c r="P3051" t="n">
        <v>0</v>
      </c>
      <c r="Q3051" t="n">
        <v>0</v>
      </c>
      <c r="R3051" s="2" t="inlineStr"/>
    </row>
    <row r="3052" ht="15" customHeight="1">
      <c r="A3052" t="inlineStr">
        <is>
          <t>A 30062-2024</t>
        </is>
      </c>
      <c r="B3052" s="1" t="n">
        <v>45489</v>
      </c>
      <c r="C3052" s="1" t="n">
        <v>45718</v>
      </c>
      <c r="D3052" t="inlineStr">
        <is>
          <t>JÄMTLANDS LÄN</t>
        </is>
      </c>
      <c r="E3052" t="inlineStr">
        <is>
          <t>STRÖMSUND</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30064-2024</t>
        </is>
      </c>
      <c r="B3053" s="1" t="n">
        <v>45489</v>
      </c>
      <c r="C3053" s="1" t="n">
        <v>45718</v>
      </c>
      <c r="D3053" t="inlineStr">
        <is>
          <t>JÄMTLANDS LÄN</t>
        </is>
      </c>
      <c r="E3053" t="inlineStr">
        <is>
          <t>STRÖMSUND</t>
        </is>
      </c>
      <c r="F3053" t="inlineStr">
        <is>
          <t>SCA</t>
        </is>
      </c>
      <c r="G3053" t="n">
        <v>10.2</v>
      </c>
      <c r="H3053" t="n">
        <v>0</v>
      </c>
      <c r="I3053" t="n">
        <v>0</v>
      </c>
      <c r="J3053" t="n">
        <v>0</v>
      </c>
      <c r="K3053" t="n">
        <v>0</v>
      </c>
      <c r="L3053" t="n">
        <v>0</v>
      </c>
      <c r="M3053" t="n">
        <v>0</v>
      </c>
      <c r="N3053" t="n">
        <v>0</v>
      </c>
      <c r="O3053" t="n">
        <v>0</v>
      </c>
      <c r="P3053" t="n">
        <v>0</v>
      </c>
      <c r="Q3053" t="n">
        <v>0</v>
      </c>
      <c r="R3053" s="2" t="inlineStr"/>
    </row>
    <row r="3054" ht="15" customHeight="1">
      <c r="A3054" t="inlineStr">
        <is>
          <t>A 30354-2024</t>
        </is>
      </c>
      <c r="B3054" s="1" t="n">
        <v>45491</v>
      </c>
      <c r="C3054" s="1" t="n">
        <v>45718</v>
      </c>
      <c r="D3054" t="inlineStr">
        <is>
          <t>JÄMTLANDS LÄN</t>
        </is>
      </c>
      <c r="E3054" t="inlineStr">
        <is>
          <t>STRÖMSUND</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30330-2024</t>
        </is>
      </c>
      <c r="B3055" s="1" t="n">
        <v>45491</v>
      </c>
      <c r="C3055" s="1" t="n">
        <v>45718</v>
      </c>
      <c r="D3055" t="inlineStr">
        <is>
          <t>JÄMTLANDS LÄN</t>
        </is>
      </c>
      <c r="E3055" t="inlineStr">
        <is>
          <t>STRÖMSUND</t>
        </is>
      </c>
      <c r="F3055" t="inlineStr">
        <is>
          <t>SCA</t>
        </is>
      </c>
      <c r="G3055" t="n">
        <v>8.9</v>
      </c>
      <c r="H3055" t="n">
        <v>0</v>
      </c>
      <c r="I3055" t="n">
        <v>0</v>
      </c>
      <c r="J3055" t="n">
        <v>0</v>
      </c>
      <c r="K3055" t="n">
        <v>0</v>
      </c>
      <c r="L3055" t="n">
        <v>0</v>
      </c>
      <c r="M3055" t="n">
        <v>0</v>
      </c>
      <c r="N3055" t="n">
        <v>0</v>
      </c>
      <c r="O3055" t="n">
        <v>0</v>
      </c>
      <c r="P3055" t="n">
        <v>0</v>
      </c>
      <c r="Q3055" t="n">
        <v>0</v>
      </c>
      <c r="R3055" s="2" t="inlineStr"/>
    </row>
    <row r="3056" ht="15" customHeight="1">
      <c r="A3056" t="inlineStr">
        <is>
          <t>A 30352-2024</t>
        </is>
      </c>
      <c r="B3056" s="1" t="n">
        <v>45491</v>
      </c>
      <c r="C3056" s="1" t="n">
        <v>45718</v>
      </c>
      <c r="D3056" t="inlineStr">
        <is>
          <t>JÄMTLANDS LÄN</t>
        </is>
      </c>
      <c r="E3056" t="inlineStr">
        <is>
          <t>STRÖMSUND</t>
        </is>
      </c>
      <c r="F3056" t="inlineStr">
        <is>
          <t>SCA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30376-2024</t>
        </is>
      </c>
      <c r="B3057" s="1" t="n">
        <v>45491</v>
      </c>
      <c r="C3057" s="1" t="n">
        <v>45718</v>
      </c>
      <c r="D3057" t="inlineStr">
        <is>
          <t>JÄMTLANDS LÄN</t>
        </is>
      </c>
      <c r="E3057" t="inlineStr">
        <is>
          <t>STRÖMSUND</t>
        </is>
      </c>
      <c r="F3057" t="inlineStr">
        <is>
          <t>Sveaskog</t>
        </is>
      </c>
      <c r="G3057" t="n">
        <v>11.8</v>
      </c>
      <c r="H3057" t="n">
        <v>0</v>
      </c>
      <c r="I3057" t="n">
        <v>0</v>
      </c>
      <c r="J3057" t="n">
        <v>0</v>
      </c>
      <c r="K3057" t="n">
        <v>0</v>
      </c>
      <c r="L3057" t="n">
        <v>0</v>
      </c>
      <c r="M3057" t="n">
        <v>0</v>
      </c>
      <c r="N3057" t="n">
        <v>0</v>
      </c>
      <c r="O3057" t="n">
        <v>0</v>
      </c>
      <c r="P3057" t="n">
        <v>0</v>
      </c>
      <c r="Q3057" t="n">
        <v>0</v>
      </c>
      <c r="R3057" s="2" t="inlineStr"/>
    </row>
    <row r="3058" ht="15" customHeight="1">
      <c r="A3058" t="inlineStr">
        <is>
          <t>A 30375-2024</t>
        </is>
      </c>
      <c r="B3058" s="1" t="n">
        <v>45491</v>
      </c>
      <c r="C3058" s="1" t="n">
        <v>45718</v>
      </c>
      <c r="D3058" t="inlineStr">
        <is>
          <t>JÄMTLANDS LÄN</t>
        </is>
      </c>
      <c r="E3058" t="inlineStr">
        <is>
          <t>STRÖMSUND</t>
        </is>
      </c>
      <c r="F3058" t="inlineStr">
        <is>
          <t>Sveaskog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30374-2024</t>
        </is>
      </c>
      <c r="B3059" s="1" t="n">
        <v>45491</v>
      </c>
      <c r="C3059" s="1" t="n">
        <v>45718</v>
      </c>
      <c r="D3059" t="inlineStr">
        <is>
          <t>JÄMTLANDS LÄN</t>
        </is>
      </c>
      <c r="E3059" t="inlineStr">
        <is>
          <t>STRÖMSUND</t>
        </is>
      </c>
      <c r="F3059" t="inlineStr">
        <is>
          <t>Sveaskog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30371-2024</t>
        </is>
      </c>
      <c r="B3060" s="1" t="n">
        <v>45491</v>
      </c>
      <c r="C3060" s="1" t="n">
        <v>45718</v>
      </c>
      <c r="D3060" t="inlineStr">
        <is>
          <t>JÄMTLANDS LÄN</t>
        </is>
      </c>
      <c r="E3060" t="inlineStr">
        <is>
          <t>STRÖMSUND</t>
        </is>
      </c>
      <c r="F3060" t="inlineStr">
        <is>
          <t>Sveaskog</t>
        </is>
      </c>
      <c r="G3060" t="n">
        <v>17.5</v>
      </c>
      <c r="H3060" t="n">
        <v>0</v>
      </c>
      <c r="I3060" t="n">
        <v>0</v>
      </c>
      <c r="J3060" t="n">
        <v>0</v>
      </c>
      <c r="K3060" t="n">
        <v>0</v>
      </c>
      <c r="L3060" t="n">
        <v>0</v>
      </c>
      <c r="M3060" t="n">
        <v>0</v>
      </c>
      <c r="N3060" t="n">
        <v>0</v>
      </c>
      <c r="O3060" t="n">
        <v>0</v>
      </c>
      <c r="P3060" t="n">
        <v>0</v>
      </c>
      <c r="Q3060" t="n">
        <v>0</v>
      </c>
      <c r="R3060" s="2" t="inlineStr"/>
    </row>
    <row r="3061" ht="15" customHeight="1">
      <c r="A3061" t="inlineStr">
        <is>
          <t>A 30585-2024</t>
        </is>
      </c>
      <c r="B3061" s="1" t="n">
        <v>45493</v>
      </c>
      <c r="C3061" s="1" t="n">
        <v>45718</v>
      </c>
      <c r="D3061" t="inlineStr">
        <is>
          <t>JÄMTLANDS LÄN</t>
        </is>
      </c>
      <c r="E3061" t="inlineStr">
        <is>
          <t>STRÖMSUND</t>
        </is>
      </c>
      <c r="F3061" t="inlineStr">
        <is>
          <t>SCA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30586-2024</t>
        </is>
      </c>
      <c r="B3062" s="1" t="n">
        <v>45493</v>
      </c>
      <c r="C3062" s="1" t="n">
        <v>45718</v>
      </c>
      <c r="D3062" t="inlineStr">
        <is>
          <t>JÄMTLANDS LÄN</t>
        </is>
      </c>
      <c r="E3062" t="inlineStr">
        <is>
          <t>STRÖMSUND</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30809-2024</t>
        </is>
      </c>
      <c r="B3063" s="1" t="n">
        <v>45497</v>
      </c>
      <c r="C3063" s="1" t="n">
        <v>45718</v>
      </c>
      <c r="D3063" t="inlineStr">
        <is>
          <t>JÄMTLANDS LÄN</t>
        </is>
      </c>
      <c r="E3063" t="inlineStr">
        <is>
          <t>STRÖMSUND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31489-2024</t>
        </is>
      </c>
      <c r="B3064" s="1" t="n">
        <v>45506</v>
      </c>
      <c r="C3064" s="1" t="n">
        <v>45718</v>
      </c>
      <c r="D3064" t="inlineStr">
        <is>
          <t>JÄMTLANDS LÄN</t>
        </is>
      </c>
      <c r="E3064" t="inlineStr">
        <is>
          <t>STRÖMSUND</t>
        </is>
      </c>
      <c r="F3064" t="inlineStr">
        <is>
          <t>SCA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31538-2024</t>
        </is>
      </c>
      <c r="B3065" s="1" t="n">
        <v>45506</v>
      </c>
      <c r="C3065" s="1" t="n">
        <v>45718</v>
      </c>
      <c r="D3065" t="inlineStr">
        <is>
          <t>JÄMTLANDS LÄN</t>
        </is>
      </c>
      <c r="E3065" t="inlineStr">
        <is>
          <t>STRÖMSUND</t>
        </is>
      </c>
      <c r="F3065" t="inlineStr">
        <is>
          <t>SCA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31565-2024</t>
        </is>
      </c>
      <c r="B3066" s="1" t="n">
        <v>45506</v>
      </c>
      <c r="C3066" s="1" t="n">
        <v>45718</v>
      </c>
      <c r="D3066" t="inlineStr">
        <is>
          <t>JÄMTLANDS LÄN</t>
        </is>
      </c>
      <c r="E3066" t="inlineStr">
        <is>
          <t>STRÖMSUND</t>
        </is>
      </c>
      <c r="F3066" t="inlineStr">
        <is>
          <t>SCA</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31514-2024</t>
        </is>
      </c>
      <c r="B3067" s="1" t="n">
        <v>45506</v>
      </c>
      <c r="C3067" s="1" t="n">
        <v>45718</v>
      </c>
      <c r="D3067" t="inlineStr">
        <is>
          <t>JÄMTLANDS LÄN</t>
        </is>
      </c>
      <c r="E3067" t="inlineStr">
        <is>
          <t>STRÖMSUND</t>
        </is>
      </c>
      <c r="F3067" t="inlineStr">
        <is>
          <t>SCA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31675-2024</t>
        </is>
      </c>
      <c r="B3068" s="1" t="n">
        <v>45507</v>
      </c>
      <c r="C3068" s="1" t="n">
        <v>45718</v>
      </c>
      <c r="D3068" t="inlineStr">
        <is>
          <t>JÄMTLANDS LÄN</t>
        </is>
      </c>
      <c r="E3068" t="inlineStr">
        <is>
          <t>STRÖMSUND</t>
        </is>
      </c>
      <c r="F3068" t="inlineStr">
        <is>
          <t>SCA</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31606-2024</t>
        </is>
      </c>
      <c r="B3069" s="1" t="n">
        <v>45506</v>
      </c>
      <c r="C3069" s="1" t="n">
        <v>45718</v>
      </c>
      <c r="D3069" t="inlineStr">
        <is>
          <t>JÄMTLANDS LÄN</t>
        </is>
      </c>
      <c r="E3069" t="inlineStr">
        <is>
          <t>STRÖMSUND</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31685-2024</t>
        </is>
      </c>
      <c r="B3070" s="1" t="n">
        <v>45507</v>
      </c>
      <c r="C3070" s="1" t="n">
        <v>45718</v>
      </c>
      <c r="D3070" t="inlineStr">
        <is>
          <t>JÄMTLANDS LÄN</t>
        </is>
      </c>
      <c r="E3070" t="inlineStr">
        <is>
          <t>STRÖMSUND</t>
        </is>
      </c>
      <c r="F3070" t="inlineStr">
        <is>
          <t>SCA</t>
        </is>
      </c>
      <c r="G3070" t="n">
        <v>10.7</v>
      </c>
      <c r="H3070" t="n">
        <v>0</v>
      </c>
      <c r="I3070" t="n">
        <v>0</v>
      </c>
      <c r="J3070" t="n">
        <v>0</v>
      </c>
      <c r="K3070" t="n">
        <v>0</v>
      </c>
      <c r="L3070" t="n">
        <v>0</v>
      </c>
      <c r="M3070" t="n">
        <v>0</v>
      </c>
      <c r="N3070" t="n">
        <v>0</v>
      </c>
      <c r="O3070" t="n">
        <v>0</v>
      </c>
      <c r="P3070" t="n">
        <v>0</v>
      </c>
      <c r="Q3070" t="n">
        <v>0</v>
      </c>
      <c r="R3070" s="2" t="inlineStr"/>
    </row>
    <row r="3071" ht="15" customHeight="1">
      <c r="A3071" t="inlineStr">
        <is>
          <t>A 31710-2024</t>
        </is>
      </c>
      <c r="B3071" s="1" t="n">
        <v>45509</v>
      </c>
      <c r="C3071" s="1" t="n">
        <v>45718</v>
      </c>
      <c r="D3071" t="inlineStr">
        <is>
          <t>JÄMTLANDS LÄN</t>
        </is>
      </c>
      <c r="E3071" t="inlineStr">
        <is>
          <t>STRÖMSUND</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31741-2024</t>
        </is>
      </c>
      <c r="B3072" s="1" t="n">
        <v>45509</v>
      </c>
      <c r="C3072" s="1" t="n">
        <v>45718</v>
      </c>
      <c r="D3072" t="inlineStr">
        <is>
          <t>JÄMTLANDS LÄN</t>
        </is>
      </c>
      <c r="E3072" t="inlineStr">
        <is>
          <t>STRÖMSUND</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31898-2024</t>
        </is>
      </c>
      <c r="B3073" s="1" t="n">
        <v>45510</v>
      </c>
      <c r="C3073" s="1" t="n">
        <v>45718</v>
      </c>
      <c r="D3073" t="inlineStr">
        <is>
          <t>JÄMTLANDS LÄN</t>
        </is>
      </c>
      <c r="E3073" t="inlineStr">
        <is>
          <t>STRÖMSUND</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32066-2024</t>
        </is>
      </c>
      <c r="B3074" s="1" t="n">
        <v>45511</v>
      </c>
      <c r="C3074" s="1" t="n">
        <v>45718</v>
      </c>
      <c r="D3074" t="inlineStr">
        <is>
          <t>JÄMTLANDS LÄN</t>
        </is>
      </c>
      <c r="E3074" t="inlineStr">
        <is>
          <t>STRÖMSUND</t>
        </is>
      </c>
      <c r="F3074" t="inlineStr">
        <is>
          <t>SCA</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32107-2024</t>
        </is>
      </c>
      <c r="B3075" s="1" t="n">
        <v>45511</v>
      </c>
      <c r="C3075" s="1" t="n">
        <v>45718</v>
      </c>
      <c r="D3075" t="inlineStr">
        <is>
          <t>JÄMTLANDS LÄN</t>
        </is>
      </c>
      <c r="E3075" t="inlineStr">
        <is>
          <t>STRÖMSUND</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32254-2024</t>
        </is>
      </c>
      <c r="B3076" s="1" t="n">
        <v>45512</v>
      </c>
      <c r="C3076" s="1" t="n">
        <v>45718</v>
      </c>
      <c r="D3076" t="inlineStr">
        <is>
          <t>JÄMTLANDS LÄN</t>
        </is>
      </c>
      <c r="E3076" t="inlineStr">
        <is>
          <t>STRÖMSUND</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32261-2024</t>
        </is>
      </c>
      <c r="B3077" s="1" t="n">
        <v>45512</v>
      </c>
      <c r="C3077" s="1" t="n">
        <v>45718</v>
      </c>
      <c r="D3077" t="inlineStr">
        <is>
          <t>JÄMTLANDS LÄN</t>
        </is>
      </c>
      <c r="E3077" t="inlineStr">
        <is>
          <t>STRÖMSUND</t>
        </is>
      </c>
      <c r="F3077" t="inlineStr">
        <is>
          <t>SCA</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32358-2024</t>
        </is>
      </c>
      <c r="B3078" s="1" t="n">
        <v>45512</v>
      </c>
      <c r="C3078" s="1" t="n">
        <v>45718</v>
      </c>
      <c r="D3078" t="inlineStr">
        <is>
          <t>JÄMTLANDS LÄN</t>
        </is>
      </c>
      <c r="E3078" t="inlineStr">
        <is>
          <t>STRÖMSUND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32443-2024</t>
        </is>
      </c>
      <c r="B3079" s="1" t="n">
        <v>45513</v>
      </c>
      <c r="C3079" s="1" t="n">
        <v>45718</v>
      </c>
      <c r="D3079" t="inlineStr">
        <is>
          <t>JÄMTLANDS LÄN</t>
        </is>
      </c>
      <c r="E3079" t="inlineStr">
        <is>
          <t>STRÖMSUND</t>
        </is>
      </c>
      <c r="F3079" t="inlineStr">
        <is>
          <t>SCA</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32451-2024</t>
        </is>
      </c>
      <c r="B3080" s="1" t="n">
        <v>45513</v>
      </c>
      <c r="C3080" s="1" t="n">
        <v>45718</v>
      </c>
      <c r="D3080" t="inlineStr">
        <is>
          <t>JÄMTLANDS LÄN</t>
        </is>
      </c>
      <c r="E3080" t="inlineStr">
        <is>
          <t>STRÖMSUND</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32444-2024</t>
        </is>
      </c>
      <c r="B3081" s="1" t="n">
        <v>45513</v>
      </c>
      <c r="C3081" s="1" t="n">
        <v>45718</v>
      </c>
      <c r="D3081" t="inlineStr">
        <is>
          <t>JÄMTLANDS LÄN</t>
        </is>
      </c>
      <c r="E3081" t="inlineStr">
        <is>
          <t>STRÖMSUND</t>
        </is>
      </c>
      <c r="F3081" t="inlineStr">
        <is>
          <t>SCA</t>
        </is>
      </c>
      <c r="G3081" t="n">
        <v>10.3</v>
      </c>
      <c r="H3081" t="n">
        <v>0</v>
      </c>
      <c r="I3081" t="n">
        <v>0</v>
      </c>
      <c r="J3081" t="n">
        <v>0</v>
      </c>
      <c r="K3081" t="n">
        <v>0</v>
      </c>
      <c r="L3081" t="n">
        <v>0</v>
      </c>
      <c r="M3081" t="n">
        <v>0</v>
      </c>
      <c r="N3081" t="n">
        <v>0</v>
      </c>
      <c r="O3081" t="n">
        <v>0</v>
      </c>
      <c r="P3081" t="n">
        <v>0</v>
      </c>
      <c r="Q3081" t="n">
        <v>0</v>
      </c>
      <c r="R3081" s="2" t="inlineStr"/>
    </row>
    <row r="3082" ht="15" customHeight="1">
      <c r="A3082" t="inlineStr">
        <is>
          <t>A 32452-2024</t>
        </is>
      </c>
      <c r="B3082" s="1" t="n">
        <v>45513</v>
      </c>
      <c r="C3082" s="1" t="n">
        <v>45718</v>
      </c>
      <c r="D3082" t="inlineStr">
        <is>
          <t>JÄMTLANDS LÄN</t>
        </is>
      </c>
      <c r="E3082" t="inlineStr">
        <is>
          <t>STRÖMSUND</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32396-2024</t>
        </is>
      </c>
      <c r="B3083" s="1" t="n">
        <v>45512</v>
      </c>
      <c r="C3083" s="1" t="n">
        <v>45718</v>
      </c>
      <c r="D3083" t="inlineStr">
        <is>
          <t>JÄMTLANDS LÄN</t>
        </is>
      </c>
      <c r="E3083" t="inlineStr">
        <is>
          <t>STRÖMSUND</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32324-2024</t>
        </is>
      </c>
      <c r="B3084" s="1" t="n">
        <v>45512</v>
      </c>
      <c r="C3084" s="1" t="n">
        <v>45718</v>
      </c>
      <c r="D3084" t="inlineStr">
        <is>
          <t>JÄMTLANDS LÄN</t>
        </is>
      </c>
      <c r="E3084" t="inlineStr">
        <is>
          <t>STRÖMSUND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32453-2024</t>
        </is>
      </c>
      <c r="B3085" s="1" t="n">
        <v>45512</v>
      </c>
      <c r="C3085" s="1" t="n">
        <v>45718</v>
      </c>
      <c r="D3085" t="inlineStr">
        <is>
          <t>JÄMTLANDS LÄN</t>
        </is>
      </c>
      <c r="E3085" t="inlineStr">
        <is>
          <t>STRÖMSUND</t>
        </is>
      </c>
      <c r="F3085" t="inlineStr">
        <is>
          <t>SCA</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32650-2024</t>
        </is>
      </c>
      <c r="B3086" s="1" t="n">
        <v>45514</v>
      </c>
      <c r="C3086" s="1" t="n">
        <v>45718</v>
      </c>
      <c r="D3086" t="inlineStr">
        <is>
          <t>JÄMTLANDS LÄN</t>
        </is>
      </c>
      <c r="E3086" t="inlineStr">
        <is>
          <t>STRÖMSUND</t>
        </is>
      </c>
      <c r="F3086" t="inlineStr">
        <is>
          <t>SCA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32673-2024</t>
        </is>
      </c>
      <c r="B3087" s="1" t="n">
        <v>45514</v>
      </c>
      <c r="C3087" s="1" t="n">
        <v>45718</v>
      </c>
      <c r="D3087" t="inlineStr">
        <is>
          <t>JÄMTLANDS LÄN</t>
        </is>
      </c>
      <c r="E3087" t="inlineStr">
        <is>
          <t>STRÖMSUND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32674-2024</t>
        </is>
      </c>
      <c r="B3088" s="1" t="n">
        <v>45514</v>
      </c>
      <c r="C3088" s="1" t="n">
        <v>45718</v>
      </c>
      <c r="D3088" t="inlineStr">
        <is>
          <t>JÄMTLANDS LÄN</t>
        </is>
      </c>
      <c r="E3088" t="inlineStr">
        <is>
          <t>STRÖMSUND</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32672-2024</t>
        </is>
      </c>
      <c r="B3089" s="1" t="n">
        <v>45514</v>
      </c>
      <c r="C3089" s="1" t="n">
        <v>45718</v>
      </c>
      <c r="D3089" t="inlineStr">
        <is>
          <t>JÄMTLANDS LÄN</t>
        </is>
      </c>
      <c r="E3089" t="inlineStr">
        <is>
          <t>STRÖMSUND</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32803-2024</t>
        </is>
      </c>
      <c r="B3090" s="1" t="n">
        <v>45516</v>
      </c>
      <c r="C3090" s="1" t="n">
        <v>45718</v>
      </c>
      <c r="D3090" t="inlineStr">
        <is>
          <t>JÄMTLANDS LÄN</t>
        </is>
      </c>
      <c r="E3090" t="inlineStr">
        <is>
          <t>STRÖMSUND</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32900-2024</t>
        </is>
      </c>
      <c r="B3091" s="1" t="n">
        <v>45517</v>
      </c>
      <c r="C3091" s="1" t="n">
        <v>45718</v>
      </c>
      <c r="D3091" t="inlineStr">
        <is>
          <t>JÄMTLANDS LÄN</t>
        </is>
      </c>
      <c r="E3091" t="inlineStr">
        <is>
          <t>STRÖMSUND</t>
        </is>
      </c>
      <c r="F3091" t="inlineStr">
        <is>
          <t>SCA</t>
        </is>
      </c>
      <c r="G3091" t="n">
        <v>16.6</v>
      </c>
      <c r="H3091" t="n">
        <v>0</v>
      </c>
      <c r="I3091" t="n">
        <v>0</v>
      </c>
      <c r="J3091" t="n">
        <v>0</v>
      </c>
      <c r="K3091" t="n">
        <v>0</v>
      </c>
      <c r="L3091" t="n">
        <v>0</v>
      </c>
      <c r="M3091" t="n">
        <v>0</v>
      </c>
      <c r="N3091" t="n">
        <v>0</v>
      </c>
      <c r="O3091" t="n">
        <v>0</v>
      </c>
      <c r="P3091" t="n">
        <v>0</v>
      </c>
      <c r="Q3091" t="n">
        <v>0</v>
      </c>
      <c r="R3091" s="2" t="inlineStr"/>
    </row>
    <row r="3092" ht="15" customHeight="1">
      <c r="A3092" t="inlineStr">
        <is>
          <t>A 32907-2024</t>
        </is>
      </c>
      <c r="B3092" s="1" t="n">
        <v>45517</v>
      </c>
      <c r="C3092" s="1" t="n">
        <v>45718</v>
      </c>
      <c r="D3092" t="inlineStr">
        <is>
          <t>JÄMTLANDS LÄN</t>
        </is>
      </c>
      <c r="E3092" t="inlineStr">
        <is>
          <t>STRÖMSUND</t>
        </is>
      </c>
      <c r="F3092" t="inlineStr">
        <is>
          <t>SCA</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32983-2024</t>
        </is>
      </c>
      <c r="B3093" s="1" t="n">
        <v>45517</v>
      </c>
      <c r="C3093" s="1" t="n">
        <v>45718</v>
      </c>
      <c r="D3093" t="inlineStr">
        <is>
          <t>JÄMTLANDS LÄN</t>
        </is>
      </c>
      <c r="E3093" t="inlineStr">
        <is>
          <t>STRÖMSUND</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33122-2024</t>
        </is>
      </c>
      <c r="B3094" s="1" t="n">
        <v>45518</v>
      </c>
      <c r="C3094" s="1" t="n">
        <v>45718</v>
      </c>
      <c r="D3094" t="inlineStr">
        <is>
          <t>JÄMTLANDS LÄN</t>
        </is>
      </c>
      <c r="E3094" t="inlineStr">
        <is>
          <t>STRÖMSUND</t>
        </is>
      </c>
      <c r="F3094" t="inlineStr">
        <is>
          <t>SCA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33127-2024</t>
        </is>
      </c>
      <c r="B3095" s="1" t="n">
        <v>45518</v>
      </c>
      <c r="C3095" s="1" t="n">
        <v>45718</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33311-2024</t>
        </is>
      </c>
      <c r="B3096" s="1" t="n">
        <v>45518</v>
      </c>
      <c r="C3096" s="1" t="n">
        <v>45718</v>
      </c>
      <c r="D3096" t="inlineStr">
        <is>
          <t>JÄMTLANDS LÄN</t>
        </is>
      </c>
      <c r="E3096" t="inlineStr">
        <is>
          <t>STRÖMSUND</t>
        </is>
      </c>
      <c r="F3096" t="inlineStr">
        <is>
          <t>SCA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33299-2024</t>
        </is>
      </c>
      <c r="B3097" s="1" t="n">
        <v>45519</v>
      </c>
      <c r="C3097" s="1" t="n">
        <v>45718</v>
      </c>
      <c r="D3097" t="inlineStr">
        <is>
          <t>JÄMTLANDS LÄN</t>
        </is>
      </c>
      <c r="E3097" t="inlineStr">
        <is>
          <t>STRÖMSUND</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33238-2024</t>
        </is>
      </c>
      <c r="B3098" s="1" t="n">
        <v>45518</v>
      </c>
      <c r="C3098" s="1" t="n">
        <v>45718</v>
      </c>
      <c r="D3098" t="inlineStr">
        <is>
          <t>JÄMTLANDS LÄN</t>
        </is>
      </c>
      <c r="E3098" t="inlineStr">
        <is>
          <t>STRÖMSUND</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33584-2024</t>
        </is>
      </c>
      <c r="B3099" s="1" t="n">
        <v>45520</v>
      </c>
      <c r="C3099" s="1" t="n">
        <v>45718</v>
      </c>
      <c r="D3099" t="inlineStr">
        <is>
          <t>JÄMTLANDS LÄN</t>
        </is>
      </c>
      <c r="E3099" t="inlineStr">
        <is>
          <t>STRÖMSUND</t>
        </is>
      </c>
      <c r="F3099" t="inlineStr">
        <is>
          <t>SCA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34179-2024</t>
        </is>
      </c>
      <c r="B3100" s="1" t="n">
        <v>45524</v>
      </c>
      <c r="C3100" s="1" t="n">
        <v>45718</v>
      </c>
      <c r="D3100" t="inlineStr">
        <is>
          <t>JÄMTLANDS LÄN</t>
        </is>
      </c>
      <c r="E3100" t="inlineStr">
        <is>
          <t>STRÖMSUND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34290-2024</t>
        </is>
      </c>
      <c r="B3101" s="1" t="n">
        <v>45524</v>
      </c>
      <c r="C3101" s="1" t="n">
        <v>45718</v>
      </c>
      <c r="D3101" t="inlineStr">
        <is>
          <t>JÄMTLANDS LÄN</t>
        </is>
      </c>
      <c r="E3101" t="inlineStr">
        <is>
          <t>STRÖMSUND</t>
        </is>
      </c>
      <c r="F3101" t="inlineStr">
        <is>
          <t>Sveaskog</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34227-2024</t>
        </is>
      </c>
      <c r="B3102" s="1" t="n">
        <v>45524</v>
      </c>
      <c r="C3102" s="1" t="n">
        <v>45718</v>
      </c>
      <c r="D3102" t="inlineStr">
        <is>
          <t>JÄMTLANDS LÄN</t>
        </is>
      </c>
      <c r="E3102" t="inlineStr">
        <is>
          <t>STRÖMSUND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34343-2024</t>
        </is>
      </c>
      <c r="B3103" s="1" t="n">
        <v>45525</v>
      </c>
      <c r="C3103" s="1" t="n">
        <v>45718</v>
      </c>
      <c r="D3103" t="inlineStr">
        <is>
          <t>JÄMTLANDS LÄN</t>
        </is>
      </c>
      <c r="E3103" t="inlineStr">
        <is>
          <t>STRÖMSUND</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34344-2024</t>
        </is>
      </c>
      <c r="B3104" s="1" t="n">
        <v>45525</v>
      </c>
      <c r="C3104" s="1" t="n">
        <v>45718</v>
      </c>
      <c r="D3104" t="inlineStr">
        <is>
          <t>JÄMTLANDS LÄN</t>
        </is>
      </c>
      <c r="E3104" t="inlineStr">
        <is>
          <t>STRÖMSUND</t>
        </is>
      </c>
      <c r="F3104" t="inlineStr">
        <is>
          <t>Holmen skog AB</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34716-2024</t>
        </is>
      </c>
      <c r="B3105" s="1" t="n">
        <v>45526</v>
      </c>
      <c r="C3105" s="1" t="n">
        <v>45718</v>
      </c>
      <c r="D3105" t="inlineStr">
        <is>
          <t>JÄMTLANDS LÄN</t>
        </is>
      </c>
      <c r="E3105" t="inlineStr">
        <is>
          <t>STRÖMSUND</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34817-2024</t>
        </is>
      </c>
      <c r="B3106" s="1" t="n">
        <v>45526</v>
      </c>
      <c r="C3106" s="1" t="n">
        <v>45718</v>
      </c>
      <c r="D3106" t="inlineStr">
        <is>
          <t>JÄMTLANDS LÄN</t>
        </is>
      </c>
      <c r="E3106" t="inlineStr">
        <is>
          <t>STRÖMSUND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34818-2024</t>
        </is>
      </c>
      <c r="B3107" s="1" t="n">
        <v>45526</v>
      </c>
      <c r="C3107" s="1" t="n">
        <v>45718</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34723-2024</t>
        </is>
      </c>
      <c r="B3108" s="1" t="n">
        <v>45526</v>
      </c>
      <c r="C3108" s="1" t="n">
        <v>45718</v>
      </c>
      <c r="D3108" t="inlineStr">
        <is>
          <t>JÄMTLANDS LÄN</t>
        </is>
      </c>
      <c r="E3108" t="inlineStr">
        <is>
          <t>STRÖMSUND</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35244-2024</t>
        </is>
      </c>
      <c r="B3109" s="1" t="n">
        <v>45530</v>
      </c>
      <c r="C3109" s="1" t="n">
        <v>45718</v>
      </c>
      <c r="D3109" t="inlineStr">
        <is>
          <t>JÄMTLANDS LÄN</t>
        </is>
      </c>
      <c r="E3109" t="inlineStr">
        <is>
          <t>STRÖMSUND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35178-2024</t>
        </is>
      </c>
      <c r="B3110" s="1" t="n">
        <v>45530</v>
      </c>
      <c r="C3110" s="1" t="n">
        <v>45718</v>
      </c>
      <c r="D3110" t="inlineStr">
        <is>
          <t>JÄMTLANDS LÄN</t>
        </is>
      </c>
      <c r="E3110" t="inlineStr">
        <is>
          <t>STRÖMSUND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35185-2024</t>
        </is>
      </c>
      <c r="B3111" s="1" t="n">
        <v>45530</v>
      </c>
      <c r="C3111" s="1" t="n">
        <v>45718</v>
      </c>
      <c r="D3111" t="inlineStr">
        <is>
          <t>JÄMTLANDS LÄN</t>
        </is>
      </c>
      <c r="E3111" t="inlineStr">
        <is>
          <t>STRÖMSUND</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35410-2024</t>
        </is>
      </c>
      <c r="B3112" s="1" t="n">
        <v>45531</v>
      </c>
      <c r="C3112" s="1" t="n">
        <v>45718</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35418-2024</t>
        </is>
      </c>
      <c r="B3113" s="1" t="n">
        <v>45531</v>
      </c>
      <c r="C3113" s="1" t="n">
        <v>45718</v>
      </c>
      <c r="D3113" t="inlineStr">
        <is>
          <t>JÄMTLANDS LÄN</t>
        </is>
      </c>
      <c r="E3113" t="inlineStr">
        <is>
          <t>STRÖMSUND</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35578-2024</t>
        </is>
      </c>
      <c r="B3114" s="1" t="n">
        <v>45531</v>
      </c>
      <c r="C3114" s="1" t="n">
        <v>45718</v>
      </c>
      <c r="D3114" t="inlineStr">
        <is>
          <t>JÄMTLANDS LÄN</t>
        </is>
      </c>
      <c r="E3114" t="inlineStr">
        <is>
          <t>STRÖMSUND</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35407-2024</t>
        </is>
      </c>
      <c r="B3115" s="1" t="n">
        <v>45531</v>
      </c>
      <c r="C3115" s="1" t="n">
        <v>45718</v>
      </c>
      <c r="D3115" t="inlineStr">
        <is>
          <t>JÄMTLANDS LÄN</t>
        </is>
      </c>
      <c r="E3115" t="inlineStr">
        <is>
          <t>STRÖMSUND</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35397-2024</t>
        </is>
      </c>
      <c r="B3116" s="1" t="n">
        <v>45531</v>
      </c>
      <c r="C3116" s="1" t="n">
        <v>45718</v>
      </c>
      <c r="D3116" t="inlineStr">
        <is>
          <t>JÄMTLANDS LÄN</t>
        </is>
      </c>
      <c r="E3116" t="inlineStr">
        <is>
          <t>STRÖMSUND</t>
        </is>
      </c>
      <c r="F3116" t="inlineStr">
        <is>
          <t>SCA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35423-2024</t>
        </is>
      </c>
      <c r="B3117" s="1" t="n">
        <v>45531</v>
      </c>
      <c r="C3117" s="1" t="n">
        <v>45718</v>
      </c>
      <c r="D3117" t="inlineStr">
        <is>
          <t>JÄMTLANDS LÄN</t>
        </is>
      </c>
      <c r="E3117" t="inlineStr">
        <is>
          <t>STRÖMSUND</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35416-2024</t>
        </is>
      </c>
      <c r="B3118" s="1" t="n">
        <v>45531</v>
      </c>
      <c r="C3118" s="1" t="n">
        <v>45718</v>
      </c>
      <c r="D3118" t="inlineStr">
        <is>
          <t>JÄMTLANDS LÄN</t>
        </is>
      </c>
      <c r="E3118" t="inlineStr">
        <is>
          <t>STRÖMSUND</t>
        </is>
      </c>
      <c r="F3118" t="inlineStr">
        <is>
          <t>SCA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35585-2024</t>
        </is>
      </c>
      <c r="B3119" s="1" t="n">
        <v>45531</v>
      </c>
      <c r="C3119" s="1" t="n">
        <v>45718</v>
      </c>
      <c r="D3119" t="inlineStr">
        <is>
          <t>JÄMTLANDS LÄN</t>
        </is>
      </c>
      <c r="E3119" t="inlineStr">
        <is>
          <t>STRÖMSUND</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35583-2024</t>
        </is>
      </c>
      <c r="B3120" s="1" t="n">
        <v>45531</v>
      </c>
      <c r="C3120" s="1" t="n">
        <v>45718</v>
      </c>
      <c r="D3120" t="inlineStr">
        <is>
          <t>JÄMTLANDS LÄN</t>
        </is>
      </c>
      <c r="E3120" t="inlineStr">
        <is>
          <t>STRÖMSUND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35584-2024</t>
        </is>
      </c>
      <c r="B3121" s="1" t="n">
        <v>45531</v>
      </c>
      <c r="C3121" s="1" t="n">
        <v>45718</v>
      </c>
      <c r="D3121" t="inlineStr">
        <is>
          <t>JÄMTLANDS LÄN</t>
        </is>
      </c>
      <c r="E3121" t="inlineStr">
        <is>
          <t>STRÖMSUND</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35686-2024</t>
        </is>
      </c>
      <c r="B3122" s="1" t="n">
        <v>45532</v>
      </c>
      <c r="C3122" s="1" t="n">
        <v>45718</v>
      </c>
      <c r="D3122" t="inlineStr">
        <is>
          <t>JÄMTLANDS LÄN</t>
        </is>
      </c>
      <c r="E3122" t="inlineStr">
        <is>
          <t>STRÖMSUND</t>
        </is>
      </c>
      <c r="G3122" t="n">
        <v>15.7</v>
      </c>
      <c r="H3122" t="n">
        <v>0</v>
      </c>
      <c r="I3122" t="n">
        <v>0</v>
      </c>
      <c r="J3122" t="n">
        <v>0</v>
      </c>
      <c r="K3122" t="n">
        <v>0</v>
      </c>
      <c r="L3122" t="n">
        <v>0</v>
      </c>
      <c r="M3122" t="n">
        <v>0</v>
      </c>
      <c r="N3122" t="n">
        <v>0</v>
      </c>
      <c r="O3122" t="n">
        <v>0</v>
      </c>
      <c r="P3122" t="n">
        <v>0</v>
      </c>
      <c r="Q3122" t="n">
        <v>0</v>
      </c>
      <c r="R3122" s="2" t="inlineStr"/>
    </row>
    <row r="3123" ht="15" customHeight="1">
      <c r="A3123" t="inlineStr">
        <is>
          <t>A 35687-2024</t>
        </is>
      </c>
      <c r="B3123" s="1" t="n">
        <v>45532</v>
      </c>
      <c r="C3123" s="1" t="n">
        <v>45718</v>
      </c>
      <c r="D3123" t="inlineStr">
        <is>
          <t>JÄMTLANDS LÄN</t>
        </is>
      </c>
      <c r="E3123" t="inlineStr">
        <is>
          <t>STRÖMSUND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35747-2024</t>
        </is>
      </c>
      <c r="B3124" s="1" t="n">
        <v>45532</v>
      </c>
      <c r="C3124" s="1" t="n">
        <v>45718</v>
      </c>
      <c r="D3124" t="inlineStr">
        <is>
          <t>JÄMTLANDS LÄN</t>
        </is>
      </c>
      <c r="E3124" t="inlineStr">
        <is>
          <t>STRÖMSUND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35746-2024</t>
        </is>
      </c>
      <c r="B3125" s="1" t="n">
        <v>45532</v>
      </c>
      <c r="C3125" s="1" t="n">
        <v>45718</v>
      </c>
      <c r="D3125" t="inlineStr">
        <is>
          <t>JÄMTLANDS LÄN</t>
        </is>
      </c>
      <c r="E3125" t="inlineStr">
        <is>
          <t>STRÖMSUND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35748-2024</t>
        </is>
      </c>
      <c r="B3126" s="1" t="n">
        <v>45532</v>
      </c>
      <c r="C3126" s="1" t="n">
        <v>45718</v>
      </c>
      <c r="D3126" t="inlineStr">
        <is>
          <t>JÄMTLANDS LÄN</t>
        </is>
      </c>
      <c r="E3126" t="inlineStr">
        <is>
          <t>STRÖMSUND</t>
        </is>
      </c>
      <c r="F3126" t="inlineStr">
        <is>
          <t>SCA</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35904-2024</t>
        </is>
      </c>
      <c r="B3127" s="1" t="n">
        <v>45533</v>
      </c>
      <c r="C3127" s="1" t="n">
        <v>45718</v>
      </c>
      <c r="D3127" t="inlineStr">
        <is>
          <t>JÄMTLANDS LÄN</t>
        </is>
      </c>
      <c r="E3127" t="inlineStr">
        <is>
          <t>STRÖMSUND</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36328-2024</t>
        </is>
      </c>
      <c r="B3128" s="1" t="n">
        <v>45534</v>
      </c>
      <c r="C3128" s="1" t="n">
        <v>45718</v>
      </c>
      <c r="D3128" t="inlineStr">
        <is>
          <t>JÄMTLANDS LÄN</t>
        </is>
      </c>
      <c r="E3128" t="inlineStr">
        <is>
          <t>STRÖMSUND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36176-2024</t>
        </is>
      </c>
      <c r="B3129" s="1" t="n">
        <v>45534</v>
      </c>
      <c r="C3129" s="1" t="n">
        <v>45718</v>
      </c>
      <c r="D3129" t="inlineStr">
        <is>
          <t>JÄMTLANDS LÄN</t>
        </is>
      </c>
      <c r="E3129" t="inlineStr">
        <is>
          <t>STRÖMSUND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36311-2024</t>
        </is>
      </c>
      <c r="B3130" s="1" t="n">
        <v>45534</v>
      </c>
      <c r="C3130" s="1" t="n">
        <v>45718</v>
      </c>
      <c r="D3130" t="inlineStr">
        <is>
          <t>JÄMTLANDS LÄN</t>
        </is>
      </c>
      <c r="E3130" t="inlineStr">
        <is>
          <t>STRÖMSUND</t>
        </is>
      </c>
      <c r="F3130" t="inlineStr">
        <is>
          <t>SCA</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36347-2024</t>
        </is>
      </c>
      <c r="B3131" s="1" t="n">
        <v>45534</v>
      </c>
      <c r="C3131" s="1" t="n">
        <v>45718</v>
      </c>
      <c r="D3131" t="inlineStr">
        <is>
          <t>JÄMTLANDS LÄN</t>
        </is>
      </c>
      <c r="E3131" t="inlineStr">
        <is>
          <t>STRÖMSUND</t>
        </is>
      </c>
      <c r="F3131" t="inlineStr">
        <is>
          <t>SCA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36344-2024</t>
        </is>
      </c>
      <c r="B3132" s="1" t="n">
        <v>45534</v>
      </c>
      <c r="C3132" s="1" t="n">
        <v>45718</v>
      </c>
      <c r="D3132" t="inlineStr">
        <is>
          <t>JÄMTLANDS LÄN</t>
        </is>
      </c>
      <c r="E3132" t="inlineStr">
        <is>
          <t>STRÖMSUND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36327-2024</t>
        </is>
      </c>
      <c r="B3133" s="1" t="n">
        <v>45534</v>
      </c>
      <c r="C3133" s="1" t="n">
        <v>45718</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36343-2024</t>
        </is>
      </c>
      <c r="B3134" s="1" t="n">
        <v>45534</v>
      </c>
      <c r="C3134" s="1" t="n">
        <v>45718</v>
      </c>
      <c r="D3134" t="inlineStr">
        <is>
          <t>JÄMTLANDS LÄN</t>
        </is>
      </c>
      <c r="E3134" t="inlineStr">
        <is>
          <t>STRÖMSUND</t>
        </is>
      </c>
      <c r="F3134" t="inlineStr">
        <is>
          <t>SCA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36346-2024</t>
        </is>
      </c>
      <c r="B3135" s="1" t="n">
        <v>45534</v>
      </c>
      <c r="C3135" s="1" t="n">
        <v>45718</v>
      </c>
      <c r="D3135" t="inlineStr">
        <is>
          <t>JÄMTLANDS LÄN</t>
        </is>
      </c>
      <c r="E3135" t="inlineStr">
        <is>
          <t>STRÖMSUND</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36500-2024</t>
        </is>
      </c>
      <c r="B3136" s="1" t="n">
        <v>45537</v>
      </c>
      <c r="C3136" s="1" t="n">
        <v>45718</v>
      </c>
      <c r="D3136" t="inlineStr">
        <is>
          <t>JÄMTLANDS LÄN</t>
        </is>
      </c>
      <c r="E3136" t="inlineStr">
        <is>
          <t>STRÖMSUND</t>
        </is>
      </c>
      <c r="F3136" t="inlineStr">
        <is>
          <t>SCA</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36836-2024</t>
        </is>
      </c>
      <c r="B3137" s="1" t="n">
        <v>45538</v>
      </c>
      <c r="C3137" s="1" t="n">
        <v>45718</v>
      </c>
      <c r="D3137" t="inlineStr">
        <is>
          <t>JÄMTLANDS LÄN</t>
        </is>
      </c>
      <c r="E3137" t="inlineStr">
        <is>
          <t>STRÖMSUND</t>
        </is>
      </c>
      <c r="F3137" t="inlineStr">
        <is>
          <t>SCA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36914-2024</t>
        </is>
      </c>
      <c r="B3138" s="1" t="n">
        <v>45538</v>
      </c>
      <c r="C3138" s="1" t="n">
        <v>45718</v>
      </c>
      <c r="D3138" t="inlineStr">
        <is>
          <t>JÄMTLANDS LÄN</t>
        </is>
      </c>
      <c r="E3138" t="inlineStr">
        <is>
          <t>STRÖMSUND</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36913-2024</t>
        </is>
      </c>
      <c r="B3139" s="1" t="n">
        <v>45538</v>
      </c>
      <c r="C3139" s="1" t="n">
        <v>45718</v>
      </c>
      <c r="D3139" t="inlineStr">
        <is>
          <t>JÄMTLANDS LÄN</t>
        </is>
      </c>
      <c r="E3139" t="inlineStr">
        <is>
          <t>STRÖMSUND</t>
        </is>
      </c>
      <c r="F3139" t="inlineStr">
        <is>
          <t>SCA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37150-2024</t>
        </is>
      </c>
      <c r="B3140" s="1" t="n">
        <v>45539</v>
      </c>
      <c r="C3140" s="1" t="n">
        <v>45718</v>
      </c>
      <c r="D3140" t="inlineStr">
        <is>
          <t>JÄMTLANDS LÄN</t>
        </is>
      </c>
      <c r="E3140" t="inlineStr">
        <is>
          <t>STRÖMSUND</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37207-2024</t>
        </is>
      </c>
      <c r="B3141" s="1" t="n">
        <v>45539</v>
      </c>
      <c r="C3141" s="1" t="n">
        <v>45718</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37205-2024</t>
        </is>
      </c>
      <c r="B3142" s="1" t="n">
        <v>45539</v>
      </c>
      <c r="C3142" s="1" t="n">
        <v>45718</v>
      </c>
      <c r="D3142" t="inlineStr">
        <is>
          <t>JÄMTLANDS LÄN</t>
        </is>
      </c>
      <c r="E3142" t="inlineStr">
        <is>
          <t>STRÖMSUND</t>
        </is>
      </c>
      <c r="F3142" t="inlineStr">
        <is>
          <t>SCA</t>
        </is>
      </c>
      <c r="G3142" t="n">
        <v>17.4</v>
      </c>
      <c r="H3142" t="n">
        <v>0</v>
      </c>
      <c r="I3142" t="n">
        <v>0</v>
      </c>
      <c r="J3142" t="n">
        <v>0</v>
      </c>
      <c r="K3142" t="n">
        <v>0</v>
      </c>
      <c r="L3142" t="n">
        <v>0</v>
      </c>
      <c r="M3142" t="n">
        <v>0</v>
      </c>
      <c r="N3142" t="n">
        <v>0</v>
      </c>
      <c r="O3142" t="n">
        <v>0</v>
      </c>
      <c r="P3142" t="n">
        <v>0</v>
      </c>
      <c r="Q3142" t="n">
        <v>0</v>
      </c>
      <c r="R3142" s="2" t="inlineStr"/>
    </row>
    <row r="3143" ht="15" customHeight="1">
      <c r="A3143" t="inlineStr">
        <is>
          <t>A 37147-2024</t>
        </is>
      </c>
      <c r="B3143" s="1" t="n">
        <v>45539</v>
      </c>
      <c r="C3143" s="1" t="n">
        <v>45718</v>
      </c>
      <c r="D3143" t="inlineStr">
        <is>
          <t>JÄMTLANDS LÄN</t>
        </is>
      </c>
      <c r="E3143" t="inlineStr">
        <is>
          <t>STRÖMSUND</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37208-2024</t>
        </is>
      </c>
      <c r="B3144" s="1" t="n">
        <v>45539</v>
      </c>
      <c r="C3144" s="1" t="n">
        <v>45718</v>
      </c>
      <c r="D3144" t="inlineStr">
        <is>
          <t>JÄMTLANDS LÄN</t>
        </is>
      </c>
      <c r="E3144" t="inlineStr">
        <is>
          <t>STRÖMSUND</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37302-2024</t>
        </is>
      </c>
      <c r="B3145" s="1" t="n">
        <v>45540</v>
      </c>
      <c r="C3145" s="1" t="n">
        <v>45718</v>
      </c>
      <c r="D3145" t="inlineStr">
        <is>
          <t>JÄMTLANDS LÄN</t>
        </is>
      </c>
      <c r="E3145" t="inlineStr">
        <is>
          <t>STRÖMSUND</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37567-2024</t>
        </is>
      </c>
      <c r="B3146" s="1" t="n">
        <v>45541</v>
      </c>
      <c r="C3146" s="1" t="n">
        <v>45718</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37632-2024</t>
        </is>
      </c>
      <c r="B3147" s="1" t="n">
        <v>45541</v>
      </c>
      <c r="C3147" s="1" t="n">
        <v>45718</v>
      </c>
      <c r="D3147" t="inlineStr">
        <is>
          <t>JÄMTLANDS LÄN</t>
        </is>
      </c>
      <c r="E3147" t="inlineStr">
        <is>
          <t>STRÖMSUND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37566-2024</t>
        </is>
      </c>
      <c r="B3148" s="1" t="n">
        <v>45541</v>
      </c>
      <c r="C3148" s="1" t="n">
        <v>45718</v>
      </c>
      <c r="D3148" t="inlineStr">
        <is>
          <t>JÄMTLANDS LÄN</t>
        </is>
      </c>
      <c r="E3148" t="inlineStr">
        <is>
          <t>STRÖMSUND</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37787-2024</t>
        </is>
      </c>
      <c r="B3149" s="1" t="n">
        <v>45542</v>
      </c>
      <c r="C3149" s="1" t="n">
        <v>45718</v>
      </c>
      <c r="D3149" t="inlineStr">
        <is>
          <t>JÄMTLANDS LÄN</t>
        </is>
      </c>
      <c r="E3149" t="inlineStr">
        <is>
          <t>STRÖMSUND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38104-2024</t>
        </is>
      </c>
      <c r="B3150" s="1" t="n">
        <v>45545</v>
      </c>
      <c r="C3150" s="1" t="n">
        <v>45718</v>
      </c>
      <c r="D3150" t="inlineStr">
        <is>
          <t>JÄMTLANDS LÄN</t>
        </is>
      </c>
      <c r="E3150" t="inlineStr">
        <is>
          <t>STRÖMSUND</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38093-2024</t>
        </is>
      </c>
      <c r="B3151" s="1" t="n">
        <v>45545</v>
      </c>
      <c r="C3151" s="1" t="n">
        <v>45718</v>
      </c>
      <c r="D3151" t="inlineStr">
        <is>
          <t>JÄMTLANDS LÄN</t>
        </is>
      </c>
      <c r="E3151" t="inlineStr">
        <is>
          <t>STRÖMSUND</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38301-2024</t>
        </is>
      </c>
      <c r="B3152" s="1" t="n">
        <v>45545</v>
      </c>
      <c r="C3152" s="1" t="n">
        <v>45718</v>
      </c>
      <c r="D3152" t="inlineStr">
        <is>
          <t>JÄMTLANDS LÄN</t>
        </is>
      </c>
      <c r="E3152" t="inlineStr">
        <is>
          <t>STRÖMSUND</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38279-2024</t>
        </is>
      </c>
      <c r="B3153" s="1" t="n">
        <v>45545</v>
      </c>
      <c r="C3153" s="1" t="n">
        <v>45718</v>
      </c>
      <c r="D3153" t="inlineStr">
        <is>
          <t>JÄMTLANDS LÄN</t>
        </is>
      </c>
      <c r="E3153" t="inlineStr">
        <is>
          <t>STRÖMSUND</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38283-2024</t>
        </is>
      </c>
      <c r="B3154" s="1" t="n">
        <v>45545</v>
      </c>
      <c r="C3154" s="1" t="n">
        <v>45718</v>
      </c>
      <c r="D3154" t="inlineStr">
        <is>
          <t>JÄMTLANDS LÄN</t>
        </is>
      </c>
      <c r="E3154" t="inlineStr">
        <is>
          <t>STRÖMSUND</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38280-2024</t>
        </is>
      </c>
      <c r="B3155" s="1" t="n">
        <v>45545</v>
      </c>
      <c r="C3155" s="1" t="n">
        <v>45718</v>
      </c>
      <c r="D3155" t="inlineStr">
        <is>
          <t>JÄMTLANDS LÄN</t>
        </is>
      </c>
      <c r="E3155" t="inlineStr">
        <is>
          <t>STRÖMSUND</t>
        </is>
      </c>
      <c r="F3155" t="inlineStr">
        <is>
          <t>SCA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38284-2024</t>
        </is>
      </c>
      <c r="B3156" s="1" t="n">
        <v>45545</v>
      </c>
      <c r="C3156" s="1" t="n">
        <v>45718</v>
      </c>
      <c r="D3156" t="inlineStr">
        <is>
          <t>JÄMTLANDS LÄN</t>
        </is>
      </c>
      <c r="E3156" t="inlineStr">
        <is>
          <t>STRÖMSUND</t>
        </is>
      </c>
      <c r="F3156" t="inlineStr">
        <is>
          <t>SCA</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38300-2024</t>
        </is>
      </c>
      <c r="B3157" s="1" t="n">
        <v>45545</v>
      </c>
      <c r="C3157" s="1" t="n">
        <v>45718</v>
      </c>
      <c r="D3157" t="inlineStr">
        <is>
          <t>JÄMTLANDS LÄN</t>
        </is>
      </c>
      <c r="E3157" t="inlineStr">
        <is>
          <t>STRÖMSUND</t>
        </is>
      </c>
      <c r="F3157" t="inlineStr">
        <is>
          <t>SCA</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38816-2024</t>
        </is>
      </c>
      <c r="B3158" s="1" t="n">
        <v>45547</v>
      </c>
      <c r="C3158" s="1" t="n">
        <v>45718</v>
      </c>
      <c r="D3158" t="inlineStr">
        <is>
          <t>JÄMTLANDS LÄN</t>
        </is>
      </c>
      <c r="E3158" t="inlineStr">
        <is>
          <t>STRÖMSUND</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39286-2024</t>
        </is>
      </c>
      <c r="B3159" s="1" t="n">
        <v>45551</v>
      </c>
      <c r="C3159" s="1" t="n">
        <v>45718</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39516-2024</t>
        </is>
      </c>
      <c r="B3160" s="1" t="n">
        <v>45551</v>
      </c>
      <c r="C3160" s="1" t="n">
        <v>45718</v>
      </c>
      <c r="D3160" t="inlineStr">
        <is>
          <t>JÄMTLANDS LÄN</t>
        </is>
      </c>
      <c r="E3160" t="inlineStr">
        <is>
          <t>STRÖMSUND</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39517-2024</t>
        </is>
      </c>
      <c r="B3161" s="1" t="n">
        <v>45551</v>
      </c>
      <c r="C3161" s="1" t="n">
        <v>45718</v>
      </c>
      <c r="D3161" t="inlineStr">
        <is>
          <t>JÄMTLANDS LÄN</t>
        </is>
      </c>
      <c r="E3161" t="inlineStr">
        <is>
          <t>STRÖMSUND</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39599-2024</t>
        </is>
      </c>
      <c r="B3162" s="1" t="n">
        <v>45552</v>
      </c>
      <c r="C3162" s="1" t="n">
        <v>45718</v>
      </c>
      <c r="D3162" t="inlineStr">
        <is>
          <t>JÄMTLANDS LÄN</t>
        </is>
      </c>
      <c r="E3162" t="inlineStr">
        <is>
          <t>STRÖMSUND</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39698-2024</t>
        </is>
      </c>
      <c r="B3163" s="1" t="n">
        <v>45552</v>
      </c>
      <c r="C3163" s="1" t="n">
        <v>45718</v>
      </c>
      <c r="D3163" t="inlineStr">
        <is>
          <t>JÄMTLANDS LÄN</t>
        </is>
      </c>
      <c r="E3163" t="inlineStr">
        <is>
          <t>STRÖMSUND</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39864-2024</t>
        </is>
      </c>
      <c r="B3164" s="1" t="n">
        <v>45553</v>
      </c>
      <c r="C3164" s="1" t="n">
        <v>45718</v>
      </c>
      <c r="D3164" t="inlineStr">
        <is>
          <t>JÄMTLANDS LÄN</t>
        </is>
      </c>
      <c r="E3164" t="inlineStr">
        <is>
          <t>STRÖMSUND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39949-2024</t>
        </is>
      </c>
      <c r="B3165" s="1" t="n">
        <v>45553</v>
      </c>
      <c r="C3165" s="1" t="n">
        <v>45718</v>
      </c>
      <c r="D3165" t="inlineStr">
        <is>
          <t>JÄMTLANDS LÄN</t>
        </is>
      </c>
      <c r="E3165" t="inlineStr">
        <is>
          <t>STRÖMSUND</t>
        </is>
      </c>
      <c r="F3165" t="inlineStr">
        <is>
          <t>Kyrkan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39939-2024</t>
        </is>
      </c>
      <c r="B3166" s="1" t="n">
        <v>45553</v>
      </c>
      <c r="C3166" s="1" t="n">
        <v>45718</v>
      </c>
      <c r="D3166" t="inlineStr">
        <is>
          <t>JÄMTLANDS LÄN</t>
        </is>
      </c>
      <c r="E3166" t="inlineStr">
        <is>
          <t>STRÖMSUND</t>
        </is>
      </c>
      <c r="F3166" t="inlineStr">
        <is>
          <t>Kyrkan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39979-2024</t>
        </is>
      </c>
      <c r="B3167" s="1" t="n">
        <v>45553</v>
      </c>
      <c r="C3167" s="1" t="n">
        <v>45718</v>
      </c>
      <c r="D3167" t="inlineStr">
        <is>
          <t>JÄMTLANDS LÄN</t>
        </is>
      </c>
      <c r="E3167" t="inlineStr">
        <is>
          <t>STRÖMSUND</t>
        </is>
      </c>
      <c r="F3167" t="inlineStr">
        <is>
          <t>Kyrkan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40140-2024</t>
        </is>
      </c>
      <c r="B3168" s="1" t="n">
        <v>45554</v>
      </c>
      <c r="C3168" s="1" t="n">
        <v>45718</v>
      </c>
      <c r="D3168" t="inlineStr">
        <is>
          <t>JÄMTLANDS LÄN</t>
        </is>
      </c>
      <c r="E3168" t="inlineStr">
        <is>
          <t>STRÖMSUND</t>
        </is>
      </c>
      <c r="F3168" t="inlineStr">
        <is>
          <t>Kyrkan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40090-2024</t>
        </is>
      </c>
      <c r="B3169" s="1" t="n">
        <v>45554</v>
      </c>
      <c r="C3169" s="1" t="n">
        <v>45718</v>
      </c>
      <c r="D3169" t="inlineStr">
        <is>
          <t>JÄMTLANDS LÄN</t>
        </is>
      </c>
      <c r="E3169" t="inlineStr">
        <is>
          <t>STRÖMSUND</t>
        </is>
      </c>
      <c r="F3169" t="inlineStr">
        <is>
          <t>Kyrkan</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40351-2024</t>
        </is>
      </c>
      <c r="B3170" s="1" t="n">
        <v>45555</v>
      </c>
      <c r="C3170" s="1" t="n">
        <v>45718</v>
      </c>
      <c r="D3170" t="inlineStr">
        <is>
          <t>JÄMTLANDS LÄN</t>
        </is>
      </c>
      <c r="E3170" t="inlineStr">
        <is>
          <t>STRÖMSUND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40344-2024</t>
        </is>
      </c>
      <c r="B3171" s="1" t="n">
        <v>45555</v>
      </c>
      <c r="C3171" s="1" t="n">
        <v>45718</v>
      </c>
      <c r="D3171" t="inlineStr">
        <is>
          <t>JÄMTLANDS LÄN</t>
        </is>
      </c>
      <c r="E3171" t="inlineStr">
        <is>
          <t>STRÖMSUND</t>
        </is>
      </c>
      <c r="F3171" t="inlineStr">
        <is>
          <t>SCA</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40492-2024</t>
        </is>
      </c>
      <c r="B3172" s="1" t="n">
        <v>45555</v>
      </c>
      <c r="C3172" s="1" t="n">
        <v>45718</v>
      </c>
      <c r="D3172" t="inlineStr">
        <is>
          <t>JÄMTLANDS LÄN</t>
        </is>
      </c>
      <c r="E3172" t="inlineStr">
        <is>
          <t>STRÖMSUND</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40500-2024</t>
        </is>
      </c>
      <c r="B3173" s="1" t="n">
        <v>45555</v>
      </c>
      <c r="C3173" s="1" t="n">
        <v>45718</v>
      </c>
      <c r="D3173" t="inlineStr">
        <is>
          <t>JÄMTLANDS LÄN</t>
        </is>
      </c>
      <c r="E3173" t="inlineStr">
        <is>
          <t>STRÖMSUND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40426-2024</t>
        </is>
      </c>
      <c r="B3174" s="1" t="n">
        <v>45555</v>
      </c>
      <c r="C3174" s="1" t="n">
        <v>45718</v>
      </c>
      <c r="D3174" t="inlineStr">
        <is>
          <t>JÄMTLANDS LÄN</t>
        </is>
      </c>
      <c r="E3174" t="inlineStr">
        <is>
          <t>STRÖMSUND</t>
        </is>
      </c>
      <c r="F3174" t="inlineStr">
        <is>
          <t>SCA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40450-2024</t>
        </is>
      </c>
      <c r="B3175" s="1" t="n">
        <v>45555</v>
      </c>
      <c r="C3175" s="1" t="n">
        <v>45718</v>
      </c>
      <c r="D3175" t="inlineStr">
        <is>
          <t>JÄMTLANDS LÄN</t>
        </is>
      </c>
      <c r="E3175" t="inlineStr">
        <is>
          <t>STRÖMSUND</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40574-2024</t>
        </is>
      </c>
      <c r="B3176" s="1" t="n">
        <v>45555</v>
      </c>
      <c r="C3176" s="1" t="n">
        <v>45718</v>
      </c>
      <c r="D3176" t="inlineStr">
        <is>
          <t>JÄMTLANDS LÄN</t>
        </is>
      </c>
      <c r="E3176" t="inlineStr">
        <is>
          <t>STRÖMSUND</t>
        </is>
      </c>
      <c r="F3176" t="inlineStr">
        <is>
          <t>SCA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40447-2024</t>
        </is>
      </c>
      <c r="B3177" s="1" t="n">
        <v>45555</v>
      </c>
      <c r="C3177" s="1" t="n">
        <v>45718</v>
      </c>
      <c r="D3177" t="inlineStr">
        <is>
          <t>JÄMTLANDS LÄN</t>
        </is>
      </c>
      <c r="E3177" t="inlineStr">
        <is>
          <t>STRÖMSUND</t>
        </is>
      </c>
      <c r="F3177" t="inlineStr">
        <is>
          <t>SCA</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40451-2024</t>
        </is>
      </c>
      <c r="B3178" s="1" t="n">
        <v>45555</v>
      </c>
      <c r="C3178" s="1" t="n">
        <v>45718</v>
      </c>
      <c r="D3178" t="inlineStr">
        <is>
          <t>JÄMTLANDS LÄN</t>
        </is>
      </c>
      <c r="E3178" t="inlineStr">
        <is>
          <t>STRÖMSUND</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40758-2024</t>
        </is>
      </c>
      <c r="B3179" s="1" t="n">
        <v>45558</v>
      </c>
      <c r="C3179" s="1" t="n">
        <v>45718</v>
      </c>
      <c r="D3179" t="inlineStr">
        <is>
          <t>JÄMTLANDS LÄN</t>
        </is>
      </c>
      <c r="E3179" t="inlineStr">
        <is>
          <t>STRÖMSUND</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40813-2024</t>
        </is>
      </c>
      <c r="B3180" s="1" t="n">
        <v>45558</v>
      </c>
      <c r="C3180" s="1" t="n">
        <v>45718</v>
      </c>
      <c r="D3180" t="inlineStr">
        <is>
          <t>JÄMTLANDS LÄN</t>
        </is>
      </c>
      <c r="E3180" t="inlineStr">
        <is>
          <t>STRÖMSUND</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40970-2024</t>
        </is>
      </c>
      <c r="B3181" s="1" t="n">
        <v>45558</v>
      </c>
      <c r="C3181" s="1" t="n">
        <v>45718</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40827-2024</t>
        </is>
      </c>
      <c r="B3182" s="1" t="n">
        <v>45558</v>
      </c>
      <c r="C3182" s="1" t="n">
        <v>45718</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40891-2024</t>
        </is>
      </c>
      <c r="B3183" s="1" t="n">
        <v>45558</v>
      </c>
      <c r="C3183" s="1" t="n">
        <v>45718</v>
      </c>
      <c r="D3183" t="inlineStr">
        <is>
          <t>JÄMTLANDS LÄN</t>
        </is>
      </c>
      <c r="E3183" t="inlineStr">
        <is>
          <t>STRÖMSUND</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40976-2024</t>
        </is>
      </c>
      <c r="B3184" s="1" t="n">
        <v>45558</v>
      </c>
      <c r="C3184" s="1" t="n">
        <v>45718</v>
      </c>
      <c r="D3184" t="inlineStr">
        <is>
          <t>JÄMTLANDS LÄN</t>
        </is>
      </c>
      <c r="E3184" t="inlineStr">
        <is>
          <t>STRÖMSUND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41070-2024</t>
        </is>
      </c>
      <c r="B3185" s="1" t="n">
        <v>45559</v>
      </c>
      <c r="C3185" s="1" t="n">
        <v>45718</v>
      </c>
      <c r="D3185" t="inlineStr">
        <is>
          <t>JÄMTLANDS LÄN</t>
        </is>
      </c>
      <c r="E3185" t="inlineStr">
        <is>
          <t>STRÖMSUND</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41116-2024</t>
        </is>
      </c>
      <c r="B3186" s="1" t="n">
        <v>45559</v>
      </c>
      <c r="C3186" s="1" t="n">
        <v>45718</v>
      </c>
      <c r="D3186" t="inlineStr">
        <is>
          <t>JÄMTLANDS LÄN</t>
        </is>
      </c>
      <c r="E3186" t="inlineStr">
        <is>
          <t>STRÖMSUND</t>
        </is>
      </c>
      <c r="G3186" t="n">
        <v>13.2</v>
      </c>
      <c r="H3186" t="n">
        <v>0</v>
      </c>
      <c r="I3186" t="n">
        <v>0</v>
      </c>
      <c r="J3186" t="n">
        <v>0</v>
      </c>
      <c r="K3186" t="n">
        <v>0</v>
      </c>
      <c r="L3186" t="n">
        <v>0</v>
      </c>
      <c r="M3186" t="n">
        <v>0</v>
      </c>
      <c r="N3186" t="n">
        <v>0</v>
      </c>
      <c r="O3186" t="n">
        <v>0</v>
      </c>
      <c r="P3186" t="n">
        <v>0</v>
      </c>
      <c r="Q3186" t="n">
        <v>0</v>
      </c>
      <c r="R3186" s="2" t="inlineStr"/>
    </row>
    <row r="3187" ht="15" customHeight="1">
      <c r="A3187" t="inlineStr">
        <is>
          <t>A 41141-2024</t>
        </is>
      </c>
      <c r="B3187" s="1" t="n">
        <v>45559</v>
      </c>
      <c r="C3187" s="1" t="n">
        <v>45718</v>
      </c>
      <c r="D3187" t="inlineStr">
        <is>
          <t>JÄMTLANDS LÄN</t>
        </is>
      </c>
      <c r="E3187" t="inlineStr">
        <is>
          <t>STRÖMSUND</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41140-2024</t>
        </is>
      </c>
      <c r="B3188" s="1" t="n">
        <v>45559</v>
      </c>
      <c r="C3188" s="1" t="n">
        <v>45718</v>
      </c>
      <c r="D3188" t="inlineStr">
        <is>
          <t>JÄMTLANDS LÄN</t>
        </is>
      </c>
      <c r="E3188" t="inlineStr">
        <is>
          <t>STRÖMSUND</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41292-2024</t>
        </is>
      </c>
      <c r="B3189" s="1" t="n">
        <v>45559</v>
      </c>
      <c r="C3189" s="1" t="n">
        <v>45718</v>
      </c>
      <c r="D3189" t="inlineStr">
        <is>
          <t>JÄMTLANDS LÄN</t>
        </is>
      </c>
      <c r="E3189" t="inlineStr">
        <is>
          <t>STRÖMSUND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41317-2024</t>
        </is>
      </c>
      <c r="B3190" s="1" t="n">
        <v>45559</v>
      </c>
      <c r="C3190" s="1" t="n">
        <v>45718</v>
      </c>
      <c r="D3190" t="inlineStr">
        <is>
          <t>JÄMTLANDS LÄN</t>
        </is>
      </c>
      <c r="E3190" t="inlineStr">
        <is>
          <t>STRÖMSUND</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41283-2024</t>
        </is>
      </c>
      <c r="B3191" s="1" t="n">
        <v>45559</v>
      </c>
      <c r="C3191" s="1" t="n">
        <v>45718</v>
      </c>
      <c r="D3191" t="inlineStr">
        <is>
          <t>JÄMTLANDS LÄN</t>
        </is>
      </c>
      <c r="E3191" t="inlineStr">
        <is>
          <t>STRÖMSUND</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41605-2024</t>
        </is>
      </c>
      <c r="B3192" s="1" t="n">
        <v>45560</v>
      </c>
      <c r="C3192" s="1" t="n">
        <v>45718</v>
      </c>
      <c r="D3192" t="inlineStr">
        <is>
          <t>JÄMTLANDS LÄN</t>
        </is>
      </c>
      <c r="E3192" t="inlineStr">
        <is>
          <t>STRÖMSUND</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41633-2024</t>
        </is>
      </c>
      <c r="B3193" s="1" t="n">
        <v>45560</v>
      </c>
      <c r="C3193" s="1" t="n">
        <v>45718</v>
      </c>
      <c r="D3193" t="inlineStr">
        <is>
          <t>JÄMTLANDS LÄN</t>
        </is>
      </c>
      <c r="E3193" t="inlineStr">
        <is>
          <t>STRÖMSUND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41579-2024</t>
        </is>
      </c>
      <c r="B3194" s="1" t="n">
        <v>45560</v>
      </c>
      <c r="C3194" s="1" t="n">
        <v>45718</v>
      </c>
      <c r="D3194" t="inlineStr">
        <is>
          <t>JÄMTLANDS LÄN</t>
        </is>
      </c>
      <c r="E3194" t="inlineStr">
        <is>
          <t>STRÖMSUND</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41783-2024</t>
        </is>
      </c>
      <c r="B3195" s="1" t="n">
        <v>45561</v>
      </c>
      <c r="C3195" s="1" t="n">
        <v>45718</v>
      </c>
      <c r="D3195" t="inlineStr">
        <is>
          <t>JÄMTLANDS LÄN</t>
        </is>
      </c>
      <c r="E3195" t="inlineStr">
        <is>
          <t>STRÖMSUND</t>
        </is>
      </c>
      <c r="F3195" t="inlineStr">
        <is>
          <t>SCA</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41905-2024</t>
        </is>
      </c>
      <c r="B3196" s="1" t="n">
        <v>45561</v>
      </c>
      <c r="C3196" s="1" t="n">
        <v>45718</v>
      </c>
      <c r="D3196" t="inlineStr">
        <is>
          <t>JÄMTLANDS LÄN</t>
        </is>
      </c>
      <c r="E3196" t="inlineStr">
        <is>
          <t>STRÖMSUND</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41942-2024</t>
        </is>
      </c>
      <c r="B3197" s="1" t="n">
        <v>45561</v>
      </c>
      <c r="C3197" s="1" t="n">
        <v>45718</v>
      </c>
      <c r="D3197" t="inlineStr">
        <is>
          <t>JÄMTLANDS LÄN</t>
        </is>
      </c>
      <c r="E3197" t="inlineStr">
        <is>
          <t>STRÖMSUND</t>
        </is>
      </c>
      <c r="F3197" t="inlineStr">
        <is>
          <t>SCA</t>
        </is>
      </c>
      <c r="G3197" t="n">
        <v>10.7</v>
      </c>
      <c r="H3197" t="n">
        <v>0</v>
      </c>
      <c r="I3197" t="n">
        <v>0</v>
      </c>
      <c r="J3197" t="n">
        <v>0</v>
      </c>
      <c r="K3197" t="n">
        <v>0</v>
      </c>
      <c r="L3197" t="n">
        <v>0</v>
      </c>
      <c r="M3197" t="n">
        <v>0</v>
      </c>
      <c r="N3197" t="n">
        <v>0</v>
      </c>
      <c r="O3197" t="n">
        <v>0</v>
      </c>
      <c r="P3197" t="n">
        <v>0</v>
      </c>
      <c r="Q3197" t="n">
        <v>0</v>
      </c>
      <c r="R3197" s="2" t="inlineStr"/>
    </row>
    <row r="3198" ht="15" customHeight="1">
      <c r="A3198" t="inlineStr">
        <is>
          <t>A 41986-2024</t>
        </is>
      </c>
      <c r="B3198" s="1" t="n">
        <v>45561</v>
      </c>
      <c r="C3198" s="1" t="n">
        <v>45718</v>
      </c>
      <c r="D3198" t="inlineStr">
        <is>
          <t>JÄMTLANDS LÄN</t>
        </is>
      </c>
      <c r="E3198" t="inlineStr">
        <is>
          <t>STRÖMSUND</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42006-2024</t>
        </is>
      </c>
      <c r="B3199" s="1" t="n">
        <v>45561</v>
      </c>
      <c r="C3199" s="1" t="n">
        <v>45718</v>
      </c>
      <c r="D3199" t="inlineStr">
        <is>
          <t>JÄMTLANDS LÄN</t>
        </is>
      </c>
      <c r="E3199" t="inlineStr">
        <is>
          <t>STRÖMSUND</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41902-2024</t>
        </is>
      </c>
      <c r="B3200" s="1" t="n">
        <v>45561</v>
      </c>
      <c r="C3200" s="1" t="n">
        <v>45718</v>
      </c>
      <c r="D3200" t="inlineStr">
        <is>
          <t>JÄMTLANDS LÄN</t>
        </is>
      </c>
      <c r="E3200" t="inlineStr">
        <is>
          <t>STRÖMSUND</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41939-2024</t>
        </is>
      </c>
      <c r="B3201" s="1" t="n">
        <v>45561</v>
      </c>
      <c r="C3201" s="1" t="n">
        <v>45718</v>
      </c>
      <c r="D3201" t="inlineStr">
        <is>
          <t>JÄMTLANDS LÄN</t>
        </is>
      </c>
      <c r="E3201" t="inlineStr">
        <is>
          <t>STRÖMSUND</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42005-2024</t>
        </is>
      </c>
      <c r="B3202" s="1" t="n">
        <v>45561</v>
      </c>
      <c r="C3202" s="1" t="n">
        <v>45718</v>
      </c>
      <c r="D3202" t="inlineStr">
        <is>
          <t>JÄMTLANDS LÄN</t>
        </is>
      </c>
      <c r="E3202" t="inlineStr">
        <is>
          <t>STRÖMSUND</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41987-2024</t>
        </is>
      </c>
      <c r="B3203" s="1" t="n">
        <v>45561</v>
      </c>
      <c r="C3203" s="1" t="n">
        <v>45718</v>
      </c>
      <c r="D3203" t="inlineStr">
        <is>
          <t>JÄMTLANDS LÄN</t>
        </is>
      </c>
      <c r="E3203" t="inlineStr">
        <is>
          <t>STRÖMSUND</t>
        </is>
      </c>
      <c r="F3203" t="inlineStr">
        <is>
          <t>SCA</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41940-2024</t>
        </is>
      </c>
      <c r="B3204" s="1" t="n">
        <v>45561</v>
      </c>
      <c r="C3204" s="1" t="n">
        <v>45718</v>
      </c>
      <c r="D3204" t="inlineStr">
        <is>
          <t>JÄMTLANDS LÄN</t>
        </is>
      </c>
      <c r="E3204" t="inlineStr">
        <is>
          <t>STRÖMSUND</t>
        </is>
      </c>
      <c r="F3204" t="inlineStr">
        <is>
          <t>SCA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41988-2024</t>
        </is>
      </c>
      <c r="B3205" s="1" t="n">
        <v>45561</v>
      </c>
      <c r="C3205" s="1" t="n">
        <v>45718</v>
      </c>
      <c r="D3205" t="inlineStr">
        <is>
          <t>JÄMTLANDS LÄN</t>
        </is>
      </c>
      <c r="E3205" t="inlineStr">
        <is>
          <t>STRÖMSUND</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42208-2024</t>
        </is>
      </c>
      <c r="B3206" s="1" t="n">
        <v>45562</v>
      </c>
      <c r="C3206" s="1" t="n">
        <v>45718</v>
      </c>
      <c r="D3206" t="inlineStr">
        <is>
          <t>JÄMTLANDS LÄN</t>
        </is>
      </c>
      <c r="E3206" t="inlineStr">
        <is>
          <t>STRÖMSUND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42479-2024</t>
        </is>
      </c>
      <c r="B3207" s="1" t="n">
        <v>45565</v>
      </c>
      <c r="C3207" s="1" t="n">
        <v>45718</v>
      </c>
      <c r="D3207" t="inlineStr">
        <is>
          <t>JÄMTLANDS LÄN</t>
        </is>
      </c>
      <c r="E3207" t="inlineStr">
        <is>
          <t>STRÖMSUND</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42681-2024</t>
        </is>
      </c>
      <c r="B3208" s="1" t="n">
        <v>45566</v>
      </c>
      <c r="C3208" s="1" t="n">
        <v>45718</v>
      </c>
      <c r="D3208" t="inlineStr">
        <is>
          <t>JÄMTLANDS LÄN</t>
        </is>
      </c>
      <c r="E3208" t="inlineStr">
        <is>
          <t>STRÖMSUND</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43090-2024</t>
        </is>
      </c>
      <c r="B3209" s="1" t="n">
        <v>45567</v>
      </c>
      <c r="C3209" s="1" t="n">
        <v>45718</v>
      </c>
      <c r="D3209" t="inlineStr">
        <is>
          <t>JÄMTLANDS LÄN</t>
        </is>
      </c>
      <c r="E3209" t="inlineStr">
        <is>
          <t>STRÖMSUND</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42992-2024</t>
        </is>
      </c>
      <c r="B3210" s="1" t="n">
        <v>45567</v>
      </c>
      <c r="C3210" s="1" t="n">
        <v>45718</v>
      </c>
      <c r="D3210" t="inlineStr">
        <is>
          <t>JÄMTLANDS LÄN</t>
        </is>
      </c>
      <c r="E3210" t="inlineStr">
        <is>
          <t>STRÖMSUND</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42980-2024</t>
        </is>
      </c>
      <c r="B3211" s="1" t="n">
        <v>45567</v>
      </c>
      <c r="C3211" s="1" t="n">
        <v>45718</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42960-2024</t>
        </is>
      </c>
      <c r="B3212" s="1" t="n">
        <v>45567</v>
      </c>
      <c r="C3212" s="1" t="n">
        <v>45718</v>
      </c>
      <c r="D3212" t="inlineStr">
        <is>
          <t>JÄMTLANDS LÄN</t>
        </is>
      </c>
      <c r="E3212" t="inlineStr">
        <is>
          <t>STRÖMSUND</t>
        </is>
      </c>
      <c r="F3212" t="inlineStr">
        <is>
          <t>SCA</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42957-2024</t>
        </is>
      </c>
      <c r="B3213" s="1" t="n">
        <v>45567</v>
      </c>
      <c r="C3213" s="1" t="n">
        <v>45718</v>
      </c>
      <c r="D3213" t="inlineStr">
        <is>
          <t>JÄMTLANDS LÄN</t>
        </is>
      </c>
      <c r="E3213" t="inlineStr">
        <is>
          <t>STRÖMSUND</t>
        </is>
      </c>
      <c r="F3213" t="inlineStr">
        <is>
          <t>SCA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42949-2024</t>
        </is>
      </c>
      <c r="B3214" s="1" t="n">
        <v>45567</v>
      </c>
      <c r="C3214" s="1" t="n">
        <v>45718</v>
      </c>
      <c r="D3214" t="inlineStr">
        <is>
          <t>JÄMTLANDS LÄN</t>
        </is>
      </c>
      <c r="E3214" t="inlineStr">
        <is>
          <t>STRÖMSUND</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42974-2024</t>
        </is>
      </c>
      <c r="B3215" s="1" t="n">
        <v>45567</v>
      </c>
      <c r="C3215" s="1" t="n">
        <v>45718</v>
      </c>
      <c r="D3215" t="inlineStr">
        <is>
          <t>JÄMTLANDS LÄN</t>
        </is>
      </c>
      <c r="E3215" t="inlineStr">
        <is>
          <t>STRÖMSUND</t>
        </is>
      </c>
      <c r="F3215" t="inlineStr">
        <is>
          <t>SCA</t>
        </is>
      </c>
      <c r="G3215" t="n">
        <v>20.5</v>
      </c>
      <c r="H3215" t="n">
        <v>0</v>
      </c>
      <c r="I3215" t="n">
        <v>0</v>
      </c>
      <c r="J3215" t="n">
        <v>0</v>
      </c>
      <c r="K3215" t="n">
        <v>0</v>
      </c>
      <c r="L3215" t="n">
        <v>0</v>
      </c>
      <c r="M3215" t="n">
        <v>0</v>
      </c>
      <c r="N3215" t="n">
        <v>0</v>
      </c>
      <c r="O3215" t="n">
        <v>0</v>
      </c>
      <c r="P3215" t="n">
        <v>0</v>
      </c>
      <c r="Q3215" t="n">
        <v>0</v>
      </c>
      <c r="R3215" s="2" t="inlineStr"/>
    </row>
    <row r="3216" ht="15" customHeight="1">
      <c r="A3216" t="inlineStr">
        <is>
          <t>A 42966-2024</t>
        </is>
      </c>
      <c r="B3216" s="1" t="n">
        <v>45567</v>
      </c>
      <c r="C3216" s="1" t="n">
        <v>45718</v>
      </c>
      <c r="D3216" t="inlineStr">
        <is>
          <t>JÄMTLANDS LÄN</t>
        </is>
      </c>
      <c r="E3216" t="inlineStr">
        <is>
          <t>STRÖMSUND</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42954-2024</t>
        </is>
      </c>
      <c r="B3217" s="1" t="n">
        <v>45567</v>
      </c>
      <c r="C3217" s="1" t="n">
        <v>45718</v>
      </c>
      <c r="D3217" t="inlineStr">
        <is>
          <t>JÄMTLANDS LÄN</t>
        </is>
      </c>
      <c r="E3217" t="inlineStr">
        <is>
          <t>STRÖMSUND</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43425-2024</t>
        </is>
      </c>
      <c r="B3218" s="1" t="n">
        <v>45568</v>
      </c>
      <c r="C3218" s="1" t="n">
        <v>45718</v>
      </c>
      <c r="D3218" t="inlineStr">
        <is>
          <t>JÄMTLANDS LÄN</t>
        </is>
      </c>
      <c r="E3218" t="inlineStr">
        <is>
          <t>STRÖMSUND</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43326-2024</t>
        </is>
      </c>
      <c r="B3219" s="1" t="n">
        <v>45568</v>
      </c>
      <c r="C3219" s="1" t="n">
        <v>45718</v>
      </c>
      <c r="D3219" t="inlineStr">
        <is>
          <t>JÄMTLANDS LÄN</t>
        </is>
      </c>
      <c r="E3219" t="inlineStr">
        <is>
          <t>STRÖMSUND</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43605-2024</t>
        </is>
      </c>
      <c r="B3220" s="1" t="n">
        <v>45569</v>
      </c>
      <c r="C3220" s="1" t="n">
        <v>45718</v>
      </c>
      <c r="D3220" t="inlineStr">
        <is>
          <t>JÄMTLANDS LÄN</t>
        </is>
      </c>
      <c r="E3220" t="inlineStr">
        <is>
          <t>STRÖMSUND</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43889-2024</t>
        </is>
      </c>
      <c r="B3221" s="1" t="n">
        <v>45572</v>
      </c>
      <c r="C3221" s="1" t="n">
        <v>45718</v>
      </c>
      <c r="D3221" t="inlineStr">
        <is>
          <t>JÄMTLANDS LÄN</t>
        </is>
      </c>
      <c r="E3221" t="inlineStr">
        <is>
          <t>STRÖMSUND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44113-2024</t>
        </is>
      </c>
      <c r="B3222" s="1" t="n">
        <v>45572</v>
      </c>
      <c r="C3222" s="1" t="n">
        <v>45718</v>
      </c>
      <c r="D3222" t="inlineStr">
        <is>
          <t>JÄMTLANDS LÄN</t>
        </is>
      </c>
      <c r="E3222" t="inlineStr">
        <is>
          <t>STRÖMSUND</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43890-2024</t>
        </is>
      </c>
      <c r="B3223" s="1" t="n">
        <v>45572</v>
      </c>
      <c r="C3223" s="1" t="n">
        <v>45718</v>
      </c>
      <c r="D3223" t="inlineStr">
        <is>
          <t>JÄMTLANDS LÄN</t>
        </is>
      </c>
      <c r="E3223" t="inlineStr">
        <is>
          <t>STRÖMSUND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44009-2024</t>
        </is>
      </c>
      <c r="B3224" s="1" t="n">
        <v>45572</v>
      </c>
      <c r="C3224" s="1" t="n">
        <v>45718</v>
      </c>
      <c r="D3224" t="inlineStr">
        <is>
          <t>JÄMTLANDS LÄN</t>
        </is>
      </c>
      <c r="E3224" t="inlineStr">
        <is>
          <t>STRÖMSUND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44010-2024</t>
        </is>
      </c>
      <c r="B3225" s="1" t="n">
        <v>45572</v>
      </c>
      <c r="C3225" s="1" t="n">
        <v>45718</v>
      </c>
      <c r="D3225" t="inlineStr">
        <is>
          <t>JÄMTLANDS LÄN</t>
        </is>
      </c>
      <c r="E3225" t="inlineStr">
        <is>
          <t>STRÖMSUND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44112-2024</t>
        </is>
      </c>
      <c r="B3226" s="1" t="n">
        <v>45572</v>
      </c>
      <c r="C3226" s="1" t="n">
        <v>45718</v>
      </c>
      <c r="D3226" t="inlineStr">
        <is>
          <t>JÄMTLANDS LÄN</t>
        </is>
      </c>
      <c r="E3226" t="inlineStr">
        <is>
          <t>STRÖMSUND</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44599-2024</t>
        </is>
      </c>
      <c r="B3227" s="1" t="n">
        <v>45574</v>
      </c>
      <c r="C3227" s="1" t="n">
        <v>45718</v>
      </c>
      <c r="D3227" t="inlineStr">
        <is>
          <t>JÄMTLANDS LÄN</t>
        </is>
      </c>
      <c r="E3227" t="inlineStr">
        <is>
          <t>STRÖMSUND</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44615-2024</t>
        </is>
      </c>
      <c r="B3228" s="1" t="n">
        <v>45574</v>
      </c>
      <c r="C3228" s="1" t="n">
        <v>45718</v>
      </c>
      <c r="D3228" t="inlineStr">
        <is>
          <t>JÄMTLANDS LÄN</t>
        </is>
      </c>
      <c r="E3228" t="inlineStr">
        <is>
          <t>STRÖMSUND</t>
        </is>
      </c>
      <c r="F3228" t="inlineStr">
        <is>
          <t>SCA</t>
        </is>
      </c>
      <c r="G3228" t="n">
        <v>2.7</v>
      </c>
      <c r="H3228" t="n">
        <v>0</v>
      </c>
      <c r="I3228" t="n">
        <v>0</v>
      </c>
      <c r="J3228" t="n">
        <v>0</v>
      </c>
      <c r="K3228" t="n">
        <v>0</v>
      </c>
      <c r="L3228" t="n">
        <v>0</v>
      </c>
      <c r="M3228" t="n">
        <v>0</v>
      </c>
      <c r="N3228" t="n">
        <v>0</v>
      </c>
      <c r="O3228" t="n">
        <v>0</v>
      </c>
      <c r="P3228" t="n">
        <v>0</v>
      </c>
      <c r="Q3228" t="n">
        <v>0</v>
      </c>
      <c r="R3228" s="2" t="inlineStr"/>
      <c r="U3228">
        <f>HYPERLINK("https://klasma.github.io/Logging_2313/knärot/A 44615-2024 karta knärot.png", "A 44615-2024")</f>
        <v/>
      </c>
      <c r="V3228">
        <f>HYPERLINK("https://klasma.github.io/Logging_2313/klagomål/A 44615-2024 FSC-klagomål.docx", "A 44615-2024")</f>
        <v/>
      </c>
      <c r="W3228">
        <f>HYPERLINK("https://klasma.github.io/Logging_2313/klagomålsmail/A 44615-2024 FSC-klagomål mail.docx", "A 44615-2024")</f>
        <v/>
      </c>
      <c r="X3228">
        <f>HYPERLINK("https://klasma.github.io/Logging_2313/tillsyn/A 44615-2024 tillsynsbegäran.docx", "A 44615-2024")</f>
        <v/>
      </c>
      <c r="Y3228">
        <f>HYPERLINK("https://klasma.github.io/Logging_2313/tillsynsmail/A 44615-2024 tillsynsbegäran mail.docx", "A 44615-2024")</f>
        <v/>
      </c>
    </row>
    <row r="3229" ht="15" customHeight="1">
      <c r="A3229" t="inlineStr">
        <is>
          <t>A 44623-2024</t>
        </is>
      </c>
      <c r="B3229" s="1" t="n">
        <v>45574</v>
      </c>
      <c r="C3229" s="1" t="n">
        <v>45718</v>
      </c>
      <c r="D3229" t="inlineStr">
        <is>
          <t>JÄMTLANDS LÄN</t>
        </is>
      </c>
      <c r="E3229" t="inlineStr">
        <is>
          <t>STRÖMSUND</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44618-2024</t>
        </is>
      </c>
      <c r="B3230" s="1" t="n">
        <v>45574</v>
      </c>
      <c r="C3230" s="1" t="n">
        <v>45718</v>
      </c>
      <c r="D3230" t="inlineStr">
        <is>
          <t>JÄMTLANDS LÄN</t>
        </is>
      </c>
      <c r="E3230" t="inlineStr">
        <is>
          <t>STRÖMSUND</t>
        </is>
      </c>
      <c r="F3230" t="inlineStr">
        <is>
          <t>SCA</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44811-2024</t>
        </is>
      </c>
      <c r="B3231" s="1" t="n">
        <v>45574</v>
      </c>
      <c r="C3231" s="1" t="n">
        <v>45718</v>
      </c>
      <c r="D3231" t="inlineStr">
        <is>
          <t>JÄMTLANDS LÄN</t>
        </is>
      </c>
      <c r="E3231" t="inlineStr">
        <is>
          <t>STRÖMSUND</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44601-2024</t>
        </is>
      </c>
      <c r="B3232" s="1" t="n">
        <v>45574</v>
      </c>
      <c r="C3232" s="1" t="n">
        <v>45718</v>
      </c>
      <c r="D3232" t="inlineStr">
        <is>
          <t>JÄMTLANDS LÄN</t>
        </is>
      </c>
      <c r="E3232" t="inlineStr">
        <is>
          <t>STRÖMSUND</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44638-2024</t>
        </is>
      </c>
      <c r="B3233" s="1" t="n">
        <v>45574</v>
      </c>
      <c r="C3233" s="1" t="n">
        <v>45718</v>
      </c>
      <c r="D3233" t="inlineStr">
        <is>
          <t>JÄMTLANDS LÄN</t>
        </is>
      </c>
      <c r="E3233" t="inlineStr">
        <is>
          <t>STRÖMSUND</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44642-2024</t>
        </is>
      </c>
      <c r="B3234" s="1" t="n">
        <v>45574</v>
      </c>
      <c r="C3234" s="1" t="n">
        <v>45718</v>
      </c>
      <c r="D3234" t="inlineStr">
        <is>
          <t>JÄMTLANDS LÄN</t>
        </is>
      </c>
      <c r="E3234" t="inlineStr">
        <is>
          <t>STRÖMSUND</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44584-2024</t>
        </is>
      </c>
      <c r="B3235" s="1" t="n">
        <v>45574</v>
      </c>
      <c r="C3235" s="1" t="n">
        <v>45718</v>
      </c>
      <c r="D3235" t="inlineStr">
        <is>
          <t>JÄMTLANDS LÄN</t>
        </is>
      </c>
      <c r="E3235" t="inlineStr">
        <is>
          <t>STRÖMSUND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44596-2024</t>
        </is>
      </c>
      <c r="B3236" s="1" t="n">
        <v>45574</v>
      </c>
      <c r="C3236" s="1" t="n">
        <v>45718</v>
      </c>
      <c r="D3236" t="inlineStr">
        <is>
          <t>JÄMTLANDS LÄN</t>
        </is>
      </c>
      <c r="E3236" t="inlineStr">
        <is>
          <t>STRÖMSUND</t>
        </is>
      </c>
      <c r="F3236" t="inlineStr">
        <is>
          <t>SCA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45005-2024</t>
        </is>
      </c>
      <c r="B3237" s="1" t="n">
        <v>45575</v>
      </c>
      <c r="C3237" s="1" t="n">
        <v>45718</v>
      </c>
      <c r="D3237" t="inlineStr">
        <is>
          <t>JÄMTLANDS LÄN</t>
        </is>
      </c>
      <c r="E3237" t="inlineStr">
        <is>
          <t>STRÖMSUND</t>
        </is>
      </c>
      <c r="F3237" t="inlineStr">
        <is>
          <t>SCA</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45411-2024</t>
        </is>
      </c>
      <c r="B3238" s="1" t="n">
        <v>45576</v>
      </c>
      <c r="C3238" s="1" t="n">
        <v>45718</v>
      </c>
      <c r="D3238" t="inlineStr">
        <is>
          <t>JÄMTLANDS LÄN</t>
        </is>
      </c>
      <c r="E3238" t="inlineStr">
        <is>
          <t>STRÖMSUND</t>
        </is>
      </c>
      <c r="F3238" t="inlineStr">
        <is>
          <t>SCA</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45251-2024</t>
        </is>
      </c>
      <c r="B3239" s="1" t="n">
        <v>45576</v>
      </c>
      <c r="C3239" s="1" t="n">
        <v>45718</v>
      </c>
      <c r="D3239" t="inlineStr">
        <is>
          <t>JÄMTLANDS LÄN</t>
        </is>
      </c>
      <c r="E3239" t="inlineStr">
        <is>
          <t>STRÖMSUND</t>
        </is>
      </c>
      <c r="F3239" t="inlineStr">
        <is>
          <t>Sveaskog</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45249-2024</t>
        </is>
      </c>
      <c r="B3240" s="1" t="n">
        <v>45576</v>
      </c>
      <c r="C3240" s="1" t="n">
        <v>45718</v>
      </c>
      <c r="D3240" t="inlineStr">
        <is>
          <t>JÄMTLANDS LÄN</t>
        </is>
      </c>
      <c r="E3240" t="inlineStr">
        <is>
          <t>STRÖMSUND</t>
        </is>
      </c>
      <c r="F3240" t="inlineStr">
        <is>
          <t>Sveaskog</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45762-2024</t>
        </is>
      </c>
      <c r="B3241" s="1" t="n">
        <v>45579</v>
      </c>
      <c r="C3241" s="1" t="n">
        <v>45718</v>
      </c>
      <c r="D3241" t="inlineStr">
        <is>
          <t>JÄMTLANDS LÄN</t>
        </is>
      </c>
      <c r="E3241" t="inlineStr">
        <is>
          <t>STRÖMSUND</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45759-2024</t>
        </is>
      </c>
      <c r="B3242" s="1" t="n">
        <v>45579</v>
      </c>
      <c r="C3242" s="1" t="n">
        <v>45718</v>
      </c>
      <c r="D3242" t="inlineStr">
        <is>
          <t>JÄMTLANDS LÄN</t>
        </is>
      </c>
      <c r="E3242" t="inlineStr">
        <is>
          <t>STRÖMSUND</t>
        </is>
      </c>
      <c r="F3242" t="inlineStr">
        <is>
          <t>SCA</t>
        </is>
      </c>
      <c r="G3242" t="n">
        <v>13.5</v>
      </c>
      <c r="H3242" t="n">
        <v>0</v>
      </c>
      <c r="I3242" t="n">
        <v>0</v>
      </c>
      <c r="J3242" t="n">
        <v>0</v>
      </c>
      <c r="K3242" t="n">
        <v>0</v>
      </c>
      <c r="L3242" t="n">
        <v>0</v>
      </c>
      <c r="M3242" t="n">
        <v>0</v>
      </c>
      <c r="N3242" t="n">
        <v>0</v>
      </c>
      <c r="O3242" t="n">
        <v>0</v>
      </c>
      <c r="P3242" t="n">
        <v>0</v>
      </c>
      <c r="Q3242" t="n">
        <v>0</v>
      </c>
      <c r="R3242" s="2" t="inlineStr"/>
    </row>
    <row r="3243" ht="15" customHeight="1">
      <c r="A3243" t="inlineStr">
        <is>
          <t>A 46199-2024</t>
        </is>
      </c>
      <c r="B3243" s="1" t="n">
        <v>45581</v>
      </c>
      <c r="C3243" s="1" t="n">
        <v>45718</v>
      </c>
      <c r="D3243" t="inlineStr">
        <is>
          <t>JÄMTLANDS LÄN</t>
        </is>
      </c>
      <c r="E3243" t="inlineStr">
        <is>
          <t>STRÖMSUND</t>
        </is>
      </c>
      <c r="F3243" t="inlineStr">
        <is>
          <t>SCA</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46394-2024</t>
        </is>
      </c>
      <c r="B3244" s="1" t="n">
        <v>45582</v>
      </c>
      <c r="C3244" s="1" t="n">
        <v>45718</v>
      </c>
      <c r="D3244" t="inlineStr">
        <is>
          <t>JÄMTLANDS LÄN</t>
        </is>
      </c>
      <c r="E3244" t="inlineStr">
        <is>
          <t>STRÖMSUND</t>
        </is>
      </c>
      <c r="F3244" t="inlineStr">
        <is>
          <t>SCA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46816-2024</t>
        </is>
      </c>
      <c r="B3245" s="1" t="n">
        <v>45583</v>
      </c>
      <c r="C3245" s="1" t="n">
        <v>45718</v>
      </c>
      <c r="D3245" t="inlineStr">
        <is>
          <t>JÄMTLANDS LÄN</t>
        </is>
      </c>
      <c r="E3245" t="inlineStr">
        <is>
          <t>STRÖMSUND</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46677-2024</t>
        </is>
      </c>
      <c r="B3246" s="1" t="n">
        <v>45583</v>
      </c>
      <c r="C3246" s="1" t="n">
        <v>45718</v>
      </c>
      <c r="D3246" t="inlineStr">
        <is>
          <t>JÄMTLANDS LÄN</t>
        </is>
      </c>
      <c r="E3246" t="inlineStr">
        <is>
          <t>STRÖMSUND</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46905-2024</t>
        </is>
      </c>
      <c r="B3247" s="1" t="n">
        <v>45583</v>
      </c>
      <c r="C3247" s="1" t="n">
        <v>45718</v>
      </c>
      <c r="D3247" t="inlineStr">
        <is>
          <t>JÄMTLANDS LÄN</t>
        </is>
      </c>
      <c r="E3247" t="inlineStr">
        <is>
          <t>STRÖMSUND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47241-2024</t>
        </is>
      </c>
      <c r="B3248" s="1" t="n">
        <v>45586</v>
      </c>
      <c r="C3248" s="1" t="n">
        <v>45718</v>
      </c>
      <c r="D3248" t="inlineStr">
        <is>
          <t>JÄMTLANDS LÄN</t>
        </is>
      </c>
      <c r="E3248" t="inlineStr">
        <is>
          <t>STRÖMSUND</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47114-2024</t>
        </is>
      </c>
      <c r="B3249" s="1" t="n">
        <v>45586</v>
      </c>
      <c r="C3249" s="1" t="n">
        <v>45718</v>
      </c>
      <c r="D3249" t="inlineStr">
        <is>
          <t>JÄMTLANDS LÄN</t>
        </is>
      </c>
      <c r="E3249" t="inlineStr">
        <is>
          <t>STRÖMSUND</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46980-2024</t>
        </is>
      </c>
      <c r="B3250" s="1" t="n">
        <v>45586</v>
      </c>
      <c r="C3250" s="1" t="n">
        <v>45718</v>
      </c>
      <c r="D3250" t="inlineStr">
        <is>
          <t>JÄMTLANDS LÄN</t>
        </is>
      </c>
      <c r="E3250" t="inlineStr">
        <is>
          <t>STRÖMSUND</t>
        </is>
      </c>
      <c r="F3250" t="inlineStr">
        <is>
          <t>Holmen skog AB</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46969-2024</t>
        </is>
      </c>
      <c r="B3251" s="1" t="n">
        <v>45586</v>
      </c>
      <c r="C3251" s="1" t="n">
        <v>45718</v>
      </c>
      <c r="D3251" t="inlineStr">
        <is>
          <t>JÄMTLANDS LÄN</t>
        </is>
      </c>
      <c r="E3251" t="inlineStr">
        <is>
          <t>STRÖMSUND</t>
        </is>
      </c>
      <c r="F3251" t="inlineStr">
        <is>
          <t>Holmen skog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47331-2024</t>
        </is>
      </c>
      <c r="B3252" s="1" t="n">
        <v>45587</v>
      </c>
      <c r="C3252" s="1" t="n">
        <v>45718</v>
      </c>
      <c r="D3252" t="inlineStr">
        <is>
          <t>JÄMTLANDS LÄN</t>
        </is>
      </c>
      <c r="E3252" t="inlineStr">
        <is>
          <t>STRÖMSUND</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47356-2024</t>
        </is>
      </c>
      <c r="B3253" s="1" t="n">
        <v>45587</v>
      </c>
      <c r="C3253" s="1" t="n">
        <v>45718</v>
      </c>
      <c r="D3253" t="inlineStr">
        <is>
          <t>JÄMTLANDS LÄN</t>
        </is>
      </c>
      <c r="E3253" t="inlineStr">
        <is>
          <t>STRÖMSUND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47633-2024</t>
        </is>
      </c>
      <c r="B3254" s="1" t="n">
        <v>45588</v>
      </c>
      <c r="C3254" s="1" t="n">
        <v>45718</v>
      </c>
      <c r="D3254" t="inlineStr">
        <is>
          <t>JÄMTLANDS LÄN</t>
        </is>
      </c>
      <c r="E3254" t="inlineStr">
        <is>
          <t>STRÖMSUND</t>
        </is>
      </c>
      <c r="F3254" t="inlineStr">
        <is>
          <t>SCA</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47632-2024</t>
        </is>
      </c>
      <c r="B3255" s="1" t="n">
        <v>45588</v>
      </c>
      <c r="C3255" s="1" t="n">
        <v>45718</v>
      </c>
      <c r="D3255" t="inlineStr">
        <is>
          <t>JÄMTLANDS LÄN</t>
        </is>
      </c>
      <c r="E3255" t="inlineStr">
        <is>
          <t>STRÖMSUND</t>
        </is>
      </c>
      <c r="F3255" t="inlineStr">
        <is>
          <t>SCA</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47806-2024</t>
        </is>
      </c>
      <c r="B3256" s="1" t="n">
        <v>45588</v>
      </c>
      <c r="C3256" s="1" t="n">
        <v>45718</v>
      </c>
      <c r="D3256" t="inlineStr">
        <is>
          <t>JÄMTLANDS LÄN</t>
        </is>
      </c>
      <c r="E3256" t="inlineStr">
        <is>
          <t>STRÖMSUND</t>
        </is>
      </c>
      <c r="F3256" t="inlineStr">
        <is>
          <t>SCA</t>
        </is>
      </c>
      <c r="G3256" t="n">
        <v>10.9</v>
      </c>
      <c r="H3256" t="n">
        <v>0</v>
      </c>
      <c r="I3256" t="n">
        <v>0</v>
      </c>
      <c r="J3256" t="n">
        <v>0</v>
      </c>
      <c r="K3256" t="n">
        <v>0</v>
      </c>
      <c r="L3256" t="n">
        <v>0</v>
      </c>
      <c r="M3256" t="n">
        <v>0</v>
      </c>
      <c r="N3256" t="n">
        <v>0</v>
      </c>
      <c r="O3256" t="n">
        <v>0</v>
      </c>
      <c r="P3256" t="n">
        <v>0</v>
      </c>
      <c r="Q3256" t="n">
        <v>0</v>
      </c>
      <c r="R3256" s="2" t="inlineStr"/>
    </row>
    <row r="3257" ht="15" customHeight="1">
      <c r="A3257" t="inlineStr">
        <is>
          <t>A 47657-2024</t>
        </is>
      </c>
      <c r="B3257" s="1" t="n">
        <v>45588</v>
      </c>
      <c r="C3257" s="1" t="n">
        <v>45718</v>
      </c>
      <c r="D3257" t="inlineStr">
        <is>
          <t>JÄMTLANDS LÄN</t>
        </is>
      </c>
      <c r="E3257" t="inlineStr">
        <is>
          <t>STRÖMSUND</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47655-2024</t>
        </is>
      </c>
      <c r="B3258" s="1" t="n">
        <v>45588</v>
      </c>
      <c r="C3258" s="1" t="n">
        <v>45718</v>
      </c>
      <c r="D3258" t="inlineStr">
        <is>
          <t>JÄMTLANDS LÄN</t>
        </is>
      </c>
      <c r="E3258" t="inlineStr">
        <is>
          <t>STRÖMSUND</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48134-2024</t>
        </is>
      </c>
      <c r="B3259" s="1" t="n">
        <v>45589</v>
      </c>
      <c r="C3259" s="1" t="n">
        <v>45718</v>
      </c>
      <c r="D3259" t="inlineStr">
        <is>
          <t>JÄMTLANDS LÄN</t>
        </is>
      </c>
      <c r="E3259" t="inlineStr">
        <is>
          <t>STRÖMSUND</t>
        </is>
      </c>
      <c r="G3259" t="n">
        <v>27.3</v>
      </c>
      <c r="H3259" t="n">
        <v>0</v>
      </c>
      <c r="I3259" t="n">
        <v>0</v>
      </c>
      <c r="J3259" t="n">
        <v>0</v>
      </c>
      <c r="K3259" t="n">
        <v>0</v>
      </c>
      <c r="L3259" t="n">
        <v>0</v>
      </c>
      <c r="M3259" t="n">
        <v>0</v>
      </c>
      <c r="N3259" t="n">
        <v>0</v>
      </c>
      <c r="O3259" t="n">
        <v>0</v>
      </c>
      <c r="P3259" t="n">
        <v>0</v>
      </c>
      <c r="Q3259" t="n">
        <v>0</v>
      </c>
      <c r="R3259" s="2" t="inlineStr"/>
    </row>
    <row r="3260" ht="15" customHeight="1">
      <c r="A3260" t="inlineStr">
        <is>
          <t>A 48194-2024</t>
        </is>
      </c>
      <c r="B3260" s="1" t="n">
        <v>45590</v>
      </c>
      <c r="C3260" s="1" t="n">
        <v>45718</v>
      </c>
      <c r="D3260" t="inlineStr">
        <is>
          <t>JÄMTLANDS LÄN</t>
        </is>
      </c>
      <c r="E3260" t="inlineStr">
        <is>
          <t>STRÖMSUND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48603-2024</t>
        </is>
      </c>
      <c r="B3261" s="1" t="n">
        <v>45593</v>
      </c>
      <c r="C3261" s="1" t="n">
        <v>45718</v>
      </c>
      <c r="D3261" t="inlineStr">
        <is>
          <t>JÄMTLANDS LÄN</t>
        </is>
      </c>
      <c r="E3261" t="inlineStr">
        <is>
          <t>STRÖMSUND</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48604-2024</t>
        </is>
      </c>
      <c r="B3262" s="1" t="n">
        <v>45593</v>
      </c>
      <c r="C3262" s="1" t="n">
        <v>45718</v>
      </c>
      <c r="D3262" t="inlineStr">
        <is>
          <t>JÄMTLANDS LÄN</t>
        </is>
      </c>
      <c r="E3262" t="inlineStr">
        <is>
          <t>STRÖMSUND</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48833-2024</t>
        </is>
      </c>
      <c r="B3263" s="1" t="n">
        <v>45593</v>
      </c>
      <c r="C3263" s="1" t="n">
        <v>45718</v>
      </c>
      <c r="D3263" t="inlineStr">
        <is>
          <t>JÄMTLANDS LÄN</t>
        </is>
      </c>
      <c r="E3263" t="inlineStr">
        <is>
          <t>STRÖMSUND</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48936-2024</t>
        </is>
      </c>
      <c r="B3264" s="1" t="n">
        <v>45594</v>
      </c>
      <c r="C3264" s="1" t="n">
        <v>45718</v>
      </c>
      <c r="D3264" t="inlineStr">
        <is>
          <t>JÄMTLANDS LÄN</t>
        </is>
      </c>
      <c r="E3264" t="inlineStr">
        <is>
          <t>STRÖMSUND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48910-2024</t>
        </is>
      </c>
      <c r="B3265" s="1" t="n">
        <v>45594</v>
      </c>
      <c r="C3265" s="1" t="n">
        <v>45718</v>
      </c>
      <c r="D3265" t="inlineStr">
        <is>
          <t>JÄMTLANDS LÄN</t>
        </is>
      </c>
      <c r="E3265" t="inlineStr">
        <is>
          <t>STRÖMSUND</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49126-2024</t>
        </is>
      </c>
      <c r="B3266" s="1" t="n">
        <v>45594</v>
      </c>
      <c r="C3266" s="1" t="n">
        <v>45718</v>
      </c>
      <c r="D3266" t="inlineStr">
        <is>
          <t>JÄMTLANDS LÄN</t>
        </is>
      </c>
      <c r="E3266" t="inlineStr">
        <is>
          <t>STRÖMSUND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48917-2024</t>
        </is>
      </c>
      <c r="B3267" s="1" t="n">
        <v>45594</v>
      </c>
      <c r="C3267" s="1" t="n">
        <v>45718</v>
      </c>
      <c r="D3267" t="inlineStr">
        <is>
          <t>JÄMTLANDS LÄN</t>
        </is>
      </c>
      <c r="E3267" t="inlineStr">
        <is>
          <t>STRÖMSUND</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48947-2024</t>
        </is>
      </c>
      <c r="B3268" s="1" t="n">
        <v>45594</v>
      </c>
      <c r="C3268" s="1" t="n">
        <v>45718</v>
      </c>
      <c r="D3268" t="inlineStr">
        <is>
          <t>JÄMTLANDS LÄN</t>
        </is>
      </c>
      <c r="E3268" t="inlineStr">
        <is>
          <t>STRÖMSUND</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49127-2024</t>
        </is>
      </c>
      <c r="B3269" s="1" t="n">
        <v>45594</v>
      </c>
      <c r="C3269" s="1" t="n">
        <v>45718</v>
      </c>
      <c r="D3269" t="inlineStr">
        <is>
          <t>JÄMTLANDS LÄN</t>
        </is>
      </c>
      <c r="E3269" t="inlineStr">
        <is>
          <t>STRÖMSUND</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49196-2024</t>
        </is>
      </c>
      <c r="B3270" s="1" t="n">
        <v>45595</v>
      </c>
      <c r="C3270" s="1" t="n">
        <v>45718</v>
      </c>
      <c r="D3270" t="inlineStr">
        <is>
          <t>JÄMTLANDS LÄN</t>
        </is>
      </c>
      <c r="E3270" t="inlineStr">
        <is>
          <t>STRÖMSUND</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49191-2024</t>
        </is>
      </c>
      <c r="B3271" s="1" t="n">
        <v>45595</v>
      </c>
      <c r="C3271" s="1" t="n">
        <v>45718</v>
      </c>
      <c r="D3271" t="inlineStr">
        <is>
          <t>JÄMTLANDS LÄN</t>
        </is>
      </c>
      <c r="E3271" t="inlineStr">
        <is>
          <t>STRÖMSUND</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49186-2024</t>
        </is>
      </c>
      <c r="B3272" s="1" t="n">
        <v>45595</v>
      </c>
      <c r="C3272" s="1" t="n">
        <v>45718</v>
      </c>
      <c r="D3272" t="inlineStr">
        <is>
          <t>JÄMTLANDS LÄN</t>
        </is>
      </c>
      <c r="E3272" t="inlineStr">
        <is>
          <t>STRÖMSUND</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49194-2024</t>
        </is>
      </c>
      <c r="B3273" s="1" t="n">
        <v>45595</v>
      </c>
      <c r="C3273" s="1" t="n">
        <v>45718</v>
      </c>
      <c r="D3273" t="inlineStr">
        <is>
          <t>JÄMTLANDS LÄN</t>
        </is>
      </c>
      <c r="E3273" t="inlineStr">
        <is>
          <t>STRÖMSUND</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49370-2024</t>
        </is>
      </c>
      <c r="B3274" s="1" t="n">
        <v>45595</v>
      </c>
      <c r="C3274" s="1" t="n">
        <v>45718</v>
      </c>
      <c r="D3274" t="inlineStr">
        <is>
          <t>JÄMTLANDS LÄN</t>
        </is>
      </c>
      <c r="E3274" t="inlineStr">
        <is>
          <t>STRÖMSUND</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49384-2024</t>
        </is>
      </c>
      <c r="B3275" s="1" t="n">
        <v>45595</v>
      </c>
      <c r="C3275" s="1" t="n">
        <v>45718</v>
      </c>
      <c r="D3275" t="inlineStr">
        <is>
          <t>JÄMTLANDS LÄN</t>
        </is>
      </c>
      <c r="E3275" t="inlineStr">
        <is>
          <t>STRÖMSUND</t>
        </is>
      </c>
      <c r="F3275" t="inlineStr">
        <is>
          <t>SCA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49396-2024</t>
        </is>
      </c>
      <c r="B3276" s="1" t="n">
        <v>45595</v>
      </c>
      <c r="C3276" s="1" t="n">
        <v>45718</v>
      </c>
      <c r="D3276" t="inlineStr">
        <is>
          <t>JÄMTLANDS LÄN</t>
        </is>
      </c>
      <c r="E3276" t="inlineStr">
        <is>
          <t>STRÖMSUND</t>
        </is>
      </c>
      <c r="F3276" t="inlineStr">
        <is>
          <t>SCA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49685-2024</t>
        </is>
      </c>
      <c r="B3277" s="1" t="n">
        <v>45596</v>
      </c>
      <c r="C3277" s="1" t="n">
        <v>45718</v>
      </c>
      <c r="D3277" t="inlineStr">
        <is>
          <t>JÄMTLANDS LÄN</t>
        </is>
      </c>
      <c r="E3277" t="inlineStr">
        <is>
          <t>STRÖMSUND</t>
        </is>
      </c>
      <c r="G3277" t="n">
        <v>21.5</v>
      </c>
      <c r="H3277" t="n">
        <v>0</v>
      </c>
      <c r="I3277" t="n">
        <v>0</v>
      </c>
      <c r="J3277" t="n">
        <v>0</v>
      </c>
      <c r="K3277" t="n">
        <v>0</v>
      </c>
      <c r="L3277" t="n">
        <v>0</v>
      </c>
      <c r="M3277" t="n">
        <v>0</v>
      </c>
      <c r="N3277" t="n">
        <v>0</v>
      </c>
      <c r="O3277" t="n">
        <v>0</v>
      </c>
      <c r="P3277" t="n">
        <v>0</v>
      </c>
      <c r="Q3277" t="n">
        <v>0</v>
      </c>
      <c r="R3277" s="2" t="inlineStr"/>
    </row>
    <row r="3278" ht="15" customHeight="1">
      <c r="A3278" t="inlineStr">
        <is>
          <t>A 49686-2024</t>
        </is>
      </c>
      <c r="B3278" s="1" t="n">
        <v>45596</v>
      </c>
      <c r="C3278" s="1" t="n">
        <v>45718</v>
      </c>
      <c r="D3278" t="inlineStr">
        <is>
          <t>JÄMTLANDS LÄN</t>
        </is>
      </c>
      <c r="E3278" t="inlineStr">
        <is>
          <t>STRÖMSUND</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49566-2024</t>
        </is>
      </c>
      <c r="B3279" s="1" t="n">
        <v>45596</v>
      </c>
      <c r="C3279" s="1" t="n">
        <v>45718</v>
      </c>
      <c r="D3279" t="inlineStr">
        <is>
          <t>JÄMTLANDS LÄN</t>
        </is>
      </c>
      <c r="E3279" t="inlineStr">
        <is>
          <t>STRÖMSUND</t>
        </is>
      </c>
      <c r="F3279" t="inlineStr">
        <is>
          <t>SCA</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49732-2024</t>
        </is>
      </c>
      <c r="B3280" s="1" t="n">
        <v>45596</v>
      </c>
      <c r="C3280" s="1" t="n">
        <v>45718</v>
      </c>
      <c r="D3280" t="inlineStr">
        <is>
          <t>JÄMTLANDS LÄN</t>
        </is>
      </c>
      <c r="E3280" t="inlineStr">
        <is>
          <t>STRÖMSUND</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49547-2024</t>
        </is>
      </c>
      <c r="B3281" s="1" t="n">
        <v>45596</v>
      </c>
      <c r="C3281" s="1" t="n">
        <v>45718</v>
      </c>
      <c r="D3281" t="inlineStr">
        <is>
          <t>JÄMTLANDS LÄN</t>
        </is>
      </c>
      <c r="E3281" t="inlineStr">
        <is>
          <t>STRÖMSUND</t>
        </is>
      </c>
      <c r="F3281" t="inlineStr">
        <is>
          <t>SCA</t>
        </is>
      </c>
      <c r="G3281" t="n">
        <v>13.8</v>
      </c>
      <c r="H3281" t="n">
        <v>0</v>
      </c>
      <c r="I3281" t="n">
        <v>0</v>
      </c>
      <c r="J3281" t="n">
        <v>0</v>
      </c>
      <c r="K3281" t="n">
        <v>0</v>
      </c>
      <c r="L3281" t="n">
        <v>0</v>
      </c>
      <c r="M3281" t="n">
        <v>0</v>
      </c>
      <c r="N3281" t="n">
        <v>0</v>
      </c>
      <c r="O3281" t="n">
        <v>0</v>
      </c>
      <c r="P3281" t="n">
        <v>0</v>
      </c>
      <c r="Q3281" t="n">
        <v>0</v>
      </c>
      <c r="R3281" s="2" t="inlineStr"/>
    </row>
    <row r="3282" ht="15" customHeight="1">
      <c r="A3282" t="inlineStr">
        <is>
          <t>A 49898-2024</t>
        </is>
      </c>
      <c r="B3282" s="1" t="n">
        <v>45597</v>
      </c>
      <c r="C3282" s="1" t="n">
        <v>45718</v>
      </c>
      <c r="D3282" t="inlineStr">
        <is>
          <t>JÄMTLANDS LÄN</t>
        </is>
      </c>
      <c r="E3282" t="inlineStr">
        <is>
          <t>STRÖMSUND</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49940-2024</t>
        </is>
      </c>
      <c r="B3283" s="1" t="n">
        <v>45597</v>
      </c>
      <c r="C3283" s="1" t="n">
        <v>45718</v>
      </c>
      <c r="D3283" t="inlineStr">
        <is>
          <t>JÄMTLANDS LÄN</t>
        </is>
      </c>
      <c r="E3283" t="inlineStr">
        <is>
          <t>STRÖMSUND</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50031-2024</t>
        </is>
      </c>
      <c r="B3284" s="1" t="n">
        <v>45599</v>
      </c>
      <c r="C3284" s="1" t="n">
        <v>45718</v>
      </c>
      <c r="D3284" t="inlineStr">
        <is>
          <t>JÄMTLANDS LÄN</t>
        </is>
      </c>
      <c r="E3284" t="inlineStr">
        <is>
          <t>STRÖMSUND</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50108-2024</t>
        </is>
      </c>
      <c r="B3285" s="1" t="n">
        <v>45600</v>
      </c>
      <c r="C3285" s="1" t="n">
        <v>45718</v>
      </c>
      <c r="D3285" t="inlineStr">
        <is>
          <t>JÄMTLANDS LÄN</t>
        </is>
      </c>
      <c r="E3285" t="inlineStr">
        <is>
          <t>STRÖMSUND</t>
        </is>
      </c>
      <c r="F3285" t="inlineStr">
        <is>
          <t>SCA</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50143-2024</t>
        </is>
      </c>
      <c r="B3286" s="1" t="n">
        <v>45600</v>
      </c>
      <c r="C3286" s="1" t="n">
        <v>45718</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50140-2024</t>
        </is>
      </c>
      <c r="B3287" s="1" t="n">
        <v>45600</v>
      </c>
      <c r="C3287" s="1" t="n">
        <v>45718</v>
      </c>
      <c r="D3287" t="inlineStr">
        <is>
          <t>JÄMTLANDS LÄN</t>
        </is>
      </c>
      <c r="E3287" t="inlineStr">
        <is>
          <t>STRÖMSUND</t>
        </is>
      </c>
      <c r="F3287" t="inlineStr">
        <is>
          <t>SCA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50141-2024</t>
        </is>
      </c>
      <c r="B3288" s="1" t="n">
        <v>45600</v>
      </c>
      <c r="C3288" s="1" t="n">
        <v>45718</v>
      </c>
      <c r="D3288" t="inlineStr">
        <is>
          <t>JÄMTLANDS LÄN</t>
        </is>
      </c>
      <c r="E3288" t="inlineStr">
        <is>
          <t>STRÖMSUND</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50142-2024</t>
        </is>
      </c>
      <c r="B3289" s="1" t="n">
        <v>45600</v>
      </c>
      <c r="C3289" s="1" t="n">
        <v>45718</v>
      </c>
      <c r="D3289" t="inlineStr">
        <is>
          <t>JÄMTLANDS LÄN</t>
        </is>
      </c>
      <c r="E3289" t="inlineStr">
        <is>
          <t>STRÖMSUND</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50638-2024</t>
        </is>
      </c>
      <c r="B3290" s="1" t="n">
        <v>45601</v>
      </c>
      <c r="C3290" s="1" t="n">
        <v>45718</v>
      </c>
      <c r="D3290" t="inlineStr">
        <is>
          <t>JÄMTLANDS LÄN</t>
        </is>
      </c>
      <c r="E3290" t="inlineStr">
        <is>
          <t>STRÖMSUND</t>
        </is>
      </c>
      <c r="F3290" t="inlineStr">
        <is>
          <t>SCA</t>
        </is>
      </c>
      <c r="G3290" t="n">
        <v>9.6</v>
      </c>
      <c r="H3290" t="n">
        <v>0</v>
      </c>
      <c r="I3290" t="n">
        <v>0</v>
      </c>
      <c r="J3290" t="n">
        <v>0</v>
      </c>
      <c r="K3290" t="n">
        <v>0</v>
      </c>
      <c r="L3290" t="n">
        <v>0</v>
      </c>
      <c r="M3290" t="n">
        <v>0</v>
      </c>
      <c r="N3290" t="n">
        <v>0</v>
      </c>
      <c r="O3290" t="n">
        <v>0</v>
      </c>
      <c r="P3290" t="n">
        <v>0</v>
      </c>
      <c r="Q3290" t="n">
        <v>0</v>
      </c>
      <c r="R3290" s="2" t="inlineStr"/>
    </row>
    <row r="3291" ht="15" customHeight="1">
      <c r="A3291" t="inlineStr">
        <is>
          <t>A 50445-2024</t>
        </is>
      </c>
      <c r="B3291" s="1" t="n">
        <v>45601</v>
      </c>
      <c r="C3291" s="1" t="n">
        <v>45718</v>
      </c>
      <c r="D3291" t="inlineStr">
        <is>
          <t>JÄMTLANDS LÄN</t>
        </is>
      </c>
      <c r="E3291" t="inlineStr">
        <is>
          <t>STRÖMSUND</t>
        </is>
      </c>
      <c r="G3291" t="n">
        <v>17.3</v>
      </c>
      <c r="H3291" t="n">
        <v>0</v>
      </c>
      <c r="I3291" t="n">
        <v>0</v>
      </c>
      <c r="J3291" t="n">
        <v>0</v>
      </c>
      <c r="K3291" t="n">
        <v>0</v>
      </c>
      <c r="L3291" t="n">
        <v>0</v>
      </c>
      <c r="M3291" t="n">
        <v>0</v>
      </c>
      <c r="N3291" t="n">
        <v>0</v>
      </c>
      <c r="O3291" t="n">
        <v>0</v>
      </c>
      <c r="P3291" t="n">
        <v>0</v>
      </c>
      <c r="Q3291" t="n">
        <v>0</v>
      </c>
      <c r="R3291" s="2" t="inlineStr"/>
    </row>
    <row r="3292" ht="15" customHeight="1">
      <c r="A3292" t="inlineStr">
        <is>
          <t>A 51056-2024</t>
        </is>
      </c>
      <c r="B3292" s="1" t="n">
        <v>45603</v>
      </c>
      <c r="C3292" s="1" t="n">
        <v>45718</v>
      </c>
      <c r="D3292" t="inlineStr">
        <is>
          <t>JÄMTLANDS LÄN</t>
        </is>
      </c>
      <c r="E3292" t="inlineStr">
        <is>
          <t>STRÖMSUND</t>
        </is>
      </c>
      <c r="F3292" t="inlineStr">
        <is>
          <t>SCA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51154-2024</t>
        </is>
      </c>
      <c r="B3293" s="1" t="n">
        <v>45603</v>
      </c>
      <c r="C3293" s="1" t="n">
        <v>45718</v>
      </c>
      <c r="D3293" t="inlineStr">
        <is>
          <t>JÄMTLANDS LÄN</t>
        </is>
      </c>
      <c r="E3293" t="inlineStr">
        <is>
          <t>STRÖMSUND</t>
        </is>
      </c>
      <c r="F3293" t="inlineStr">
        <is>
          <t>SCA</t>
        </is>
      </c>
      <c r="G3293" t="n">
        <v>16.6</v>
      </c>
      <c r="H3293" t="n">
        <v>0</v>
      </c>
      <c r="I3293" t="n">
        <v>0</v>
      </c>
      <c r="J3293" t="n">
        <v>0</v>
      </c>
      <c r="K3293" t="n">
        <v>0</v>
      </c>
      <c r="L3293" t="n">
        <v>0</v>
      </c>
      <c r="M3293" t="n">
        <v>0</v>
      </c>
      <c r="N3293" t="n">
        <v>0</v>
      </c>
      <c r="O3293" t="n">
        <v>0</v>
      </c>
      <c r="P3293" t="n">
        <v>0</v>
      </c>
      <c r="Q3293" t="n">
        <v>0</v>
      </c>
      <c r="R3293" s="2" t="inlineStr"/>
    </row>
    <row r="3294" ht="15" customHeight="1">
      <c r="A3294" t="inlineStr">
        <is>
          <t>A 51404-2024</t>
        </is>
      </c>
      <c r="B3294" s="1" t="n">
        <v>45604</v>
      </c>
      <c r="C3294" s="1" t="n">
        <v>45718</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51432-2024</t>
        </is>
      </c>
      <c r="B3295" s="1" t="n">
        <v>45604</v>
      </c>
      <c r="C3295" s="1" t="n">
        <v>45718</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51478-2024</t>
        </is>
      </c>
      <c r="B3296" s="1" t="n">
        <v>45604</v>
      </c>
      <c r="C3296" s="1" t="n">
        <v>45718</v>
      </c>
      <c r="D3296" t="inlineStr">
        <is>
          <t>JÄMTLANDS LÄN</t>
        </is>
      </c>
      <c r="E3296" t="inlineStr">
        <is>
          <t>STRÖMSUND</t>
        </is>
      </c>
      <c r="F3296" t="inlineStr">
        <is>
          <t>Kommuner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51498-2024</t>
        </is>
      </c>
      <c r="B3297" s="1" t="n">
        <v>45604</v>
      </c>
      <c r="C3297" s="1" t="n">
        <v>45718</v>
      </c>
      <c r="D3297" t="inlineStr">
        <is>
          <t>JÄMTLANDS LÄN</t>
        </is>
      </c>
      <c r="E3297" t="inlineStr">
        <is>
          <t>STRÖMSUND</t>
        </is>
      </c>
      <c r="F3297" t="inlineStr">
        <is>
          <t>Kommuner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51491-2024</t>
        </is>
      </c>
      <c r="B3298" s="1" t="n">
        <v>45604</v>
      </c>
      <c r="C3298" s="1" t="n">
        <v>45718</v>
      </c>
      <c r="D3298" t="inlineStr">
        <is>
          <t>JÄMTLANDS LÄN</t>
        </is>
      </c>
      <c r="E3298" t="inlineStr">
        <is>
          <t>STRÖMSUND</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51585-2024</t>
        </is>
      </c>
      <c r="B3299" s="1" t="n">
        <v>45604</v>
      </c>
      <c r="C3299" s="1" t="n">
        <v>45718</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51593-2024</t>
        </is>
      </c>
      <c r="B3300" s="1" t="n">
        <v>45604</v>
      </c>
      <c r="C3300" s="1" t="n">
        <v>45718</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51606-2024</t>
        </is>
      </c>
      <c r="B3301" s="1" t="n">
        <v>45604</v>
      </c>
      <c r="C3301" s="1" t="n">
        <v>45718</v>
      </c>
      <c r="D3301" t="inlineStr">
        <is>
          <t>JÄMTLANDS LÄN</t>
        </is>
      </c>
      <c r="E3301" t="inlineStr">
        <is>
          <t>STRÖMSUND</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51943-2024</t>
        </is>
      </c>
      <c r="B3302" s="1" t="n">
        <v>45607</v>
      </c>
      <c r="C3302" s="1" t="n">
        <v>45718</v>
      </c>
      <c r="D3302" t="inlineStr">
        <is>
          <t>JÄMTLANDS LÄN</t>
        </is>
      </c>
      <c r="E3302" t="inlineStr">
        <is>
          <t>STRÖMSUND</t>
        </is>
      </c>
      <c r="F3302" t="inlineStr">
        <is>
          <t>SCA</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51685-2024</t>
        </is>
      </c>
      <c r="B3303" s="1" t="n">
        <v>45607</v>
      </c>
      <c r="C3303" s="1" t="n">
        <v>45718</v>
      </c>
      <c r="D3303" t="inlineStr">
        <is>
          <t>JÄMTLANDS LÄN</t>
        </is>
      </c>
      <c r="E3303" t="inlineStr">
        <is>
          <t>STRÖMSUND</t>
        </is>
      </c>
      <c r="F3303" t="inlineStr">
        <is>
          <t>SCA</t>
        </is>
      </c>
      <c r="G3303" t="n">
        <v>53.5</v>
      </c>
      <c r="H3303" t="n">
        <v>0</v>
      </c>
      <c r="I3303" t="n">
        <v>0</v>
      </c>
      <c r="J3303" t="n">
        <v>0</v>
      </c>
      <c r="K3303" t="n">
        <v>0</v>
      </c>
      <c r="L3303" t="n">
        <v>0</v>
      </c>
      <c r="M3303" t="n">
        <v>0</v>
      </c>
      <c r="N3303" t="n">
        <v>0</v>
      </c>
      <c r="O3303" t="n">
        <v>0</v>
      </c>
      <c r="P3303" t="n">
        <v>0</v>
      </c>
      <c r="Q3303" t="n">
        <v>0</v>
      </c>
      <c r="R3303" s="2" t="inlineStr"/>
    </row>
    <row r="3304" ht="15" customHeight="1">
      <c r="A3304" t="inlineStr">
        <is>
          <t>A 51689-2024</t>
        </is>
      </c>
      <c r="B3304" s="1" t="n">
        <v>45607</v>
      </c>
      <c r="C3304" s="1" t="n">
        <v>45718</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51763-2024</t>
        </is>
      </c>
      <c r="B3305" s="1" t="n">
        <v>45607</v>
      </c>
      <c r="C3305" s="1" t="n">
        <v>45718</v>
      </c>
      <c r="D3305" t="inlineStr">
        <is>
          <t>JÄMTLANDS LÄN</t>
        </is>
      </c>
      <c r="E3305" t="inlineStr">
        <is>
          <t>STRÖMSUND</t>
        </is>
      </c>
      <c r="F3305" t="inlineStr">
        <is>
          <t>Kommuner</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51803-2024</t>
        </is>
      </c>
      <c r="B3306" s="1" t="n">
        <v>45607</v>
      </c>
      <c r="C3306" s="1" t="n">
        <v>45718</v>
      </c>
      <c r="D3306" t="inlineStr">
        <is>
          <t>JÄMTLANDS LÄN</t>
        </is>
      </c>
      <c r="E3306" t="inlineStr">
        <is>
          <t>STRÖMSUND</t>
        </is>
      </c>
      <c r="F3306" t="inlineStr">
        <is>
          <t>Kommuner</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51946-2024</t>
        </is>
      </c>
      <c r="B3307" s="1" t="n">
        <v>45607</v>
      </c>
      <c r="C3307" s="1" t="n">
        <v>45718</v>
      </c>
      <c r="D3307" t="inlineStr">
        <is>
          <t>JÄMTLANDS LÄN</t>
        </is>
      </c>
      <c r="E3307" t="inlineStr">
        <is>
          <t>STRÖMSUND</t>
        </is>
      </c>
      <c r="F3307" t="inlineStr">
        <is>
          <t>SCA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51688-2024</t>
        </is>
      </c>
      <c r="B3308" s="1" t="n">
        <v>45607</v>
      </c>
      <c r="C3308" s="1" t="n">
        <v>45718</v>
      </c>
      <c r="D3308" t="inlineStr">
        <is>
          <t>JÄMTLANDS LÄN</t>
        </is>
      </c>
      <c r="E3308" t="inlineStr">
        <is>
          <t>STRÖMSUND</t>
        </is>
      </c>
      <c r="F3308" t="inlineStr">
        <is>
          <t>SCA</t>
        </is>
      </c>
      <c r="G3308" t="n">
        <v>36.3</v>
      </c>
      <c r="H3308" t="n">
        <v>0</v>
      </c>
      <c r="I3308" t="n">
        <v>0</v>
      </c>
      <c r="J3308" t="n">
        <v>0</v>
      </c>
      <c r="K3308" t="n">
        <v>0</v>
      </c>
      <c r="L3308" t="n">
        <v>0</v>
      </c>
      <c r="M3308" t="n">
        <v>0</v>
      </c>
      <c r="N3308" t="n">
        <v>0</v>
      </c>
      <c r="O3308" t="n">
        <v>0</v>
      </c>
      <c r="P3308" t="n">
        <v>0</v>
      </c>
      <c r="Q3308" t="n">
        <v>0</v>
      </c>
      <c r="R3308" s="2" t="inlineStr"/>
    </row>
    <row r="3309" ht="15" customHeight="1">
      <c r="A3309" t="inlineStr">
        <is>
          <t>A 51696-2024</t>
        </is>
      </c>
      <c r="B3309" s="1" t="n">
        <v>45607</v>
      </c>
      <c r="C3309" s="1" t="n">
        <v>45718</v>
      </c>
      <c r="D3309" t="inlineStr">
        <is>
          <t>JÄMTLANDS LÄN</t>
        </is>
      </c>
      <c r="E3309" t="inlineStr">
        <is>
          <t>STRÖMSUND</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51941-2024</t>
        </is>
      </c>
      <c r="B3310" s="1" t="n">
        <v>45607</v>
      </c>
      <c r="C3310" s="1" t="n">
        <v>45718</v>
      </c>
      <c r="D3310" t="inlineStr">
        <is>
          <t>JÄMTLANDS LÄN</t>
        </is>
      </c>
      <c r="E3310" t="inlineStr">
        <is>
          <t>STRÖMSUND</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51838-2024</t>
        </is>
      </c>
      <c r="B3311" s="1" t="n">
        <v>45607</v>
      </c>
      <c r="C3311" s="1" t="n">
        <v>45718</v>
      </c>
      <c r="D3311" t="inlineStr">
        <is>
          <t>JÄMTLANDS LÄN</t>
        </is>
      </c>
      <c r="E3311" t="inlineStr">
        <is>
          <t>STRÖMSUND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51757-2024</t>
        </is>
      </c>
      <c r="B3312" s="1" t="n">
        <v>45607</v>
      </c>
      <c r="C3312" s="1" t="n">
        <v>45718</v>
      </c>
      <c r="D3312" t="inlineStr">
        <is>
          <t>JÄMTLANDS LÄN</t>
        </is>
      </c>
      <c r="E3312" t="inlineStr">
        <is>
          <t>STRÖMSUND</t>
        </is>
      </c>
      <c r="F3312" t="inlineStr">
        <is>
          <t>Kommuner</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51739-2024</t>
        </is>
      </c>
      <c r="B3313" s="1" t="n">
        <v>45607</v>
      </c>
      <c r="C3313" s="1" t="n">
        <v>45718</v>
      </c>
      <c r="D3313" t="inlineStr">
        <is>
          <t>JÄMTLANDS LÄN</t>
        </is>
      </c>
      <c r="E3313" t="inlineStr">
        <is>
          <t>STRÖMSUND</t>
        </is>
      </c>
      <c r="F3313" t="inlineStr">
        <is>
          <t>SCA</t>
        </is>
      </c>
      <c r="G3313" t="n">
        <v>16.1</v>
      </c>
      <c r="H3313" t="n">
        <v>0</v>
      </c>
      <c r="I3313" t="n">
        <v>0</v>
      </c>
      <c r="J3313" t="n">
        <v>0</v>
      </c>
      <c r="K3313" t="n">
        <v>0</v>
      </c>
      <c r="L3313" t="n">
        <v>0</v>
      </c>
      <c r="M3313" t="n">
        <v>0</v>
      </c>
      <c r="N3313" t="n">
        <v>0</v>
      </c>
      <c r="O3313" t="n">
        <v>0</v>
      </c>
      <c r="P3313" t="n">
        <v>0</v>
      </c>
      <c r="Q3313" t="n">
        <v>0</v>
      </c>
      <c r="R3313" s="2" t="inlineStr"/>
    </row>
    <row r="3314" ht="15" customHeight="1">
      <c r="A3314" t="inlineStr">
        <is>
          <t>A 51691-2024</t>
        </is>
      </c>
      <c r="B3314" s="1" t="n">
        <v>45607</v>
      </c>
      <c r="C3314" s="1" t="n">
        <v>45718</v>
      </c>
      <c r="D3314" t="inlineStr">
        <is>
          <t>JÄMTLANDS LÄN</t>
        </is>
      </c>
      <c r="E3314" t="inlineStr">
        <is>
          <t>STRÖMSUND</t>
        </is>
      </c>
      <c r="F3314" t="inlineStr">
        <is>
          <t>SCA</t>
        </is>
      </c>
      <c r="G3314" t="n">
        <v>35.8</v>
      </c>
      <c r="H3314" t="n">
        <v>0</v>
      </c>
      <c r="I3314" t="n">
        <v>0</v>
      </c>
      <c r="J3314" t="n">
        <v>0</v>
      </c>
      <c r="K3314" t="n">
        <v>0</v>
      </c>
      <c r="L3314" t="n">
        <v>0</v>
      </c>
      <c r="M3314" t="n">
        <v>0</v>
      </c>
      <c r="N3314" t="n">
        <v>0</v>
      </c>
      <c r="O3314" t="n">
        <v>0</v>
      </c>
      <c r="P3314" t="n">
        <v>0</v>
      </c>
      <c r="Q3314" t="n">
        <v>0</v>
      </c>
      <c r="R3314" s="2" t="inlineStr"/>
    </row>
    <row r="3315" ht="15" customHeight="1">
      <c r="A3315" t="inlineStr">
        <is>
          <t>A 51687-2024</t>
        </is>
      </c>
      <c r="B3315" s="1" t="n">
        <v>45607</v>
      </c>
      <c r="C3315" s="1" t="n">
        <v>45718</v>
      </c>
      <c r="D3315" t="inlineStr">
        <is>
          <t>JÄMTLANDS LÄN</t>
        </is>
      </c>
      <c r="E3315" t="inlineStr">
        <is>
          <t>STRÖMSUND</t>
        </is>
      </c>
      <c r="F3315" t="inlineStr">
        <is>
          <t>SCA</t>
        </is>
      </c>
      <c r="G3315" t="n">
        <v>21.4</v>
      </c>
      <c r="H3315" t="n">
        <v>0</v>
      </c>
      <c r="I3315" t="n">
        <v>0</v>
      </c>
      <c r="J3315" t="n">
        <v>0</v>
      </c>
      <c r="K3315" t="n">
        <v>0</v>
      </c>
      <c r="L3315" t="n">
        <v>0</v>
      </c>
      <c r="M3315" t="n">
        <v>0</v>
      </c>
      <c r="N3315" t="n">
        <v>0</v>
      </c>
      <c r="O3315" t="n">
        <v>0</v>
      </c>
      <c r="P3315" t="n">
        <v>0</v>
      </c>
      <c r="Q3315" t="n">
        <v>0</v>
      </c>
      <c r="R3315" s="2" t="inlineStr"/>
    </row>
    <row r="3316" ht="15" customHeight="1">
      <c r="A3316" t="inlineStr">
        <is>
          <t>A 51694-2024</t>
        </is>
      </c>
      <c r="B3316" s="1" t="n">
        <v>45607</v>
      </c>
      <c r="C3316" s="1" t="n">
        <v>45718</v>
      </c>
      <c r="D3316" t="inlineStr">
        <is>
          <t>JÄMTLANDS LÄN</t>
        </is>
      </c>
      <c r="E3316" t="inlineStr">
        <is>
          <t>STRÖMSUND</t>
        </is>
      </c>
      <c r="F3316" t="inlineStr">
        <is>
          <t>SCA</t>
        </is>
      </c>
      <c r="G3316" t="n">
        <v>82.7</v>
      </c>
      <c r="H3316" t="n">
        <v>0</v>
      </c>
      <c r="I3316" t="n">
        <v>0</v>
      </c>
      <c r="J3316" t="n">
        <v>0</v>
      </c>
      <c r="K3316" t="n">
        <v>0</v>
      </c>
      <c r="L3316" t="n">
        <v>0</v>
      </c>
      <c r="M3316" t="n">
        <v>0</v>
      </c>
      <c r="N3316" t="n">
        <v>0</v>
      </c>
      <c r="O3316" t="n">
        <v>0</v>
      </c>
      <c r="P3316" t="n">
        <v>0</v>
      </c>
      <c r="Q3316" t="n">
        <v>0</v>
      </c>
      <c r="R3316" s="2" t="inlineStr"/>
    </row>
    <row r="3317" ht="15" customHeight="1">
      <c r="A3317" t="inlineStr">
        <is>
          <t>A 51690-2024</t>
        </is>
      </c>
      <c r="B3317" s="1" t="n">
        <v>45607</v>
      </c>
      <c r="C3317" s="1" t="n">
        <v>45718</v>
      </c>
      <c r="D3317" t="inlineStr">
        <is>
          <t>JÄMTLANDS LÄN</t>
        </is>
      </c>
      <c r="E3317" t="inlineStr">
        <is>
          <t>STRÖMSUND</t>
        </is>
      </c>
      <c r="F3317" t="inlineStr">
        <is>
          <t>SCA</t>
        </is>
      </c>
      <c r="G3317" t="n">
        <v>22.8</v>
      </c>
      <c r="H3317" t="n">
        <v>0</v>
      </c>
      <c r="I3317" t="n">
        <v>0</v>
      </c>
      <c r="J3317" t="n">
        <v>0</v>
      </c>
      <c r="K3317" t="n">
        <v>0</v>
      </c>
      <c r="L3317" t="n">
        <v>0</v>
      </c>
      <c r="M3317" t="n">
        <v>0</v>
      </c>
      <c r="N3317" t="n">
        <v>0</v>
      </c>
      <c r="O3317" t="n">
        <v>0</v>
      </c>
      <c r="P3317" t="n">
        <v>0</v>
      </c>
      <c r="Q3317" t="n">
        <v>0</v>
      </c>
      <c r="R3317" s="2" t="inlineStr"/>
    </row>
    <row r="3318" ht="15" customHeight="1">
      <c r="A3318" t="inlineStr">
        <is>
          <t>A 51686-2024</t>
        </is>
      </c>
      <c r="B3318" s="1" t="n">
        <v>45607</v>
      </c>
      <c r="C3318" s="1" t="n">
        <v>45718</v>
      </c>
      <c r="D3318" t="inlineStr">
        <is>
          <t>JÄMTLANDS LÄN</t>
        </is>
      </c>
      <c r="E3318" t="inlineStr">
        <is>
          <t>STRÖMSUND</t>
        </is>
      </c>
      <c r="F3318" t="inlineStr">
        <is>
          <t>SCA</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52158-2024</t>
        </is>
      </c>
      <c r="B3319" s="1" t="n">
        <v>45608</v>
      </c>
      <c r="C3319" s="1" t="n">
        <v>45718</v>
      </c>
      <c r="D3319" t="inlineStr">
        <is>
          <t>JÄMTLANDS LÄN</t>
        </is>
      </c>
      <c r="E3319" t="inlineStr">
        <is>
          <t>STRÖMSUND</t>
        </is>
      </c>
      <c r="F3319" t="inlineStr">
        <is>
          <t>SCA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52153-2024</t>
        </is>
      </c>
      <c r="B3320" s="1" t="n">
        <v>45608</v>
      </c>
      <c r="C3320" s="1" t="n">
        <v>45718</v>
      </c>
      <c r="D3320" t="inlineStr">
        <is>
          <t>JÄMTLANDS LÄN</t>
        </is>
      </c>
      <c r="E3320" t="inlineStr">
        <is>
          <t>STRÖMSUND</t>
        </is>
      </c>
      <c r="F3320" t="inlineStr">
        <is>
          <t>SCA</t>
        </is>
      </c>
      <c r="G3320" t="n">
        <v>11.4</v>
      </c>
      <c r="H3320" t="n">
        <v>0</v>
      </c>
      <c r="I3320" t="n">
        <v>0</v>
      </c>
      <c r="J3320" t="n">
        <v>0</v>
      </c>
      <c r="K3320" t="n">
        <v>0</v>
      </c>
      <c r="L3320" t="n">
        <v>0</v>
      </c>
      <c r="M3320" t="n">
        <v>0</v>
      </c>
      <c r="N3320" t="n">
        <v>0</v>
      </c>
      <c r="O3320" t="n">
        <v>0</v>
      </c>
      <c r="P3320" t="n">
        <v>0</v>
      </c>
      <c r="Q3320" t="n">
        <v>0</v>
      </c>
      <c r="R3320" s="2" t="inlineStr"/>
    </row>
    <row r="3321" ht="15" customHeight="1">
      <c r="A3321" t="inlineStr">
        <is>
          <t>A 52151-2024</t>
        </is>
      </c>
      <c r="B3321" s="1" t="n">
        <v>45608</v>
      </c>
      <c r="C3321" s="1" t="n">
        <v>45718</v>
      </c>
      <c r="D3321" t="inlineStr">
        <is>
          <t>JÄMTLANDS LÄN</t>
        </is>
      </c>
      <c r="E3321" t="inlineStr">
        <is>
          <t>STRÖMSUND</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52147-2024</t>
        </is>
      </c>
      <c r="B3322" s="1" t="n">
        <v>45608</v>
      </c>
      <c r="C3322" s="1" t="n">
        <v>45718</v>
      </c>
      <c r="D3322" t="inlineStr">
        <is>
          <t>JÄMTLANDS LÄN</t>
        </is>
      </c>
      <c r="E3322" t="inlineStr">
        <is>
          <t>STRÖMSUND</t>
        </is>
      </c>
      <c r="F3322" t="inlineStr">
        <is>
          <t>SCA</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53556-2024</t>
        </is>
      </c>
      <c r="B3323" s="1" t="n">
        <v>45608</v>
      </c>
      <c r="C3323" s="1" t="n">
        <v>45718</v>
      </c>
      <c r="D3323" t="inlineStr">
        <is>
          <t>JÄMTLANDS LÄN</t>
        </is>
      </c>
      <c r="E3323" t="inlineStr">
        <is>
          <t>STRÖMSUND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52211-2024</t>
        </is>
      </c>
      <c r="B3324" s="1" t="n">
        <v>45608</v>
      </c>
      <c r="C3324" s="1" t="n">
        <v>45718</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52199-2024</t>
        </is>
      </c>
      <c r="B3325" s="1" t="n">
        <v>45608</v>
      </c>
      <c r="C3325" s="1" t="n">
        <v>45718</v>
      </c>
      <c r="D3325" t="inlineStr">
        <is>
          <t>JÄMTLANDS LÄN</t>
        </is>
      </c>
      <c r="E3325" t="inlineStr">
        <is>
          <t>STRÖMSUND</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52559-2024</t>
        </is>
      </c>
      <c r="B3326" s="1" t="n">
        <v>45609</v>
      </c>
      <c r="C3326" s="1" t="n">
        <v>45718</v>
      </c>
      <c r="D3326" t="inlineStr">
        <is>
          <t>JÄMTLANDS LÄN</t>
        </is>
      </c>
      <c r="E3326" t="inlineStr">
        <is>
          <t>STRÖMSUND</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52583-2024</t>
        </is>
      </c>
      <c r="B3327" s="1" t="n">
        <v>45609</v>
      </c>
      <c r="C3327" s="1" t="n">
        <v>45718</v>
      </c>
      <c r="D3327" t="inlineStr">
        <is>
          <t>JÄMTLANDS LÄN</t>
        </is>
      </c>
      <c r="E3327" t="inlineStr">
        <is>
          <t>STRÖMSUND</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52582-2024</t>
        </is>
      </c>
      <c r="B3328" s="1" t="n">
        <v>45609</v>
      </c>
      <c r="C3328" s="1" t="n">
        <v>45718</v>
      </c>
      <c r="D3328" t="inlineStr">
        <is>
          <t>JÄMTLANDS LÄN</t>
        </is>
      </c>
      <c r="E3328" t="inlineStr">
        <is>
          <t>STRÖMSUND</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52645-2024</t>
        </is>
      </c>
      <c r="B3329" s="1" t="n">
        <v>45610</v>
      </c>
      <c r="C3329" s="1" t="n">
        <v>45718</v>
      </c>
      <c r="D3329" t="inlineStr">
        <is>
          <t>JÄMTLANDS LÄN</t>
        </is>
      </c>
      <c r="E3329" t="inlineStr">
        <is>
          <t>STRÖMSUND</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52906-2024</t>
        </is>
      </c>
      <c r="B3330" s="1" t="n">
        <v>45610</v>
      </c>
      <c r="C3330" s="1" t="n">
        <v>45718</v>
      </c>
      <c r="D3330" t="inlineStr">
        <is>
          <t>JÄMTLANDS LÄN</t>
        </is>
      </c>
      <c r="E3330" t="inlineStr">
        <is>
          <t>STRÖMSUND</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53132-2024</t>
        </is>
      </c>
      <c r="B3331" s="1" t="n">
        <v>45611</v>
      </c>
      <c r="C3331" s="1" t="n">
        <v>45718</v>
      </c>
      <c r="D3331" t="inlineStr">
        <is>
          <t>JÄMTLANDS LÄN</t>
        </is>
      </c>
      <c r="E3331" t="inlineStr">
        <is>
          <t>STRÖMSUND</t>
        </is>
      </c>
      <c r="F3331" t="inlineStr">
        <is>
          <t>SCA</t>
        </is>
      </c>
      <c r="G3331" t="n">
        <v>29.2</v>
      </c>
      <c r="H3331" t="n">
        <v>0</v>
      </c>
      <c r="I3331" t="n">
        <v>0</v>
      </c>
      <c r="J3331" t="n">
        <v>0</v>
      </c>
      <c r="K3331" t="n">
        <v>0</v>
      </c>
      <c r="L3331" t="n">
        <v>0</v>
      </c>
      <c r="M3331" t="n">
        <v>0</v>
      </c>
      <c r="N3331" t="n">
        <v>0</v>
      </c>
      <c r="O3331" t="n">
        <v>0</v>
      </c>
      <c r="P3331" t="n">
        <v>0</v>
      </c>
      <c r="Q3331" t="n">
        <v>0</v>
      </c>
      <c r="R3331" s="2" t="inlineStr"/>
    </row>
    <row r="3332" ht="15" customHeight="1">
      <c r="A3332" t="inlineStr">
        <is>
          <t>A 53131-2024</t>
        </is>
      </c>
      <c r="B3332" s="1" t="n">
        <v>45611</v>
      </c>
      <c r="C3332" s="1" t="n">
        <v>45718</v>
      </c>
      <c r="D3332" t="inlineStr">
        <is>
          <t>JÄMTLANDS LÄN</t>
        </is>
      </c>
      <c r="E3332" t="inlineStr">
        <is>
          <t>STRÖMSUND</t>
        </is>
      </c>
      <c r="F3332" t="inlineStr">
        <is>
          <t>SCA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53219-2024</t>
        </is>
      </c>
      <c r="B3333" s="1" t="n">
        <v>45612</v>
      </c>
      <c r="C3333" s="1" t="n">
        <v>45718</v>
      </c>
      <c r="D3333" t="inlineStr">
        <is>
          <t>JÄMTLANDS LÄN</t>
        </is>
      </c>
      <c r="E3333" t="inlineStr">
        <is>
          <t>STRÖMSUND</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53216-2024</t>
        </is>
      </c>
      <c r="B3334" s="1" t="n">
        <v>45612</v>
      </c>
      <c r="C3334" s="1" t="n">
        <v>45718</v>
      </c>
      <c r="D3334" t="inlineStr">
        <is>
          <t>JÄMTLANDS LÄN</t>
        </is>
      </c>
      <c r="E3334" t="inlineStr">
        <is>
          <t>STRÖMSUND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53218-2024</t>
        </is>
      </c>
      <c r="B3335" s="1" t="n">
        <v>45612</v>
      </c>
      <c r="C3335" s="1" t="n">
        <v>45718</v>
      </c>
      <c r="D3335" t="inlineStr">
        <is>
          <t>JÄMTLANDS LÄN</t>
        </is>
      </c>
      <c r="E3335" t="inlineStr">
        <is>
          <t>STRÖMSUND</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53217-2024</t>
        </is>
      </c>
      <c r="B3336" s="1" t="n">
        <v>45612</v>
      </c>
      <c r="C3336" s="1" t="n">
        <v>45718</v>
      </c>
      <c r="D3336" t="inlineStr">
        <is>
          <t>JÄMTLANDS LÄN</t>
        </is>
      </c>
      <c r="E3336" t="inlineStr">
        <is>
          <t>STRÖMSUND</t>
        </is>
      </c>
      <c r="G3336" t="n">
        <v>27.9</v>
      </c>
      <c r="H3336" t="n">
        <v>0</v>
      </c>
      <c r="I3336" t="n">
        <v>0</v>
      </c>
      <c r="J3336" t="n">
        <v>0</v>
      </c>
      <c r="K3336" t="n">
        <v>0</v>
      </c>
      <c r="L3336" t="n">
        <v>0</v>
      </c>
      <c r="M3336" t="n">
        <v>0</v>
      </c>
      <c r="N3336" t="n">
        <v>0</v>
      </c>
      <c r="O3336" t="n">
        <v>0</v>
      </c>
      <c r="P3336" t="n">
        <v>0</v>
      </c>
      <c r="Q3336" t="n">
        <v>0</v>
      </c>
      <c r="R3336" s="2" t="inlineStr"/>
    </row>
    <row r="3337" ht="15" customHeight="1">
      <c r="A3337" t="inlineStr">
        <is>
          <t>A 53240-2024</t>
        </is>
      </c>
      <c r="B3337" s="1" t="n">
        <v>45613</v>
      </c>
      <c r="C3337" s="1" t="n">
        <v>45718</v>
      </c>
      <c r="D3337" t="inlineStr">
        <is>
          <t>JÄMTLANDS LÄN</t>
        </is>
      </c>
      <c r="E3337" t="inlineStr">
        <is>
          <t>STRÖMSUND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53241-2024</t>
        </is>
      </c>
      <c r="B3338" s="1" t="n">
        <v>45613</v>
      </c>
      <c r="C3338" s="1" t="n">
        <v>45718</v>
      </c>
      <c r="D3338" t="inlineStr">
        <is>
          <t>JÄMTLANDS LÄN</t>
        </is>
      </c>
      <c r="E3338" t="inlineStr">
        <is>
          <t>STRÖMSUND</t>
        </is>
      </c>
      <c r="G3338" t="n">
        <v>14.2</v>
      </c>
      <c r="H3338" t="n">
        <v>0</v>
      </c>
      <c r="I3338" t="n">
        <v>0</v>
      </c>
      <c r="J3338" t="n">
        <v>0</v>
      </c>
      <c r="K3338" t="n">
        <v>0</v>
      </c>
      <c r="L3338" t="n">
        <v>0</v>
      </c>
      <c r="M3338" t="n">
        <v>0</v>
      </c>
      <c r="N3338" t="n">
        <v>0</v>
      </c>
      <c r="O3338" t="n">
        <v>0</v>
      </c>
      <c r="P3338" t="n">
        <v>0</v>
      </c>
      <c r="Q3338" t="n">
        <v>0</v>
      </c>
      <c r="R3338" s="2" t="inlineStr"/>
    </row>
    <row r="3339" ht="15" customHeight="1">
      <c r="A3339" t="inlineStr">
        <is>
          <t>A 53609-2024</t>
        </is>
      </c>
      <c r="B3339" s="1" t="n">
        <v>45614</v>
      </c>
      <c r="C3339" s="1" t="n">
        <v>45718</v>
      </c>
      <c r="D3339" t="inlineStr">
        <is>
          <t>JÄMTLANDS LÄN</t>
        </is>
      </c>
      <c r="E3339" t="inlineStr">
        <is>
          <t>STRÖMSUND</t>
        </is>
      </c>
      <c r="F3339" t="inlineStr">
        <is>
          <t>SCA</t>
        </is>
      </c>
      <c r="G3339" t="n">
        <v>13.1</v>
      </c>
      <c r="H3339" t="n">
        <v>0</v>
      </c>
      <c r="I3339" t="n">
        <v>0</v>
      </c>
      <c r="J3339" t="n">
        <v>0</v>
      </c>
      <c r="K3339" t="n">
        <v>0</v>
      </c>
      <c r="L3339" t="n">
        <v>0</v>
      </c>
      <c r="M3339" t="n">
        <v>0</v>
      </c>
      <c r="N3339" t="n">
        <v>0</v>
      </c>
      <c r="O3339" t="n">
        <v>0</v>
      </c>
      <c r="P3339" t="n">
        <v>0</v>
      </c>
      <c r="Q3339" t="n">
        <v>0</v>
      </c>
      <c r="R3339" s="2" t="inlineStr"/>
    </row>
    <row r="3340" ht="15" customHeight="1">
      <c r="A3340" t="inlineStr">
        <is>
          <t>A 53328-2024</t>
        </is>
      </c>
      <c r="B3340" s="1" t="n">
        <v>45614</v>
      </c>
      <c r="C3340" s="1" t="n">
        <v>45718</v>
      </c>
      <c r="D3340" t="inlineStr">
        <is>
          <t>JÄMTLANDS LÄN</t>
        </is>
      </c>
      <c r="E3340" t="inlineStr">
        <is>
          <t>STRÖMSUND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53795-2024</t>
        </is>
      </c>
      <c r="B3341" s="1" t="n">
        <v>45615</v>
      </c>
      <c r="C3341" s="1" t="n">
        <v>45718</v>
      </c>
      <c r="D3341" t="inlineStr">
        <is>
          <t>JÄMTLANDS LÄN</t>
        </is>
      </c>
      <c r="E3341" t="inlineStr">
        <is>
          <t>STRÖMSUND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53833-2024</t>
        </is>
      </c>
      <c r="B3342" s="1" t="n">
        <v>45615</v>
      </c>
      <c r="C3342" s="1" t="n">
        <v>45718</v>
      </c>
      <c r="D3342" t="inlineStr">
        <is>
          <t>JÄMTLANDS LÄN</t>
        </is>
      </c>
      <c r="E3342" t="inlineStr">
        <is>
          <t>STRÖMSUND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53809-2024</t>
        </is>
      </c>
      <c r="B3343" s="1" t="n">
        <v>45615</v>
      </c>
      <c r="C3343" s="1" t="n">
        <v>45718</v>
      </c>
      <c r="D3343" t="inlineStr">
        <is>
          <t>JÄMTLANDS LÄN</t>
        </is>
      </c>
      <c r="E3343" t="inlineStr">
        <is>
          <t>STRÖMSUND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53817-2024</t>
        </is>
      </c>
      <c r="B3344" s="1" t="n">
        <v>45615</v>
      </c>
      <c r="C3344" s="1" t="n">
        <v>45718</v>
      </c>
      <c r="D3344" t="inlineStr">
        <is>
          <t>JÄMTLANDS LÄN</t>
        </is>
      </c>
      <c r="E3344" t="inlineStr">
        <is>
          <t>STRÖMSUND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53865-2024</t>
        </is>
      </c>
      <c r="B3345" s="1" t="n">
        <v>45615</v>
      </c>
      <c r="C3345" s="1" t="n">
        <v>45718</v>
      </c>
      <c r="D3345" t="inlineStr">
        <is>
          <t>JÄMTLANDS LÄN</t>
        </is>
      </c>
      <c r="E3345" t="inlineStr">
        <is>
          <t>STRÖMSUND</t>
        </is>
      </c>
      <c r="G3345" t="n">
        <v>16.4</v>
      </c>
      <c r="H3345" t="n">
        <v>0</v>
      </c>
      <c r="I3345" t="n">
        <v>0</v>
      </c>
      <c r="J3345" t="n">
        <v>0</v>
      </c>
      <c r="K3345" t="n">
        <v>0</v>
      </c>
      <c r="L3345" t="n">
        <v>0</v>
      </c>
      <c r="M3345" t="n">
        <v>0</v>
      </c>
      <c r="N3345" t="n">
        <v>0</v>
      </c>
      <c r="O3345" t="n">
        <v>0</v>
      </c>
      <c r="P3345" t="n">
        <v>0</v>
      </c>
      <c r="Q3345" t="n">
        <v>0</v>
      </c>
      <c r="R3345" s="2" t="inlineStr"/>
    </row>
    <row r="3346" ht="15" customHeight="1">
      <c r="A3346" t="inlineStr">
        <is>
          <t>A 53885-2024</t>
        </is>
      </c>
      <c r="B3346" s="1" t="n">
        <v>45615</v>
      </c>
      <c r="C3346" s="1" t="n">
        <v>45718</v>
      </c>
      <c r="D3346" t="inlineStr">
        <is>
          <t>JÄMTLANDS LÄN</t>
        </is>
      </c>
      <c r="E3346" t="inlineStr">
        <is>
          <t>STRÖMSUND</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53886-2024</t>
        </is>
      </c>
      <c r="B3347" s="1" t="n">
        <v>45615</v>
      </c>
      <c r="C3347" s="1" t="n">
        <v>45718</v>
      </c>
      <c r="D3347" t="inlineStr">
        <is>
          <t>JÄMTLANDS LÄN</t>
        </is>
      </c>
      <c r="E3347" t="inlineStr">
        <is>
          <t>STRÖMSUND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53873-2024</t>
        </is>
      </c>
      <c r="B3348" s="1" t="n">
        <v>45615</v>
      </c>
      <c r="C3348" s="1" t="n">
        <v>45718</v>
      </c>
      <c r="D3348" t="inlineStr">
        <is>
          <t>JÄMTLANDS LÄN</t>
        </is>
      </c>
      <c r="E3348" t="inlineStr">
        <is>
          <t>STRÖMSUND</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53884-2024</t>
        </is>
      </c>
      <c r="B3349" s="1" t="n">
        <v>45615</v>
      </c>
      <c r="C3349" s="1" t="n">
        <v>45718</v>
      </c>
      <c r="D3349" t="inlineStr">
        <is>
          <t>JÄMTLANDS LÄN</t>
        </is>
      </c>
      <c r="E3349" t="inlineStr">
        <is>
          <t>STRÖMSUND</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53894-2024</t>
        </is>
      </c>
      <c r="B3350" s="1" t="n">
        <v>45615</v>
      </c>
      <c r="C3350" s="1" t="n">
        <v>45718</v>
      </c>
      <c r="D3350" t="inlineStr">
        <is>
          <t>JÄMTLANDS LÄN</t>
        </is>
      </c>
      <c r="E3350" t="inlineStr">
        <is>
          <t>STRÖMSUND</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54178-2024</t>
        </is>
      </c>
      <c r="B3351" s="1" t="n">
        <v>45616</v>
      </c>
      <c r="C3351" s="1" t="n">
        <v>45718</v>
      </c>
      <c r="D3351" t="inlineStr">
        <is>
          <t>JÄMTLANDS LÄN</t>
        </is>
      </c>
      <c r="E3351" t="inlineStr">
        <is>
          <t>STRÖMSUND</t>
        </is>
      </c>
      <c r="F3351" t="inlineStr">
        <is>
          <t>SCA</t>
        </is>
      </c>
      <c r="G3351" t="n">
        <v>12.7</v>
      </c>
      <c r="H3351" t="n">
        <v>0</v>
      </c>
      <c r="I3351" t="n">
        <v>0</v>
      </c>
      <c r="J3351" t="n">
        <v>0</v>
      </c>
      <c r="K3351" t="n">
        <v>0</v>
      </c>
      <c r="L3351" t="n">
        <v>0</v>
      </c>
      <c r="M3351" t="n">
        <v>0</v>
      </c>
      <c r="N3351" t="n">
        <v>0</v>
      </c>
      <c r="O3351" t="n">
        <v>0</v>
      </c>
      <c r="P3351" t="n">
        <v>0</v>
      </c>
      <c r="Q3351" t="n">
        <v>0</v>
      </c>
      <c r="R3351" s="2" t="inlineStr"/>
    </row>
    <row r="3352" ht="15" customHeight="1">
      <c r="A3352" t="inlineStr">
        <is>
          <t>A 54262-2024</t>
        </is>
      </c>
      <c r="B3352" s="1" t="n">
        <v>45616</v>
      </c>
      <c r="C3352" s="1" t="n">
        <v>45718</v>
      </c>
      <c r="D3352" t="inlineStr">
        <is>
          <t>JÄMTLANDS LÄN</t>
        </is>
      </c>
      <c r="E3352" t="inlineStr">
        <is>
          <t>STRÖMSUND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54389-2024</t>
        </is>
      </c>
      <c r="B3353" s="1" t="n">
        <v>45617</v>
      </c>
      <c r="C3353" s="1" t="n">
        <v>45718</v>
      </c>
      <c r="D3353" t="inlineStr">
        <is>
          <t>JÄMTLANDS LÄN</t>
        </is>
      </c>
      <c r="E3353" t="inlineStr">
        <is>
          <t>STRÖMSUND</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54320-2024</t>
        </is>
      </c>
      <c r="B3354" s="1" t="n">
        <v>45617</v>
      </c>
      <c r="C3354" s="1" t="n">
        <v>45718</v>
      </c>
      <c r="D3354" t="inlineStr">
        <is>
          <t>JÄMTLANDS LÄN</t>
        </is>
      </c>
      <c r="E3354" t="inlineStr">
        <is>
          <t>STRÖMSUND</t>
        </is>
      </c>
      <c r="G3354" t="n">
        <v>14.4</v>
      </c>
      <c r="H3354" t="n">
        <v>0</v>
      </c>
      <c r="I3354" t="n">
        <v>0</v>
      </c>
      <c r="J3354" t="n">
        <v>0</v>
      </c>
      <c r="K3354" t="n">
        <v>0</v>
      </c>
      <c r="L3354" t="n">
        <v>0</v>
      </c>
      <c r="M3354" t="n">
        <v>0</v>
      </c>
      <c r="N3354" t="n">
        <v>0</v>
      </c>
      <c r="O3354" t="n">
        <v>0</v>
      </c>
      <c r="P3354" t="n">
        <v>0</v>
      </c>
      <c r="Q3354" t="n">
        <v>0</v>
      </c>
      <c r="R3354" s="2" t="inlineStr"/>
    </row>
    <row r="3355" ht="15" customHeight="1">
      <c r="A3355" t="inlineStr">
        <is>
          <t>A 54763-2024</t>
        </is>
      </c>
      <c r="B3355" s="1" t="n">
        <v>45618</v>
      </c>
      <c r="C3355" s="1" t="n">
        <v>45718</v>
      </c>
      <c r="D3355" t="inlineStr">
        <is>
          <t>JÄMTLANDS LÄN</t>
        </is>
      </c>
      <c r="E3355" t="inlineStr">
        <is>
          <t>STRÖMSUND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54805-2024</t>
        </is>
      </c>
      <c r="B3356" s="1" t="n">
        <v>45618</v>
      </c>
      <c r="C3356" s="1" t="n">
        <v>45718</v>
      </c>
      <c r="D3356" t="inlineStr">
        <is>
          <t>JÄMTLANDS LÄN</t>
        </is>
      </c>
      <c r="E3356" t="inlineStr">
        <is>
          <t>STRÖMSUND</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54945-2024</t>
        </is>
      </c>
      <c r="B3357" s="1" t="n">
        <v>45619</v>
      </c>
      <c r="C3357" s="1" t="n">
        <v>45718</v>
      </c>
      <c r="D3357" t="inlineStr">
        <is>
          <t>JÄMTLANDS LÄN</t>
        </is>
      </c>
      <c r="E3357" t="inlineStr">
        <is>
          <t>STRÖMSUND</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54966-2024</t>
        </is>
      </c>
      <c r="B3358" s="1" t="n">
        <v>45620</v>
      </c>
      <c r="C3358" s="1" t="n">
        <v>45718</v>
      </c>
      <c r="D3358" t="inlineStr">
        <is>
          <t>JÄMTLANDS LÄN</t>
        </is>
      </c>
      <c r="E3358" t="inlineStr">
        <is>
          <t>STRÖMSUND</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54964-2024</t>
        </is>
      </c>
      <c r="B3359" s="1" t="n">
        <v>45620</v>
      </c>
      <c r="C3359" s="1" t="n">
        <v>45718</v>
      </c>
      <c r="D3359" t="inlineStr">
        <is>
          <t>JÄMTLANDS LÄN</t>
        </is>
      </c>
      <c r="E3359" t="inlineStr">
        <is>
          <t>STRÖMSUND</t>
        </is>
      </c>
      <c r="F3359" t="inlineStr">
        <is>
          <t>SCA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54965-2024</t>
        </is>
      </c>
      <c r="B3360" s="1" t="n">
        <v>45620</v>
      </c>
      <c r="C3360" s="1" t="n">
        <v>45718</v>
      </c>
      <c r="D3360" t="inlineStr">
        <is>
          <t>JÄMTLANDS LÄN</t>
        </is>
      </c>
      <c r="E3360" t="inlineStr">
        <is>
          <t>STRÖMSUND</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55219-2024</t>
        </is>
      </c>
      <c r="B3361" s="1" t="n">
        <v>45621</v>
      </c>
      <c r="C3361" s="1" t="n">
        <v>45718</v>
      </c>
      <c r="D3361" t="inlineStr">
        <is>
          <t>JÄMTLANDS LÄN</t>
        </is>
      </c>
      <c r="E3361" t="inlineStr">
        <is>
          <t>STRÖMSUND</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55197-2024</t>
        </is>
      </c>
      <c r="B3362" s="1" t="n">
        <v>45621</v>
      </c>
      <c r="C3362" s="1" t="n">
        <v>45718</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55325-2024</t>
        </is>
      </c>
      <c r="B3363" s="1" t="n">
        <v>45621</v>
      </c>
      <c r="C3363" s="1" t="n">
        <v>45718</v>
      </c>
      <c r="D3363" t="inlineStr">
        <is>
          <t>JÄMTLANDS LÄN</t>
        </is>
      </c>
      <c r="E3363" t="inlineStr">
        <is>
          <t>STRÖMSUND</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55311-2024</t>
        </is>
      </c>
      <c r="B3364" s="1" t="n">
        <v>45621</v>
      </c>
      <c r="C3364" s="1" t="n">
        <v>45718</v>
      </c>
      <c r="D3364" t="inlineStr">
        <is>
          <t>JÄMTLANDS LÄN</t>
        </is>
      </c>
      <c r="E3364" t="inlineStr">
        <is>
          <t>STRÖMSUND</t>
        </is>
      </c>
      <c r="F3364" t="inlineStr">
        <is>
          <t>SCA</t>
        </is>
      </c>
      <c r="G3364" t="n">
        <v>8.6</v>
      </c>
      <c r="H3364" t="n">
        <v>0</v>
      </c>
      <c r="I3364" t="n">
        <v>0</v>
      </c>
      <c r="J3364" t="n">
        <v>0</v>
      </c>
      <c r="K3364" t="n">
        <v>0</v>
      </c>
      <c r="L3364" t="n">
        <v>0</v>
      </c>
      <c r="M3364" t="n">
        <v>0</v>
      </c>
      <c r="N3364" t="n">
        <v>0</v>
      </c>
      <c r="O3364" t="n">
        <v>0</v>
      </c>
      <c r="P3364" t="n">
        <v>0</v>
      </c>
      <c r="Q3364" t="n">
        <v>0</v>
      </c>
      <c r="R3364" s="2" t="inlineStr"/>
    </row>
    <row r="3365" ht="15" customHeight="1">
      <c r="A3365" t="inlineStr">
        <is>
          <t>A 55327-2024</t>
        </is>
      </c>
      <c r="B3365" s="1" t="n">
        <v>45621</v>
      </c>
      <c r="C3365" s="1" t="n">
        <v>45718</v>
      </c>
      <c r="D3365" t="inlineStr">
        <is>
          <t>JÄMTLANDS LÄN</t>
        </is>
      </c>
      <c r="E3365" t="inlineStr">
        <is>
          <t>STRÖMSUND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55161-2024</t>
        </is>
      </c>
      <c r="B3366" s="1" t="n">
        <v>45621</v>
      </c>
      <c r="C3366" s="1" t="n">
        <v>45718</v>
      </c>
      <c r="D3366" t="inlineStr">
        <is>
          <t>JÄMTLANDS LÄN</t>
        </is>
      </c>
      <c r="E3366" t="inlineStr">
        <is>
          <t>STRÖMSUND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55690-2024</t>
        </is>
      </c>
      <c r="B3367" s="1" t="n">
        <v>45622</v>
      </c>
      <c r="C3367" s="1" t="n">
        <v>45718</v>
      </c>
      <c r="D3367" t="inlineStr">
        <is>
          <t>JÄMTLANDS LÄN</t>
        </is>
      </c>
      <c r="E3367" t="inlineStr">
        <is>
          <t>STRÖMSUND</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55675-2024</t>
        </is>
      </c>
      <c r="B3368" s="1" t="n">
        <v>45622</v>
      </c>
      <c r="C3368" s="1" t="n">
        <v>45718</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55942-2024</t>
        </is>
      </c>
      <c r="B3369" s="1" t="n">
        <v>45623</v>
      </c>
      <c r="C3369" s="1" t="n">
        <v>45718</v>
      </c>
      <c r="D3369" t="inlineStr">
        <is>
          <t>JÄMTLANDS LÄN</t>
        </is>
      </c>
      <c r="E3369" t="inlineStr">
        <is>
          <t>STRÖMSUND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56255-2024</t>
        </is>
      </c>
      <c r="B3370" s="1" t="n">
        <v>45624</v>
      </c>
      <c r="C3370" s="1" t="n">
        <v>45718</v>
      </c>
      <c r="D3370" t="inlineStr">
        <is>
          <t>JÄMTLANDS LÄN</t>
        </is>
      </c>
      <c r="E3370" t="inlineStr">
        <is>
          <t>STRÖMSUND</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56270-2024</t>
        </is>
      </c>
      <c r="B3371" s="1" t="n">
        <v>45624</v>
      </c>
      <c r="C3371" s="1" t="n">
        <v>45718</v>
      </c>
      <c r="D3371" t="inlineStr">
        <is>
          <t>JÄMTLANDS LÄN</t>
        </is>
      </c>
      <c r="E3371" t="inlineStr">
        <is>
          <t>STRÖMSUND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56426-2024</t>
        </is>
      </c>
      <c r="B3372" s="1" t="n">
        <v>45624</v>
      </c>
      <c r="C3372" s="1" t="n">
        <v>45718</v>
      </c>
      <c r="D3372" t="inlineStr">
        <is>
          <t>JÄMTLANDS LÄN</t>
        </is>
      </c>
      <c r="E3372" t="inlineStr">
        <is>
          <t>STRÖMSUND</t>
        </is>
      </c>
      <c r="G3372" t="n">
        <v>16.2</v>
      </c>
      <c r="H3372" t="n">
        <v>0</v>
      </c>
      <c r="I3372" t="n">
        <v>0</v>
      </c>
      <c r="J3372" t="n">
        <v>0</v>
      </c>
      <c r="K3372" t="n">
        <v>0</v>
      </c>
      <c r="L3372" t="n">
        <v>0</v>
      </c>
      <c r="M3372" t="n">
        <v>0</v>
      </c>
      <c r="N3372" t="n">
        <v>0</v>
      </c>
      <c r="O3372" t="n">
        <v>0</v>
      </c>
      <c r="P3372" t="n">
        <v>0</v>
      </c>
      <c r="Q3372" t="n">
        <v>0</v>
      </c>
      <c r="R3372" s="2" t="inlineStr"/>
    </row>
    <row r="3373" ht="15" customHeight="1">
      <c r="A3373" t="inlineStr">
        <is>
          <t>A 56513-2024</t>
        </is>
      </c>
      <c r="B3373" s="1" t="n">
        <v>45625</v>
      </c>
      <c r="C3373" s="1" t="n">
        <v>45718</v>
      </c>
      <c r="D3373" t="inlineStr">
        <is>
          <t>JÄMTLANDS LÄN</t>
        </is>
      </c>
      <c r="E3373" t="inlineStr">
        <is>
          <t>STRÖMSUND</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56550-2024</t>
        </is>
      </c>
      <c r="B3374" s="1" t="n">
        <v>45625</v>
      </c>
      <c r="C3374" s="1" t="n">
        <v>45718</v>
      </c>
      <c r="D3374" t="inlineStr">
        <is>
          <t>JÄMTLANDS LÄN</t>
        </is>
      </c>
      <c r="E3374" t="inlineStr">
        <is>
          <t>STRÖMSUND</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56516-2024</t>
        </is>
      </c>
      <c r="B3375" s="1" t="n">
        <v>45625</v>
      </c>
      <c r="C3375" s="1" t="n">
        <v>45718</v>
      </c>
      <c r="D3375" t="inlineStr">
        <is>
          <t>JÄMTLANDS LÄN</t>
        </is>
      </c>
      <c r="E3375" t="inlineStr">
        <is>
          <t>STRÖMSUND</t>
        </is>
      </c>
      <c r="F3375" t="inlineStr">
        <is>
          <t>SCA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56507-2024</t>
        </is>
      </c>
      <c r="B3376" s="1" t="n">
        <v>45625</v>
      </c>
      <c r="C3376" s="1" t="n">
        <v>45718</v>
      </c>
      <c r="D3376" t="inlineStr">
        <is>
          <t>JÄMTLANDS LÄN</t>
        </is>
      </c>
      <c r="E3376" t="inlineStr">
        <is>
          <t>STRÖMSUND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56514-2024</t>
        </is>
      </c>
      <c r="B3377" s="1" t="n">
        <v>45625</v>
      </c>
      <c r="C3377" s="1" t="n">
        <v>45718</v>
      </c>
      <c r="D3377" t="inlineStr">
        <is>
          <t>JÄMTLANDS LÄN</t>
        </is>
      </c>
      <c r="E3377" t="inlineStr">
        <is>
          <t>STRÖMSUND</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56678-2024</t>
        </is>
      </c>
      <c r="B3378" s="1" t="n">
        <v>45627</v>
      </c>
      <c r="C3378" s="1" t="n">
        <v>45718</v>
      </c>
      <c r="D3378" t="inlineStr">
        <is>
          <t>JÄMTLANDS LÄN</t>
        </is>
      </c>
      <c r="E3378" t="inlineStr">
        <is>
          <t>STRÖMSUND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56997-2024</t>
        </is>
      </c>
      <c r="B3379" s="1" t="n">
        <v>45628</v>
      </c>
      <c r="C3379" s="1" t="n">
        <v>45718</v>
      </c>
      <c r="D3379" t="inlineStr">
        <is>
          <t>JÄMTLANDS LÄN</t>
        </is>
      </c>
      <c r="E3379" t="inlineStr">
        <is>
          <t>STRÖMSUND</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57250-2024</t>
        </is>
      </c>
      <c r="B3380" s="1" t="n">
        <v>45628</v>
      </c>
      <c r="C3380" s="1" t="n">
        <v>45718</v>
      </c>
      <c r="D3380" t="inlineStr">
        <is>
          <t>JÄMTLANDS LÄN</t>
        </is>
      </c>
      <c r="E3380" t="inlineStr">
        <is>
          <t>STRÖMSUND</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56961-2024</t>
        </is>
      </c>
      <c r="B3381" s="1" t="n">
        <v>45628</v>
      </c>
      <c r="C3381" s="1" t="n">
        <v>45718</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57258-2024</t>
        </is>
      </c>
      <c r="B3382" s="1" t="n">
        <v>45628</v>
      </c>
      <c r="C3382" s="1" t="n">
        <v>45718</v>
      </c>
      <c r="D3382" t="inlineStr">
        <is>
          <t>JÄMTLANDS LÄN</t>
        </is>
      </c>
      <c r="E3382" t="inlineStr">
        <is>
          <t>STRÖMSUND</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57090-2024</t>
        </is>
      </c>
      <c r="B3383" s="1" t="n">
        <v>45629</v>
      </c>
      <c r="C3383" s="1" t="n">
        <v>45718</v>
      </c>
      <c r="D3383" t="inlineStr">
        <is>
          <t>JÄMTLANDS LÄN</t>
        </is>
      </c>
      <c r="E3383" t="inlineStr">
        <is>
          <t>STRÖMSUND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57114-2024</t>
        </is>
      </c>
      <c r="B3384" s="1" t="n">
        <v>45629</v>
      </c>
      <c r="C3384" s="1" t="n">
        <v>45718</v>
      </c>
      <c r="D3384" t="inlineStr">
        <is>
          <t>JÄMTLANDS LÄN</t>
        </is>
      </c>
      <c r="E3384" t="inlineStr">
        <is>
          <t>STRÖMSUND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57075-2024</t>
        </is>
      </c>
      <c r="B3385" s="1" t="n">
        <v>45629</v>
      </c>
      <c r="C3385" s="1" t="n">
        <v>45718</v>
      </c>
      <c r="D3385" t="inlineStr">
        <is>
          <t>JÄMTLANDS LÄN</t>
        </is>
      </c>
      <c r="E3385" t="inlineStr">
        <is>
          <t>STRÖMSUND</t>
        </is>
      </c>
      <c r="F3385" t="inlineStr">
        <is>
          <t>SCA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57453-2024</t>
        </is>
      </c>
      <c r="B3386" s="1" t="n">
        <v>45630</v>
      </c>
      <c r="C3386" s="1" t="n">
        <v>45718</v>
      </c>
      <c r="D3386" t="inlineStr">
        <is>
          <t>JÄMTLANDS LÄN</t>
        </is>
      </c>
      <c r="E3386" t="inlineStr">
        <is>
          <t>STRÖMSUND</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57638-2024</t>
        </is>
      </c>
      <c r="B3387" s="1" t="n">
        <v>45630</v>
      </c>
      <c r="C3387" s="1" t="n">
        <v>45718</v>
      </c>
      <c r="D3387" t="inlineStr">
        <is>
          <t>JÄMTLANDS LÄN</t>
        </is>
      </c>
      <c r="E3387" t="inlineStr">
        <is>
          <t>STRÖMSUND</t>
        </is>
      </c>
      <c r="F3387" t="inlineStr">
        <is>
          <t>SCA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57963-2024</t>
        </is>
      </c>
      <c r="B3388" s="1" t="n">
        <v>45631</v>
      </c>
      <c r="C3388" s="1" t="n">
        <v>45718</v>
      </c>
      <c r="D3388" t="inlineStr">
        <is>
          <t>JÄMTLANDS LÄN</t>
        </is>
      </c>
      <c r="E3388" t="inlineStr">
        <is>
          <t>STRÖMSUND</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58027-2024</t>
        </is>
      </c>
      <c r="B3389" s="1" t="n">
        <v>45631</v>
      </c>
      <c r="C3389" s="1" t="n">
        <v>45718</v>
      </c>
      <c r="D3389" t="inlineStr">
        <is>
          <t>JÄMTLANDS LÄN</t>
        </is>
      </c>
      <c r="E3389" t="inlineStr">
        <is>
          <t>STRÖMSUND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58206-2024</t>
        </is>
      </c>
      <c r="B3390" s="1" t="n">
        <v>45632</v>
      </c>
      <c r="C3390" s="1" t="n">
        <v>45718</v>
      </c>
      <c r="D3390" t="inlineStr">
        <is>
          <t>JÄMTLANDS LÄN</t>
        </is>
      </c>
      <c r="E3390" t="inlineStr">
        <is>
          <t>STRÖMSUND</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58393-2024</t>
        </is>
      </c>
      <c r="B3391" s="1" t="n">
        <v>45633</v>
      </c>
      <c r="C3391" s="1" t="n">
        <v>45718</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58392-2024</t>
        </is>
      </c>
      <c r="B3392" s="1" t="n">
        <v>45633</v>
      </c>
      <c r="C3392" s="1" t="n">
        <v>45718</v>
      </c>
      <c r="D3392" t="inlineStr">
        <is>
          <t>JÄMTLANDS LÄN</t>
        </is>
      </c>
      <c r="E3392" t="inlineStr">
        <is>
          <t>STRÖMSUND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58391-2024</t>
        </is>
      </c>
      <c r="B3393" s="1" t="n">
        <v>45633</v>
      </c>
      <c r="C3393" s="1" t="n">
        <v>45718</v>
      </c>
      <c r="D3393" t="inlineStr">
        <is>
          <t>JÄMTLANDS LÄN</t>
        </is>
      </c>
      <c r="E3393" t="inlineStr">
        <is>
          <t>STRÖMSUND</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58647-2024</t>
        </is>
      </c>
      <c r="B3394" s="1" t="n">
        <v>45635</v>
      </c>
      <c r="C3394" s="1" t="n">
        <v>45718</v>
      </c>
      <c r="D3394" t="inlineStr">
        <is>
          <t>JÄMTLANDS LÄN</t>
        </is>
      </c>
      <c r="E3394" t="inlineStr">
        <is>
          <t>STRÖMSUND</t>
        </is>
      </c>
      <c r="F3394" t="inlineStr">
        <is>
          <t>SCA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58515-2024</t>
        </is>
      </c>
      <c r="B3395" s="1" t="n">
        <v>45635</v>
      </c>
      <c r="C3395" s="1" t="n">
        <v>45718</v>
      </c>
      <c r="D3395" t="inlineStr">
        <is>
          <t>JÄMTLANDS LÄN</t>
        </is>
      </c>
      <c r="E3395" t="inlineStr">
        <is>
          <t>STRÖMSUND</t>
        </is>
      </c>
      <c r="F3395" t="inlineStr">
        <is>
          <t>SCA</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58646-2024</t>
        </is>
      </c>
      <c r="B3396" s="1" t="n">
        <v>45635</v>
      </c>
      <c r="C3396" s="1" t="n">
        <v>45718</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58493-2024</t>
        </is>
      </c>
      <c r="B3397" s="1" t="n">
        <v>45635</v>
      </c>
      <c r="C3397" s="1" t="n">
        <v>45718</v>
      </c>
      <c r="D3397" t="inlineStr">
        <is>
          <t>JÄMTLANDS LÄN</t>
        </is>
      </c>
      <c r="E3397" t="inlineStr">
        <is>
          <t>STRÖMSUND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58695-2024</t>
        </is>
      </c>
      <c r="B3398" s="1" t="n">
        <v>45635</v>
      </c>
      <c r="C3398" s="1" t="n">
        <v>45718</v>
      </c>
      <c r="D3398" t="inlineStr">
        <is>
          <t>JÄMTLANDS LÄN</t>
        </is>
      </c>
      <c r="E3398" t="inlineStr">
        <is>
          <t>STRÖMSUND</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58813-2024</t>
        </is>
      </c>
      <c r="B3399" s="1" t="n">
        <v>45636</v>
      </c>
      <c r="C3399" s="1" t="n">
        <v>45718</v>
      </c>
      <c r="D3399" t="inlineStr">
        <is>
          <t>JÄMTLANDS LÄN</t>
        </is>
      </c>
      <c r="E3399" t="inlineStr">
        <is>
          <t>STRÖMSUND</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58968-2024</t>
        </is>
      </c>
      <c r="B3400" s="1" t="n">
        <v>45636</v>
      </c>
      <c r="C3400" s="1" t="n">
        <v>45718</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58947-2024</t>
        </is>
      </c>
      <c r="B3401" s="1" t="n">
        <v>45636</v>
      </c>
      <c r="C3401" s="1" t="n">
        <v>45718</v>
      </c>
      <c r="D3401" t="inlineStr">
        <is>
          <t>JÄMTLANDS LÄN</t>
        </is>
      </c>
      <c r="E3401" t="inlineStr">
        <is>
          <t>STRÖMSUND</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59152-2024</t>
        </is>
      </c>
      <c r="B3402" s="1" t="n">
        <v>45637</v>
      </c>
      <c r="C3402" s="1" t="n">
        <v>45718</v>
      </c>
      <c r="D3402" t="inlineStr">
        <is>
          <t>JÄMTLANDS LÄN</t>
        </is>
      </c>
      <c r="E3402" t="inlineStr">
        <is>
          <t>STRÖMSUND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59141-2024</t>
        </is>
      </c>
      <c r="B3403" s="1" t="n">
        <v>45637</v>
      </c>
      <c r="C3403" s="1" t="n">
        <v>45718</v>
      </c>
      <c r="D3403" t="inlineStr">
        <is>
          <t>JÄMTLANDS LÄN</t>
        </is>
      </c>
      <c r="E3403" t="inlineStr">
        <is>
          <t>STRÖMSUND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59550-2024</t>
        </is>
      </c>
      <c r="B3404" s="1" t="n">
        <v>45638</v>
      </c>
      <c r="C3404" s="1" t="n">
        <v>45718</v>
      </c>
      <c r="D3404" t="inlineStr">
        <is>
          <t>JÄMTLANDS LÄN</t>
        </is>
      </c>
      <c r="E3404" t="inlineStr">
        <is>
          <t>STRÖMSUND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59508-2024</t>
        </is>
      </c>
      <c r="B3405" s="1" t="n">
        <v>45638</v>
      </c>
      <c r="C3405" s="1" t="n">
        <v>45718</v>
      </c>
      <c r="D3405" t="inlineStr">
        <is>
          <t>JÄMTLANDS LÄN</t>
        </is>
      </c>
      <c r="E3405" t="inlineStr">
        <is>
          <t>STRÖMSUND</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59568-2024</t>
        </is>
      </c>
      <c r="B3406" s="1" t="n">
        <v>45638</v>
      </c>
      <c r="C3406" s="1" t="n">
        <v>45718</v>
      </c>
      <c r="D3406" t="inlineStr">
        <is>
          <t>JÄMTLANDS LÄN</t>
        </is>
      </c>
      <c r="E3406" t="inlineStr">
        <is>
          <t>STRÖMSUND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59530-2024</t>
        </is>
      </c>
      <c r="B3407" s="1" t="n">
        <v>45638</v>
      </c>
      <c r="C3407" s="1" t="n">
        <v>45718</v>
      </c>
      <c r="D3407" t="inlineStr">
        <is>
          <t>JÄMTLANDS LÄN</t>
        </is>
      </c>
      <c r="E3407" t="inlineStr">
        <is>
          <t>STRÖMSUND</t>
        </is>
      </c>
      <c r="F3407" t="inlineStr">
        <is>
          <t>SCA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59821-2024</t>
        </is>
      </c>
      <c r="B3408" s="1" t="n">
        <v>45639</v>
      </c>
      <c r="C3408" s="1" t="n">
        <v>45718</v>
      </c>
      <c r="D3408" t="inlineStr">
        <is>
          <t>JÄMTLANDS LÄN</t>
        </is>
      </c>
      <c r="E3408" t="inlineStr">
        <is>
          <t>STRÖMSUND</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59655-2024</t>
        </is>
      </c>
      <c r="B3409" s="1" t="n">
        <v>45639</v>
      </c>
      <c r="C3409" s="1" t="n">
        <v>45718</v>
      </c>
      <c r="D3409" t="inlineStr">
        <is>
          <t>JÄMTLANDS LÄN</t>
        </is>
      </c>
      <c r="E3409" t="inlineStr">
        <is>
          <t>STRÖMSUND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59742-2024</t>
        </is>
      </c>
      <c r="B3410" s="1" t="n">
        <v>45639</v>
      </c>
      <c r="C3410" s="1" t="n">
        <v>45718</v>
      </c>
      <c r="D3410" t="inlineStr">
        <is>
          <t>JÄMTLANDS LÄN</t>
        </is>
      </c>
      <c r="E3410" t="inlineStr">
        <is>
          <t>STRÖMSUND</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60171-2024</t>
        </is>
      </c>
      <c r="B3411" s="1" t="n">
        <v>45642</v>
      </c>
      <c r="C3411" s="1" t="n">
        <v>45718</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60170-2024</t>
        </is>
      </c>
      <c r="B3412" s="1" t="n">
        <v>45642</v>
      </c>
      <c r="C3412" s="1" t="n">
        <v>45718</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59986-2024</t>
        </is>
      </c>
      <c r="B3413" s="1" t="n">
        <v>45642</v>
      </c>
      <c r="C3413" s="1" t="n">
        <v>45718</v>
      </c>
      <c r="D3413" t="inlineStr">
        <is>
          <t>JÄMTLANDS LÄN</t>
        </is>
      </c>
      <c r="E3413" t="inlineStr">
        <is>
          <t>STRÖMSUND</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60053-2024</t>
        </is>
      </c>
      <c r="B3414" s="1" t="n">
        <v>45642</v>
      </c>
      <c r="C3414" s="1" t="n">
        <v>45718</v>
      </c>
      <c r="D3414" t="inlineStr">
        <is>
          <t>JÄMTLANDS LÄN</t>
        </is>
      </c>
      <c r="E3414" t="inlineStr">
        <is>
          <t>STRÖMSUND</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60310-2024</t>
        </is>
      </c>
      <c r="B3415" s="1" t="n">
        <v>45643</v>
      </c>
      <c r="C3415" s="1" t="n">
        <v>45718</v>
      </c>
      <c r="D3415" t="inlineStr">
        <is>
          <t>JÄMTLANDS LÄN</t>
        </is>
      </c>
      <c r="E3415" t="inlineStr">
        <is>
          <t>STRÖMSUND</t>
        </is>
      </c>
      <c r="F3415" t="inlineStr">
        <is>
          <t>SCA</t>
        </is>
      </c>
      <c r="G3415" t="n">
        <v>15.6</v>
      </c>
      <c r="H3415" t="n">
        <v>0</v>
      </c>
      <c r="I3415" t="n">
        <v>0</v>
      </c>
      <c r="J3415" t="n">
        <v>0</v>
      </c>
      <c r="K3415" t="n">
        <v>0</v>
      </c>
      <c r="L3415" t="n">
        <v>0</v>
      </c>
      <c r="M3415" t="n">
        <v>0</v>
      </c>
      <c r="N3415" t="n">
        <v>0</v>
      </c>
      <c r="O3415" t="n">
        <v>0</v>
      </c>
      <c r="P3415" t="n">
        <v>0</v>
      </c>
      <c r="Q3415" t="n">
        <v>0</v>
      </c>
      <c r="R3415" s="2" t="inlineStr"/>
    </row>
    <row r="3416" ht="15" customHeight="1">
      <c r="A3416" t="inlineStr">
        <is>
          <t>A 60366-2024</t>
        </is>
      </c>
      <c r="B3416" s="1" t="n">
        <v>45643</v>
      </c>
      <c r="C3416" s="1" t="n">
        <v>45718</v>
      </c>
      <c r="D3416" t="inlineStr">
        <is>
          <t>JÄMTLANDS LÄN</t>
        </is>
      </c>
      <c r="E3416" t="inlineStr">
        <is>
          <t>STRÖMSUND</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60791-2024</t>
        </is>
      </c>
      <c r="B3417" s="1" t="n">
        <v>45644</v>
      </c>
      <c r="C3417" s="1" t="n">
        <v>45718</v>
      </c>
      <c r="D3417" t="inlineStr">
        <is>
          <t>JÄMTLANDS LÄN</t>
        </is>
      </c>
      <c r="E3417" t="inlineStr">
        <is>
          <t>STRÖMSUND</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60800-2024</t>
        </is>
      </c>
      <c r="B3418" s="1" t="n">
        <v>45644</v>
      </c>
      <c r="C3418" s="1" t="n">
        <v>45718</v>
      </c>
      <c r="D3418" t="inlineStr">
        <is>
          <t>JÄMTLANDS LÄN</t>
        </is>
      </c>
      <c r="E3418" t="inlineStr">
        <is>
          <t>STRÖMSUND</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60917-2024</t>
        </is>
      </c>
      <c r="B3419" s="1" t="n">
        <v>45644</v>
      </c>
      <c r="C3419" s="1" t="n">
        <v>45718</v>
      </c>
      <c r="D3419" t="inlineStr">
        <is>
          <t>JÄMTLANDS LÄN</t>
        </is>
      </c>
      <c r="E3419" t="inlineStr">
        <is>
          <t>STRÖMSUND</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60911-2024</t>
        </is>
      </c>
      <c r="B3420" s="1" t="n">
        <v>45644</v>
      </c>
      <c r="C3420" s="1" t="n">
        <v>45718</v>
      </c>
      <c r="D3420" t="inlineStr">
        <is>
          <t>JÄMTLANDS LÄN</t>
        </is>
      </c>
      <c r="E3420" t="inlineStr">
        <is>
          <t>STRÖMSUND</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60905-2024</t>
        </is>
      </c>
      <c r="B3421" s="1" t="n">
        <v>45644</v>
      </c>
      <c r="C3421" s="1" t="n">
        <v>45718</v>
      </c>
      <c r="D3421" t="inlineStr">
        <is>
          <t>JÄMTLANDS LÄN</t>
        </is>
      </c>
      <c r="E3421" t="inlineStr">
        <is>
          <t>STRÖMSUND</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61015-2024</t>
        </is>
      </c>
      <c r="B3422" s="1" t="n">
        <v>45645</v>
      </c>
      <c r="C3422" s="1" t="n">
        <v>45718</v>
      </c>
      <c r="D3422" t="inlineStr">
        <is>
          <t>JÄMTLANDS LÄN</t>
        </is>
      </c>
      <c r="E3422" t="inlineStr">
        <is>
          <t>STRÖMSUND</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61163-2024</t>
        </is>
      </c>
      <c r="B3423" s="1" t="n">
        <v>45645</v>
      </c>
      <c r="C3423" s="1" t="n">
        <v>45718</v>
      </c>
      <c r="D3423" t="inlineStr">
        <is>
          <t>JÄMTLANDS LÄN</t>
        </is>
      </c>
      <c r="E3423" t="inlineStr">
        <is>
          <t>STRÖMSUND</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61481-2024</t>
        </is>
      </c>
      <c r="B3424" s="1" t="n">
        <v>45645</v>
      </c>
      <c r="C3424" s="1" t="n">
        <v>45718</v>
      </c>
      <c r="D3424" t="inlineStr">
        <is>
          <t>JÄMTLANDS LÄN</t>
        </is>
      </c>
      <c r="E3424" t="inlineStr">
        <is>
          <t>STRÖMSUND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61160-2024</t>
        </is>
      </c>
      <c r="B3425" s="1" t="n">
        <v>45645</v>
      </c>
      <c r="C3425" s="1" t="n">
        <v>45718</v>
      </c>
      <c r="D3425" t="inlineStr">
        <is>
          <t>JÄMTLANDS LÄN</t>
        </is>
      </c>
      <c r="E3425" t="inlineStr">
        <is>
          <t>STRÖMSUND</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61475-2024</t>
        </is>
      </c>
      <c r="B3426" s="1" t="n">
        <v>45645</v>
      </c>
      <c r="C3426" s="1" t="n">
        <v>45718</v>
      </c>
      <c r="D3426" t="inlineStr">
        <is>
          <t>JÄMTLANDS LÄN</t>
        </is>
      </c>
      <c r="E3426" t="inlineStr">
        <is>
          <t>STRÖMSUND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61402-2024</t>
        </is>
      </c>
      <c r="B3427" s="1" t="n">
        <v>45646</v>
      </c>
      <c r="C3427" s="1" t="n">
        <v>45718</v>
      </c>
      <c r="D3427" t="inlineStr">
        <is>
          <t>JÄMTLANDS LÄN</t>
        </is>
      </c>
      <c r="E3427" t="inlineStr">
        <is>
          <t>STRÖMSUND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61540-2024</t>
        </is>
      </c>
      <c r="B3428" s="1" t="n">
        <v>45646</v>
      </c>
      <c r="C3428" s="1" t="n">
        <v>45718</v>
      </c>
      <c r="D3428" t="inlineStr">
        <is>
          <t>JÄMTLANDS LÄN</t>
        </is>
      </c>
      <c r="E3428" t="inlineStr">
        <is>
          <t>STRÖMSUND</t>
        </is>
      </c>
      <c r="F3428" t="inlineStr">
        <is>
          <t>SCA</t>
        </is>
      </c>
      <c r="G3428" t="n">
        <v>18.2</v>
      </c>
      <c r="H3428" t="n">
        <v>0</v>
      </c>
      <c r="I3428" t="n">
        <v>0</v>
      </c>
      <c r="J3428" t="n">
        <v>0</v>
      </c>
      <c r="K3428" t="n">
        <v>0</v>
      </c>
      <c r="L3428" t="n">
        <v>0</v>
      </c>
      <c r="M3428" t="n">
        <v>0</v>
      </c>
      <c r="N3428" t="n">
        <v>0</v>
      </c>
      <c r="O3428" t="n">
        <v>0</v>
      </c>
      <c r="P3428" t="n">
        <v>0</v>
      </c>
      <c r="Q3428" t="n">
        <v>0</v>
      </c>
      <c r="R3428" s="2" t="inlineStr"/>
    </row>
    <row r="3429" ht="15" customHeight="1">
      <c r="A3429" t="inlineStr">
        <is>
          <t>A 61538-2024</t>
        </is>
      </c>
      <c r="B3429" s="1" t="n">
        <v>45646</v>
      </c>
      <c r="C3429" s="1" t="n">
        <v>45718</v>
      </c>
      <c r="D3429" t="inlineStr">
        <is>
          <t>JÄMTLANDS LÄN</t>
        </is>
      </c>
      <c r="E3429" t="inlineStr">
        <is>
          <t>STRÖMSUND</t>
        </is>
      </c>
      <c r="F3429" t="inlineStr">
        <is>
          <t>SCA</t>
        </is>
      </c>
      <c r="G3429" t="n">
        <v>24.4</v>
      </c>
      <c r="H3429" t="n">
        <v>0</v>
      </c>
      <c r="I3429" t="n">
        <v>0</v>
      </c>
      <c r="J3429" t="n">
        <v>0</v>
      </c>
      <c r="K3429" t="n">
        <v>0</v>
      </c>
      <c r="L3429" t="n">
        <v>0</v>
      </c>
      <c r="M3429" t="n">
        <v>0</v>
      </c>
      <c r="N3429" t="n">
        <v>0</v>
      </c>
      <c r="O3429" t="n">
        <v>0</v>
      </c>
      <c r="P3429" t="n">
        <v>0</v>
      </c>
      <c r="Q3429" t="n">
        <v>0</v>
      </c>
      <c r="R3429" s="2" t="inlineStr"/>
    </row>
    <row r="3430" ht="15" customHeight="1">
      <c r="A3430" t="inlineStr">
        <is>
          <t>A 61365-2024</t>
        </is>
      </c>
      <c r="B3430" s="1" t="n">
        <v>45646</v>
      </c>
      <c r="C3430" s="1" t="n">
        <v>45718</v>
      </c>
      <c r="D3430" t="inlineStr">
        <is>
          <t>JÄMTLANDS LÄN</t>
        </is>
      </c>
      <c r="E3430" t="inlineStr">
        <is>
          <t>STRÖMSUND</t>
        </is>
      </c>
      <c r="F3430" t="inlineStr">
        <is>
          <t>SCA</t>
        </is>
      </c>
      <c r="G3430" t="n">
        <v>12.9</v>
      </c>
      <c r="H3430" t="n">
        <v>0</v>
      </c>
      <c r="I3430" t="n">
        <v>0</v>
      </c>
      <c r="J3430" t="n">
        <v>0</v>
      </c>
      <c r="K3430" t="n">
        <v>0</v>
      </c>
      <c r="L3430" t="n">
        <v>0</v>
      </c>
      <c r="M3430" t="n">
        <v>0</v>
      </c>
      <c r="N3430" t="n">
        <v>0</v>
      </c>
      <c r="O3430" t="n">
        <v>0</v>
      </c>
      <c r="P3430" t="n">
        <v>0</v>
      </c>
      <c r="Q3430" t="n">
        <v>0</v>
      </c>
      <c r="R3430" s="2" t="inlineStr"/>
    </row>
    <row r="3431" ht="15" customHeight="1">
      <c r="A3431" t="inlineStr">
        <is>
          <t>A 61539-2024</t>
        </is>
      </c>
      <c r="B3431" s="1" t="n">
        <v>45646</v>
      </c>
      <c r="C3431" s="1" t="n">
        <v>45718</v>
      </c>
      <c r="D3431" t="inlineStr">
        <is>
          <t>JÄMTLANDS LÄN</t>
        </is>
      </c>
      <c r="E3431" t="inlineStr">
        <is>
          <t>STRÖMSUND</t>
        </is>
      </c>
      <c r="F3431" t="inlineStr">
        <is>
          <t>SCA</t>
        </is>
      </c>
      <c r="G3431" t="n">
        <v>25.5</v>
      </c>
      <c r="H3431" t="n">
        <v>0</v>
      </c>
      <c r="I3431" t="n">
        <v>0</v>
      </c>
      <c r="J3431" t="n">
        <v>0</v>
      </c>
      <c r="K3431" t="n">
        <v>0</v>
      </c>
      <c r="L3431" t="n">
        <v>0</v>
      </c>
      <c r="M3431" t="n">
        <v>0</v>
      </c>
      <c r="N3431" t="n">
        <v>0</v>
      </c>
      <c r="O3431" t="n">
        <v>0</v>
      </c>
      <c r="P3431" t="n">
        <v>0</v>
      </c>
      <c r="Q3431" t="n">
        <v>0</v>
      </c>
      <c r="R3431" s="2" t="inlineStr"/>
    </row>
    <row r="3432" ht="15" customHeight="1">
      <c r="A3432" t="inlineStr">
        <is>
          <t>A 61363-2024</t>
        </is>
      </c>
      <c r="B3432" s="1" t="n">
        <v>45646</v>
      </c>
      <c r="C3432" s="1" t="n">
        <v>45718</v>
      </c>
      <c r="D3432" t="inlineStr">
        <is>
          <t>JÄMTLANDS LÄN</t>
        </is>
      </c>
      <c r="E3432" t="inlineStr">
        <is>
          <t>STRÖMSUND</t>
        </is>
      </c>
      <c r="F3432" t="inlineStr">
        <is>
          <t>SCA</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61854-2024</t>
        </is>
      </c>
      <c r="B3433" s="1" t="n">
        <v>45649</v>
      </c>
      <c r="C3433" s="1" t="n">
        <v>45718</v>
      </c>
      <c r="D3433" t="inlineStr">
        <is>
          <t>JÄMTLANDS LÄN</t>
        </is>
      </c>
      <c r="E3433" t="inlineStr">
        <is>
          <t>STRÖMSUND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52-2025</t>
        </is>
      </c>
      <c r="B3434" s="1" t="n">
        <v>45649</v>
      </c>
      <c r="C3434" s="1" t="n">
        <v>45718</v>
      </c>
      <c r="D3434" t="inlineStr">
        <is>
          <t>JÄMTLANDS LÄN</t>
        </is>
      </c>
      <c r="E3434" t="inlineStr">
        <is>
          <t>STRÖMSUND</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50-2025</t>
        </is>
      </c>
      <c r="B3435" s="1" t="n">
        <v>45649</v>
      </c>
      <c r="C3435" s="1" t="n">
        <v>45718</v>
      </c>
      <c r="D3435" t="inlineStr">
        <is>
          <t>JÄMTLANDS LÄN</t>
        </is>
      </c>
      <c r="E3435" t="inlineStr">
        <is>
          <t>STRÖMSUND</t>
        </is>
      </c>
      <c r="G3435" t="n">
        <v>12.5</v>
      </c>
      <c r="H3435" t="n">
        <v>0</v>
      </c>
      <c r="I3435" t="n">
        <v>0</v>
      </c>
      <c r="J3435" t="n">
        <v>0</v>
      </c>
      <c r="K3435" t="n">
        <v>0</v>
      </c>
      <c r="L3435" t="n">
        <v>0</v>
      </c>
      <c r="M3435" t="n">
        <v>0</v>
      </c>
      <c r="N3435" t="n">
        <v>0</v>
      </c>
      <c r="O3435" t="n">
        <v>0</v>
      </c>
      <c r="P3435" t="n">
        <v>0</v>
      </c>
      <c r="Q3435" t="n">
        <v>0</v>
      </c>
      <c r="R3435" s="2" t="inlineStr"/>
    </row>
    <row r="3436" ht="15" customHeight="1">
      <c r="A3436" t="inlineStr">
        <is>
          <t>A 61954-2024</t>
        </is>
      </c>
      <c r="B3436" s="1" t="n">
        <v>45653</v>
      </c>
      <c r="C3436" s="1" t="n">
        <v>45718</v>
      </c>
      <c r="D3436" t="inlineStr">
        <is>
          <t>JÄMTLANDS LÄN</t>
        </is>
      </c>
      <c r="E3436" t="inlineStr">
        <is>
          <t>STRÖMSUND</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61959-2024</t>
        </is>
      </c>
      <c r="B3437" s="1" t="n">
        <v>45653</v>
      </c>
      <c r="C3437" s="1" t="n">
        <v>45718</v>
      </c>
      <c r="D3437" t="inlineStr">
        <is>
          <t>JÄMTLANDS LÄN</t>
        </is>
      </c>
      <c r="E3437" t="inlineStr">
        <is>
          <t>STRÖMSUND</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40-2025</t>
        </is>
      </c>
      <c r="B3438" s="1" t="n">
        <v>45659</v>
      </c>
      <c r="C3438" s="1" t="n">
        <v>45718</v>
      </c>
      <c r="D3438" t="inlineStr">
        <is>
          <t>JÄMTLANDS LÄN</t>
        </is>
      </c>
      <c r="E3438" t="inlineStr">
        <is>
          <t>STRÖMSUND</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135-2025</t>
        </is>
      </c>
      <c r="B3439" s="1" t="n">
        <v>45659</v>
      </c>
      <c r="C3439" s="1" t="n">
        <v>45718</v>
      </c>
      <c r="D3439" t="inlineStr">
        <is>
          <t>JÄMTLANDS LÄN</t>
        </is>
      </c>
      <c r="E3439" t="inlineStr">
        <is>
          <t>STRÖMSUND</t>
        </is>
      </c>
      <c r="F3439" t="inlineStr">
        <is>
          <t>SCA</t>
        </is>
      </c>
      <c r="G3439" t="n">
        <v>31.4</v>
      </c>
      <c r="H3439" t="n">
        <v>0</v>
      </c>
      <c r="I3439" t="n">
        <v>0</v>
      </c>
      <c r="J3439" t="n">
        <v>0</v>
      </c>
      <c r="K3439" t="n">
        <v>0</v>
      </c>
      <c r="L3439" t="n">
        <v>0</v>
      </c>
      <c r="M3439" t="n">
        <v>0</v>
      </c>
      <c r="N3439" t="n">
        <v>0</v>
      </c>
      <c r="O3439" t="n">
        <v>0</v>
      </c>
      <c r="P3439" t="n">
        <v>0</v>
      </c>
      <c r="Q3439" t="n">
        <v>0</v>
      </c>
      <c r="R3439" s="2" t="inlineStr"/>
    </row>
    <row r="3440" ht="15" customHeight="1">
      <c r="A3440" t="inlineStr">
        <is>
          <t>A 354-2025</t>
        </is>
      </c>
      <c r="B3440" s="1" t="n">
        <v>45659</v>
      </c>
      <c r="C3440" s="1" t="n">
        <v>45718</v>
      </c>
      <c r="D3440" t="inlineStr">
        <is>
          <t>JÄMTLANDS LÄN</t>
        </is>
      </c>
      <c r="E3440" t="inlineStr">
        <is>
          <t>STRÖMSUND</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355-2025</t>
        </is>
      </c>
      <c r="B3441" s="1" t="n">
        <v>45659</v>
      </c>
      <c r="C3441" s="1" t="n">
        <v>45718</v>
      </c>
      <c r="D3441" t="inlineStr">
        <is>
          <t>JÄMTLANDS LÄN</t>
        </is>
      </c>
      <c r="E3441" t="inlineStr">
        <is>
          <t>STRÖMSUND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294-2025</t>
        </is>
      </c>
      <c r="B3442" s="1" t="n">
        <v>45660</v>
      </c>
      <c r="C3442" s="1" t="n">
        <v>45718</v>
      </c>
      <c r="D3442" t="inlineStr">
        <is>
          <t>JÄMTLANDS LÄN</t>
        </is>
      </c>
      <c r="E3442" t="inlineStr">
        <is>
          <t>STRÖMSUND</t>
        </is>
      </c>
      <c r="F3442" t="inlineStr">
        <is>
          <t>SCA</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217-2025</t>
        </is>
      </c>
      <c r="B3443" s="1" t="n">
        <v>45660</v>
      </c>
      <c r="C3443" s="1" t="n">
        <v>45718</v>
      </c>
      <c r="D3443" t="inlineStr">
        <is>
          <t>JÄMTLANDS LÄN</t>
        </is>
      </c>
      <c r="E3443" t="inlineStr">
        <is>
          <t>STRÖMSUND</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293-2025</t>
        </is>
      </c>
      <c r="B3444" s="1" t="n">
        <v>45660</v>
      </c>
      <c r="C3444" s="1" t="n">
        <v>45718</v>
      </c>
      <c r="D3444" t="inlineStr">
        <is>
          <t>JÄMTLANDS LÄN</t>
        </is>
      </c>
      <c r="E3444" t="inlineStr">
        <is>
          <t>STRÖMSUND</t>
        </is>
      </c>
      <c r="F3444" t="inlineStr">
        <is>
          <t>SCA</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216-2025</t>
        </is>
      </c>
      <c r="B3445" s="1" t="n">
        <v>45660</v>
      </c>
      <c r="C3445" s="1" t="n">
        <v>45718</v>
      </c>
      <c r="D3445" t="inlineStr">
        <is>
          <t>JÄMTLANDS LÄN</t>
        </is>
      </c>
      <c r="E3445" t="inlineStr">
        <is>
          <t>STRÖMSUND</t>
        </is>
      </c>
      <c r="F3445" t="inlineStr">
        <is>
          <t>SCA</t>
        </is>
      </c>
      <c r="G3445" t="n">
        <v>33.5</v>
      </c>
      <c r="H3445" t="n">
        <v>0</v>
      </c>
      <c r="I3445" t="n">
        <v>0</v>
      </c>
      <c r="J3445" t="n">
        <v>0</v>
      </c>
      <c r="K3445" t="n">
        <v>0</v>
      </c>
      <c r="L3445" t="n">
        <v>0</v>
      </c>
      <c r="M3445" t="n">
        <v>0</v>
      </c>
      <c r="N3445" t="n">
        <v>0</v>
      </c>
      <c r="O3445" t="n">
        <v>0</v>
      </c>
      <c r="P3445" t="n">
        <v>0</v>
      </c>
      <c r="Q3445" t="n">
        <v>0</v>
      </c>
      <c r="R3445" s="2" t="inlineStr"/>
    </row>
    <row r="3446" ht="15" customHeight="1">
      <c r="A3446" t="inlineStr">
        <is>
          <t>A 292-2025</t>
        </is>
      </c>
      <c r="B3446" s="1" t="n">
        <v>45660</v>
      </c>
      <c r="C3446" s="1" t="n">
        <v>45718</v>
      </c>
      <c r="D3446" t="inlineStr">
        <is>
          <t>JÄMTLANDS LÄN</t>
        </is>
      </c>
      <c r="E3446" t="inlineStr">
        <is>
          <t>STRÖMSUND</t>
        </is>
      </c>
      <c r="F3446" t="inlineStr">
        <is>
          <t>SCA</t>
        </is>
      </c>
      <c r="G3446" t="n">
        <v>10.5</v>
      </c>
      <c r="H3446" t="n">
        <v>0</v>
      </c>
      <c r="I3446" t="n">
        <v>0</v>
      </c>
      <c r="J3446" t="n">
        <v>0</v>
      </c>
      <c r="K3446" t="n">
        <v>0</v>
      </c>
      <c r="L3446" t="n">
        <v>0</v>
      </c>
      <c r="M3446" t="n">
        <v>0</v>
      </c>
      <c r="N3446" t="n">
        <v>0</v>
      </c>
      <c r="O3446" t="n">
        <v>0</v>
      </c>
      <c r="P3446" t="n">
        <v>0</v>
      </c>
      <c r="Q3446" t="n">
        <v>0</v>
      </c>
      <c r="R3446" s="2" t="inlineStr"/>
    </row>
    <row r="3447" ht="15" customHeight="1">
      <c r="A3447" t="inlineStr">
        <is>
          <t>A 630-2025</t>
        </is>
      </c>
      <c r="B3447" s="1" t="n">
        <v>45664</v>
      </c>
      <c r="C3447" s="1" t="n">
        <v>45718</v>
      </c>
      <c r="D3447" t="inlineStr">
        <is>
          <t>JÄMTLANDS LÄN</t>
        </is>
      </c>
      <c r="E3447" t="inlineStr">
        <is>
          <t>STRÖMSUND</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473-2025</t>
        </is>
      </c>
      <c r="B3448" s="1" t="n">
        <v>45664</v>
      </c>
      <c r="C3448" s="1" t="n">
        <v>45718</v>
      </c>
      <c r="D3448" t="inlineStr">
        <is>
          <t>JÄMTLANDS LÄN</t>
        </is>
      </c>
      <c r="E3448" t="inlineStr">
        <is>
          <t>STRÖMSUND</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1126-2025</t>
        </is>
      </c>
      <c r="B3449" s="1" t="n">
        <v>45666</v>
      </c>
      <c r="C3449" s="1" t="n">
        <v>45718</v>
      </c>
      <c r="D3449" t="inlineStr">
        <is>
          <t>JÄMTLANDS LÄN</t>
        </is>
      </c>
      <c r="E3449" t="inlineStr">
        <is>
          <t>STRÖMSUND</t>
        </is>
      </c>
      <c r="F3449" t="inlineStr">
        <is>
          <t>SCA</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992-2025</t>
        </is>
      </c>
      <c r="B3450" s="1" t="n">
        <v>45666</v>
      </c>
      <c r="C3450" s="1" t="n">
        <v>45718</v>
      </c>
      <c r="D3450" t="inlineStr">
        <is>
          <t>JÄMTLANDS LÄN</t>
        </is>
      </c>
      <c r="E3450" t="inlineStr">
        <is>
          <t>STRÖMSUND</t>
        </is>
      </c>
      <c r="F3450" t="inlineStr">
        <is>
          <t>SCA</t>
        </is>
      </c>
      <c r="G3450" t="n">
        <v>16.4</v>
      </c>
      <c r="H3450" t="n">
        <v>0</v>
      </c>
      <c r="I3450" t="n">
        <v>0</v>
      </c>
      <c r="J3450" t="n">
        <v>0</v>
      </c>
      <c r="K3450" t="n">
        <v>0</v>
      </c>
      <c r="L3450" t="n">
        <v>0</v>
      </c>
      <c r="M3450" t="n">
        <v>0</v>
      </c>
      <c r="N3450" t="n">
        <v>0</v>
      </c>
      <c r="O3450" t="n">
        <v>0</v>
      </c>
      <c r="P3450" t="n">
        <v>0</v>
      </c>
      <c r="Q3450" t="n">
        <v>0</v>
      </c>
      <c r="R3450" s="2" t="inlineStr"/>
    </row>
    <row r="3451" ht="15" customHeight="1">
      <c r="A3451" t="inlineStr">
        <is>
          <t>A 1117-2025</t>
        </is>
      </c>
      <c r="B3451" s="1" t="n">
        <v>45666</v>
      </c>
      <c r="C3451" s="1" t="n">
        <v>45718</v>
      </c>
      <c r="D3451" t="inlineStr">
        <is>
          <t>JÄMTLANDS LÄN</t>
        </is>
      </c>
      <c r="E3451" t="inlineStr">
        <is>
          <t>STRÖMSUND</t>
        </is>
      </c>
      <c r="F3451" t="inlineStr">
        <is>
          <t>SCA</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1391-2025</t>
        </is>
      </c>
      <c r="B3452" s="1" t="n">
        <v>45667</v>
      </c>
      <c r="C3452" s="1" t="n">
        <v>45718</v>
      </c>
      <c r="D3452" t="inlineStr">
        <is>
          <t>JÄMTLANDS LÄN</t>
        </is>
      </c>
      <c r="E3452" t="inlineStr">
        <is>
          <t>STRÖMSUND</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1421-2025</t>
        </is>
      </c>
      <c r="B3453" s="1" t="n">
        <v>45668</v>
      </c>
      <c r="C3453" s="1" t="n">
        <v>45718</v>
      </c>
      <c r="D3453" t="inlineStr">
        <is>
          <t>JÄMTLANDS LÄN</t>
        </is>
      </c>
      <c r="E3453" t="inlineStr">
        <is>
          <t>STRÖMSUND</t>
        </is>
      </c>
      <c r="F3453" t="inlineStr">
        <is>
          <t>SCA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1429-2025</t>
        </is>
      </c>
      <c r="B3454" s="1" t="n">
        <v>45669</v>
      </c>
      <c r="C3454" s="1" t="n">
        <v>45718</v>
      </c>
      <c r="D3454" t="inlineStr">
        <is>
          <t>JÄMTLANDS LÄN</t>
        </is>
      </c>
      <c r="E3454" t="inlineStr">
        <is>
          <t>STRÖMSUND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1545-2025</t>
        </is>
      </c>
      <c r="B3455" s="1" t="n">
        <v>45670</v>
      </c>
      <c r="C3455" s="1" t="n">
        <v>45718</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45718</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45718</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45718</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45718</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45718</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45718</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45718</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45718</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45718</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45718</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45718</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45718</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45718</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45718</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45718</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45718</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45718</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45718</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45718</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45718</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45718</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45718</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45718</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45718</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45718</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45718</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45718</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2808-2025</t>
        </is>
      </c>
      <c r="B3483" s="1" t="n">
        <v>45677</v>
      </c>
      <c r="C3483" s="1" t="n">
        <v>45718</v>
      </c>
      <c r="D3483" t="inlineStr">
        <is>
          <t>JÄMTLANDS LÄN</t>
        </is>
      </c>
      <c r="E3483" t="inlineStr">
        <is>
          <t>STRÖMSUND</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45718</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45718</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2989-2025</t>
        </is>
      </c>
      <c r="B3486" s="1" t="n">
        <v>45678</v>
      </c>
      <c r="C3486" s="1" t="n">
        <v>45718</v>
      </c>
      <c r="D3486" t="inlineStr">
        <is>
          <t>JÄMTLANDS LÄN</t>
        </is>
      </c>
      <c r="E3486" t="inlineStr">
        <is>
          <t>STRÖMSUND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45718</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45718</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45718</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3388-2025</t>
        </is>
      </c>
      <c r="B3490" s="1" t="n">
        <v>45680</v>
      </c>
      <c r="C3490" s="1" t="n">
        <v>45718</v>
      </c>
      <c r="D3490" t="inlineStr">
        <is>
          <t>JÄMTLANDS LÄN</t>
        </is>
      </c>
      <c r="E3490" t="inlineStr">
        <is>
          <t>STRÖMSUND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3749-2025</t>
        </is>
      </c>
      <c r="B3491" s="1" t="n">
        <v>45681</v>
      </c>
      <c r="C3491" s="1" t="n">
        <v>45718</v>
      </c>
      <c r="D3491" t="inlineStr">
        <is>
          <t>JÄMTLANDS LÄN</t>
        </is>
      </c>
      <c r="E3491" t="inlineStr">
        <is>
          <t>STRÖMSUND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3751-2025</t>
        </is>
      </c>
      <c r="B3492" s="1" t="n">
        <v>45681</v>
      </c>
      <c r="C3492" s="1" t="n">
        <v>45718</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3650-2025</t>
        </is>
      </c>
      <c r="B3493" s="1" t="n">
        <v>45681</v>
      </c>
      <c r="C3493" s="1" t="n">
        <v>45718</v>
      </c>
      <c r="D3493" t="inlineStr">
        <is>
          <t>JÄMTLANDS LÄN</t>
        </is>
      </c>
      <c r="E3493" t="inlineStr">
        <is>
          <t>STRÖMSUND</t>
        </is>
      </c>
      <c r="F3493" t="inlineStr">
        <is>
          <t>SCA</t>
        </is>
      </c>
      <c r="G3493" t="n">
        <v>12.4</v>
      </c>
      <c r="H3493" t="n">
        <v>0</v>
      </c>
      <c r="I3493" t="n">
        <v>0</v>
      </c>
      <c r="J3493" t="n">
        <v>0</v>
      </c>
      <c r="K3493" t="n">
        <v>0</v>
      </c>
      <c r="L3493" t="n">
        <v>0</v>
      </c>
      <c r="M3493" t="n">
        <v>0</v>
      </c>
      <c r="N3493" t="n">
        <v>0</v>
      </c>
      <c r="O3493" t="n">
        <v>0</v>
      </c>
      <c r="P3493" t="n">
        <v>0</v>
      </c>
      <c r="Q3493" t="n">
        <v>0</v>
      </c>
      <c r="R3493" s="2" t="inlineStr"/>
    </row>
    <row r="3494" ht="15" customHeight="1">
      <c r="A3494" t="inlineStr">
        <is>
          <t>A 3667-2025</t>
        </is>
      </c>
      <c r="B3494" s="1" t="n">
        <v>45681</v>
      </c>
      <c r="C3494" s="1" t="n">
        <v>45718</v>
      </c>
      <c r="D3494" t="inlineStr">
        <is>
          <t>JÄMTLANDS LÄN</t>
        </is>
      </c>
      <c r="E3494" t="inlineStr">
        <is>
          <t>STRÖMSUND</t>
        </is>
      </c>
      <c r="F3494" t="inlineStr">
        <is>
          <t>SCA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3695-2025</t>
        </is>
      </c>
      <c r="B3495" s="1" t="n">
        <v>45681</v>
      </c>
      <c r="C3495" s="1" t="n">
        <v>45718</v>
      </c>
      <c r="D3495" t="inlineStr">
        <is>
          <t>JÄMTLANDS LÄN</t>
        </is>
      </c>
      <c r="E3495" t="inlineStr">
        <is>
          <t>STRÖMSUND</t>
        </is>
      </c>
      <c r="F3495" t="inlineStr">
        <is>
          <t>SCA</t>
        </is>
      </c>
      <c r="G3495" t="n">
        <v>15.9</v>
      </c>
      <c r="H3495" t="n">
        <v>0</v>
      </c>
      <c r="I3495" t="n">
        <v>0</v>
      </c>
      <c r="J3495" t="n">
        <v>0</v>
      </c>
      <c r="K3495" t="n">
        <v>0</v>
      </c>
      <c r="L3495" t="n">
        <v>0</v>
      </c>
      <c r="M3495" t="n">
        <v>0</v>
      </c>
      <c r="N3495" t="n">
        <v>0</v>
      </c>
      <c r="O3495" t="n">
        <v>0</v>
      </c>
      <c r="P3495" t="n">
        <v>0</v>
      </c>
      <c r="Q3495" t="n">
        <v>0</v>
      </c>
      <c r="R3495" s="2" t="inlineStr"/>
    </row>
    <row r="3496" ht="15" customHeight="1">
      <c r="A3496" t="inlineStr">
        <is>
          <t>A 4043-2025</t>
        </is>
      </c>
      <c r="B3496" s="1" t="n">
        <v>45684</v>
      </c>
      <c r="C3496" s="1" t="n">
        <v>45718</v>
      </c>
      <c r="D3496" t="inlineStr">
        <is>
          <t>JÄMTLANDS LÄN</t>
        </is>
      </c>
      <c r="E3496" t="inlineStr">
        <is>
          <t>STRÖMSUND</t>
        </is>
      </c>
      <c r="F3496" t="inlineStr">
        <is>
          <t>SCA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3911-2025</t>
        </is>
      </c>
      <c r="B3497" s="1" t="n">
        <v>45684</v>
      </c>
      <c r="C3497" s="1" t="n">
        <v>45718</v>
      </c>
      <c r="D3497" t="inlineStr">
        <is>
          <t>JÄMTLANDS LÄN</t>
        </is>
      </c>
      <c r="E3497" t="inlineStr">
        <is>
          <t>STRÖMSUND</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3918-2025</t>
        </is>
      </c>
      <c r="B3498" s="1" t="n">
        <v>45684</v>
      </c>
      <c r="C3498" s="1" t="n">
        <v>45718</v>
      </c>
      <c r="D3498" t="inlineStr">
        <is>
          <t>JÄMTLANDS LÄN</t>
        </is>
      </c>
      <c r="E3498" t="inlineStr">
        <is>
          <t>STRÖMSUND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4036-2025</t>
        </is>
      </c>
      <c r="B3499" s="1" t="n">
        <v>45684</v>
      </c>
      <c r="C3499" s="1" t="n">
        <v>45718</v>
      </c>
      <c r="D3499" t="inlineStr">
        <is>
          <t>JÄMTLANDS LÄN</t>
        </is>
      </c>
      <c r="E3499" t="inlineStr">
        <is>
          <t>STRÖMSUND</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4044-2025</t>
        </is>
      </c>
      <c r="B3500" s="1" t="n">
        <v>45684</v>
      </c>
      <c r="C3500" s="1" t="n">
        <v>45718</v>
      </c>
      <c r="D3500" t="inlineStr">
        <is>
          <t>JÄMTLANDS LÄN</t>
        </is>
      </c>
      <c r="E3500" t="inlineStr">
        <is>
          <t>STRÖMSUND</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3917-2025</t>
        </is>
      </c>
      <c r="B3501" s="1" t="n">
        <v>45684</v>
      </c>
      <c r="C3501" s="1" t="n">
        <v>45718</v>
      </c>
      <c r="D3501" t="inlineStr">
        <is>
          <t>JÄMTLANDS LÄN</t>
        </is>
      </c>
      <c r="E3501" t="inlineStr">
        <is>
          <t>STRÖMSUND</t>
        </is>
      </c>
      <c r="G3501" t="n">
        <v>17.2</v>
      </c>
      <c r="H3501" t="n">
        <v>0</v>
      </c>
      <c r="I3501" t="n">
        <v>0</v>
      </c>
      <c r="J3501" t="n">
        <v>0</v>
      </c>
      <c r="K3501" t="n">
        <v>0</v>
      </c>
      <c r="L3501" t="n">
        <v>0</v>
      </c>
      <c r="M3501" t="n">
        <v>0</v>
      </c>
      <c r="N3501" t="n">
        <v>0</v>
      </c>
      <c r="O3501" t="n">
        <v>0</v>
      </c>
      <c r="P3501" t="n">
        <v>0</v>
      </c>
      <c r="Q3501" t="n">
        <v>0</v>
      </c>
      <c r="R3501" s="2" t="inlineStr"/>
    </row>
    <row r="3502" ht="15" customHeight="1">
      <c r="A3502" t="inlineStr">
        <is>
          <t>A 4026-2025</t>
        </is>
      </c>
      <c r="B3502" s="1" t="n">
        <v>45684</v>
      </c>
      <c r="C3502" s="1" t="n">
        <v>45718</v>
      </c>
      <c r="D3502" t="inlineStr">
        <is>
          <t>JÄMTLANDS LÄN</t>
        </is>
      </c>
      <c r="E3502" t="inlineStr">
        <is>
          <t>STRÖMSUND</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4034-2025</t>
        </is>
      </c>
      <c r="B3503" s="1" t="n">
        <v>45684</v>
      </c>
      <c r="C3503" s="1" t="n">
        <v>45718</v>
      </c>
      <c r="D3503" t="inlineStr">
        <is>
          <t>JÄMTLANDS LÄN</t>
        </is>
      </c>
      <c r="E3503" t="inlineStr">
        <is>
          <t>STRÖMSUND</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4042-2025</t>
        </is>
      </c>
      <c r="B3504" s="1" t="n">
        <v>45684</v>
      </c>
      <c r="C3504" s="1" t="n">
        <v>45718</v>
      </c>
      <c r="D3504" t="inlineStr">
        <is>
          <t>JÄMTLANDS LÄN</t>
        </is>
      </c>
      <c r="E3504" t="inlineStr">
        <is>
          <t>STRÖMSUND</t>
        </is>
      </c>
      <c r="F3504" t="inlineStr">
        <is>
          <t>SCA</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4092-2025</t>
        </is>
      </c>
      <c r="B3505" s="1" t="n">
        <v>45684</v>
      </c>
      <c r="C3505" s="1" t="n">
        <v>45718</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4033-2025</t>
        </is>
      </c>
      <c r="B3506" s="1" t="n">
        <v>45684</v>
      </c>
      <c r="C3506" s="1" t="n">
        <v>45718</v>
      </c>
      <c r="D3506" t="inlineStr">
        <is>
          <t>JÄMTLANDS LÄN</t>
        </is>
      </c>
      <c r="E3506" t="inlineStr">
        <is>
          <t>STRÖMSUND</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4045-2025</t>
        </is>
      </c>
      <c r="B3507" s="1" t="n">
        <v>45684</v>
      </c>
      <c r="C3507" s="1" t="n">
        <v>45718</v>
      </c>
      <c r="D3507" t="inlineStr">
        <is>
          <t>JÄMTLANDS LÄN</t>
        </is>
      </c>
      <c r="E3507" t="inlineStr">
        <is>
          <t>STRÖMSUND</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4334-2025</t>
        </is>
      </c>
      <c r="B3508" s="1" t="n">
        <v>45685</v>
      </c>
      <c r="C3508" s="1" t="n">
        <v>45718</v>
      </c>
      <c r="D3508" t="inlineStr">
        <is>
          <t>JÄMTLANDS LÄN</t>
        </is>
      </c>
      <c r="E3508" t="inlineStr">
        <is>
          <t>STRÖMSUND</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4315-2025</t>
        </is>
      </c>
      <c r="B3509" s="1" t="n">
        <v>45685</v>
      </c>
      <c r="C3509" s="1" t="n">
        <v>45718</v>
      </c>
      <c r="D3509" t="inlineStr">
        <is>
          <t>JÄMTLANDS LÄN</t>
        </is>
      </c>
      <c r="E3509" t="inlineStr">
        <is>
          <t>STRÖMSUND</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4410-2025</t>
        </is>
      </c>
      <c r="B3510" s="1" t="n">
        <v>45686</v>
      </c>
      <c r="C3510" s="1" t="n">
        <v>45718</v>
      </c>
      <c r="D3510" t="inlineStr">
        <is>
          <t>JÄMTLANDS LÄN</t>
        </is>
      </c>
      <c r="E3510" t="inlineStr">
        <is>
          <t>STRÖMSUND</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4370-2025</t>
        </is>
      </c>
      <c r="B3511" s="1" t="n">
        <v>45686</v>
      </c>
      <c r="C3511" s="1" t="n">
        <v>45718</v>
      </c>
      <c r="D3511" t="inlineStr">
        <is>
          <t>JÄMTLANDS LÄN</t>
        </is>
      </c>
      <c r="E3511" t="inlineStr">
        <is>
          <t>STRÖMSUND</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4854-2025</t>
        </is>
      </c>
      <c r="B3512" s="1" t="n">
        <v>45688</v>
      </c>
      <c r="C3512" s="1" t="n">
        <v>45718</v>
      </c>
      <c r="D3512" t="inlineStr">
        <is>
          <t>JÄMTLANDS LÄN</t>
        </is>
      </c>
      <c r="E3512" t="inlineStr">
        <is>
          <t>STRÖMSUND</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4910-2025</t>
        </is>
      </c>
      <c r="B3513" s="1" t="n">
        <v>45688</v>
      </c>
      <c r="C3513" s="1" t="n">
        <v>45718</v>
      </c>
      <c r="D3513" t="inlineStr">
        <is>
          <t>JÄMTLANDS LÄN</t>
        </is>
      </c>
      <c r="E3513" t="inlineStr">
        <is>
          <t>STRÖMSUND</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4881-2025</t>
        </is>
      </c>
      <c r="B3514" s="1" t="n">
        <v>45688</v>
      </c>
      <c r="C3514" s="1" t="n">
        <v>45718</v>
      </c>
      <c r="D3514" t="inlineStr">
        <is>
          <t>JÄMTLANDS LÄN</t>
        </is>
      </c>
      <c r="E3514" t="inlineStr">
        <is>
          <t>STRÖMSUND</t>
        </is>
      </c>
      <c r="F3514" t="inlineStr">
        <is>
          <t>SCA</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4855-2025</t>
        </is>
      </c>
      <c r="B3515" s="1" t="n">
        <v>45688</v>
      </c>
      <c r="C3515" s="1" t="n">
        <v>45718</v>
      </c>
      <c r="D3515" t="inlineStr">
        <is>
          <t>JÄMTLANDS LÄN</t>
        </is>
      </c>
      <c r="E3515" t="inlineStr">
        <is>
          <t>STRÖMSUND</t>
        </is>
      </c>
      <c r="F3515" t="inlineStr">
        <is>
          <t>SCA</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4835-2025</t>
        </is>
      </c>
      <c r="B3516" s="1" t="n">
        <v>45688</v>
      </c>
      <c r="C3516" s="1" t="n">
        <v>45718</v>
      </c>
      <c r="D3516" t="inlineStr">
        <is>
          <t>JÄMTLANDS LÄN</t>
        </is>
      </c>
      <c r="E3516" t="inlineStr">
        <is>
          <t>STRÖMSUND</t>
        </is>
      </c>
      <c r="F3516" t="inlineStr">
        <is>
          <t>SCA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4860-2025</t>
        </is>
      </c>
      <c r="B3517" s="1" t="n">
        <v>45688</v>
      </c>
      <c r="C3517" s="1" t="n">
        <v>45718</v>
      </c>
      <c r="D3517" t="inlineStr">
        <is>
          <t>JÄMTLANDS LÄN</t>
        </is>
      </c>
      <c r="E3517" t="inlineStr">
        <is>
          <t>STRÖMSUND</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5210-2025</t>
        </is>
      </c>
      <c r="B3518" s="1" t="n">
        <v>45691</v>
      </c>
      <c r="C3518" s="1" t="n">
        <v>45718</v>
      </c>
      <c r="D3518" t="inlineStr">
        <is>
          <t>JÄMTLANDS LÄN</t>
        </is>
      </c>
      <c r="E3518" t="inlineStr">
        <is>
          <t>STRÖMSUND</t>
        </is>
      </c>
      <c r="F3518" t="inlineStr">
        <is>
          <t>SCA</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45718</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5377-2025</t>
        </is>
      </c>
      <c r="B3520" s="1" t="n">
        <v>45692</v>
      </c>
      <c r="C3520" s="1" t="n">
        <v>45718</v>
      </c>
      <c r="D3520" t="inlineStr">
        <is>
          <t>JÄMTLANDS LÄN</t>
        </is>
      </c>
      <c r="E3520" t="inlineStr">
        <is>
          <t>STRÖMSUND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5607-2025</t>
        </is>
      </c>
      <c r="B3521" s="1" t="n">
        <v>45693</v>
      </c>
      <c r="C3521" s="1" t="n">
        <v>45718</v>
      </c>
      <c r="D3521" t="inlineStr">
        <is>
          <t>JÄMTLANDS LÄN</t>
        </is>
      </c>
      <c r="E3521" t="inlineStr">
        <is>
          <t>STRÖMSUND</t>
        </is>
      </c>
      <c r="F3521" t="inlineStr">
        <is>
          <t>SCA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5617-2025</t>
        </is>
      </c>
      <c r="B3522" s="1" t="n">
        <v>45693</v>
      </c>
      <c r="C3522" s="1" t="n">
        <v>45718</v>
      </c>
      <c r="D3522" t="inlineStr">
        <is>
          <t>JÄMTLANDS LÄN</t>
        </is>
      </c>
      <c r="E3522" t="inlineStr">
        <is>
          <t>STRÖMSUND</t>
        </is>
      </c>
      <c r="F3522" t="inlineStr">
        <is>
          <t>SCA</t>
        </is>
      </c>
      <c r="G3522" t="n">
        <v>10.4</v>
      </c>
      <c r="H3522" t="n">
        <v>0</v>
      </c>
      <c r="I3522" t="n">
        <v>0</v>
      </c>
      <c r="J3522" t="n">
        <v>0</v>
      </c>
      <c r="K3522" t="n">
        <v>0</v>
      </c>
      <c r="L3522" t="n">
        <v>0</v>
      </c>
      <c r="M3522" t="n">
        <v>0</v>
      </c>
      <c r="N3522" t="n">
        <v>0</v>
      </c>
      <c r="O3522" t="n">
        <v>0</v>
      </c>
      <c r="P3522" t="n">
        <v>0</v>
      </c>
      <c r="Q3522" t="n">
        <v>0</v>
      </c>
      <c r="R3522" s="2" t="inlineStr"/>
    </row>
    <row r="3523" ht="15" customHeight="1">
      <c r="A3523" t="inlineStr">
        <is>
          <t>A 5627-2025</t>
        </is>
      </c>
      <c r="B3523" s="1" t="n">
        <v>45693</v>
      </c>
      <c r="C3523" s="1" t="n">
        <v>45718</v>
      </c>
      <c r="D3523" t="inlineStr">
        <is>
          <t>JÄMTLANDS LÄN</t>
        </is>
      </c>
      <c r="E3523" t="inlineStr">
        <is>
          <t>STRÖMSUND</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5694-2025</t>
        </is>
      </c>
      <c r="B3524" s="1" t="n">
        <v>45694</v>
      </c>
      <c r="C3524" s="1" t="n">
        <v>45718</v>
      </c>
      <c r="D3524" t="inlineStr">
        <is>
          <t>JÄMTLANDS LÄN</t>
        </is>
      </c>
      <c r="E3524" t="inlineStr">
        <is>
          <t>STRÖMSUND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45718</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5808-2025</t>
        </is>
      </c>
      <c r="B3526" s="1" t="n">
        <v>45694</v>
      </c>
      <c r="C3526" s="1" t="n">
        <v>45718</v>
      </c>
      <c r="D3526" t="inlineStr">
        <is>
          <t>JÄMTLANDS LÄN</t>
        </is>
      </c>
      <c r="E3526" t="inlineStr">
        <is>
          <t>STRÖMSUND</t>
        </is>
      </c>
      <c r="F3526" t="inlineStr">
        <is>
          <t>SCA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45718</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5871-2025</t>
        </is>
      </c>
      <c r="B3528" s="1" t="n">
        <v>45695</v>
      </c>
      <c r="C3528" s="1" t="n">
        <v>45718</v>
      </c>
      <c r="D3528" t="inlineStr">
        <is>
          <t>JÄMTLANDS LÄN</t>
        </is>
      </c>
      <c r="E3528" t="inlineStr">
        <is>
          <t>STRÖMSUND</t>
        </is>
      </c>
      <c r="F3528" t="inlineStr">
        <is>
          <t>SCA</t>
        </is>
      </c>
      <c r="G3528" t="n">
        <v>32.6</v>
      </c>
      <c r="H3528" t="n">
        <v>0</v>
      </c>
      <c r="I3528" t="n">
        <v>0</v>
      </c>
      <c r="J3528" t="n">
        <v>0</v>
      </c>
      <c r="K3528" t="n">
        <v>0</v>
      </c>
      <c r="L3528" t="n">
        <v>0</v>
      </c>
      <c r="M3528" t="n">
        <v>0</v>
      </c>
      <c r="N3528" t="n">
        <v>0</v>
      </c>
      <c r="O3528" t="n">
        <v>0</v>
      </c>
      <c r="P3528" t="n">
        <v>0</v>
      </c>
      <c r="Q3528" t="n">
        <v>0</v>
      </c>
      <c r="R3528" s="2" t="inlineStr"/>
    </row>
    <row r="3529" ht="15" customHeight="1">
      <c r="A3529" t="inlineStr">
        <is>
          <t>A 5943-2025</t>
        </is>
      </c>
      <c r="B3529" s="1" t="n">
        <v>45695</v>
      </c>
      <c r="C3529" s="1" t="n">
        <v>45718</v>
      </c>
      <c r="D3529" t="inlineStr">
        <is>
          <t>JÄMTLANDS LÄN</t>
        </is>
      </c>
      <c r="E3529" t="inlineStr">
        <is>
          <t>STRÖMSUND</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45718</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5948-2025</t>
        </is>
      </c>
      <c r="B3531" s="1" t="n">
        <v>45695</v>
      </c>
      <c r="C3531" s="1" t="n">
        <v>45718</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6172-2025</t>
        </is>
      </c>
      <c r="B3532" s="1" t="n">
        <v>45698</v>
      </c>
      <c r="C3532" s="1" t="n">
        <v>45718</v>
      </c>
      <c r="D3532" t="inlineStr">
        <is>
          <t>JÄMTLANDS LÄN</t>
        </is>
      </c>
      <c r="E3532" t="inlineStr">
        <is>
          <t>STRÖMSUND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45718</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6232-2025</t>
        </is>
      </c>
      <c r="B3534" s="1" t="n">
        <v>45698</v>
      </c>
      <c r="C3534" s="1" t="n">
        <v>45718</v>
      </c>
      <c r="D3534" t="inlineStr">
        <is>
          <t>JÄMTLANDS LÄN</t>
        </is>
      </c>
      <c r="E3534" t="inlineStr">
        <is>
          <t>STRÖMSUND</t>
        </is>
      </c>
      <c r="F3534" t="inlineStr">
        <is>
          <t>SCA</t>
        </is>
      </c>
      <c r="G3534" t="n">
        <v>24.2</v>
      </c>
      <c r="H3534" t="n">
        <v>0</v>
      </c>
      <c r="I3534" t="n">
        <v>0</v>
      </c>
      <c r="J3534" t="n">
        <v>0</v>
      </c>
      <c r="K3534" t="n">
        <v>0</v>
      </c>
      <c r="L3534" t="n">
        <v>0</v>
      </c>
      <c r="M3534" t="n">
        <v>0</v>
      </c>
      <c r="N3534" t="n">
        <v>0</v>
      </c>
      <c r="O3534" t="n">
        <v>0</v>
      </c>
      <c r="P3534" t="n">
        <v>0</v>
      </c>
      <c r="Q3534" t="n">
        <v>0</v>
      </c>
      <c r="R3534" s="2" t="inlineStr"/>
      <c r="U3534">
        <f>HYPERLINK("https://klasma.github.io/Logging_2313/knärot/A 6232-2025 karta knärot.png", "A 6232-2025")</f>
        <v/>
      </c>
      <c r="V3534">
        <f>HYPERLINK("https://klasma.github.io/Logging_2313/klagomål/A 6232-2025 FSC-klagomål.docx", "A 6232-2025")</f>
        <v/>
      </c>
      <c r="W3534">
        <f>HYPERLINK("https://klasma.github.io/Logging_2313/klagomålsmail/A 6232-2025 FSC-klagomål mail.docx", "A 6232-2025")</f>
        <v/>
      </c>
      <c r="X3534">
        <f>HYPERLINK("https://klasma.github.io/Logging_2313/tillsyn/A 6232-2025 tillsynsbegäran.docx", "A 6232-2025")</f>
        <v/>
      </c>
      <c r="Y3534">
        <f>HYPERLINK("https://klasma.github.io/Logging_2313/tillsynsmail/A 6232-2025 tillsynsbegäran mail.docx", "A 6232-2025")</f>
        <v/>
      </c>
    </row>
    <row r="3535" ht="15" customHeight="1">
      <c r="A3535" t="inlineStr">
        <is>
          <t>A 6302-2025</t>
        </is>
      </c>
      <c r="B3535" s="1" t="n">
        <v>45698</v>
      </c>
      <c r="C3535" s="1" t="n">
        <v>45718</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6488-2025</t>
        </is>
      </c>
      <c r="B3536" s="1" t="n">
        <v>45699</v>
      </c>
      <c r="C3536" s="1" t="n">
        <v>45718</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6494-2025</t>
        </is>
      </c>
      <c r="B3537" s="1" t="n">
        <v>45699</v>
      </c>
      <c r="C3537" s="1" t="n">
        <v>45718</v>
      </c>
      <c r="D3537" t="inlineStr">
        <is>
          <t>JÄMTLANDS LÄN</t>
        </is>
      </c>
      <c r="E3537" t="inlineStr">
        <is>
          <t>STRÖMSUND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6347-2025</t>
        </is>
      </c>
      <c r="B3538" s="1" t="n">
        <v>45699</v>
      </c>
      <c r="C3538" s="1" t="n">
        <v>45718</v>
      </c>
      <c r="D3538" t="inlineStr">
        <is>
          <t>JÄMTLANDS LÄN</t>
        </is>
      </c>
      <c r="E3538" t="inlineStr">
        <is>
          <t>STRÖMSUND</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6527-2025</t>
        </is>
      </c>
      <c r="B3539" s="1" t="n">
        <v>45699</v>
      </c>
      <c r="C3539" s="1" t="n">
        <v>45718</v>
      </c>
      <c r="D3539" t="inlineStr">
        <is>
          <t>JÄMTLANDS LÄN</t>
        </is>
      </c>
      <c r="E3539" t="inlineStr">
        <is>
          <t>STRÖMSUND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45718</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45718</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6502-2025</t>
        </is>
      </c>
      <c r="B3542" s="1" t="n">
        <v>45699</v>
      </c>
      <c r="C3542" s="1" t="n">
        <v>45718</v>
      </c>
      <c r="D3542" t="inlineStr">
        <is>
          <t>JÄMTLANDS LÄN</t>
        </is>
      </c>
      <c r="E3542" t="inlineStr">
        <is>
          <t>STRÖMSUND</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6787-2025</t>
        </is>
      </c>
      <c r="B3543" s="1" t="n">
        <v>45700</v>
      </c>
      <c r="C3543" s="1" t="n">
        <v>45718</v>
      </c>
      <c r="D3543" t="inlineStr">
        <is>
          <t>JÄMTLANDS LÄN</t>
        </is>
      </c>
      <c r="E3543" t="inlineStr">
        <is>
          <t>STRÖMSUND</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6836-2025</t>
        </is>
      </c>
      <c r="B3544" s="1" t="n">
        <v>45700</v>
      </c>
      <c r="C3544" s="1" t="n">
        <v>45718</v>
      </c>
      <c r="D3544" t="inlineStr">
        <is>
          <t>JÄMTLANDS LÄN</t>
        </is>
      </c>
      <c r="E3544" t="inlineStr">
        <is>
          <t>STRÖMSUND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6685-2025</t>
        </is>
      </c>
      <c r="B3545" s="1" t="n">
        <v>45700</v>
      </c>
      <c r="C3545" s="1" t="n">
        <v>45718</v>
      </c>
      <c r="D3545" t="inlineStr">
        <is>
          <t>JÄMTLANDS LÄN</t>
        </is>
      </c>
      <c r="E3545" t="inlineStr">
        <is>
          <t>STRÖMSUND</t>
        </is>
      </c>
      <c r="F3545" t="inlineStr">
        <is>
          <t>SCA</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6885-2025</t>
        </is>
      </c>
      <c r="B3546" s="1" t="n">
        <v>45701</v>
      </c>
      <c r="C3546" s="1" t="n">
        <v>45718</v>
      </c>
      <c r="D3546" t="inlineStr">
        <is>
          <t>JÄMTLANDS LÄN</t>
        </is>
      </c>
      <c r="E3546" t="inlineStr">
        <is>
          <t>STRÖMSUND</t>
        </is>
      </c>
      <c r="F3546" t="inlineStr">
        <is>
          <t>SCA</t>
        </is>
      </c>
      <c r="G3546" t="n">
        <v>15.2</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45718</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45718</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45718</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45718</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7124-2025</t>
        </is>
      </c>
      <c r="B3551" s="1" t="n">
        <v>45702</v>
      </c>
      <c r="C3551" s="1" t="n">
        <v>45718</v>
      </c>
      <c r="D3551" t="inlineStr">
        <is>
          <t>JÄMTLANDS LÄN</t>
        </is>
      </c>
      <c r="E3551" t="inlineStr">
        <is>
          <t>STRÖMSUND</t>
        </is>
      </c>
      <c r="F3551" t="inlineStr">
        <is>
          <t>SCA</t>
        </is>
      </c>
      <c r="G3551" t="n">
        <v>25.7</v>
      </c>
      <c r="H3551" t="n">
        <v>0</v>
      </c>
      <c r="I3551" t="n">
        <v>0</v>
      </c>
      <c r="J3551" t="n">
        <v>0</v>
      </c>
      <c r="K3551" t="n">
        <v>0</v>
      </c>
      <c r="L3551" t="n">
        <v>0</v>
      </c>
      <c r="M3551" t="n">
        <v>0</v>
      </c>
      <c r="N3551" t="n">
        <v>0</v>
      </c>
      <c r="O3551" t="n">
        <v>0</v>
      </c>
      <c r="P3551" t="n">
        <v>0</v>
      </c>
      <c r="Q3551" t="n">
        <v>0</v>
      </c>
      <c r="R3551" s="2" t="inlineStr"/>
    </row>
    <row r="3552" ht="15" customHeight="1">
      <c r="A3552" t="inlineStr">
        <is>
          <t>A 7241-2025</t>
        </is>
      </c>
      <c r="B3552" s="1" t="n">
        <v>45702</v>
      </c>
      <c r="C3552" s="1" t="n">
        <v>45718</v>
      </c>
      <c r="D3552" t="inlineStr">
        <is>
          <t>JÄMTLANDS LÄN</t>
        </is>
      </c>
      <c r="E3552" t="inlineStr">
        <is>
          <t>STRÖMSUND</t>
        </is>
      </c>
      <c r="F3552" t="inlineStr">
        <is>
          <t>SCA</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7135-2025</t>
        </is>
      </c>
      <c r="B3553" s="1" t="n">
        <v>45702</v>
      </c>
      <c r="C3553" s="1" t="n">
        <v>45718</v>
      </c>
      <c r="D3553" t="inlineStr">
        <is>
          <t>JÄMTLANDS LÄN</t>
        </is>
      </c>
      <c r="E3553" t="inlineStr">
        <is>
          <t>STRÖMSUND</t>
        </is>
      </c>
      <c r="F3553" t="inlineStr">
        <is>
          <t>SCA</t>
        </is>
      </c>
      <c r="G3553" t="n">
        <v>32.9</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45718</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45718</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7542-2025</t>
        </is>
      </c>
      <c r="B3556" s="1" t="n">
        <v>45705</v>
      </c>
      <c r="C3556" s="1" t="n">
        <v>45718</v>
      </c>
      <c r="D3556" t="inlineStr">
        <is>
          <t>JÄMTLANDS LÄN</t>
        </is>
      </c>
      <c r="E3556" t="inlineStr">
        <is>
          <t>STRÖMSUND</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7546-2025</t>
        </is>
      </c>
      <c r="B3557" s="1" t="n">
        <v>45705</v>
      </c>
      <c r="C3557" s="1" t="n">
        <v>45718</v>
      </c>
      <c r="D3557" t="inlineStr">
        <is>
          <t>JÄMTLANDS LÄN</t>
        </is>
      </c>
      <c r="E3557" t="inlineStr">
        <is>
          <t>STRÖMSUND</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7545-2025</t>
        </is>
      </c>
      <c r="B3558" s="1" t="n">
        <v>45705</v>
      </c>
      <c r="C3558" s="1" t="n">
        <v>45718</v>
      </c>
      <c r="D3558" t="inlineStr">
        <is>
          <t>JÄMTLANDS LÄN</t>
        </is>
      </c>
      <c r="E3558" t="inlineStr">
        <is>
          <t>STRÖMSUND</t>
        </is>
      </c>
      <c r="F3558" t="inlineStr">
        <is>
          <t>SCA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7543-2025</t>
        </is>
      </c>
      <c r="B3559" s="1" t="n">
        <v>45705</v>
      </c>
      <c r="C3559" s="1" t="n">
        <v>45718</v>
      </c>
      <c r="D3559" t="inlineStr">
        <is>
          <t>JÄMTLANDS LÄN</t>
        </is>
      </c>
      <c r="E3559" t="inlineStr">
        <is>
          <t>STRÖMSUND</t>
        </is>
      </c>
      <c r="F3559" t="inlineStr">
        <is>
          <t>SCA</t>
        </is>
      </c>
      <c r="G3559" t="n">
        <v>11.8</v>
      </c>
      <c r="H3559" t="n">
        <v>0</v>
      </c>
      <c r="I3559" t="n">
        <v>0</v>
      </c>
      <c r="J3559" t="n">
        <v>0</v>
      </c>
      <c r="K3559" t="n">
        <v>0</v>
      </c>
      <c r="L3559" t="n">
        <v>0</v>
      </c>
      <c r="M3559" t="n">
        <v>0</v>
      </c>
      <c r="N3559" t="n">
        <v>0</v>
      </c>
      <c r="O3559" t="n">
        <v>0</v>
      </c>
      <c r="P3559" t="n">
        <v>0</v>
      </c>
      <c r="Q3559" t="n">
        <v>0</v>
      </c>
      <c r="R3559" s="2" t="inlineStr"/>
    </row>
    <row r="3560" ht="15" customHeight="1">
      <c r="A3560" t="inlineStr">
        <is>
          <t>A 7547-2025</t>
        </is>
      </c>
      <c r="B3560" s="1" t="n">
        <v>45705</v>
      </c>
      <c r="C3560" s="1" t="n">
        <v>45718</v>
      </c>
      <c r="D3560" t="inlineStr">
        <is>
          <t>JÄMTLANDS LÄN</t>
        </is>
      </c>
      <c r="E3560" t="inlineStr">
        <is>
          <t>STRÖMSUND</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45718</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7544-2025</t>
        </is>
      </c>
      <c r="B3562" s="1" t="n">
        <v>45705</v>
      </c>
      <c r="C3562" s="1" t="n">
        <v>45718</v>
      </c>
      <c r="D3562" t="inlineStr">
        <is>
          <t>JÄMTLANDS LÄN</t>
        </is>
      </c>
      <c r="E3562" t="inlineStr">
        <is>
          <t>STRÖMSUND</t>
        </is>
      </c>
      <c r="F3562" t="inlineStr">
        <is>
          <t>SCA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7993-2025</t>
        </is>
      </c>
      <c r="B3563" s="1" t="n">
        <v>45706</v>
      </c>
      <c r="C3563" s="1" t="n">
        <v>45718</v>
      </c>
      <c r="D3563" t="inlineStr">
        <is>
          <t>JÄMTLANDS LÄN</t>
        </is>
      </c>
      <c r="E3563" t="inlineStr">
        <is>
          <t>STRÖMSUND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45718</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8050-2025</t>
        </is>
      </c>
      <c r="B3565" s="1" t="n">
        <v>45706</v>
      </c>
      <c r="C3565" s="1" t="n">
        <v>45718</v>
      </c>
      <c r="D3565" t="inlineStr">
        <is>
          <t>JÄMTLANDS LÄN</t>
        </is>
      </c>
      <c r="E3565" t="inlineStr">
        <is>
          <t>STRÖMSUND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7999-2025</t>
        </is>
      </c>
      <c r="B3566" s="1" t="n">
        <v>45706</v>
      </c>
      <c r="C3566" s="1" t="n">
        <v>45718</v>
      </c>
      <c r="D3566" t="inlineStr">
        <is>
          <t>JÄMTLANDS LÄN</t>
        </is>
      </c>
      <c r="E3566" t="inlineStr">
        <is>
          <t>STRÖMSUND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8480-2025</t>
        </is>
      </c>
      <c r="B3567" s="1" t="n">
        <v>45706</v>
      </c>
      <c r="C3567" s="1" t="n">
        <v>45718</v>
      </c>
      <c r="D3567" t="inlineStr">
        <is>
          <t>JÄMTLANDS LÄN</t>
        </is>
      </c>
      <c r="E3567" t="inlineStr">
        <is>
          <t>STRÖMSUND</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7964-2025</t>
        </is>
      </c>
      <c r="B3568" s="1" t="n">
        <v>45707</v>
      </c>
      <c r="C3568" s="1" t="n">
        <v>45718</v>
      </c>
      <c r="D3568" t="inlineStr">
        <is>
          <t>JÄMTLANDS LÄN</t>
        </is>
      </c>
      <c r="E3568" t="inlineStr">
        <is>
          <t>STRÖMSUND</t>
        </is>
      </c>
      <c r="F3568" t="inlineStr">
        <is>
          <t>SCA</t>
        </is>
      </c>
      <c r="G3568" t="n">
        <v>12.4</v>
      </c>
      <c r="H3568" t="n">
        <v>0</v>
      </c>
      <c r="I3568" t="n">
        <v>0</v>
      </c>
      <c r="J3568" t="n">
        <v>0</v>
      </c>
      <c r="K3568" t="n">
        <v>0</v>
      </c>
      <c r="L3568" t="n">
        <v>0</v>
      </c>
      <c r="M3568" t="n">
        <v>0</v>
      </c>
      <c r="N3568" t="n">
        <v>0</v>
      </c>
      <c r="O3568" t="n">
        <v>0</v>
      </c>
      <c r="P3568" t="n">
        <v>0</v>
      </c>
      <c r="Q3568" t="n">
        <v>0</v>
      </c>
      <c r="R3568" s="2" t="inlineStr"/>
    </row>
    <row r="3569" ht="15" customHeight="1">
      <c r="A3569" t="inlineStr">
        <is>
          <t>A 8014-2025</t>
        </is>
      </c>
      <c r="B3569" s="1" t="n">
        <v>45707</v>
      </c>
      <c r="C3569" s="1" t="n">
        <v>45718</v>
      </c>
      <c r="D3569" t="inlineStr">
        <is>
          <t>JÄMTLANDS LÄN</t>
        </is>
      </c>
      <c r="E3569" t="inlineStr">
        <is>
          <t>STRÖMSUND</t>
        </is>
      </c>
      <c r="F3569" t="inlineStr">
        <is>
          <t>SCA</t>
        </is>
      </c>
      <c r="G3569" t="n">
        <v>26.6</v>
      </c>
      <c r="H3569" t="n">
        <v>0</v>
      </c>
      <c r="I3569" t="n">
        <v>0</v>
      </c>
      <c r="J3569" t="n">
        <v>0</v>
      </c>
      <c r="K3569" t="n">
        <v>0</v>
      </c>
      <c r="L3569" t="n">
        <v>0</v>
      </c>
      <c r="M3569" t="n">
        <v>0</v>
      </c>
      <c r="N3569" t="n">
        <v>0</v>
      </c>
      <c r="O3569" t="n">
        <v>0</v>
      </c>
      <c r="P3569" t="n">
        <v>0</v>
      </c>
      <c r="Q3569" t="n">
        <v>0</v>
      </c>
      <c r="R3569" s="2" t="inlineStr"/>
    </row>
    <row r="3570" ht="15" customHeight="1">
      <c r="A3570" t="inlineStr">
        <is>
          <t>A 8158-2025</t>
        </is>
      </c>
      <c r="B3570" s="1" t="n">
        <v>45708</v>
      </c>
      <c r="C3570" s="1" t="n">
        <v>45718</v>
      </c>
      <c r="D3570" t="inlineStr">
        <is>
          <t>JÄMTLANDS LÄN</t>
        </is>
      </c>
      <c r="E3570" t="inlineStr">
        <is>
          <t>STRÖMSUND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8326-2025</t>
        </is>
      </c>
      <c r="B3571" s="1" t="n">
        <v>45708</v>
      </c>
      <c r="C3571" s="1" t="n">
        <v>45718</v>
      </c>
      <c r="D3571" t="inlineStr">
        <is>
          <t>JÄMTLANDS LÄN</t>
        </is>
      </c>
      <c r="E3571" t="inlineStr">
        <is>
          <t>STRÖMSUND</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45718</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8325-2025</t>
        </is>
      </c>
      <c r="B3573" s="1" t="n">
        <v>45708</v>
      </c>
      <c r="C3573" s="1" t="n">
        <v>45718</v>
      </c>
      <c r="D3573" t="inlineStr">
        <is>
          <t>JÄMTLANDS LÄN</t>
        </is>
      </c>
      <c r="E3573" t="inlineStr">
        <is>
          <t>STRÖMSUND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8347-2025</t>
        </is>
      </c>
      <c r="B3574" s="1" t="n">
        <v>45708</v>
      </c>
      <c r="C3574" s="1" t="n">
        <v>45718</v>
      </c>
      <c r="D3574" t="inlineStr">
        <is>
          <t>JÄMTLANDS LÄN</t>
        </is>
      </c>
      <c r="E3574" t="inlineStr">
        <is>
          <t>STRÖMSUND</t>
        </is>
      </c>
      <c r="F3574" t="inlineStr">
        <is>
          <t>SCA</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8327-2025</t>
        </is>
      </c>
      <c r="B3575" s="1" t="n">
        <v>45708</v>
      </c>
      <c r="C3575" s="1" t="n">
        <v>45718</v>
      </c>
      <c r="D3575" t="inlineStr">
        <is>
          <t>JÄMTLANDS LÄN</t>
        </is>
      </c>
      <c r="E3575" t="inlineStr">
        <is>
          <t>STRÖMSUND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8495-2025</t>
        </is>
      </c>
      <c r="B3576" s="1" t="n">
        <v>45709</v>
      </c>
      <c r="C3576" s="1" t="n">
        <v>45718</v>
      </c>
      <c r="D3576" t="inlineStr">
        <is>
          <t>JÄMTLANDS LÄN</t>
        </is>
      </c>
      <c r="E3576" t="inlineStr">
        <is>
          <t>STRÖMSUND</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8660-2025</t>
        </is>
      </c>
      <c r="B3577" s="1" t="n">
        <v>45712</v>
      </c>
      <c r="C3577" s="1" t="n">
        <v>45718</v>
      </c>
      <c r="D3577" t="inlineStr">
        <is>
          <t>JÄMTLANDS LÄN</t>
        </is>
      </c>
      <c r="E3577" t="inlineStr">
        <is>
          <t>STRÖMSUND</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8758-2025</t>
        </is>
      </c>
      <c r="B3578" s="1" t="n">
        <v>45712</v>
      </c>
      <c r="C3578" s="1" t="n">
        <v>45718</v>
      </c>
      <c r="D3578" t="inlineStr">
        <is>
          <t>JÄMTLANDS LÄN</t>
        </is>
      </c>
      <c r="E3578" t="inlineStr">
        <is>
          <t>STRÖMSUND</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8808-2025</t>
        </is>
      </c>
      <c r="B3579" s="1" t="n">
        <v>45712</v>
      </c>
      <c r="C3579" s="1" t="n">
        <v>45718</v>
      </c>
      <c r="D3579" t="inlineStr">
        <is>
          <t>JÄMTLANDS LÄN</t>
        </is>
      </c>
      <c r="E3579" t="inlineStr">
        <is>
          <t>STRÖMSUND</t>
        </is>
      </c>
      <c r="F3579" t="inlineStr">
        <is>
          <t>SCA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8812-2025</t>
        </is>
      </c>
      <c r="B3580" s="1" t="n">
        <v>45712</v>
      </c>
      <c r="C3580" s="1" t="n">
        <v>45718</v>
      </c>
      <c r="D3580" t="inlineStr">
        <is>
          <t>JÄMTLANDS LÄN</t>
        </is>
      </c>
      <c r="E3580" t="inlineStr">
        <is>
          <t>STRÖMSUND</t>
        </is>
      </c>
      <c r="F3580" t="inlineStr">
        <is>
          <t>Kyrkan</t>
        </is>
      </c>
      <c r="G3580" t="n">
        <v>38.1</v>
      </c>
      <c r="H3580" t="n">
        <v>0</v>
      </c>
      <c r="I3580" t="n">
        <v>0</v>
      </c>
      <c r="J3580" t="n">
        <v>0</v>
      </c>
      <c r="K3580" t="n">
        <v>0</v>
      </c>
      <c r="L3580" t="n">
        <v>0</v>
      </c>
      <c r="M3580" t="n">
        <v>0</v>
      </c>
      <c r="N3580" t="n">
        <v>0</v>
      </c>
      <c r="O3580" t="n">
        <v>0</v>
      </c>
      <c r="P3580" t="n">
        <v>0</v>
      </c>
      <c r="Q3580" t="n">
        <v>0</v>
      </c>
      <c r="R3580" s="2" t="inlineStr"/>
    </row>
    <row r="3581" ht="15" customHeight="1">
      <c r="A3581" t="inlineStr">
        <is>
          <t>A 8809-2025</t>
        </is>
      </c>
      <c r="B3581" s="1" t="n">
        <v>45712</v>
      </c>
      <c r="C3581" s="1" t="n">
        <v>45718</v>
      </c>
      <c r="D3581" t="inlineStr">
        <is>
          <t>JÄMTLANDS LÄN</t>
        </is>
      </c>
      <c r="E3581" t="inlineStr">
        <is>
          <t>STRÖMSUND</t>
        </is>
      </c>
      <c r="F3581" t="inlineStr">
        <is>
          <t>SCA</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8720-2025</t>
        </is>
      </c>
      <c r="B3582" s="1" t="n">
        <v>45712</v>
      </c>
      <c r="C3582" s="1" t="n">
        <v>45718</v>
      </c>
      <c r="D3582" t="inlineStr">
        <is>
          <t>JÄMTLANDS LÄN</t>
        </is>
      </c>
      <c r="E3582" t="inlineStr">
        <is>
          <t>STRÖMSUND</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8756-2025</t>
        </is>
      </c>
      <c r="B3583" s="1" t="n">
        <v>45712</v>
      </c>
      <c r="C3583" s="1" t="n">
        <v>45718</v>
      </c>
      <c r="D3583" t="inlineStr">
        <is>
          <t>JÄMTLANDS LÄN</t>
        </is>
      </c>
      <c r="E3583" t="inlineStr">
        <is>
          <t>STRÖMSUND</t>
        </is>
      </c>
      <c r="F3583" t="inlineStr">
        <is>
          <t>SCA</t>
        </is>
      </c>
      <c r="G3583" t="n">
        <v>27.9</v>
      </c>
      <c r="H3583" t="n">
        <v>0</v>
      </c>
      <c r="I3583" t="n">
        <v>0</v>
      </c>
      <c r="J3583" t="n">
        <v>0</v>
      </c>
      <c r="K3583" t="n">
        <v>0</v>
      </c>
      <c r="L3583" t="n">
        <v>0</v>
      </c>
      <c r="M3583" t="n">
        <v>0</v>
      </c>
      <c r="N3583" t="n">
        <v>0</v>
      </c>
      <c r="O3583" t="n">
        <v>0</v>
      </c>
      <c r="P3583" t="n">
        <v>0</v>
      </c>
      <c r="Q3583" t="n">
        <v>0</v>
      </c>
      <c r="R3583" s="2" t="inlineStr"/>
    </row>
    <row r="3584" ht="15" customHeight="1">
      <c r="A3584" t="inlineStr">
        <is>
          <t>A 9008-2025</t>
        </is>
      </c>
      <c r="B3584" s="1" t="n">
        <v>45713</v>
      </c>
      <c r="C3584" s="1" t="n">
        <v>45718</v>
      </c>
      <c r="D3584" t="inlineStr">
        <is>
          <t>JÄMTLANDS LÄN</t>
        </is>
      </c>
      <c r="E3584" t="inlineStr">
        <is>
          <t>STRÖMSUND</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9234-2025</t>
        </is>
      </c>
      <c r="B3585" s="1" t="n">
        <v>45714</v>
      </c>
      <c r="C3585" s="1" t="n">
        <v>45718</v>
      </c>
      <c r="D3585" t="inlineStr">
        <is>
          <t>JÄMTLANDS LÄN</t>
        </is>
      </c>
      <c r="E3585" t="inlineStr">
        <is>
          <t>STRÖMSUND</t>
        </is>
      </c>
      <c r="F3585" t="inlineStr">
        <is>
          <t>SCA</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9258-2025</t>
        </is>
      </c>
      <c r="B3586" s="1" t="n">
        <v>45714</v>
      </c>
      <c r="C3586" s="1" t="n">
        <v>45718</v>
      </c>
      <c r="D3586" t="inlineStr">
        <is>
          <t>JÄMTLANDS LÄN</t>
        </is>
      </c>
      <c r="E3586" t="inlineStr">
        <is>
          <t>STRÖMSUND</t>
        </is>
      </c>
      <c r="F3586" t="inlineStr">
        <is>
          <t>SCA</t>
        </is>
      </c>
      <c r="G3586" t="n">
        <v>15.4</v>
      </c>
      <c r="H3586" t="n">
        <v>0</v>
      </c>
      <c r="I3586" t="n">
        <v>0</v>
      </c>
      <c r="J3586" t="n">
        <v>0</v>
      </c>
      <c r="K3586" t="n">
        <v>0</v>
      </c>
      <c r="L3586" t="n">
        <v>0</v>
      </c>
      <c r="M3586" t="n">
        <v>0</v>
      </c>
      <c r="N3586" t="n">
        <v>0</v>
      </c>
      <c r="O3586" t="n">
        <v>0</v>
      </c>
      <c r="P3586" t="n">
        <v>0</v>
      </c>
      <c r="Q3586" t="n">
        <v>0</v>
      </c>
      <c r="R3586" s="2" t="inlineStr"/>
    </row>
    <row r="3587" ht="15" customHeight="1">
      <c r="A3587" t="inlineStr">
        <is>
          <t>A 9257-2025</t>
        </is>
      </c>
      <c r="B3587" s="1" t="n">
        <v>45714</v>
      </c>
      <c r="C3587" s="1" t="n">
        <v>45718</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45718</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9390-2025</t>
        </is>
      </c>
      <c r="B3589" s="1" t="n">
        <v>45714</v>
      </c>
      <c r="C3589" s="1" t="n">
        <v>45718</v>
      </c>
      <c r="D3589" t="inlineStr">
        <is>
          <t>JÄMTLANDS LÄN</t>
        </is>
      </c>
      <c r="E3589" t="inlineStr">
        <is>
          <t>STRÖMSUND</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45718</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9631-2025</t>
        </is>
      </c>
      <c r="B3591" s="1" t="n">
        <v>45715</v>
      </c>
      <c r="C3591" s="1" t="n">
        <v>45718</v>
      </c>
      <c r="D3591" t="inlineStr">
        <is>
          <t>JÄMTLANDS LÄN</t>
        </is>
      </c>
      <c r="E3591" t="inlineStr">
        <is>
          <t>STRÖMSUND</t>
        </is>
      </c>
      <c r="F3591" t="inlineStr">
        <is>
          <t>SCA</t>
        </is>
      </c>
      <c r="G3591" t="n">
        <v>19.3</v>
      </c>
      <c r="H3591" t="n">
        <v>0</v>
      </c>
      <c r="I3591" t="n">
        <v>0</v>
      </c>
      <c r="J3591" t="n">
        <v>0</v>
      </c>
      <c r="K3591" t="n">
        <v>0</v>
      </c>
      <c r="L3591" t="n">
        <v>0</v>
      </c>
      <c r="M3591" t="n">
        <v>0</v>
      </c>
      <c r="N3591" t="n">
        <v>0</v>
      </c>
      <c r="O3591" t="n">
        <v>0</v>
      </c>
      <c r="P3591" t="n">
        <v>0</v>
      </c>
      <c r="Q3591" t="n">
        <v>0</v>
      </c>
      <c r="R3591" s="2" t="inlineStr"/>
    </row>
    <row r="3592" ht="15" customHeight="1">
      <c r="A3592" t="inlineStr">
        <is>
          <t>A 9797-2025</t>
        </is>
      </c>
      <c r="B3592" s="1" t="n">
        <v>45716</v>
      </c>
      <c r="C3592" s="1" t="n">
        <v>45718</v>
      </c>
      <c r="D3592" t="inlineStr">
        <is>
          <t>JÄMTLANDS LÄN</t>
        </is>
      </c>
      <c r="E3592" t="inlineStr">
        <is>
          <t>STRÖMSUND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45718</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c r="A3594" t="inlineStr">
        <is>
          <t>A 9798-2025</t>
        </is>
      </c>
      <c r="B3594" s="1" t="n">
        <v>45716</v>
      </c>
      <c r="C3594" s="1" t="n">
        <v>45718</v>
      </c>
      <c r="D3594" t="inlineStr">
        <is>
          <t>JÄMTLANDS LÄN</t>
        </is>
      </c>
      <c r="E3594" t="inlineStr">
        <is>
          <t>STRÖMSUND</t>
        </is>
      </c>
      <c r="G3594" t="n">
        <v>0.5</v>
      </c>
      <c r="H3594" t="n">
        <v>0</v>
      </c>
      <c r="I3594" t="n">
        <v>0</v>
      </c>
      <c r="J3594" t="n">
        <v>0</v>
      </c>
      <c r="K3594" t="n">
        <v>0</v>
      </c>
      <c r="L3594" t="n">
        <v>0</v>
      </c>
      <c r="M3594" t="n">
        <v>0</v>
      </c>
      <c r="N3594" t="n">
        <v>0</v>
      </c>
      <c r="O3594" t="n">
        <v>0</v>
      </c>
      <c r="P3594" t="n">
        <v>0</v>
      </c>
      <c r="Q3594" t="n">
        <v>0</v>
      </c>
      <c r="R3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2025-03-02T16:54:11Z</dcterms:created>
  <dcterms:modified xmlns:dcterms="http://purl.org/dc/terms/" xmlns:xsi="http://www.w3.org/2001/XMLSchema-instance" xsi:type="dcterms:W3CDTF">2025-03-02T16:54:14Z</dcterms:modified>
</cp:coreProperties>
</file>