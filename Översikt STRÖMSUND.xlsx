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46033</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46033</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46033</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46033</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46033</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46033</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46033</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46033</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46033</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46033</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3157-2025</t>
        </is>
      </c>
      <c r="B14" s="1" t="n">
        <v>45679</v>
      </c>
      <c r="C14" s="1" t="n">
        <v>46033</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57844-2022</t>
        </is>
      </c>
      <c r="B15" s="1" t="n">
        <v>44897</v>
      </c>
      <c r="C15" s="1" t="n">
        <v>46033</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46033</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43555-2025</t>
        </is>
      </c>
      <c r="B17" s="1" t="n">
        <v>45911</v>
      </c>
      <c r="C17" s="1" t="n">
        <v>46033</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47636-2022</t>
        </is>
      </c>
      <c r="B18" s="1" t="n">
        <v>44854</v>
      </c>
      <c r="C18" s="1" t="n">
        <v>46033</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31327-2023</t>
        </is>
      </c>
      <c r="B19" s="1" t="n">
        <v>45114</v>
      </c>
      <c r="C19" s="1" t="n">
        <v>46033</v>
      </c>
      <c r="D19" t="inlineStr">
        <is>
          <t>JÄMTLANDS LÄN</t>
        </is>
      </c>
      <c r="E19" t="inlineStr">
        <is>
          <t>STRÖMSUND</t>
        </is>
      </c>
      <c r="F19" t="inlineStr">
        <is>
          <t>Holmen skog AB</t>
        </is>
      </c>
      <c r="G19" t="n">
        <v>20.3</v>
      </c>
      <c r="H19" t="n">
        <v>6</v>
      </c>
      <c r="I19" t="n">
        <v>5</v>
      </c>
      <c r="J19" t="n">
        <v>14</v>
      </c>
      <c r="K19" t="n">
        <v>0</v>
      </c>
      <c r="L19" t="n">
        <v>0</v>
      </c>
      <c r="M19" t="n">
        <v>0</v>
      </c>
      <c r="N19" t="n">
        <v>0</v>
      </c>
      <c r="O19" t="n">
        <v>14</v>
      </c>
      <c r="P19" t="n">
        <v>0</v>
      </c>
      <c r="Q19" t="n">
        <v>21</v>
      </c>
      <c r="R1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51287-2025</t>
        </is>
      </c>
      <c r="B20" s="1" t="n">
        <v>45950.34521990741</v>
      </c>
      <c r="C20" s="1" t="n">
        <v>46033</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18320-2021</t>
        </is>
      </c>
      <c r="B21" s="1" t="n">
        <v>44305</v>
      </c>
      <c r="C21" s="1" t="n">
        <v>46033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v>
      </c>
      <c r="C22" s="1" t="n">
        <v>46033</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68643-2021</t>
        </is>
      </c>
      <c r="B23" s="1" t="n">
        <v>44529</v>
      </c>
      <c r="C23" s="1" t="n">
        <v>46033</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40673-2024</t>
        </is>
      </c>
      <c r="B24" s="1" t="n">
        <v>45558</v>
      </c>
      <c r="C24" s="1" t="n">
        <v>46033</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2751-2025</t>
        </is>
      </c>
      <c r="B25" s="1" t="n">
        <v>45674</v>
      </c>
      <c r="C25" s="1" t="n">
        <v>46033</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27999-2025</t>
        </is>
      </c>
      <c r="B26" s="1" t="n">
        <v>45817.59483796296</v>
      </c>
      <c r="C26" s="1" t="n">
        <v>46033</v>
      </c>
      <c r="D26" t="inlineStr">
        <is>
          <t>JÄMTLANDS LÄN</t>
        </is>
      </c>
      <c r="E26" t="inlineStr">
        <is>
          <t>STRÖMSUND</t>
        </is>
      </c>
      <c r="F26" t="inlineStr">
        <is>
          <t>SCA</t>
        </is>
      </c>
      <c r="G26" t="n">
        <v>7.5</v>
      </c>
      <c r="H26" t="n">
        <v>3</v>
      </c>
      <c r="I26" t="n">
        <v>3</v>
      </c>
      <c r="J26" t="n">
        <v>12</v>
      </c>
      <c r="K26" t="n">
        <v>2</v>
      </c>
      <c r="L26" t="n">
        <v>0</v>
      </c>
      <c r="M26" t="n">
        <v>0</v>
      </c>
      <c r="N26" t="n">
        <v>0</v>
      </c>
      <c r="O26" t="n">
        <v>14</v>
      </c>
      <c r="P26" t="n">
        <v>2</v>
      </c>
      <c r="Q26" t="n">
        <v>18</v>
      </c>
      <c r="R2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6">
        <f>HYPERLINK("https://klasma.github.io/Logging_2313/artfynd/A 27999-2025 artfynd.xlsx", "A 27999-2025")</f>
        <v/>
      </c>
      <c r="T26">
        <f>HYPERLINK("https://klasma.github.io/Logging_2313/kartor/A 27999-2025 karta.png", "A 27999-2025")</f>
        <v/>
      </c>
      <c r="U26">
        <f>HYPERLINK("https://klasma.github.io/Logging_2313/knärot/A 27999-2025 karta knärot.png", "A 27999-2025")</f>
        <v/>
      </c>
      <c r="V26">
        <f>HYPERLINK("https://klasma.github.io/Logging_2313/klagomål/A 27999-2025 FSC-klagomål.docx", "A 27999-2025")</f>
        <v/>
      </c>
      <c r="W26">
        <f>HYPERLINK("https://klasma.github.io/Logging_2313/klagomålsmail/A 27999-2025 FSC-klagomål mail.docx", "A 27999-2025")</f>
        <v/>
      </c>
      <c r="X26">
        <f>HYPERLINK("https://klasma.github.io/Logging_2313/tillsyn/A 27999-2025 tillsynsbegäran.docx", "A 27999-2025")</f>
        <v/>
      </c>
      <c r="Y26">
        <f>HYPERLINK("https://klasma.github.io/Logging_2313/tillsynsmail/A 27999-2025 tillsynsbegäran mail.docx", "A 27999-2025")</f>
        <v/>
      </c>
      <c r="Z26">
        <f>HYPERLINK("https://klasma.github.io/Logging_2313/fåglar/A 27999-2025 prioriterade fågelarter.docx", "A 27999-2025")</f>
        <v/>
      </c>
    </row>
    <row r="27" ht="15" customHeight="1">
      <c r="A27" t="inlineStr">
        <is>
          <t>A 68593-2021</t>
        </is>
      </c>
      <c r="B27" s="1" t="n">
        <v>44529</v>
      </c>
      <c r="C27" s="1" t="n">
        <v>46033</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54246-2022</t>
        </is>
      </c>
      <c r="B28" s="1" t="n">
        <v>44881</v>
      </c>
      <c r="C28" s="1" t="n">
        <v>46033</v>
      </c>
      <c r="D28" t="inlineStr">
        <is>
          <t>JÄMTLANDS LÄN</t>
        </is>
      </c>
      <c r="E28" t="inlineStr">
        <is>
          <t>STRÖMSUND</t>
        </is>
      </c>
      <c r="F28" t="inlineStr">
        <is>
          <t>SCA</t>
        </is>
      </c>
      <c r="G28" t="n">
        <v>8.199999999999999</v>
      </c>
      <c r="H28" t="n">
        <v>3</v>
      </c>
      <c r="I28" t="n">
        <v>5</v>
      </c>
      <c r="J28" t="n">
        <v>9</v>
      </c>
      <c r="K28" t="n">
        <v>2</v>
      </c>
      <c r="L28" t="n">
        <v>0</v>
      </c>
      <c r="M28" t="n">
        <v>0</v>
      </c>
      <c r="N28" t="n">
        <v>0</v>
      </c>
      <c r="O28" t="n">
        <v>11</v>
      </c>
      <c r="P28" t="n">
        <v>2</v>
      </c>
      <c r="Q28" t="n">
        <v>16</v>
      </c>
      <c r="R28" s="2" t="inlineStr">
        <is>
          <t>Fjällfotad musseron
Läderdoftande fingersvamp
Gammelgransskål
Garnlav
Grantaggsvamp
Granticka
Lunglav
Skrovellav
Spillkråka
Tretåig hackspett
Äggvaxskivling
Bårdlav
Fjällig taggsvamp s.str.
Spindelblomster
Stuplav
Svavelriska</t>
        </is>
      </c>
      <c r="S28">
        <f>HYPERLINK("https://klasma.github.io/Logging_2313/artfynd/A 54246-2022 artfynd.xlsx", "A 54246-2022")</f>
        <v/>
      </c>
      <c r="T28">
        <f>HYPERLINK("https://klasma.github.io/Logging_2313/kartor/A 54246-2022 karta.png", "A 54246-2022")</f>
        <v/>
      </c>
      <c r="V28">
        <f>HYPERLINK("https://klasma.github.io/Logging_2313/klagomål/A 54246-2022 FSC-klagomål.docx", "A 54246-2022")</f>
        <v/>
      </c>
      <c r="W28">
        <f>HYPERLINK("https://klasma.github.io/Logging_2313/klagomålsmail/A 54246-2022 FSC-klagomål mail.docx", "A 54246-2022")</f>
        <v/>
      </c>
      <c r="X28">
        <f>HYPERLINK("https://klasma.github.io/Logging_2313/tillsyn/A 54246-2022 tillsynsbegäran.docx", "A 54246-2022")</f>
        <v/>
      </c>
      <c r="Y28">
        <f>HYPERLINK("https://klasma.github.io/Logging_2313/tillsynsmail/A 54246-2022 tillsynsbegäran mail.docx", "A 54246-2022")</f>
        <v/>
      </c>
      <c r="Z28">
        <f>HYPERLINK("https://klasma.github.io/Logging_2313/fåglar/A 54246-2022 prioriterade fågelarter.docx", "A 54246-2022")</f>
        <v/>
      </c>
    </row>
    <row r="29" ht="15" customHeight="1">
      <c r="A29" t="inlineStr">
        <is>
          <t>A 34775-2023</t>
        </is>
      </c>
      <c r="B29" s="1" t="n">
        <v>45140</v>
      </c>
      <c r="C29" s="1" t="n">
        <v>46033</v>
      </c>
      <c r="D29" t="inlineStr">
        <is>
          <t>JÄMTLANDS LÄN</t>
        </is>
      </c>
      <c r="E29" t="inlineStr">
        <is>
          <t>STRÖMSUND</t>
        </is>
      </c>
      <c r="G29" t="n">
        <v>9.199999999999999</v>
      </c>
      <c r="H29" t="n">
        <v>9</v>
      </c>
      <c r="I29" t="n">
        <v>4</v>
      </c>
      <c r="J29" t="n">
        <v>8</v>
      </c>
      <c r="K29" t="n">
        <v>2</v>
      </c>
      <c r="L29" t="n">
        <v>0</v>
      </c>
      <c r="M29" t="n">
        <v>0</v>
      </c>
      <c r="N29" t="n">
        <v>0</v>
      </c>
      <c r="O29" t="n">
        <v>10</v>
      </c>
      <c r="P29" t="n">
        <v>2</v>
      </c>
      <c r="Q29" t="n">
        <v>16</v>
      </c>
      <c r="R29" s="2" t="inlineStr">
        <is>
          <t>Knärot
Kopparspindling
Granticka
Järpe
Lunglav
Puderspindling
Skogsfru
Spillkråka
Tretåig hackspett
Äggvaxskivling
Bårdlav
Korallrot
Spindelblomster
Stor aspticka
Lavskrika
Fläcknycklar</t>
        </is>
      </c>
      <c r="S29">
        <f>HYPERLINK("https://klasma.github.io/Logging_2313/artfynd/A 34775-2023 artfynd.xlsx", "A 34775-2023")</f>
        <v/>
      </c>
      <c r="T29">
        <f>HYPERLINK("https://klasma.github.io/Logging_2313/kartor/A 34775-2023 karta.png", "A 34775-2023")</f>
        <v/>
      </c>
      <c r="U29">
        <f>HYPERLINK("https://klasma.github.io/Logging_2313/knärot/A 34775-2023 karta knärot.png", "A 34775-2023")</f>
        <v/>
      </c>
      <c r="V29">
        <f>HYPERLINK("https://klasma.github.io/Logging_2313/klagomål/A 34775-2023 FSC-klagomål.docx", "A 34775-2023")</f>
        <v/>
      </c>
      <c r="W29">
        <f>HYPERLINK("https://klasma.github.io/Logging_2313/klagomålsmail/A 34775-2023 FSC-klagomål mail.docx", "A 34775-2023")</f>
        <v/>
      </c>
      <c r="X29">
        <f>HYPERLINK("https://klasma.github.io/Logging_2313/tillsyn/A 34775-2023 tillsynsbegäran.docx", "A 34775-2023")</f>
        <v/>
      </c>
      <c r="Y29">
        <f>HYPERLINK("https://klasma.github.io/Logging_2313/tillsynsmail/A 34775-2023 tillsynsbegäran mail.docx", "A 34775-2023")</f>
        <v/>
      </c>
      <c r="Z29">
        <f>HYPERLINK("https://klasma.github.io/Logging_2313/fåglar/A 34775-2023 prioriterade fågelarter.docx", "A 34775-2023")</f>
        <v/>
      </c>
    </row>
    <row r="30" ht="15" customHeight="1">
      <c r="A30" t="inlineStr">
        <is>
          <t>A 58174-2022</t>
        </is>
      </c>
      <c r="B30" s="1" t="n">
        <v>44900</v>
      </c>
      <c r="C30" s="1" t="n">
        <v>46033</v>
      </c>
      <c r="D30" t="inlineStr">
        <is>
          <t>JÄMTLANDS LÄN</t>
        </is>
      </c>
      <c r="E30" t="inlineStr">
        <is>
          <t>STRÖMSUND</t>
        </is>
      </c>
      <c r="G30" t="n">
        <v>0.3</v>
      </c>
      <c r="H30" t="n">
        <v>14</v>
      </c>
      <c r="I30" t="n">
        <v>0</v>
      </c>
      <c r="J30" t="n">
        <v>12</v>
      </c>
      <c r="K30" t="n">
        <v>0</v>
      </c>
      <c r="L30" t="n">
        <v>0</v>
      </c>
      <c r="M30" t="n">
        <v>0</v>
      </c>
      <c r="N30" t="n">
        <v>0</v>
      </c>
      <c r="O30" t="n">
        <v>12</v>
      </c>
      <c r="P30" t="n">
        <v>0</v>
      </c>
      <c r="Q30" t="n">
        <v>15</v>
      </c>
      <c r="R30" s="2" t="inlineStr">
        <is>
          <t>Björktrast
Drillsnäppa
Fiskmås
Järpe
Kråka
Rödvingetrast
Skogshare
Spillkråka
Svartvit flugsnappare
Talltita
Tretåig hackspett
Ärtsångare
Fiskgjuse
Gråkråka
Lavskrika</t>
        </is>
      </c>
      <c r="S30">
        <f>HYPERLINK("https://klasma.github.io/Logging_2313/artfynd/A 58174-2022 artfynd.xlsx", "A 58174-2022")</f>
        <v/>
      </c>
      <c r="T30">
        <f>HYPERLINK("https://klasma.github.io/Logging_2313/kartor/A 58174-2022 karta.png", "A 58174-2022")</f>
        <v/>
      </c>
      <c r="V30">
        <f>HYPERLINK("https://klasma.github.io/Logging_2313/klagomål/A 58174-2022 FSC-klagomål.docx", "A 58174-2022")</f>
        <v/>
      </c>
      <c r="W30">
        <f>HYPERLINK("https://klasma.github.io/Logging_2313/klagomålsmail/A 58174-2022 FSC-klagomål mail.docx", "A 58174-2022")</f>
        <v/>
      </c>
      <c r="X30">
        <f>HYPERLINK("https://klasma.github.io/Logging_2313/tillsyn/A 58174-2022 tillsynsbegäran.docx", "A 58174-2022")</f>
        <v/>
      </c>
      <c r="Y30">
        <f>HYPERLINK("https://klasma.github.io/Logging_2313/tillsynsmail/A 58174-2022 tillsynsbegäran mail.docx", "A 58174-2022")</f>
        <v/>
      </c>
      <c r="Z30">
        <f>HYPERLINK("https://klasma.github.io/Logging_2313/fåglar/A 58174-2022 prioriterade fågelarter.docx", "A 58174-2022")</f>
        <v/>
      </c>
    </row>
    <row r="31" ht="15" customHeight="1">
      <c r="A31" t="inlineStr">
        <is>
          <t>A 47364-2025</t>
        </is>
      </c>
      <c r="B31" s="1" t="n">
        <v>45930.58876157407</v>
      </c>
      <c r="C31" s="1" t="n">
        <v>46033</v>
      </c>
      <c r="D31" t="inlineStr">
        <is>
          <t>JÄMTLANDS LÄN</t>
        </is>
      </c>
      <c r="E31" t="inlineStr">
        <is>
          <t>STRÖMSUND</t>
        </is>
      </c>
      <c r="G31" t="n">
        <v>10.6</v>
      </c>
      <c r="H31" t="n">
        <v>7</v>
      </c>
      <c r="I31" t="n">
        <v>4</v>
      </c>
      <c r="J31" t="n">
        <v>6</v>
      </c>
      <c r="K31" t="n">
        <v>3</v>
      </c>
      <c r="L31" t="n">
        <v>0</v>
      </c>
      <c r="M31" t="n">
        <v>0</v>
      </c>
      <c r="N31" t="n">
        <v>0</v>
      </c>
      <c r="O31" t="n">
        <v>9</v>
      </c>
      <c r="P31" t="n">
        <v>3</v>
      </c>
      <c r="Q31" t="n">
        <v>15</v>
      </c>
      <c r="R31" s="2" t="inlineStr">
        <is>
          <t>Doftticka
Knärot
Ulltickeporing
Doftskinn
Garnlav
Lunglav
Talltita
Tretåig hackspett
Ullticka
Grönkulla
Rödgul trumpetsvamp
Skinnlav
Svavelriska
Fläcknycklar
Blåsippa</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31817-2025</t>
        </is>
      </c>
      <c r="B32" s="1" t="n">
        <v>45834</v>
      </c>
      <c r="C32" s="1" t="n">
        <v>46033</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22528-2021</t>
        </is>
      </c>
      <c r="B33" s="1" t="n">
        <v>44326</v>
      </c>
      <c r="C33" s="1" t="n">
        <v>46033</v>
      </c>
      <c r="D33" t="inlineStr">
        <is>
          <t>JÄMTLANDS LÄN</t>
        </is>
      </c>
      <c r="E33" t="inlineStr">
        <is>
          <t>STRÖMSUND</t>
        </is>
      </c>
      <c r="F33" t="inlineStr">
        <is>
          <t>SCA</t>
        </is>
      </c>
      <c r="G33" t="n">
        <v>5.9</v>
      </c>
      <c r="H33" t="n">
        <v>5</v>
      </c>
      <c r="I33" t="n">
        <v>3</v>
      </c>
      <c r="J33" t="n">
        <v>8</v>
      </c>
      <c r="K33" t="n">
        <v>2</v>
      </c>
      <c r="L33" t="n">
        <v>0</v>
      </c>
      <c r="M33" t="n">
        <v>0</v>
      </c>
      <c r="N33" t="n">
        <v>0</v>
      </c>
      <c r="O33" t="n">
        <v>10</v>
      </c>
      <c r="P33" t="n">
        <v>2</v>
      </c>
      <c r="Q33" t="n">
        <v>14</v>
      </c>
      <c r="R33" s="2" t="inlineStr">
        <is>
          <t>Knärot
Smultronkantarell
Garnlav
Kolflarnlav
Rosenticka
Tallticka
Talltita
Tretåig hackspett
Ullticka
Vedskivlav
Dropptaggsvamp
Flagellkvastmossa
Plattlummer
Revlummer</t>
        </is>
      </c>
      <c r="S33">
        <f>HYPERLINK("https://klasma.github.io/Logging_2313/artfynd/A 22528-2021 artfynd.xlsx", "A 22528-2021")</f>
        <v/>
      </c>
      <c r="T33">
        <f>HYPERLINK("https://klasma.github.io/Logging_2313/kartor/A 22528-2021 karta.png", "A 22528-2021")</f>
        <v/>
      </c>
      <c r="U33">
        <f>HYPERLINK("https://klasma.github.io/Logging_2313/knärot/A 22528-2021 karta knärot.png", "A 22528-2021")</f>
        <v/>
      </c>
      <c r="V33">
        <f>HYPERLINK("https://klasma.github.io/Logging_2313/klagomål/A 22528-2021 FSC-klagomål.docx", "A 22528-2021")</f>
        <v/>
      </c>
      <c r="W33">
        <f>HYPERLINK("https://klasma.github.io/Logging_2313/klagomålsmail/A 22528-2021 FSC-klagomål mail.docx", "A 22528-2021")</f>
        <v/>
      </c>
      <c r="X33">
        <f>HYPERLINK("https://klasma.github.io/Logging_2313/tillsyn/A 22528-2021 tillsynsbegäran.docx", "A 22528-2021")</f>
        <v/>
      </c>
      <c r="Y33">
        <f>HYPERLINK("https://klasma.github.io/Logging_2313/tillsynsmail/A 22528-2021 tillsynsbegäran mail.docx", "A 22528-2021")</f>
        <v/>
      </c>
      <c r="Z33">
        <f>HYPERLINK("https://klasma.github.io/Logging_2313/fåglar/A 22528-2021 prioriterade fågelarter.docx", "A 22528-2021")</f>
        <v/>
      </c>
    </row>
    <row r="34" ht="15" customHeight="1">
      <c r="A34" t="inlineStr">
        <is>
          <t>A 44914-2021</t>
        </is>
      </c>
      <c r="B34" s="1" t="n">
        <v>44438</v>
      </c>
      <c r="C34" s="1" t="n">
        <v>46033</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1318-2026</t>
        </is>
      </c>
      <c r="B35" s="1" t="n">
        <v>46031.54258101852</v>
      </c>
      <c r="C35" s="1" t="n">
        <v>46033</v>
      </c>
      <c r="D35" t="inlineStr">
        <is>
          <t>JÄMTLANDS LÄN</t>
        </is>
      </c>
      <c r="E35" t="inlineStr">
        <is>
          <t>STRÖMSUND</t>
        </is>
      </c>
      <c r="G35" t="n">
        <v>28.4</v>
      </c>
      <c r="H35" t="n">
        <v>3</v>
      </c>
      <c r="I35" t="n">
        <v>8</v>
      </c>
      <c r="J35" t="n">
        <v>5</v>
      </c>
      <c r="K35" t="n">
        <v>0</v>
      </c>
      <c r="L35" t="n">
        <v>0</v>
      </c>
      <c r="M35" t="n">
        <v>0</v>
      </c>
      <c r="N35" t="n">
        <v>0</v>
      </c>
      <c r="O35" t="n">
        <v>5</v>
      </c>
      <c r="P35" t="n">
        <v>0</v>
      </c>
      <c r="Q35" t="n">
        <v>13</v>
      </c>
      <c r="R35" s="2" t="inlineStr">
        <is>
          <t>Garnlav
Granticka
Lunglav
Skrovellav
Tretåig hackspett
Finbräken
Kransrams
Luddlav
Plattlummer
Stuplav
Svart trolldruva
Tvåblad
Underviol</t>
        </is>
      </c>
      <c r="S35">
        <f>HYPERLINK("https://klasma.github.io/Logging_2313/artfynd/A 1318-2026 artfynd.xlsx", "A 1318-2026")</f>
        <v/>
      </c>
      <c r="T35">
        <f>HYPERLINK("https://klasma.github.io/Logging_2313/kartor/A 1318-2026 karta.png", "A 1318-2026")</f>
        <v/>
      </c>
      <c r="V35">
        <f>HYPERLINK("https://klasma.github.io/Logging_2313/klagomål/A 1318-2026 FSC-klagomål.docx", "A 1318-2026")</f>
        <v/>
      </c>
      <c r="W35">
        <f>HYPERLINK("https://klasma.github.io/Logging_2313/klagomålsmail/A 1318-2026 FSC-klagomål mail.docx", "A 1318-2026")</f>
        <v/>
      </c>
      <c r="X35">
        <f>HYPERLINK("https://klasma.github.io/Logging_2313/tillsyn/A 1318-2026 tillsynsbegäran.docx", "A 1318-2026")</f>
        <v/>
      </c>
      <c r="Y35">
        <f>HYPERLINK("https://klasma.github.io/Logging_2313/tillsynsmail/A 1318-2026 tillsynsbegäran mail.docx", "A 1318-2026")</f>
        <v/>
      </c>
      <c r="Z35">
        <f>HYPERLINK("https://klasma.github.io/Logging_2313/fåglar/A 1318-2026 prioriterade fågelarter.docx", "A 1318-2026")</f>
        <v/>
      </c>
    </row>
    <row r="36" ht="15" customHeight="1">
      <c r="A36" t="inlineStr">
        <is>
          <t>A 4866-2024</t>
        </is>
      </c>
      <c r="B36" s="1" t="n">
        <v>45329</v>
      </c>
      <c r="C36" s="1" t="n">
        <v>46033</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45798.53172453704</v>
      </c>
      <c r="C37" s="1" t="n">
        <v>46033</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40397-2023</t>
        </is>
      </c>
      <c r="B38" s="1" t="n">
        <v>45169.93773148148</v>
      </c>
      <c r="C38" s="1" t="n">
        <v>46033</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33262-2024</t>
        </is>
      </c>
      <c r="B39" s="1" t="n">
        <v>45518</v>
      </c>
      <c r="C39" s="1" t="n">
        <v>46033</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24299-2023</t>
        </is>
      </c>
      <c r="B40" s="1" t="n">
        <v>45079</v>
      </c>
      <c r="C40" s="1" t="n">
        <v>46033</v>
      </c>
      <c r="D40" t="inlineStr">
        <is>
          <t>JÄMTLANDS LÄN</t>
        </is>
      </c>
      <c r="E40" t="inlineStr">
        <is>
          <t>STRÖMSUND</t>
        </is>
      </c>
      <c r="F40" t="inlineStr">
        <is>
          <t>SCA</t>
        </is>
      </c>
      <c r="G40" t="n">
        <v>5.2</v>
      </c>
      <c r="H40" t="n">
        <v>0</v>
      </c>
      <c r="I40" t="n">
        <v>4</v>
      </c>
      <c r="J40" t="n">
        <v>5</v>
      </c>
      <c r="K40" t="n">
        <v>2</v>
      </c>
      <c r="L40" t="n">
        <v>0</v>
      </c>
      <c r="M40" t="n">
        <v>0</v>
      </c>
      <c r="N40" t="n">
        <v>0</v>
      </c>
      <c r="O40" t="n">
        <v>7</v>
      </c>
      <c r="P40" t="n">
        <v>2</v>
      </c>
      <c r="Q40" t="n">
        <v>11</v>
      </c>
      <c r="R40" s="2" t="inlineStr">
        <is>
          <t>Fläckporing
Gräddporing
Garnlav
Kolflarnlav
Lunglav
Skrovellav
Vitgrynig nållav
Bårdlav
Dropptaggsvamp
Källmossa
Stuplav</t>
        </is>
      </c>
      <c r="S40">
        <f>HYPERLINK("https://klasma.github.io/Logging_2313/artfynd/A 24299-2023 artfynd.xlsx", "A 24299-2023")</f>
        <v/>
      </c>
      <c r="T40">
        <f>HYPERLINK("https://klasma.github.io/Logging_2313/kartor/A 24299-2023 karta.png", "A 24299-2023")</f>
        <v/>
      </c>
      <c r="V40">
        <f>HYPERLINK("https://klasma.github.io/Logging_2313/klagomål/A 24299-2023 FSC-klagomål.docx", "A 24299-2023")</f>
        <v/>
      </c>
      <c r="W40">
        <f>HYPERLINK("https://klasma.github.io/Logging_2313/klagomålsmail/A 24299-2023 FSC-klagomål mail.docx", "A 24299-2023")</f>
        <v/>
      </c>
      <c r="X40">
        <f>HYPERLINK("https://klasma.github.io/Logging_2313/tillsyn/A 24299-2023 tillsynsbegäran.docx", "A 24299-2023")</f>
        <v/>
      </c>
      <c r="Y40">
        <f>HYPERLINK("https://klasma.github.io/Logging_2313/tillsynsmail/A 24299-2023 tillsynsbegäran mail.docx", "A 24299-2023")</f>
        <v/>
      </c>
    </row>
    <row r="41" ht="15" customHeight="1">
      <c r="A41" t="inlineStr">
        <is>
          <t>A 26140-2022</t>
        </is>
      </c>
      <c r="B41" s="1" t="n">
        <v>44734</v>
      </c>
      <c r="C41" s="1" t="n">
        <v>46033</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43417-2023</t>
        </is>
      </c>
      <c r="B42" s="1" t="n">
        <v>45183.95726851852</v>
      </c>
      <c r="C42" s="1" t="n">
        <v>46033</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49258-2025</t>
        </is>
      </c>
      <c r="B43" s="1" t="n">
        <v>45938</v>
      </c>
      <c r="C43" s="1" t="n">
        <v>46033</v>
      </c>
      <c r="D43" t="inlineStr">
        <is>
          <t>JÄMTLANDS LÄN</t>
        </is>
      </c>
      <c r="E43" t="inlineStr">
        <is>
          <t>STRÖMSUND</t>
        </is>
      </c>
      <c r="G43" t="n">
        <v>27.7</v>
      </c>
      <c r="H43" t="n">
        <v>1</v>
      </c>
      <c r="I43" t="n">
        <v>0</v>
      </c>
      <c r="J43" t="n">
        <v>6</v>
      </c>
      <c r="K43" t="n">
        <v>4</v>
      </c>
      <c r="L43" t="n">
        <v>0</v>
      </c>
      <c r="M43" t="n">
        <v>0</v>
      </c>
      <c r="N43" t="n">
        <v>0</v>
      </c>
      <c r="O43" t="n">
        <v>10</v>
      </c>
      <c r="P43" t="n">
        <v>4</v>
      </c>
      <c r="Q43" t="n">
        <v>10</v>
      </c>
      <c r="R43" s="2" t="inlineStr">
        <is>
          <t>Blackticka
Lappticka
Rynkskinn
Sprickporing
Doftskinn
Granticka
Lunglav
Rosenticka
Tretåig hackspett
Ullticka</t>
        </is>
      </c>
      <c r="S43">
        <f>HYPERLINK("https://klasma.github.io/Logging_2313/artfynd/A 49258-2025 artfynd.xlsx", "A 49258-2025")</f>
        <v/>
      </c>
      <c r="T43">
        <f>HYPERLINK("https://klasma.github.io/Logging_2313/kartor/A 49258-2025 karta.png", "A 49258-2025")</f>
        <v/>
      </c>
      <c r="V43">
        <f>HYPERLINK("https://klasma.github.io/Logging_2313/klagomål/A 49258-2025 FSC-klagomål.docx", "A 49258-2025")</f>
        <v/>
      </c>
      <c r="W43">
        <f>HYPERLINK("https://klasma.github.io/Logging_2313/klagomålsmail/A 49258-2025 FSC-klagomål mail.docx", "A 49258-2025")</f>
        <v/>
      </c>
      <c r="X43">
        <f>HYPERLINK("https://klasma.github.io/Logging_2313/tillsyn/A 49258-2025 tillsynsbegäran.docx", "A 49258-2025")</f>
        <v/>
      </c>
      <c r="Y43">
        <f>HYPERLINK("https://klasma.github.io/Logging_2313/tillsynsmail/A 49258-2025 tillsynsbegäran mail.docx", "A 49258-2025")</f>
        <v/>
      </c>
      <c r="Z43">
        <f>HYPERLINK("https://klasma.github.io/Logging_2313/fåglar/A 49258-2025 prioriterade fågelarter.docx", "A 49258-2025")</f>
        <v/>
      </c>
    </row>
    <row r="44" ht="15" customHeight="1">
      <c r="A44" t="inlineStr">
        <is>
          <t>A 1470-2023</t>
        </is>
      </c>
      <c r="B44" s="1" t="n">
        <v>44931</v>
      </c>
      <c r="C44" s="1" t="n">
        <v>46033</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33542-2021</t>
        </is>
      </c>
      <c r="B45" s="1" t="n">
        <v>44377.92186342592</v>
      </c>
      <c r="C45" s="1" t="n">
        <v>46033</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46033</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46033</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18948-2023</t>
        </is>
      </c>
      <c r="B48" s="1" t="n">
        <v>45043</v>
      </c>
      <c r="C48" s="1" t="n">
        <v>46033</v>
      </c>
      <c r="D48" t="inlineStr">
        <is>
          <t>JÄMTLANDS LÄN</t>
        </is>
      </c>
      <c r="E48" t="inlineStr">
        <is>
          <t>STRÖMSUND</t>
        </is>
      </c>
      <c r="G48" t="n">
        <v>24.9</v>
      </c>
      <c r="H48" t="n">
        <v>2</v>
      </c>
      <c r="I48" t="n">
        <v>2</v>
      </c>
      <c r="J48" t="n">
        <v>5</v>
      </c>
      <c r="K48" t="n">
        <v>1</v>
      </c>
      <c r="L48" t="n">
        <v>0</v>
      </c>
      <c r="M48" t="n">
        <v>0</v>
      </c>
      <c r="N48" t="n">
        <v>0</v>
      </c>
      <c r="O48" t="n">
        <v>6</v>
      </c>
      <c r="P48" t="n">
        <v>1</v>
      </c>
      <c r="Q48" t="n">
        <v>9</v>
      </c>
      <c r="R48" s="2" t="inlineStr">
        <is>
          <t>Gräddticka
Grantaggsvamp
Granticka
Harticka
Svartvit taggsvamp
Tretåig hackspett
Fjällig taggsvamp s.str.
Skarp dropptaggsvamp
Tjäder</t>
        </is>
      </c>
      <c r="S48">
        <f>HYPERLINK("https://klasma.github.io/Logging_2313/artfynd/A 18948-2023 artfynd.xlsx", "A 18948-2023")</f>
        <v/>
      </c>
      <c r="T48">
        <f>HYPERLINK("https://klasma.github.io/Logging_2313/kartor/A 18948-2023 karta.png", "A 18948-2023")</f>
        <v/>
      </c>
      <c r="V48">
        <f>HYPERLINK("https://klasma.github.io/Logging_2313/klagomål/A 18948-2023 FSC-klagomål.docx", "A 18948-2023")</f>
        <v/>
      </c>
      <c r="W48">
        <f>HYPERLINK("https://klasma.github.io/Logging_2313/klagomålsmail/A 18948-2023 FSC-klagomål mail.docx", "A 18948-2023")</f>
        <v/>
      </c>
      <c r="X48">
        <f>HYPERLINK("https://klasma.github.io/Logging_2313/tillsyn/A 18948-2023 tillsynsbegäran.docx", "A 18948-2023")</f>
        <v/>
      </c>
      <c r="Y48">
        <f>HYPERLINK("https://klasma.github.io/Logging_2313/tillsynsmail/A 18948-2023 tillsynsbegäran mail.docx", "A 18948-2023")</f>
        <v/>
      </c>
      <c r="Z48">
        <f>HYPERLINK("https://klasma.github.io/Logging_2313/fåglar/A 18948-2023 prioriterade fågelarter.docx", "A 18948-2023")</f>
        <v/>
      </c>
    </row>
    <row r="49" ht="15" customHeight="1">
      <c r="A49" t="inlineStr">
        <is>
          <t>A 56137-2025</t>
        </is>
      </c>
      <c r="B49" s="1" t="n">
        <v>45974</v>
      </c>
      <c r="C49" s="1" t="n">
        <v>46033</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45863.34436342592</v>
      </c>
      <c r="C50" s="1" t="n">
        <v>46033</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17513-2024</t>
        </is>
      </c>
      <c r="B51" s="1" t="n">
        <v>45415</v>
      </c>
      <c r="C51" s="1" t="n">
        <v>46033</v>
      </c>
      <c r="D51" t="inlineStr">
        <is>
          <t>JÄMTLANDS LÄN</t>
        </is>
      </c>
      <c r="E51" t="inlineStr">
        <is>
          <t>STRÖMSUND</t>
        </is>
      </c>
      <c r="F51" t="inlineStr">
        <is>
          <t>Holmen skog AB</t>
        </is>
      </c>
      <c r="G51" t="n">
        <v>3.4</v>
      </c>
      <c r="H51" t="n">
        <v>2</v>
      </c>
      <c r="I51" t="n">
        <v>3</v>
      </c>
      <c r="J51" t="n">
        <v>5</v>
      </c>
      <c r="K51" t="n">
        <v>1</v>
      </c>
      <c r="L51" t="n">
        <v>0</v>
      </c>
      <c r="M51" t="n">
        <v>0</v>
      </c>
      <c r="N51" t="n">
        <v>0</v>
      </c>
      <c r="O51" t="n">
        <v>6</v>
      </c>
      <c r="P51" t="n">
        <v>1</v>
      </c>
      <c r="Q51" t="n">
        <v>9</v>
      </c>
      <c r="R51" s="2" t="inlineStr">
        <is>
          <t>Knärot
Kolflarnlav
Orange taggsvamp
Skrovellav
Tretåig hackspett
Äggvaxskivling
Bårdlav
Dropptaggsvamp
Stuplav</t>
        </is>
      </c>
      <c r="S51">
        <f>HYPERLINK("https://klasma.github.io/Logging_2313/artfynd/A 17513-2024 artfynd.xlsx", "A 17513-2024")</f>
        <v/>
      </c>
      <c r="T51">
        <f>HYPERLINK("https://klasma.github.io/Logging_2313/kartor/A 17513-2024 karta.png", "A 17513-2024")</f>
        <v/>
      </c>
      <c r="U51">
        <f>HYPERLINK("https://klasma.github.io/Logging_2313/knärot/A 17513-2024 karta knärot.png", "A 17513-2024")</f>
        <v/>
      </c>
      <c r="V51">
        <f>HYPERLINK("https://klasma.github.io/Logging_2313/klagomål/A 17513-2024 FSC-klagomål.docx", "A 17513-2024")</f>
        <v/>
      </c>
      <c r="W51">
        <f>HYPERLINK("https://klasma.github.io/Logging_2313/klagomålsmail/A 17513-2024 FSC-klagomål mail.docx", "A 17513-2024")</f>
        <v/>
      </c>
      <c r="X51">
        <f>HYPERLINK("https://klasma.github.io/Logging_2313/tillsyn/A 17513-2024 tillsynsbegäran.docx", "A 17513-2024")</f>
        <v/>
      </c>
      <c r="Y51">
        <f>HYPERLINK("https://klasma.github.io/Logging_2313/tillsynsmail/A 17513-2024 tillsynsbegäran mail.docx", "A 17513-2024")</f>
        <v/>
      </c>
      <c r="Z51">
        <f>HYPERLINK("https://klasma.github.io/Logging_2313/fåglar/A 17513-2024 prioriterade fågelarter.docx", "A 17513-2024")</f>
        <v/>
      </c>
    </row>
    <row r="52" ht="15" customHeight="1">
      <c r="A52" t="inlineStr">
        <is>
          <t>A 33121-2024</t>
        </is>
      </c>
      <c r="B52" s="1" t="n">
        <v>45517.95701388889</v>
      </c>
      <c r="C52" s="1" t="n">
        <v>46033</v>
      </c>
      <c r="D52" t="inlineStr">
        <is>
          <t>JÄMTLANDS LÄN</t>
        </is>
      </c>
      <c r="E52" t="inlineStr">
        <is>
          <t>STRÖMSUND</t>
        </is>
      </c>
      <c r="F52" t="inlineStr">
        <is>
          <t>SCA</t>
        </is>
      </c>
      <c r="G52" t="n">
        <v>2.6</v>
      </c>
      <c r="H52" t="n">
        <v>2</v>
      </c>
      <c r="I52" t="n">
        <v>1</v>
      </c>
      <c r="J52" t="n">
        <v>8</v>
      </c>
      <c r="K52" t="n">
        <v>0</v>
      </c>
      <c r="L52" t="n">
        <v>0</v>
      </c>
      <c r="M52" t="n">
        <v>0</v>
      </c>
      <c r="N52" t="n">
        <v>0</v>
      </c>
      <c r="O52" t="n">
        <v>8</v>
      </c>
      <c r="P52" t="n">
        <v>0</v>
      </c>
      <c r="Q52" t="n">
        <v>9</v>
      </c>
      <c r="R52" s="2" t="inlineStr">
        <is>
          <t>Gammelgransskål
Harticka
Lunglav
Orange taggsvamp
Svart taggsvamp
Talltita
Tretåig hackspett
Vitgrynig nållav
Dropptaggsvamp</t>
        </is>
      </c>
      <c r="S52">
        <f>HYPERLINK("https://klasma.github.io/Logging_2313/artfynd/A 33121-2024 artfynd.xlsx", "A 33121-2024")</f>
        <v/>
      </c>
      <c r="T52">
        <f>HYPERLINK("https://klasma.github.io/Logging_2313/kartor/A 33121-2024 karta.png", "A 33121-2024")</f>
        <v/>
      </c>
      <c r="V52">
        <f>HYPERLINK("https://klasma.github.io/Logging_2313/klagomål/A 33121-2024 FSC-klagomål.docx", "A 33121-2024")</f>
        <v/>
      </c>
      <c r="W52">
        <f>HYPERLINK("https://klasma.github.io/Logging_2313/klagomålsmail/A 33121-2024 FSC-klagomål mail.docx", "A 33121-2024")</f>
        <v/>
      </c>
      <c r="X52">
        <f>HYPERLINK("https://klasma.github.io/Logging_2313/tillsyn/A 33121-2024 tillsynsbegäran.docx", "A 33121-2024")</f>
        <v/>
      </c>
      <c r="Y52">
        <f>HYPERLINK("https://klasma.github.io/Logging_2313/tillsynsmail/A 33121-2024 tillsynsbegäran mail.docx", "A 33121-2024")</f>
        <v/>
      </c>
      <c r="Z52">
        <f>HYPERLINK("https://klasma.github.io/Logging_2313/fåglar/A 33121-2024 prioriterade fågelarter.docx", "A 33121-2024")</f>
        <v/>
      </c>
    </row>
    <row r="53" ht="15" customHeight="1">
      <c r="A53" t="inlineStr">
        <is>
          <t>A 55921-2023</t>
        </is>
      </c>
      <c r="B53" s="1" t="n">
        <v>45239</v>
      </c>
      <c r="C53" s="1" t="n">
        <v>46033</v>
      </c>
      <c r="D53" t="inlineStr">
        <is>
          <t>JÄMTLANDS LÄN</t>
        </is>
      </c>
      <c r="E53" t="inlineStr">
        <is>
          <t>STRÖMSUND</t>
        </is>
      </c>
      <c r="F53" t="inlineStr">
        <is>
          <t>SCA</t>
        </is>
      </c>
      <c r="G53" t="n">
        <v>6.3</v>
      </c>
      <c r="H53" t="n">
        <v>3</v>
      </c>
      <c r="I53" t="n">
        <v>2</v>
      </c>
      <c r="J53" t="n">
        <v>6</v>
      </c>
      <c r="K53" t="n">
        <v>0</v>
      </c>
      <c r="L53" t="n">
        <v>0</v>
      </c>
      <c r="M53" t="n">
        <v>0</v>
      </c>
      <c r="N53" t="n">
        <v>0</v>
      </c>
      <c r="O53" t="n">
        <v>6</v>
      </c>
      <c r="P53" t="n">
        <v>0</v>
      </c>
      <c r="Q53" t="n">
        <v>8</v>
      </c>
      <c r="R53" s="2" t="inlineStr">
        <is>
          <t>Gammelgransskål
Garnlav
Granticka
Tretåig hackspett
Ullticka
Vitgrynig nållav
Guckusko
Tvåblad</t>
        </is>
      </c>
      <c r="S53">
        <f>HYPERLINK("https://klasma.github.io/Logging_2313/artfynd/A 55921-2023 artfynd.xlsx", "A 55921-2023")</f>
        <v/>
      </c>
      <c r="T53">
        <f>HYPERLINK("https://klasma.github.io/Logging_2313/kartor/A 55921-2023 karta.png", "A 55921-2023")</f>
        <v/>
      </c>
      <c r="V53">
        <f>HYPERLINK("https://klasma.github.io/Logging_2313/klagomål/A 55921-2023 FSC-klagomål.docx", "A 55921-2023")</f>
        <v/>
      </c>
      <c r="W53">
        <f>HYPERLINK("https://klasma.github.io/Logging_2313/klagomålsmail/A 55921-2023 FSC-klagomål mail.docx", "A 55921-2023")</f>
        <v/>
      </c>
      <c r="X53">
        <f>HYPERLINK("https://klasma.github.io/Logging_2313/tillsyn/A 55921-2023 tillsynsbegäran.docx", "A 55921-2023")</f>
        <v/>
      </c>
      <c r="Y53">
        <f>HYPERLINK("https://klasma.github.io/Logging_2313/tillsynsmail/A 55921-2023 tillsynsbegäran mail.docx", "A 55921-2023")</f>
        <v/>
      </c>
      <c r="Z53">
        <f>HYPERLINK("https://klasma.github.io/Logging_2313/fåglar/A 55921-2023 prioriterade fågelarter.docx", "A 55921-2023")</f>
        <v/>
      </c>
    </row>
    <row r="54" ht="15" customHeight="1">
      <c r="A54" t="inlineStr">
        <is>
          <t>A 23313-2025</t>
        </is>
      </c>
      <c r="B54" s="1" t="n">
        <v>45791.61067129629</v>
      </c>
      <c r="C54" s="1" t="n">
        <v>46033</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37171-2024</t>
        </is>
      </c>
      <c r="B55" s="1" t="n">
        <v>45539</v>
      </c>
      <c r="C55" s="1" t="n">
        <v>46033</v>
      </c>
      <c r="D55" t="inlineStr">
        <is>
          <t>JÄMTLANDS LÄN</t>
        </is>
      </c>
      <c r="E55" t="inlineStr">
        <is>
          <t>STRÖMSUND</t>
        </is>
      </c>
      <c r="F55" t="inlineStr">
        <is>
          <t>SCA</t>
        </is>
      </c>
      <c r="G55" t="n">
        <v>4</v>
      </c>
      <c r="H55" t="n">
        <v>3</v>
      </c>
      <c r="I55" t="n">
        <v>1</v>
      </c>
      <c r="J55" t="n">
        <v>6</v>
      </c>
      <c r="K55" t="n">
        <v>1</v>
      </c>
      <c r="L55" t="n">
        <v>0</v>
      </c>
      <c r="M55" t="n">
        <v>0</v>
      </c>
      <c r="N55" t="n">
        <v>0</v>
      </c>
      <c r="O55" t="n">
        <v>7</v>
      </c>
      <c r="P55" t="n">
        <v>1</v>
      </c>
      <c r="Q55" t="n">
        <v>8</v>
      </c>
      <c r="R55" s="2" t="inlineStr">
        <is>
          <t>Knärot
Garnlav
Kolflarnlav
Lunglav
Talltita
Tretåig hackspett
Ullticka
Granbarkgnagare</t>
        </is>
      </c>
      <c r="S55">
        <f>HYPERLINK("https://klasma.github.io/Logging_2313/artfynd/A 37171-2024 artfynd.xlsx", "A 37171-2024")</f>
        <v/>
      </c>
      <c r="T55">
        <f>HYPERLINK("https://klasma.github.io/Logging_2313/kartor/A 37171-2024 karta.png", "A 37171-2024")</f>
        <v/>
      </c>
      <c r="U55">
        <f>HYPERLINK("https://klasma.github.io/Logging_2313/knärot/A 37171-2024 karta knärot.png", "A 37171-2024")</f>
        <v/>
      </c>
      <c r="V55">
        <f>HYPERLINK("https://klasma.github.io/Logging_2313/klagomål/A 37171-2024 FSC-klagomål.docx", "A 37171-2024")</f>
        <v/>
      </c>
      <c r="W55">
        <f>HYPERLINK("https://klasma.github.io/Logging_2313/klagomålsmail/A 37171-2024 FSC-klagomål mail.docx", "A 37171-2024")</f>
        <v/>
      </c>
      <c r="X55">
        <f>HYPERLINK("https://klasma.github.io/Logging_2313/tillsyn/A 37171-2024 tillsynsbegäran.docx", "A 37171-2024")</f>
        <v/>
      </c>
      <c r="Y55">
        <f>HYPERLINK("https://klasma.github.io/Logging_2313/tillsynsmail/A 37171-2024 tillsynsbegäran mail.docx", "A 37171-2024")</f>
        <v/>
      </c>
      <c r="Z55">
        <f>HYPERLINK("https://klasma.github.io/Logging_2313/fåglar/A 37171-2024 prioriterade fågelarter.docx", "A 37171-2024")</f>
        <v/>
      </c>
    </row>
    <row r="56" ht="15" customHeight="1">
      <c r="A56" t="inlineStr">
        <is>
          <t>A 48291-2025</t>
        </is>
      </c>
      <c r="B56" s="1" t="n">
        <v>45933.59506944445</v>
      </c>
      <c r="C56" s="1" t="n">
        <v>46033</v>
      </c>
      <c r="D56" t="inlineStr">
        <is>
          <t>JÄMTLANDS LÄN</t>
        </is>
      </c>
      <c r="E56" t="inlineStr">
        <is>
          <t>STRÖMSUND</t>
        </is>
      </c>
      <c r="G56" t="n">
        <v>11.1</v>
      </c>
      <c r="H56" t="n">
        <v>0</v>
      </c>
      <c r="I56" t="n">
        <v>0</v>
      </c>
      <c r="J56" t="n">
        <v>8</v>
      </c>
      <c r="K56" t="n">
        <v>0</v>
      </c>
      <c r="L56" t="n">
        <v>0</v>
      </c>
      <c r="M56" t="n">
        <v>0</v>
      </c>
      <c r="N56" t="n">
        <v>0</v>
      </c>
      <c r="O56" t="n">
        <v>8</v>
      </c>
      <c r="P56" t="n">
        <v>0</v>
      </c>
      <c r="Q56" t="n">
        <v>8</v>
      </c>
      <c r="R56" s="2" t="inlineStr">
        <is>
          <t>Blanksvart spiklav
Blågrå svartspik
Dvärgbägarlav
Garnlav
Kolflarnlav
Lunglav
Skrovellav
Vedskivlav</t>
        </is>
      </c>
      <c r="S56">
        <f>HYPERLINK("https://klasma.github.io/Logging_2313/artfynd/A 48291-2025 artfynd.xlsx", "A 48291-2025")</f>
        <v/>
      </c>
      <c r="T56">
        <f>HYPERLINK("https://klasma.github.io/Logging_2313/kartor/A 48291-2025 karta.png", "A 48291-2025")</f>
        <v/>
      </c>
      <c r="V56">
        <f>HYPERLINK("https://klasma.github.io/Logging_2313/klagomål/A 48291-2025 FSC-klagomål.docx", "A 48291-2025")</f>
        <v/>
      </c>
      <c r="W56">
        <f>HYPERLINK("https://klasma.github.io/Logging_2313/klagomålsmail/A 48291-2025 FSC-klagomål mail.docx", "A 48291-2025")</f>
        <v/>
      </c>
      <c r="X56">
        <f>HYPERLINK("https://klasma.github.io/Logging_2313/tillsyn/A 48291-2025 tillsynsbegäran.docx", "A 48291-2025")</f>
        <v/>
      </c>
      <c r="Y56">
        <f>HYPERLINK("https://klasma.github.io/Logging_2313/tillsynsmail/A 48291-2025 tillsynsbegäran mail.docx", "A 48291-2025")</f>
        <v/>
      </c>
    </row>
    <row r="57" ht="15" customHeight="1">
      <c r="A57" t="inlineStr">
        <is>
          <t>A 32792-2025</t>
        </is>
      </c>
      <c r="B57" s="1" t="n">
        <v>45839.49021990741</v>
      </c>
      <c r="C57" s="1" t="n">
        <v>46033</v>
      </c>
      <c r="D57" t="inlineStr">
        <is>
          <t>JÄMTLANDS LÄN</t>
        </is>
      </c>
      <c r="E57" t="inlineStr">
        <is>
          <t>STRÖMSUND</t>
        </is>
      </c>
      <c r="F57" t="inlineStr">
        <is>
          <t>SCA</t>
        </is>
      </c>
      <c r="G57" t="n">
        <v>3.8</v>
      </c>
      <c r="H57" t="n">
        <v>0</v>
      </c>
      <c r="I57" t="n">
        <v>0</v>
      </c>
      <c r="J57" t="n">
        <v>7</v>
      </c>
      <c r="K57" t="n">
        <v>1</v>
      </c>
      <c r="L57" t="n">
        <v>0</v>
      </c>
      <c r="M57" t="n">
        <v>0</v>
      </c>
      <c r="N57" t="n">
        <v>0</v>
      </c>
      <c r="O57" t="n">
        <v>8</v>
      </c>
      <c r="P57" t="n">
        <v>1</v>
      </c>
      <c r="Q57" t="n">
        <v>8</v>
      </c>
      <c r="R57" s="2" t="inlineStr">
        <is>
          <t>Blackticka
Gammelgransskål
Garnlav
Granticka
Harticka
Lunglav
Ullticka
Vitgrynig nållav</t>
        </is>
      </c>
      <c r="S57">
        <f>HYPERLINK("https://klasma.github.io/Logging_2313/artfynd/A 32792-2025 artfynd.xlsx", "A 32792-2025")</f>
        <v/>
      </c>
      <c r="T57">
        <f>HYPERLINK("https://klasma.github.io/Logging_2313/kartor/A 32792-2025 karta.png", "A 32792-2025")</f>
        <v/>
      </c>
      <c r="V57">
        <f>HYPERLINK("https://klasma.github.io/Logging_2313/klagomål/A 32792-2025 FSC-klagomål.docx", "A 32792-2025")</f>
        <v/>
      </c>
      <c r="W57">
        <f>HYPERLINK("https://klasma.github.io/Logging_2313/klagomålsmail/A 32792-2025 FSC-klagomål mail.docx", "A 32792-2025")</f>
        <v/>
      </c>
      <c r="X57">
        <f>HYPERLINK("https://klasma.github.io/Logging_2313/tillsyn/A 32792-2025 tillsynsbegäran.docx", "A 32792-2025")</f>
        <v/>
      </c>
      <c r="Y57">
        <f>HYPERLINK("https://klasma.github.io/Logging_2313/tillsynsmail/A 32792-2025 tillsynsbegäran mail.docx", "A 32792-2025")</f>
        <v/>
      </c>
    </row>
    <row r="58" ht="15" customHeight="1">
      <c r="A58" t="inlineStr">
        <is>
          <t>A 49755-2025</t>
        </is>
      </c>
      <c r="B58" s="1" t="n">
        <v>45940.345625</v>
      </c>
      <c r="C58" s="1" t="n">
        <v>46033</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52563-2024</t>
        </is>
      </c>
      <c r="B59" s="1" t="n">
        <v>45609.656875</v>
      </c>
      <c r="C59" s="1" t="n">
        <v>46033</v>
      </c>
      <c r="D59" t="inlineStr">
        <is>
          <t>JÄMTLANDS LÄN</t>
        </is>
      </c>
      <c r="E59" t="inlineStr">
        <is>
          <t>STRÖMSUND</t>
        </is>
      </c>
      <c r="F59" t="inlineStr">
        <is>
          <t>SCA</t>
        </is>
      </c>
      <c r="G59" t="n">
        <v>11.9</v>
      </c>
      <c r="H59" t="n">
        <v>1</v>
      </c>
      <c r="I59" t="n">
        <v>2</v>
      </c>
      <c r="J59" t="n">
        <v>6</v>
      </c>
      <c r="K59" t="n">
        <v>0</v>
      </c>
      <c r="L59" t="n">
        <v>0</v>
      </c>
      <c r="M59" t="n">
        <v>0</v>
      </c>
      <c r="N59" t="n">
        <v>0</v>
      </c>
      <c r="O59" t="n">
        <v>6</v>
      </c>
      <c r="P59" t="n">
        <v>0</v>
      </c>
      <c r="Q59" t="n">
        <v>8</v>
      </c>
      <c r="R59" s="2" t="inlineStr">
        <is>
          <t>Garnlav
Granticka
Lunglav
Skrovellav
Tretåig hackspett
Ullticka
Luddlav
Stuplav</t>
        </is>
      </c>
      <c r="S59">
        <f>HYPERLINK("https://klasma.github.io/Logging_2313/artfynd/A 52563-2024 artfynd.xlsx", "A 52563-2024")</f>
        <v/>
      </c>
      <c r="T59">
        <f>HYPERLINK("https://klasma.github.io/Logging_2313/kartor/A 52563-2024 karta.png", "A 52563-2024")</f>
        <v/>
      </c>
      <c r="V59">
        <f>HYPERLINK("https://klasma.github.io/Logging_2313/klagomål/A 52563-2024 FSC-klagomål.docx", "A 52563-2024")</f>
        <v/>
      </c>
      <c r="W59">
        <f>HYPERLINK("https://klasma.github.io/Logging_2313/klagomålsmail/A 52563-2024 FSC-klagomål mail.docx", "A 52563-2024")</f>
        <v/>
      </c>
      <c r="X59">
        <f>HYPERLINK("https://klasma.github.io/Logging_2313/tillsyn/A 52563-2024 tillsynsbegäran.docx", "A 52563-2024")</f>
        <v/>
      </c>
      <c r="Y59">
        <f>HYPERLINK("https://klasma.github.io/Logging_2313/tillsynsmail/A 52563-2024 tillsynsbegäran mail.docx", "A 52563-2024")</f>
        <v/>
      </c>
      <c r="Z59">
        <f>HYPERLINK("https://klasma.github.io/Logging_2313/fåglar/A 52563-2024 prioriterade fågelarter.docx", "A 52563-2024")</f>
        <v/>
      </c>
    </row>
    <row r="60" ht="15" customHeight="1">
      <c r="A60" t="inlineStr">
        <is>
          <t>A 36252-2022</t>
        </is>
      </c>
      <c r="B60" s="1" t="n">
        <v>44803</v>
      </c>
      <c r="C60" s="1" t="n">
        <v>46033</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42236-2021</t>
        </is>
      </c>
      <c r="B61" s="1" t="n">
        <v>44426</v>
      </c>
      <c r="C61" s="1" t="n">
        <v>46033</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55922-2023</t>
        </is>
      </c>
      <c r="B62" s="1" t="n">
        <v>45239</v>
      </c>
      <c r="C62" s="1" t="n">
        <v>46033</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14293-2022</t>
        </is>
      </c>
      <c r="B63" s="1" t="n">
        <v>44651</v>
      </c>
      <c r="C63" s="1" t="n">
        <v>46033</v>
      </c>
      <c r="D63" t="inlineStr">
        <is>
          <t>JÄMTLANDS LÄN</t>
        </is>
      </c>
      <c r="E63" t="inlineStr">
        <is>
          <t>STRÖMSUND</t>
        </is>
      </c>
      <c r="F63" t="inlineStr">
        <is>
          <t>SCA</t>
        </is>
      </c>
      <c r="G63" t="n">
        <v>0.4</v>
      </c>
      <c r="H63" t="n">
        <v>1</v>
      </c>
      <c r="I63" t="n">
        <v>2</v>
      </c>
      <c r="J63" t="n">
        <v>5</v>
      </c>
      <c r="K63" t="n">
        <v>0</v>
      </c>
      <c r="L63" t="n">
        <v>0</v>
      </c>
      <c r="M63" t="n">
        <v>0</v>
      </c>
      <c r="N63" t="n">
        <v>0</v>
      </c>
      <c r="O63" t="n">
        <v>5</v>
      </c>
      <c r="P63" t="n">
        <v>0</v>
      </c>
      <c r="Q63" t="n">
        <v>7</v>
      </c>
      <c r="R63" s="2" t="inlineStr">
        <is>
          <t>Garnlav
Lunglav
Skrovellav
Vedtrappmossa
Vitgrynig nållav
Bårdlav
Spindelblomster</t>
        </is>
      </c>
      <c r="S63">
        <f>HYPERLINK("https://klasma.github.io/Logging_2313/artfynd/A 14293-2022 artfynd.xlsx", "A 14293-2022")</f>
        <v/>
      </c>
      <c r="T63">
        <f>HYPERLINK("https://klasma.github.io/Logging_2313/kartor/A 14293-2022 karta.png", "A 14293-2022")</f>
        <v/>
      </c>
      <c r="V63">
        <f>HYPERLINK("https://klasma.github.io/Logging_2313/klagomål/A 14293-2022 FSC-klagomål.docx", "A 14293-2022")</f>
        <v/>
      </c>
      <c r="W63">
        <f>HYPERLINK("https://klasma.github.io/Logging_2313/klagomålsmail/A 14293-2022 FSC-klagomål mail.docx", "A 14293-2022")</f>
        <v/>
      </c>
      <c r="X63">
        <f>HYPERLINK("https://klasma.github.io/Logging_2313/tillsyn/A 14293-2022 tillsynsbegäran.docx", "A 14293-2022")</f>
        <v/>
      </c>
      <c r="Y63">
        <f>HYPERLINK("https://klasma.github.io/Logging_2313/tillsynsmail/A 14293-2022 tillsynsbegäran mail.docx", "A 14293-2022")</f>
        <v/>
      </c>
    </row>
    <row r="64" ht="15" customHeight="1">
      <c r="A64" t="inlineStr">
        <is>
          <t>A 60164-2024</t>
        </is>
      </c>
      <c r="B64" s="1" t="n">
        <v>45642</v>
      </c>
      <c r="C64" s="1" t="n">
        <v>46033</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29495-2024</t>
        </is>
      </c>
      <c r="B65" s="1" t="n">
        <v>45484</v>
      </c>
      <c r="C65" s="1" t="n">
        <v>46033</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32304-2025</t>
        </is>
      </c>
      <c r="B66" s="1" t="n">
        <v>45835.71910879629</v>
      </c>
      <c r="C66" s="1" t="n">
        <v>46033</v>
      </c>
      <c r="D66" t="inlineStr">
        <is>
          <t>JÄMTLANDS LÄN</t>
        </is>
      </c>
      <c r="E66" t="inlineStr">
        <is>
          <t>STRÖMSUND</t>
        </is>
      </c>
      <c r="F66" t="inlineStr">
        <is>
          <t>SCA</t>
        </is>
      </c>
      <c r="G66" t="n">
        <v>9.4</v>
      </c>
      <c r="H66" t="n">
        <v>3</v>
      </c>
      <c r="I66" t="n">
        <v>1</v>
      </c>
      <c r="J66" t="n">
        <v>3</v>
      </c>
      <c r="K66" t="n">
        <v>3</v>
      </c>
      <c r="L66" t="n">
        <v>0</v>
      </c>
      <c r="M66" t="n">
        <v>0</v>
      </c>
      <c r="N66" t="n">
        <v>0</v>
      </c>
      <c r="O66" t="n">
        <v>6</v>
      </c>
      <c r="P66" t="n">
        <v>3</v>
      </c>
      <c r="Q66" t="n">
        <v>7</v>
      </c>
      <c r="R66" s="2" t="inlineStr">
        <is>
          <t>Fläckporing
Gräddporing
Knärot
Lunglav
Tretåig hackspett
Vedtrappmossa
Guckusko</t>
        </is>
      </c>
      <c r="S66">
        <f>HYPERLINK("https://klasma.github.io/Logging_2313/artfynd/A 32304-2025 artfynd.xlsx", "A 32304-2025")</f>
        <v/>
      </c>
      <c r="T66">
        <f>HYPERLINK("https://klasma.github.io/Logging_2313/kartor/A 32304-2025 karta.png", "A 32304-2025")</f>
        <v/>
      </c>
      <c r="U66">
        <f>HYPERLINK("https://klasma.github.io/Logging_2313/knärot/A 32304-2025 karta knärot.png", "A 32304-2025")</f>
        <v/>
      </c>
      <c r="V66">
        <f>HYPERLINK("https://klasma.github.io/Logging_2313/klagomål/A 32304-2025 FSC-klagomål.docx", "A 32304-2025")</f>
        <v/>
      </c>
      <c r="W66">
        <f>HYPERLINK("https://klasma.github.io/Logging_2313/klagomålsmail/A 32304-2025 FSC-klagomål mail.docx", "A 32304-2025")</f>
        <v/>
      </c>
      <c r="X66">
        <f>HYPERLINK("https://klasma.github.io/Logging_2313/tillsyn/A 32304-2025 tillsynsbegäran.docx", "A 32304-2025")</f>
        <v/>
      </c>
      <c r="Y66">
        <f>HYPERLINK("https://klasma.github.io/Logging_2313/tillsynsmail/A 32304-2025 tillsynsbegäran mail.docx", "A 32304-2025")</f>
        <v/>
      </c>
      <c r="Z66">
        <f>HYPERLINK("https://klasma.github.io/Logging_2313/fåglar/A 32304-2025 prioriterade fågelarter.docx", "A 32304-2025")</f>
        <v/>
      </c>
    </row>
    <row r="67" ht="15" customHeight="1">
      <c r="A67" t="inlineStr">
        <is>
          <t>A 32417-2025</t>
        </is>
      </c>
      <c r="B67" s="1" t="n">
        <v>45838.34459490741</v>
      </c>
      <c r="C67" s="1" t="n">
        <v>46033</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33890-2025</t>
        </is>
      </c>
      <c r="B68" s="1" t="n">
        <v>45842.57380787037</v>
      </c>
      <c r="C68" s="1" t="n">
        <v>46033</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60761-2023</t>
        </is>
      </c>
      <c r="B69" s="1" t="n">
        <v>45259</v>
      </c>
      <c r="C69" s="1" t="n">
        <v>46033</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46033</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46033</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57949-2025</t>
        </is>
      </c>
      <c r="B72" s="1" t="n">
        <v>45982.34466435185</v>
      </c>
      <c r="C72" s="1" t="n">
        <v>46033</v>
      </c>
      <c r="D72" t="inlineStr">
        <is>
          <t>JÄMTLANDS LÄN</t>
        </is>
      </c>
      <c r="E72" t="inlineStr">
        <is>
          <t>STRÖMSUND</t>
        </is>
      </c>
      <c r="F72" t="inlineStr">
        <is>
          <t>SCA</t>
        </is>
      </c>
      <c r="G72" t="n">
        <v>3.3</v>
      </c>
      <c r="H72" t="n">
        <v>0</v>
      </c>
      <c r="I72" t="n">
        <v>2</v>
      </c>
      <c r="J72" t="n">
        <v>4</v>
      </c>
      <c r="K72" t="n">
        <v>1</v>
      </c>
      <c r="L72" t="n">
        <v>0</v>
      </c>
      <c r="M72" t="n">
        <v>0</v>
      </c>
      <c r="N72" t="n">
        <v>0</v>
      </c>
      <c r="O72" t="n">
        <v>5</v>
      </c>
      <c r="P72" t="n">
        <v>1</v>
      </c>
      <c r="Q72" t="n">
        <v>7</v>
      </c>
      <c r="R72" s="2" t="inlineStr">
        <is>
          <t>Rynkskinn
Garnlav
Granticka
Lunglav
Skrovellav
Skinnlav
Vedticka</t>
        </is>
      </c>
      <c r="S72">
        <f>HYPERLINK("https://klasma.github.io/Logging_2313/artfynd/A 57949-2025 artfynd.xlsx", "A 57949-2025")</f>
        <v/>
      </c>
      <c r="T72">
        <f>HYPERLINK("https://klasma.github.io/Logging_2313/kartor/A 57949-2025 karta.png", "A 57949-2025")</f>
        <v/>
      </c>
      <c r="V72">
        <f>HYPERLINK("https://klasma.github.io/Logging_2313/klagomål/A 57949-2025 FSC-klagomål.docx", "A 57949-2025")</f>
        <v/>
      </c>
      <c r="W72">
        <f>HYPERLINK("https://klasma.github.io/Logging_2313/klagomålsmail/A 57949-2025 FSC-klagomål mail.docx", "A 57949-2025")</f>
        <v/>
      </c>
      <c r="X72">
        <f>HYPERLINK("https://klasma.github.io/Logging_2313/tillsyn/A 57949-2025 tillsynsbegäran.docx", "A 57949-2025")</f>
        <v/>
      </c>
      <c r="Y72">
        <f>HYPERLINK("https://klasma.github.io/Logging_2313/tillsynsmail/A 57949-2025 tillsynsbegäran mail.docx", "A 57949-2025")</f>
        <v/>
      </c>
    </row>
    <row r="73" ht="15" customHeight="1">
      <c r="A73" t="inlineStr">
        <is>
          <t>A 51403-2024</t>
        </is>
      </c>
      <c r="B73" s="1" t="n">
        <v>45604.42765046296</v>
      </c>
      <c r="C73" s="1" t="n">
        <v>46033</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63509-2021</t>
        </is>
      </c>
      <c r="B74" s="1" t="n">
        <v>44504</v>
      </c>
      <c r="C74" s="1" t="n">
        <v>46033</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32355-2021</t>
        </is>
      </c>
      <c r="B75" s="1" t="n">
        <v>44371</v>
      </c>
      <c r="C75" s="1" t="n">
        <v>46033</v>
      </c>
      <c r="D75" t="inlineStr">
        <is>
          <t>JÄMTLANDS LÄN</t>
        </is>
      </c>
      <c r="E75" t="inlineStr">
        <is>
          <t>STRÖMSUND</t>
        </is>
      </c>
      <c r="F75" t="inlineStr">
        <is>
          <t>SCA</t>
        </is>
      </c>
      <c r="G75" t="n">
        <v>14.3</v>
      </c>
      <c r="H75" t="n">
        <v>0</v>
      </c>
      <c r="I75" t="n">
        <v>0</v>
      </c>
      <c r="J75" t="n">
        <v>4</v>
      </c>
      <c r="K75" t="n">
        <v>2</v>
      </c>
      <c r="L75" t="n">
        <v>0</v>
      </c>
      <c r="M75" t="n">
        <v>0</v>
      </c>
      <c r="N75" t="n">
        <v>0</v>
      </c>
      <c r="O75" t="n">
        <v>6</v>
      </c>
      <c r="P75" t="n">
        <v>2</v>
      </c>
      <c r="Q75" t="n">
        <v>6</v>
      </c>
      <c r="R75" s="2" t="inlineStr">
        <is>
          <t>Liten sotlav
Norsk näverlav
Gammelgransskål
Granticka
Harticka
Ullticka</t>
        </is>
      </c>
      <c r="S75">
        <f>HYPERLINK("https://klasma.github.io/Logging_2313/artfynd/A 32355-2021 artfynd.xlsx", "A 32355-2021")</f>
        <v/>
      </c>
      <c r="T75">
        <f>HYPERLINK("https://klasma.github.io/Logging_2313/kartor/A 32355-2021 karta.png", "A 32355-2021")</f>
        <v/>
      </c>
      <c r="V75">
        <f>HYPERLINK("https://klasma.github.io/Logging_2313/klagomål/A 32355-2021 FSC-klagomål.docx", "A 32355-2021")</f>
        <v/>
      </c>
      <c r="W75">
        <f>HYPERLINK("https://klasma.github.io/Logging_2313/klagomålsmail/A 32355-2021 FSC-klagomål mail.docx", "A 32355-2021")</f>
        <v/>
      </c>
      <c r="X75">
        <f>HYPERLINK("https://klasma.github.io/Logging_2313/tillsyn/A 32355-2021 tillsynsbegäran.docx", "A 32355-2021")</f>
        <v/>
      </c>
      <c r="Y75">
        <f>HYPERLINK("https://klasma.github.io/Logging_2313/tillsynsmail/A 32355-2021 tillsynsbegäran mail.docx", "A 32355-2021")</f>
        <v/>
      </c>
    </row>
    <row r="76" ht="15" customHeight="1">
      <c r="A76" t="inlineStr">
        <is>
          <t>A 51664-2025</t>
        </is>
      </c>
      <c r="B76" s="1" t="n">
        <v>45951.49009259259</v>
      </c>
      <c r="C76" s="1" t="n">
        <v>46033</v>
      </c>
      <c r="D76" t="inlineStr">
        <is>
          <t>JÄMTLANDS LÄN</t>
        </is>
      </c>
      <c r="E76" t="inlineStr">
        <is>
          <t>STRÖMSUND</t>
        </is>
      </c>
      <c r="F76" t="inlineStr">
        <is>
          <t>SCA</t>
        </is>
      </c>
      <c r="G76" t="n">
        <v>9</v>
      </c>
      <c r="H76" t="n">
        <v>2</v>
      </c>
      <c r="I76" t="n">
        <v>1</v>
      </c>
      <c r="J76" t="n">
        <v>3</v>
      </c>
      <c r="K76" t="n">
        <v>1</v>
      </c>
      <c r="L76" t="n">
        <v>0</v>
      </c>
      <c r="M76" t="n">
        <v>0</v>
      </c>
      <c r="N76" t="n">
        <v>0</v>
      </c>
      <c r="O76" t="n">
        <v>4</v>
      </c>
      <c r="P76" t="n">
        <v>1</v>
      </c>
      <c r="Q76" t="n">
        <v>6</v>
      </c>
      <c r="R76" s="2" t="inlineStr">
        <is>
          <t>Norsk näverlav
Gammelgransskål
Garnlav
Skrovellav
Tvåblad
Brudsporre</t>
        </is>
      </c>
      <c r="S76">
        <f>HYPERLINK("https://klasma.github.io/Logging_2313/artfynd/A 51664-2025 artfynd.xlsx", "A 51664-2025")</f>
        <v/>
      </c>
      <c r="T76">
        <f>HYPERLINK("https://klasma.github.io/Logging_2313/kartor/A 51664-2025 karta.png", "A 51664-2025")</f>
        <v/>
      </c>
      <c r="V76">
        <f>HYPERLINK("https://klasma.github.io/Logging_2313/klagomål/A 51664-2025 FSC-klagomål.docx", "A 51664-2025")</f>
        <v/>
      </c>
      <c r="W76">
        <f>HYPERLINK("https://klasma.github.io/Logging_2313/klagomålsmail/A 51664-2025 FSC-klagomål mail.docx", "A 51664-2025")</f>
        <v/>
      </c>
      <c r="X76">
        <f>HYPERLINK("https://klasma.github.io/Logging_2313/tillsyn/A 51664-2025 tillsynsbegäran.docx", "A 51664-2025")</f>
        <v/>
      </c>
      <c r="Y76">
        <f>HYPERLINK("https://klasma.github.io/Logging_2313/tillsynsmail/A 51664-2025 tillsynsbegäran mail.docx", "A 51664-2025")</f>
        <v/>
      </c>
    </row>
    <row r="77" ht="15" customHeight="1">
      <c r="A77" t="inlineStr">
        <is>
          <t>A 30233-2022</t>
        </is>
      </c>
      <c r="B77" s="1" t="n">
        <v>44757</v>
      </c>
      <c r="C77" s="1" t="n">
        <v>46033</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46033</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60741-2022</t>
        </is>
      </c>
      <c r="B79" s="1" t="n">
        <v>44913</v>
      </c>
      <c r="C79" s="1" t="n">
        <v>46033</v>
      </c>
      <c r="D79" t="inlineStr">
        <is>
          <t>JÄMTLANDS LÄN</t>
        </is>
      </c>
      <c r="E79" t="inlineStr">
        <is>
          <t>STRÖMSUND</t>
        </is>
      </c>
      <c r="F79" t="inlineStr">
        <is>
          <t>SCA</t>
        </is>
      </c>
      <c r="G79" t="n">
        <v>6.7</v>
      </c>
      <c r="H79" t="n">
        <v>5</v>
      </c>
      <c r="I79" t="n">
        <v>0</v>
      </c>
      <c r="J79" t="n">
        <v>4</v>
      </c>
      <c r="K79" t="n">
        <v>0</v>
      </c>
      <c r="L79" t="n">
        <v>0</v>
      </c>
      <c r="M79" t="n">
        <v>0</v>
      </c>
      <c r="N79" t="n">
        <v>0</v>
      </c>
      <c r="O79" t="n">
        <v>4</v>
      </c>
      <c r="P79" t="n">
        <v>0</v>
      </c>
      <c r="Q79" t="n">
        <v>6</v>
      </c>
      <c r="R79" s="2" t="inlineStr">
        <is>
          <t>Harticka
Spillkråka
Talltita
Tretåig hackspett
Lavskrika
Revlummer</t>
        </is>
      </c>
      <c r="S79">
        <f>HYPERLINK("https://klasma.github.io/Logging_2313/artfynd/A 60741-2022 artfynd.xlsx", "A 60741-2022")</f>
        <v/>
      </c>
      <c r="T79">
        <f>HYPERLINK("https://klasma.github.io/Logging_2313/kartor/A 60741-2022 karta.png", "A 60741-2022")</f>
        <v/>
      </c>
      <c r="V79">
        <f>HYPERLINK("https://klasma.github.io/Logging_2313/klagomål/A 60741-2022 FSC-klagomål.docx", "A 60741-2022")</f>
        <v/>
      </c>
      <c r="W79">
        <f>HYPERLINK("https://klasma.github.io/Logging_2313/klagomålsmail/A 60741-2022 FSC-klagomål mail.docx", "A 60741-2022")</f>
        <v/>
      </c>
      <c r="X79">
        <f>HYPERLINK("https://klasma.github.io/Logging_2313/tillsyn/A 60741-2022 tillsynsbegäran.docx", "A 60741-2022")</f>
        <v/>
      </c>
      <c r="Y79">
        <f>HYPERLINK("https://klasma.github.io/Logging_2313/tillsynsmail/A 60741-2022 tillsynsbegäran mail.docx", "A 60741-2022")</f>
        <v/>
      </c>
      <c r="Z79">
        <f>HYPERLINK("https://klasma.github.io/Logging_2313/fåglar/A 60741-2022 prioriterade fågelarter.docx", "A 60741-2022")</f>
        <v/>
      </c>
    </row>
    <row r="80" ht="15" customHeight="1">
      <c r="A80" t="inlineStr">
        <is>
          <t>A 46723-2025</t>
        </is>
      </c>
      <c r="B80" s="1" t="n">
        <v>45926.58501157408</v>
      </c>
      <c r="C80" s="1" t="n">
        <v>46033</v>
      </c>
      <c r="D80" t="inlineStr">
        <is>
          <t>JÄMTLANDS LÄN</t>
        </is>
      </c>
      <c r="E80" t="inlineStr">
        <is>
          <t>STRÖMSUND</t>
        </is>
      </c>
      <c r="G80" t="n">
        <v>8.5</v>
      </c>
      <c r="H80" t="n">
        <v>6</v>
      </c>
      <c r="I80" t="n">
        <v>1</v>
      </c>
      <c r="J80" t="n">
        <v>3</v>
      </c>
      <c r="K80" t="n">
        <v>0</v>
      </c>
      <c r="L80" t="n">
        <v>0</v>
      </c>
      <c r="M80" t="n">
        <v>0</v>
      </c>
      <c r="N80" t="n">
        <v>0</v>
      </c>
      <c r="O80" t="n">
        <v>3</v>
      </c>
      <c r="P80" t="n">
        <v>0</v>
      </c>
      <c r="Q80" t="n">
        <v>6</v>
      </c>
      <c r="R80" s="2" t="inlineStr">
        <is>
          <t>Grönsångare
Talltita
Tretåig hackspett
Guckusko
Kungsfågel
Fläcknycklar</t>
        </is>
      </c>
      <c r="S80">
        <f>HYPERLINK("https://klasma.github.io/Logging_2313/artfynd/A 46723-2025 artfynd.xlsx", "A 46723-2025")</f>
        <v/>
      </c>
      <c r="T80">
        <f>HYPERLINK("https://klasma.github.io/Logging_2313/kartor/A 46723-2025 karta.png", "A 46723-2025")</f>
        <v/>
      </c>
      <c r="V80">
        <f>HYPERLINK("https://klasma.github.io/Logging_2313/klagomål/A 46723-2025 FSC-klagomål.docx", "A 46723-2025")</f>
        <v/>
      </c>
      <c r="W80">
        <f>HYPERLINK("https://klasma.github.io/Logging_2313/klagomålsmail/A 46723-2025 FSC-klagomål mail.docx", "A 46723-2025")</f>
        <v/>
      </c>
      <c r="X80">
        <f>HYPERLINK("https://klasma.github.io/Logging_2313/tillsyn/A 46723-2025 tillsynsbegäran.docx", "A 46723-2025")</f>
        <v/>
      </c>
      <c r="Y80">
        <f>HYPERLINK("https://klasma.github.io/Logging_2313/tillsynsmail/A 46723-2025 tillsynsbegäran mail.docx", "A 46723-2025")</f>
        <v/>
      </c>
      <c r="Z80">
        <f>HYPERLINK("https://klasma.github.io/Logging_2313/fåglar/A 46723-2025 prioriterade fågelarter.docx", "A 46723-2025")</f>
        <v/>
      </c>
    </row>
    <row r="81" ht="15" customHeight="1">
      <c r="A81" t="inlineStr">
        <is>
          <t>A 40013-2025</t>
        </is>
      </c>
      <c r="B81" s="1" t="n">
        <v>45894.345</v>
      </c>
      <c r="C81" s="1" t="n">
        <v>46033</v>
      </c>
      <c r="D81" t="inlineStr">
        <is>
          <t>JÄMTLANDS LÄN</t>
        </is>
      </c>
      <c r="E81" t="inlineStr">
        <is>
          <t>STRÖMSUND</t>
        </is>
      </c>
      <c r="F81" t="inlineStr">
        <is>
          <t>SCA</t>
        </is>
      </c>
      <c r="G81" t="n">
        <v>2.7</v>
      </c>
      <c r="H81" t="n">
        <v>1</v>
      </c>
      <c r="I81" t="n">
        <v>1</v>
      </c>
      <c r="J81" t="n">
        <v>5</v>
      </c>
      <c r="K81" t="n">
        <v>0</v>
      </c>
      <c r="L81" t="n">
        <v>0</v>
      </c>
      <c r="M81" t="n">
        <v>0</v>
      </c>
      <c r="N81" t="n">
        <v>0</v>
      </c>
      <c r="O81" t="n">
        <v>5</v>
      </c>
      <c r="P81" t="n">
        <v>0</v>
      </c>
      <c r="Q81" t="n">
        <v>6</v>
      </c>
      <c r="R81" s="2" t="inlineStr">
        <is>
          <t>Doftskinn
Garnlav
Harticka
Lunglav
Tretåig hackspett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50212-2025</t>
        </is>
      </c>
      <c r="B82" s="1" t="n">
        <v>45943.67789351852</v>
      </c>
      <c r="C82" s="1" t="n">
        <v>46033</v>
      </c>
      <c r="D82" t="inlineStr">
        <is>
          <t>JÄMTLANDS LÄN</t>
        </is>
      </c>
      <c r="E82" t="inlineStr">
        <is>
          <t>STRÖMSUND</t>
        </is>
      </c>
      <c r="F82" t="inlineStr">
        <is>
          <t>SCA</t>
        </is>
      </c>
      <c r="G82" t="n">
        <v>2.7</v>
      </c>
      <c r="H82" t="n">
        <v>1</v>
      </c>
      <c r="I82" t="n">
        <v>2</v>
      </c>
      <c r="J82" t="n">
        <v>4</v>
      </c>
      <c r="K82" t="n">
        <v>0</v>
      </c>
      <c r="L82" t="n">
        <v>0</v>
      </c>
      <c r="M82" t="n">
        <v>0</v>
      </c>
      <c r="N82" t="n">
        <v>0</v>
      </c>
      <c r="O82" t="n">
        <v>4</v>
      </c>
      <c r="P82" t="n">
        <v>0</v>
      </c>
      <c r="Q82" t="n">
        <v>6</v>
      </c>
      <c r="R82" s="2" t="inlineStr">
        <is>
          <t>Granticka
Harticka
Lunglav
Rosenticka
Guckusko
Stuplav</t>
        </is>
      </c>
      <c r="S82">
        <f>HYPERLINK("https://klasma.github.io/Logging_2313/artfynd/A 50212-2025 artfynd.xlsx", "A 50212-2025")</f>
        <v/>
      </c>
      <c r="T82">
        <f>HYPERLINK("https://klasma.github.io/Logging_2313/kartor/A 50212-2025 karta.png", "A 50212-2025")</f>
        <v/>
      </c>
      <c r="V82">
        <f>HYPERLINK("https://klasma.github.io/Logging_2313/klagomål/A 50212-2025 FSC-klagomål.docx", "A 50212-2025")</f>
        <v/>
      </c>
      <c r="W82">
        <f>HYPERLINK("https://klasma.github.io/Logging_2313/klagomålsmail/A 50212-2025 FSC-klagomål mail.docx", "A 50212-2025")</f>
        <v/>
      </c>
      <c r="X82">
        <f>HYPERLINK("https://klasma.github.io/Logging_2313/tillsyn/A 50212-2025 tillsynsbegäran.docx", "A 50212-2025")</f>
        <v/>
      </c>
      <c r="Y82">
        <f>HYPERLINK("https://klasma.github.io/Logging_2313/tillsynsmail/A 50212-2025 tillsynsbegäran mail.docx", "A 50212-2025")</f>
        <v/>
      </c>
    </row>
    <row r="83" ht="15" customHeight="1">
      <c r="A83" t="inlineStr">
        <is>
          <t>A 34646-2025</t>
        </is>
      </c>
      <c r="B83" s="1" t="n">
        <v>45848.34456018519</v>
      </c>
      <c r="C83" s="1" t="n">
        <v>46033</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46033</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54269-2025</t>
        </is>
      </c>
      <c r="B85" s="1" t="n">
        <v>45964.67756944444</v>
      </c>
      <c r="C85" s="1" t="n">
        <v>46033</v>
      </c>
      <c r="D85" t="inlineStr">
        <is>
          <t>JÄMTLANDS LÄN</t>
        </is>
      </c>
      <c r="E85" t="inlineStr">
        <is>
          <t>STRÖMSUND</t>
        </is>
      </c>
      <c r="F85" t="inlineStr">
        <is>
          <t>SCA</t>
        </is>
      </c>
      <c r="G85" t="n">
        <v>4.8</v>
      </c>
      <c r="H85" t="n">
        <v>0</v>
      </c>
      <c r="I85" t="n">
        <v>3</v>
      </c>
      <c r="J85" t="n">
        <v>3</v>
      </c>
      <c r="K85" t="n">
        <v>0</v>
      </c>
      <c r="L85" t="n">
        <v>0</v>
      </c>
      <c r="M85" t="n">
        <v>0</v>
      </c>
      <c r="N85" t="n">
        <v>0</v>
      </c>
      <c r="O85" t="n">
        <v>3</v>
      </c>
      <c r="P85" t="n">
        <v>0</v>
      </c>
      <c r="Q85" t="n">
        <v>6</v>
      </c>
      <c r="R85" s="2" t="inlineStr">
        <is>
          <t>Gammelgransskål
Granticka
Stjärntagging
Stuplav
Trådticka
Vedticka</t>
        </is>
      </c>
      <c r="S85">
        <f>HYPERLINK("https://klasma.github.io/Logging_2313/artfynd/A 54269-2025 artfynd.xlsx", "A 54269-2025")</f>
        <v/>
      </c>
      <c r="T85">
        <f>HYPERLINK("https://klasma.github.io/Logging_2313/kartor/A 54269-2025 karta.png", "A 54269-2025")</f>
        <v/>
      </c>
      <c r="V85">
        <f>HYPERLINK("https://klasma.github.io/Logging_2313/klagomål/A 54269-2025 FSC-klagomål.docx", "A 54269-2025")</f>
        <v/>
      </c>
      <c r="W85">
        <f>HYPERLINK("https://klasma.github.io/Logging_2313/klagomålsmail/A 54269-2025 FSC-klagomål mail.docx", "A 54269-2025")</f>
        <v/>
      </c>
      <c r="X85">
        <f>HYPERLINK("https://klasma.github.io/Logging_2313/tillsyn/A 54269-2025 tillsynsbegäran.docx", "A 54269-2025")</f>
        <v/>
      </c>
      <c r="Y85">
        <f>HYPERLINK("https://klasma.github.io/Logging_2313/tillsynsmail/A 54269-2025 tillsynsbegäran mail.docx", "A 54269-2025")</f>
        <v/>
      </c>
    </row>
    <row r="86" ht="15" customHeight="1">
      <c r="A86" t="inlineStr">
        <is>
          <t>A 52582-2024</t>
        </is>
      </c>
      <c r="B86" s="1" t="n">
        <v>45609.67738425926</v>
      </c>
      <c r="C86" s="1" t="n">
        <v>46033</v>
      </c>
      <c r="D86" t="inlineStr">
        <is>
          <t>JÄMTLANDS LÄN</t>
        </is>
      </c>
      <c r="E86" t="inlineStr">
        <is>
          <t>STRÖMSUND</t>
        </is>
      </c>
      <c r="F86" t="inlineStr">
        <is>
          <t>SCA</t>
        </is>
      </c>
      <c r="G86" t="n">
        <v>2.5</v>
      </c>
      <c r="H86" t="n">
        <v>2</v>
      </c>
      <c r="I86" t="n">
        <v>1</v>
      </c>
      <c r="J86" t="n">
        <v>4</v>
      </c>
      <c r="K86" t="n">
        <v>1</v>
      </c>
      <c r="L86" t="n">
        <v>0</v>
      </c>
      <c r="M86" t="n">
        <v>0</v>
      </c>
      <c r="N86" t="n">
        <v>0</v>
      </c>
      <c r="O86" t="n">
        <v>5</v>
      </c>
      <c r="P86" t="n">
        <v>1</v>
      </c>
      <c r="Q86" t="n">
        <v>6</v>
      </c>
      <c r="R86" s="2" t="inlineStr">
        <is>
          <t>Knärot
Kolflarnlav
Mörk kolflarnlav
Svart taggsvamp
Tretåig hackspett
Dropptaggsvamp</t>
        </is>
      </c>
      <c r="S86">
        <f>HYPERLINK("https://klasma.github.io/Logging_2313/artfynd/A 52582-2024 artfynd.xlsx", "A 52582-2024")</f>
        <v/>
      </c>
      <c r="T86">
        <f>HYPERLINK("https://klasma.github.io/Logging_2313/kartor/A 52582-2024 karta.png", "A 52582-2024")</f>
        <v/>
      </c>
      <c r="U86">
        <f>HYPERLINK("https://klasma.github.io/Logging_2313/knärot/A 52582-2024 karta knärot.png", "A 52582-2024")</f>
        <v/>
      </c>
      <c r="V86">
        <f>HYPERLINK("https://klasma.github.io/Logging_2313/klagomål/A 52582-2024 FSC-klagomål.docx", "A 52582-2024")</f>
        <v/>
      </c>
      <c r="W86">
        <f>HYPERLINK("https://klasma.github.io/Logging_2313/klagomålsmail/A 52582-2024 FSC-klagomål mail.docx", "A 52582-2024")</f>
        <v/>
      </c>
      <c r="X86">
        <f>HYPERLINK("https://klasma.github.io/Logging_2313/tillsyn/A 52582-2024 tillsynsbegäran.docx", "A 52582-2024")</f>
        <v/>
      </c>
      <c r="Y86">
        <f>HYPERLINK("https://klasma.github.io/Logging_2313/tillsynsmail/A 52582-2024 tillsynsbegäran mail.docx", "A 52582-2024")</f>
        <v/>
      </c>
      <c r="Z86">
        <f>HYPERLINK("https://klasma.github.io/Logging_2313/fåglar/A 52582-2024 prioriterade fågelarter.docx", "A 52582-2024")</f>
        <v/>
      </c>
    </row>
    <row r="87" ht="15" customHeight="1">
      <c r="A87" t="inlineStr">
        <is>
          <t>A 49769-2024</t>
        </is>
      </c>
      <c r="B87" s="1" t="n">
        <v>45597.34450231482</v>
      </c>
      <c r="C87" s="1" t="n">
        <v>46033</v>
      </c>
      <c r="D87" t="inlineStr">
        <is>
          <t>JÄMTLANDS LÄN</t>
        </is>
      </c>
      <c r="E87" t="inlineStr">
        <is>
          <t>STRÖMSUND</t>
        </is>
      </c>
      <c r="F87" t="inlineStr">
        <is>
          <t>SCA</t>
        </is>
      </c>
      <c r="G87" t="n">
        <v>9.300000000000001</v>
      </c>
      <c r="H87" t="n">
        <v>0</v>
      </c>
      <c r="I87" t="n">
        <v>2</v>
      </c>
      <c r="J87" t="n">
        <v>4</v>
      </c>
      <c r="K87" t="n">
        <v>0</v>
      </c>
      <c r="L87" t="n">
        <v>0</v>
      </c>
      <c r="M87" t="n">
        <v>0</v>
      </c>
      <c r="N87" t="n">
        <v>0</v>
      </c>
      <c r="O87" t="n">
        <v>4</v>
      </c>
      <c r="P87" t="n">
        <v>0</v>
      </c>
      <c r="Q87" t="n">
        <v>6</v>
      </c>
      <c r="R87" s="2" t="inlineStr">
        <is>
          <t>Gammelgransskål
Garnlav
Lunglav
Violettgrå tagellav
Skinnlav
Stuplav</t>
        </is>
      </c>
      <c r="S87">
        <f>HYPERLINK("https://klasma.github.io/Logging_2313/artfynd/A 49769-2024 artfynd.xlsx", "A 49769-2024")</f>
        <v/>
      </c>
      <c r="T87">
        <f>HYPERLINK("https://klasma.github.io/Logging_2313/kartor/A 49769-2024 karta.png", "A 49769-2024")</f>
        <v/>
      </c>
      <c r="V87">
        <f>HYPERLINK("https://klasma.github.io/Logging_2313/klagomål/A 49769-2024 FSC-klagomål.docx", "A 49769-2024")</f>
        <v/>
      </c>
      <c r="W87">
        <f>HYPERLINK("https://klasma.github.io/Logging_2313/klagomålsmail/A 49769-2024 FSC-klagomål mail.docx", "A 49769-2024")</f>
        <v/>
      </c>
      <c r="X87">
        <f>HYPERLINK("https://klasma.github.io/Logging_2313/tillsyn/A 49769-2024 tillsynsbegäran.docx", "A 49769-2024")</f>
        <v/>
      </c>
      <c r="Y87">
        <f>HYPERLINK("https://klasma.github.io/Logging_2313/tillsynsmail/A 49769-2024 tillsynsbegäran mail.docx", "A 49769-2024")</f>
        <v/>
      </c>
    </row>
    <row r="88" ht="15" customHeight="1">
      <c r="A88" t="inlineStr">
        <is>
          <t>A 538-2023</t>
        </is>
      </c>
      <c r="B88" s="1" t="n">
        <v>44930</v>
      </c>
      <c r="C88" s="1" t="n">
        <v>46033</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36365-2022</t>
        </is>
      </c>
      <c r="B89" s="1" t="n">
        <v>44803</v>
      </c>
      <c r="C89" s="1" t="n">
        <v>46033</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45564-2024</t>
        </is>
      </c>
      <c r="B90" s="1" t="n">
        <v>45579.37072916667</v>
      </c>
      <c r="C90" s="1" t="n">
        <v>46033</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46033</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46033</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46033</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46033</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46033</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46033</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46033</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46033</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46033</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46033</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46033</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57047-2025</t>
        </is>
      </c>
      <c r="B102" s="1" t="n">
        <v>45979.346875</v>
      </c>
      <c r="C102" s="1" t="n">
        <v>46033</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54887-2023</t>
        </is>
      </c>
      <c r="B103" s="1" t="n">
        <v>45236</v>
      </c>
      <c r="C103" s="1" t="n">
        <v>46033</v>
      </c>
      <c r="D103" t="inlineStr">
        <is>
          <t>JÄMTLANDS LÄN</t>
        </is>
      </c>
      <c r="E103" t="inlineStr">
        <is>
          <t>STRÖMSUND</t>
        </is>
      </c>
      <c r="G103" t="n">
        <v>20.9</v>
      </c>
      <c r="H103" t="n">
        <v>1</v>
      </c>
      <c r="I103" t="n">
        <v>2</v>
      </c>
      <c r="J103" t="n">
        <v>2</v>
      </c>
      <c r="K103" t="n">
        <v>0</v>
      </c>
      <c r="L103" t="n">
        <v>0</v>
      </c>
      <c r="M103" t="n">
        <v>0</v>
      </c>
      <c r="N103" t="n">
        <v>0</v>
      </c>
      <c r="O103" t="n">
        <v>2</v>
      </c>
      <c r="P103" t="n">
        <v>0</v>
      </c>
      <c r="Q103" t="n">
        <v>5</v>
      </c>
      <c r="R103" s="2" t="inlineStr">
        <is>
          <t>Garnlav
Harticka
Finbräken
Kransrams
Blåsippa</t>
        </is>
      </c>
      <c r="S103">
        <f>HYPERLINK("https://klasma.github.io/Logging_2313/artfynd/A 54887-2023 artfynd.xlsx", "A 54887-2023")</f>
        <v/>
      </c>
      <c r="T103">
        <f>HYPERLINK("https://klasma.github.io/Logging_2313/kartor/A 54887-2023 karta.png", "A 54887-2023")</f>
        <v/>
      </c>
      <c r="V103">
        <f>HYPERLINK("https://klasma.github.io/Logging_2313/klagomål/A 54887-2023 FSC-klagomål.docx", "A 54887-2023")</f>
        <v/>
      </c>
      <c r="W103">
        <f>HYPERLINK("https://klasma.github.io/Logging_2313/klagomålsmail/A 54887-2023 FSC-klagomål mail.docx", "A 54887-2023")</f>
        <v/>
      </c>
      <c r="X103">
        <f>HYPERLINK("https://klasma.github.io/Logging_2313/tillsyn/A 54887-2023 tillsynsbegäran.docx", "A 54887-2023")</f>
        <v/>
      </c>
      <c r="Y103">
        <f>HYPERLINK("https://klasma.github.io/Logging_2313/tillsynsmail/A 54887-2023 tillsynsbegäran mail.docx", "A 54887-2023")</f>
        <v/>
      </c>
    </row>
    <row r="104" ht="15" customHeight="1">
      <c r="A104" t="inlineStr">
        <is>
          <t>A 58236-2025</t>
        </is>
      </c>
      <c r="B104" s="1" t="n">
        <v>45985.38736111111</v>
      </c>
      <c r="C104" s="1" t="n">
        <v>46033</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46033</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46033</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46033</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46033</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46033</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46033</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46033</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46033</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46033</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46033</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46033</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46033</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46033</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46033</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46033</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29487-2024</t>
        </is>
      </c>
      <c r="B120" s="1" t="n">
        <v>45484</v>
      </c>
      <c r="C120" s="1" t="n">
        <v>46033</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46033</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38588-2021</t>
        </is>
      </c>
      <c r="B122" s="1" t="n">
        <v>44407</v>
      </c>
      <c r="C122" s="1" t="n">
        <v>46033</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2759-2025</t>
        </is>
      </c>
      <c r="B123" s="1" t="n">
        <v>45674</v>
      </c>
      <c r="C123" s="1" t="n">
        <v>46033</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26299-2025</t>
        </is>
      </c>
      <c r="B124" s="1" t="n">
        <v>45805.6363425926</v>
      </c>
      <c r="C124" s="1" t="n">
        <v>46033</v>
      </c>
      <c r="D124" t="inlineStr">
        <is>
          <t>JÄMTLANDS LÄN</t>
        </is>
      </c>
      <c r="E124" t="inlineStr">
        <is>
          <t>STRÖMSUND</t>
        </is>
      </c>
      <c r="F124" t="inlineStr">
        <is>
          <t>SCA</t>
        </is>
      </c>
      <c r="G124" t="n">
        <v>9.4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HYPERLINK("https://klasma.github.io/Logging_2313/artfynd/A 26299-2025 artfynd.xlsx", "A 26299-2025")</f>
        <v/>
      </c>
      <c r="T124">
        <f>HYPERLINK("https://klasma.github.io/Logging_2313/kartor/A 26299-2025 karta.png", "A 26299-2025")</f>
        <v/>
      </c>
      <c r="V124">
        <f>HYPERLINK("https://klasma.github.io/Logging_2313/klagomål/A 26299-2025 FSC-klagomål.docx", "A 26299-2025")</f>
        <v/>
      </c>
      <c r="W124">
        <f>HYPERLINK("https://klasma.github.io/Logging_2313/klagomålsmail/A 26299-2025 FSC-klagomål mail.docx", "A 26299-2025")</f>
        <v/>
      </c>
      <c r="X124">
        <f>HYPERLINK("https://klasma.github.io/Logging_2313/tillsyn/A 26299-2025 tillsynsbegäran.docx", "A 26299-2025")</f>
        <v/>
      </c>
      <c r="Y124">
        <f>HYPERLINK("https://klasma.github.io/Logging_2313/tillsynsmail/A 26299-2025 tillsynsbegäran mail.docx", "A 26299-2025")</f>
        <v/>
      </c>
      <c r="Z124">
        <f>HYPERLINK("https://klasma.github.io/Logging_2313/fåglar/A 26299-2025 prioriterade fågelarter.docx", "A 26299-2025")</f>
        <v/>
      </c>
    </row>
    <row r="125" ht="15" customHeight="1">
      <c r="A125" t="inlineStr">
        <is>
          <t>A 33887-2025</t>
        </is>
      </c>
      <c r="B125" s="1" t="n">
        <v>45842.57335648148</v>
      </c>
      <c r="C125" s="1" t="n">
        <v>46033</v>
      </c>
      <c r="D125" t="inlineStr">
        <is>
          <t>JÄMTLANDS LÄN</t>
        </is>
      </c>
      <c r="E125" t="inlineStr">
        <is>
          <t>STRÖMSUND</t>
        </is>
      </c>
      <c r="F125" t="inlineStr">
        <is>
          <t>SCA</t>
        </is>
      </c>
      <c r="G125" t="n">
        <v>7.3</v>
      </c>
      <c r="H125" t="n">
        <v>3</v>
      </c>
      <c r="I125" t="n">
        <v>0</v>
      </c>
      <c r="J125" t="n">
        <v>3</v>
      </c>
      <c r="K125" t="n">
        <v>0</v>
      </c>
      <c r="L125" t="n">
        <v>0</v>
      </c>
      <c r="M125" t="n">
        <v>0</v>
      </c>
      <c r="N125" t="n">
        <v>0</v>
      </c>
      <c r="O125" t="n">
        <v>3</v>
      </c>
      <c r="P125" t="n">
        <v>0</v>
      </c>
      <c r="Q125" t="n">
        <v>4</v>
      </c>
      <c r="R125" s="2" t="inlineStr">
        <is>
          <t>Lunglav
Spillkråka
Tretåig hackspett
Lavskrika</t>
        </is>
      </c>
      <c r="S125">
        <f>HYPERLINK("https://klasma.github.io/Logging_2313/artfynd/A 33887-2025 artfynd.xlsx", "A 33887-2025")</f>
        <v/>
      </c>
      <c r="T125">
        <f>HYPERLINK("https://klasma.github.io/Logging_2313/kartor/A 33887-2025 karta.png", "A 33887-2025")</f>
        <v/>
      </c>
      <c r="V125">
        <f>HYPERLINK("https://klasma.github.io/Logging_2313/klagomål/A 33887-2025 FSC-klagomål.docx", "A 33887-2025")</f>
        <v/>
      </c>
      <c r="W125">
        <f>HYPERLINK("https://klasma.github.io/Logging_2313/klagomålsmail/A 33887-2025 FSC-klagomål mail.docx", "A 33887-2025")</f>
        <v/>
      </c>
      <c r="X125">
        <f>HYPERLINK("https://klasma.github.io/Logging_2313/tillsyn/A 33887-2025 tillsynsbegäran.docx", "A 33887-2025")</f>
        <v/>
      </c>
      <c r="Y125">
        <f>HYPERLINK("https://klasma.github.io/Logging_2313/tillsynsmail/A 33887-2025 tillsynsbegäran mail.docx", "A 33887-2025")</f>
        <v/>
      </c>
      <c r="Z125">
        <f>HYPERLINK("https://klasma.github.io/Logging_2313/fåglar/A 33887-2025 prioriterade fågelarter.docx", "A 33887-2025")</f>
        <v/>
      </c>
    </row>
    <row r="126" ht="15" customHeight="1">
      <c r="A126" t="inlineStr">
        <is>
          <t>A 54345-2025</t>
        </is>
      </c>
      <c r="B126" s="1" t="n">
        <v>45965.36506944444</v>
      </c>
      <c r="C126" s="1" t="n">
        <v>46033</v>
      </c>
      <c r="D126" t="inlineStr">
        <is>
          <t>JÄMTLANDS LÄN</t>
        </is>
      </c>
      <c r="E126" t="inlineStr">
        <is>
          <t>STRÖMSUND</t>
        </is>
      </c>
      <c r="F126" t="inlineStr">
        <is>
          <t>SCA</t>
        </is>
      </c>
      <c r="G126" t="n">
        <v>5.6</v>
      </c>
      <c r="H126" t="n">
        <v>0</v>
      </c>
      <c r="I126" t="n">
        <v>2</v>
      </c>
      <c r="J126" t="n">
        <v>2</v>
      </c>
      <c r="K126" t="n">
        <v>0</v>
      </c>
      <c r="L126" t="n">
        <v>0</v>
      </c>
      <c r="M126" t="n">
        <v>0</v>
      </c>
      <c r="N126" t="n">
        <v>0</v>
      </c>
      <c r="O126" t="n">
        <v>2</v>
      </c>
      <c r="P126" t="n">
        <v>0</v>
      </c>
      <c r="Q126" t="n">
        <v>4</v>
      </c>
      <c r="R126" s="2" t="inlineStr">
        <is>
          <t>Garnlav
Skrovellav
Bårdlav
Stuplav</t>
        </is>
      </c>
      <c r="S126">
        <f>HYPERLINK("https://klasma.github.io/Logging_2313/artfynd/A 54345-2025 artfynd.xlsx", "A 54345-2025")</f>
        <v/>
      </c>
      <c r="T126">
        <f>HYPERLINK("https://klasma.github.io/Logging_2313/kartor/A 54345-2025 karta.png", "A 54345-2025")</f>
        <v/>
      </c>
      <c r="V126">
        <f>HYPERLINK("https://klasma.github.io/Logging_2313/klagomål/A 54345-2025 FSC-klagomål.docx", "A 54345-2025")</f>
        <v/>
      </c>
      <c r="W126">
        <f>HYPERLINK("https://klasma.github.io/Logging_2313/klagomålsmail/A 54345-2025 FSC-klagomål mail.docx", "A 54345-2025")</f>
        <v/>
      </c>
      <c r="X126">
        <f>HYPERLINK("https://klasma.github.io/Logging_2313/tillsyn/A 54345-2025 tillsynsbegäran.docx", "A 54345-2025")</f>
        <v/>
      </c>
      <c r="Y126">
        <f>HYPERLINK("https://klasma.github.io/Logging_2313/tillsynsmail/A 54345-2025 tillsynsbegäran mail.docx", "A 54345-2025")</f>
        <v/>
      </c>
    </row>
    <row r="127" ht="15" customHeight="1">
      <c r="A127" t="inlineStr">
        <is>
          <t>A 48370-2024</t>
        </is>
      </c>
      <c r="B127" s="1" t="n">
        <v>45590.57973379629</v>
      </c>
      <c r="C127" s="1" t="n">
        <v>46033</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58717-2025</t>
        </is>
      </c>
      <c r="B128" s="1" t="n">
        <v>45986.61508101852</v>
      </c>
      <c r="C128" s="1" t="n">
        <v>46033</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36910-2024</t>
        </is>
      </c>
      <c r="B129" s="1" t="n">
        <v>45538.63592592593</v>
      </c>
      <c r="C129" s="1" t="n">
        <v>46033</v>
      </c>
      <c r="D129" t="inlineStr">
        <is>
          <t>JÄMTLANDS LÄN</t>
        </is>
      </c>
      <c r="E129" t="inlineStr">
        <is>
          <t>STRÖMSUND</t>
        </is>
      </c>
      <c r="F129" t="inlineStr">
        <is>
          <t>SCA</t>
        </is>
      </c>
      <c r="G129" t="n">
        <v>4.8</v>
      </c>
      <c r="H129" t="n">
        <v>0</v>
      </c>
      <c r="I129" t="n">
        <v>2</v>
      </c>
      <c r="J129" t="n">
        <v>2</v>
      </c>
      <c r="K129" t="n">
        <v>0</v>
      </c>
      <c r="L129" t="n">
        <v>0</v>
      </c>
      <c r="M129" t="n">
        <v>0</v>
      </c>
      <c r="N129" t="n">
        <v>0</v>
      </c>
      <c r="O129" t="n">
        <v>2</v>
      </c>
      <c r="P129" t="n">
        <v>0</v>
      </c>
      <c r="Q129" t="n">
        <v>4</v>
      </c>
      <c r="R129" s="2" t="inlineStr">
        <is>
          <t>Blå taggsvamp
Skrovlig taggsvamp
Dropptaggsvamp
Skarp dropptaggsvamp</t>
        </is>
      </c>
      <c r="S129">
        <f>HYPERLINK("https://klasma.github.io/Logging_2313/artfynd/A 36910-2024 artfynd.xlsx", "A 36910-2024")</f>
        <v/>
      </c>
      <c r="T129">
        <f>HYPERLINK("https://klasma.github.io/Logging_2313/kartor/A 36910-2024 karta.png", "A 36910-2024")</f>
        <v/>
      </c>
      <c r="V129">
        <f>HYPERLINK("https://klasma.github.io/Logging_2313/klagomål/A 36910-2024 FSC-klagomål.docx", "A 36910-2024")</f>
        <v/>
      </c>
      <c r="W129">
        <f>HYPERLINK("https://klasma.github.io/Logging_2313/klagomålsmail/A 36910-2024 FSC-klagomål mail.docx", "A 36910-2024")</f>
        <v/>
      </c>
      <c r="X129">
        <f>HYPERLINK("https://klasma.github.io/Logging_2313/tillsyn/A 36910-2024 tillsynsbegäran.docx", "A 36910-2024")</f>
        <v/>
      </c>
      <c r="Y129">
        <f>HYPERLINK("https://klasma.github.io/Logging_2313/tillsynsmail/A 36910-2024 tillsynsbegäran mail.docx", "A 36910-2024")</f>
        <v/>
      </c>
    </row>
    <row r="130" ht="15" customHeight="1">
      <c r="A130" t="inlineStr">
        <is>
          <t>A 51873-2023</t>
        </is>
      </c>
      <c r="B130" s="1" t="n">
        <v>45215</v>
      </c>
      <c r="C130" s="1" t="n">
        <v>46033</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36208-2023</t>
        </is>
      </c>
      <c r="B131" s="1" t="n">
        <v>45149</v>
      </c>
      <c r="C131" s="1" t="n">
        <v>46033</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46033</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46033</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46033</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46033</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46033</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46033</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33243-2024</t>
        </is>
      </c>
      <c r="B138" s="1" t="n">
        <v>45518.61494212963</v>
      </c>
      <c r="C138" s="1" t="n">
        <v>46033</v>
      </c>
      <c r="D138" t="inlineStr">
        <is>
          <t>JÄMTLANDS LÄN</t>
        </is>
      </c>
      <c r="E138" t="inlineStr">
        <is>
          <t>STRÖMSUND</t>
        </is>
      </c>
      <c r="G138" t="n">
        <v>8.4</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HYPERLINK("https://klasma.github.io/Logging_2313/artfynd/A 33243-2024 artfynd.xlsx", "A 33243-2024")</f>
        <v/>
      </c>
      <c r="T138">
        <f>HYPERLINK("https://klasma.github.io/Logging_2313/kartor/A 33243-2024 karta.png", "A 33243-2024")</f>
        <v/>
      </c>
      <c r="V138">
        <f>HYPERLINK("https://klasma.github.io/Logging_2313/klagomål/A 33243-2024 FSC-klagomål.docx", "A 33243-2024")</f>
        <v/>
      </c>
      <c r="W138">
        <f>HYPERLINK("https://klasma.github.io/Logging_2313/klagomålsmail/A 33243-2024 FSC-klagomål mail.docx", "A 33243-2024")</f>
        <v/>
      </c>
      <c r="X138">
        <f>HYPERLINK("https://klasma.github.io/Logging_2313/tillsyn/A 33243-2024 tillsynsbegäran.docx", "A 33243-2024")</f>
        <v/>
      </c>
      <c r="Y138">
        <f>HYPERLINK("https://klasma.github.io/Logging_2313/tillsynsmail/A 33243-2024 tillsynsbegäran mail.docx", "A 33243-2024")</f>
        <v/>
      </c>
      <c r="Z138">
        <f>HYPERLINK("https://klasma.github.io/Logging_2313/fåglar/A 33243-2024 prioriterade fågelarter.docx", "A 33243-2024")</f>
        <v/>
      </c>
    </row>
    <row r="139" ht="15" customHeight="1">
      <c r="A139" t="inlineStr">
        <is>
          <t>A 14155-2024</t>
        </is>
      </c>
      <c r="B139" s="1" t="n">
        <v>45392.92886574074</v>
      </c>
      <c r="C139" s="1" t="n">
        <v>46033</v>
      </c>
      <c r="D139" t="inlineStr">
        <is>
          <t>JÄMTLANDS LÄN</t>
        </is>
      </c>
      <c r="E139" t="inlineStr">
        <is>
          <t>STRÖMSUND</t>
        </is>
      </c>
      <c r="G139" t="n">
        <v>2.4</v>
      </c>
      <c r="H139" t="n">
        <v>1</v>
      </c>
      <c r="I139" t="n">
        <v>0</v>
      </c>
      <c r="J139" t="n">
        <v>3</v>
      </c>
      <c r="K139" t="n">
        <v>0</v>
      </c>
      <c r="L139" t="n">
        <v>0</v>
      </c>
      <c r="M139" t="n">
        <v>0</v>
      </c>
      <c r="N139" t="n">
        <v>0</v>
      </c>
      <c r="O139" t="n">
        <v>3</v>
      </c>
      <c r="P139" t="n">
        <v>0</v>
      </c>
      <c r="Q139" t="n">
        <v>3</v>
      </c>
      <c r="R139" s="2" t="inlineStr">
        <is>
          <t>Garnlav
Tretåig hackspett
Vitgrynig nållav</t>
        </is>
      </c>
      <c r="S139">
        <f>HYPERLINK("https://klasma.github.io/Logging_2313/artfynd/A 14155-2024 artfynd.xlsx", "A 14155-2024")</f>
        <v/>
      </c>
      <c r="T139">
        <f>HYPERLINK("https://klasma.github.io/Logging_2313/kartor/A 14155-2024 karta.png", "A 14155-2024")</f>
        <v/>
      </c>
      <c r="V139">
        <f>HYPERLINK("https://klasma.github.io/Logging_2313/klagomål/A 14155-2024 FSC-klagomål.docx", "A 14155-2024")</f>
        <v/>
      </c>
      <c r="W139">
        <f>HYPERLINK("https://klasma.github.io/Logging_2313/klagomålsmail/A 14155-2024 FSC-klagomål mail.docx", "A 14155-2024")</f>
        <v/>
      </c>
      <c r="X139">
        <f>HYPERLINK("https://klasma.github.io/Logging_2313/tillsyn/A 14155-2024 tillsynsbegäran.docx", "A 14155-2024")</f>
        <v/>
      </c>
      <c r="Y139">
        <f>HYPERLINK("https://klasma.github.io/Logging_2313/tillsynsmail/A 14155-2024 tillsynsbegäran mail.docx", "A 14155-2024")</f>
        <v/>
      </c>
      <c r="Z139">
        <f>HYPERLINK("https://klasma.github.io/Logging_2313/fåglar/A 14155-2024 prioriterade fågelarter.docx", "A 14155-2024")</f>
        <v/>
      </c>
    </row>
    <row r="140" ht="15" customHeight="1">
      <c r="A140" t="inlineStr">
        <is>
          <t>A 23632-2025</t>
        </is>
      </c>
      <c r="B140" s="1" t="n">
        <v>45792.67777777778</v>
      </c>
      <c r="C140" s="1" t="n">
        <v>46033</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40879-2025</t>
        </is>
      </c>
      <c r="B141" s="1" t="n">
        <v>45897.58763888889</v>
      </c>
      <c r="C141" s="1" t="n">
        <v>46033</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14533-2025</t>
        </is>
      </c>
      <c r="B142" s="1" t="n">
        <v>45741.65703703704</v>
      </c>
      <c r="C142" s="1" t="n">
        <v>46033</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41657-2025</t>
        </is>
      </c>
      <c r="B143" s="1" t="n">
        <v>45902.34438657408</v>
      </c>
      <c r="C143" s="1" t="n">
        <v>46033</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26367-2025</t>
        </is>
      </c>
      <c r="B144" s="1" t="n">
        <v>45806.36490740741</v>
      </c>
      <c r="C144" s="1" t="n">
        <v>46033</v>
      </c>
      <c r="D144" t="inlineStr">
        <is>
          <t>JÄMTLANDS LÄN</t>
        </is>
      </c>
      <c r="E144" t="inlineStr">
        <is>
          <t>STRÖMSUND</t>
        </is>
      </c>
      <c r="G144" t="n">
        <v>5.7</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HYPERLINK("https://klasma.github.io/Logging_2313/artfynd/A 26367-2025 artfynd.xlsx", "A 26367-2025")</f>
        <v/>
      </c>
      <c r="T144">
        <f>HYPERLINK("https://klasma.github.io/Logging_2313/kartor/A 26367-2025 karta.png", "A 26367-2025")</f>
        <v/>
      </c>
      <c r="V144">
        <f>HYPERLINK("https://klasma.github.io/Logging_2313/klagomål/A 26367-2025 FSC-klagomål.docx", "A 26367-2025")</f>
        <v/>
      </c>
      <c r="W144">
        <f>HYPERLINK("https://klasma.github.io/Logging_2313/klagomålsmail/A 26367-2025 FSC-klagomål mail.docx", "A 26367-2025")</f>
        <v/>
      </c>
      <c r="X144">
        <f>HYPERLINK("https://klasma.github.io/Logging_2313/tillsyn/A 26367-2025 tillsynsbegäran.docx", "A 26367-2025")</f>
        <v/>
      </c>
      <c r="Y144">
        <f>HYPERLINK("https://klasma.github.io/Logging_2313/tillsynsmail/A 26367-2025 tillsynsbegäran mail.docx", "A 26367-2025")</f>
        <v/>
      </c>
      <c r="Z144">
        <f>HYPERLINK("https://klasma.github.io/Logging_2313/fåglar/A 26367-2025 prioriterade fågelarter.docx", "A 26367-2025")</f>
        <v/>
      </c>
    </row>
    <row r="145" ht="15" customHeight="1">
      <c r="A145" t="inlineStr">
        <is>
          <t>A 42945-2025</t>
        </is>
      </c>
      <c r="B145" s="1" t="n">
        <v>45909</v>
      </c>
      <c r="C145" s="1" t="n">
        <v>46033</v>
      </c>
      <c r="D145" t="inlineStr">
        <is>
          <t>JÄMTLANDS LÄN</t>
        </is>
      </c>
      <c r="E145" t="inlineStr">
        <is>
          <t>STRÖMSUND</t>
        </is>
      </c>
      <c r="F145" t="inlineStr">
        <is>
          <t>SCA</t>
        </is>
      </c>
      <c r="G145" t="n">
        <v>2.8</v>
      </c>
      <c r="H145" t="n">
        <v>0</v>
      </c>
      <c r="I145" t="n">
        <v>1</v>
      </c>
      <c r="J145" t="n">
        <v>2</v>
      </c>
      <c r="K145" t="n">
        <v>0</v>
      </c>
      <c r="L145" t="n">
        <v>0</v>
      </c>
      <c r="M145" t="n">
        <v>0</v>
      </c>
      <c r="N145" t="n">
        <v>0</v>
      </c>
      <c r="O145" t="n">
        <v>2</v>
      </c>
      <c r="P145" t="n">
        <v>0</v>
      </c>
      <c r="Q145" t="n">
        <v>3</v>
      </c>
      <c r="R145" s="2" t="inlineStr">
        <is>
          <t>Lunglav
Skrovellav
Bårdlav</t>
        </is>
      </c>
      <c r="S145">
        <f>HYPERLINK("https://klasma.github.io/Logging_2313/artfynd/A 42945-2025 artfynd.xlsx", "A 42945-2025")</f>
        <v/>
      </c>
      <c r="T145">
        <f>HYPERLINK("https://klasma.github.io/Logging_2313/kartor/A 42945-2025 karta.png", "A 42945-2025")</f>
        <v/>
      </c>
      <c r="V145">
        <f>HYPERLINK("https://klasma.github.io/Logging_2313/klagomål/A 42945-2025 FSC-klagomål.docx", "A 42945-2025")</f>
        <v/>
      </c>
      <c r="W145">
        <f>HYPERLINK("https://klasma.github.io/Logging_2313/klagomålsmail/A 42945-2025 FSC-klagomål mail.docx", "A 42945-2025")</f>
        <v/>
      </c>
      <c r="X145">
        <f>HYPERLINK("https://klasma.github.io/Logging_2313/tillsyn/A 42945-2025 tillsynsbegäran.docx", "A 42945-2025")</f>
        <v/>
      </c>
      <c r="Y145">
        <f>HYPERLINK("https://klasma.github.io/Logging_2313/tillsynsmail/A 42945-2025 tillsynsbegäran mail.docx", "A 42945-2025")</f>
        <v/>
      </c>
    </row>
    <row r="146" ht="15" customHeight="1">
      <c r="A146" t="inlineStr">
        <is>
          <t>A 30554-2025</t>
        </is>
      </c>
      <c r="B146" s="1" t="n">
        <v>45831.38600694444</v>
      </c>
      <c r="C146" s="1" t="n">
        <v>46033</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46033</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32794-2025</t>
        </is>
      </c>
      <c r="B148" s="1" t="n">
        <v>45839.49055555555</v>
      </c>
      <c r="C148" s="1" t="n">
        <v>46033</v>
      </c>
      <c r="D148" t="inlineStr">
        <is>
          <t>JÄMTLANDS LÄN</t>
        </is>
      </c>
      <c r="E148" t="inlineStr">
        <is>
          <t>STRÖMSUND</t>
        </is>
      </c>
      <c r="F148" t="inlineStr">
        <is>
          <t>SCA</t>
        </is>
      </c>
      <c r="G148" t="n">
        <v>4.8</v>
      </c>
      <c r="H148" t="n">
        <v>3</v>
      </c>
      <c r="I148" t="n">
        <v>1</v>
      </c>
      <c r="J148" t="n">
        <v>0</v>
      </c>
      <c r="K148" t="n">
        <v>0</v>
      </c>
      <c r="L148" t="n">
        <v>0</v>
      </c>
      <c r="M148" t="n">
        <v>0</v>
      </c>
      <c r="N148" t="n">
        <v>0</v>
      </c>
      <c r="O148" t="n">
        <v>0</v>
      </c>
      <c r="P148" t="n">
        <v>0</v>
      </c>
      <c r="Q148" t="n">
        <v>3</v>
      </c>
      <c r="R148" s="2" t="inlineStr">
        <is>
          <t>Plattlummer
Skogsrör
Mattlummer</t>
        </is>
      </c>
      <c r="S148">
        <f>HYPERLINK("https://klasma.github.io/Logging_2313/artfynd/A 32794-2025 artfynd.xlsx", "A 32794-2025")</f>
        <v/>
      </c>
      <c r="T148">
        <f>HYPERLINK("https://klasma.github.io/Logging_2313/kartor/A 32794-2025 karta.png", "A 32794-2025")</f>
        <v/>
      </c>
      <c r="V148">
        <f>HYPERLINK("https://klasma.github.io/Logging_2313/klagomål/A 32794-2025 FSC-klagomål.docx", "A 32794-2025")</f>
        <v/>
      </c>
      <c r="W148">
        <f>HYPERLINK("https://klasma.github.io/Logging_2313/klagomålsmail/A 32794-2025 FSC-klagomål mail.docx", "A 32794-2025")</f>
        <v/>
      </c>
      <c r="X148">
        <f>HYPERLINK("https://klasma.github.io/Logging_2313/tillsyn/A 32794-2025 tillsynsbegäran.docx", "A 32794-2025")</f>
        <v/>
      </c>
      <c r="Y148">
        <f>HYPERLINK("https://klasma.github.io/Logging_2313/tillsynsmail/A 32794-2025 tillsynsbegäran mail.docx", "A 32794-2025")</f>
        <v/>
      </c>
    </row>
    <row r="149" ht="15" customHeight="1">
      <c r="A149" t="inlineStr">
        <is>
          <t>A 32795-2025</t>
        </is>
      </c>
      <c r="B149" s="1" t="n">
        <v>45839.49068287037</v>
      </c>
      <c r="C149" s="1" t="n">
        <v>46033</v>
      </c>
      <c r="D149" t="inlineStr">
        <is>
          <t>JÄMTLANDS LÄN</t>
        </is>
      </c>
      <c r="E149" t="inlineStr">
        <is>
          <t>STRÖMSUND</t>
        </is>
      </c>
      <c r="F149" t="inlineStr">
        <is>
          <t>SCA</t>
        </is>
      </c>
      <c r="G149" t="n">
        <v>2.8</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HYPERLINK("https://klasma.github.io/Logging_2313/artfynd/A 32795-2025 artfynd.xlsx", "A 32795-2025")</f>
        <v/>
      </c>
      <c r="T149">
        <f>HYPERLINK("https://klasma.github.io/Logging_2313/kartor/A 32795-2025 karta.png", "A 32795-2025")</f>
        <v/>
      </c>
      <c r="V149">
        <f>HYPERLINK("https://klasma.github.io/Logging_2313/klagomål/A 32795-2025 FSC-klagomål.docx", "A 32795-2025")</f>
        <v/>
      </c>
      <c r="W149">
        <f>HYPERLINK("https://klasma.github.io/Logging_2313/klagomålsmail/A 32795-2025 FSC-klagomål mail.docx", "A 32795-2025")</f>
        <v/>
      </c>
      <c r="X149">
        <f>HYPERLINK("https://klasma.github.io/Logging_2313/tillsyn/A 32795-2025 tillsynsbegäran.docx", "A 32795-2025")</f>
        <v/>
      </c>
      <c r="Y149">
        <f>HYPERLINK("https://klasma.github.io/Logging_2313/tillsynsmail/A 32795-2025 tillsynsbegäran mail.docx", "A 32795-2025")</f>
        <v/>
      </c>
    </row>
    <row r="150" ht="15" customHeight="1">
      <c r="A150" t="inlineStr">
        <is>
          <t>A 33325-2025</t>
        </is>
      </c>
      <c r="B150" s="1" t="n">
        <v>45841.34570601852</v>
      </c>
      <c r="C150" s="1" t="n">
        <v>46033</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12019-2022</t>
        </is>
      </c>
      <c r="B151" s="1" t="n">
        <v>44635</v>
      </c>
      <c r="C151" s="1" t="n">
        <v>46033</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27686-2023</t>
        </is>
      </c>
      <c r="B152" s="1" t="n">
        <v>45097</v>
      </c>
      <c r="C152" s="1" t="n">
        <v>46033</v>
      </c>
      <c r="D152" t="inlineStr">
        <is>
          <t>JÄMTLANDS LÄN</t>
        </is>
      </c>
      <c r="E152" t="inlineStr">
        <is>
          <t>STRÖMSUND</t>
        </is>
      </c>
      <c r="F152" t="inlineStr">
        <is>
          <t>SCA</t>
        </is>
      </c>
      <c r="G152" t="n">
        <v>8.699999999999999</v>
      </c>
      <c r="H152" t="n">
        <v>0</v>
      </c>
      <c r="I152" t="n">
        <v>0</v>
      </c>
      <c r="J152" t="n">
        <v>3</v>
      </c>
      <c r="K152" t="n">
        <v>0</v>
      </c>
      <c r="L152" t="n">
        <v>0</v>
      </c>
      <c r="M152" t="n">
        <v>0</v>
      </c>
      <c r="N152" t="n">
        <v>0</v>
      </c>
      <c r="O152" t="n">
        <v>3</v>
      </c>
      <c r="P152" t="n">
        <v>0</v>
      </c>
      <c r="Q152" t="n">
        <v>3</v>
      </c>
      <c r="R152" s="2" t="inlineStr">
        <is>
          <t>Gammelgransskål
Garnlav
Harticka</t>
        </is>
      </c>
      <c r="S152">
        <f>HYPERLINK("https://klasma.github.io/Logging_2313/artfynd/A 27686-2023 artfynd.xlsx", "A 27686-2023")</f>
        <v/>
      </c>
      <c r="T152">
        <f>HYPERLINK("https://klasma.github.io/Logging_2313/kartor/A 27686-2023 karta.png", "A 27686-2023")</f>
        <v/>
      </c>
      <c r="V152">
        <f>HYPERLINK("https://klasma.github.io/Logging_2313/klagomål/A 27686-2023 FSC-klagomål.docx", "A 27686-2023")</f>
        <v/>
      </c>
      <c r="W152">
        <f>HYPERLINK("https://klasma.github.io/Logging_2313/klagomålsmail/A 27686-2023 FSC-klagomål mail.docx", "A 27686-2023")</f>
        <v/>
      </c>
      <c r="X152">
        <f>HYPERLINK("https://klasma.github.io/Logging_2313/tillsyn/A 27686-2023 tillsynsbegäran.docx", "A 27686-2023")</f>
        <v/>
      </c>
      <c r="Y152">
        <f>HYPERLINK("https://klasma.github.io/Logging_2313/tillsynsmail/A 27686-2023 tillsynsbegäran mail.docx", "A 27686-2023")</f>
        <v/>
      </c>
    </row>
    <row r="153" ht="15" customHeight="1">
      <c r="A153" t="inlineStr">
        <is>
          <t>A 2305-2025</t>
        </is>
      </c>
      <c r="B153" s="1" t="n">
        <v>45673.5987037037</v>
      </c>
      <c r="C153" s="1" t="n">
        <v>46033</v>
      </c>
      <c r="D153" t="inlineStr">
        <is>
          <t>JÄMTLANDS LÄN</t>
        </is>
      </c>
      <c r="E153" t="inlineStr">
        <is>
          <t>STRÖMSUND</t>
        </is>
      </c>
      <c r="G153" t="n">
        <v>12.1</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HYPERLINK("https://klasma.github.io/Logging_2313/artfynd/A 2305-2025 artfynd.xlsx", "A 2305-2025")</f>
        <v/>
      </c>
      <c r="T153">
        <f>HYPERLINK("https://klasma.github.io/Logging_2313/kartor/A 2305-2025 karta.png", "A 2305-2025")</f>
        <v/>
      </c>
      <c r="V153">
        <f>HYPERLINK("https://klasma.github.io/Logging_2313/klagomål/A 2305-2025 FSC-klagomål.docx", "A 2305-2025")</f>
        <v/>
      </c>
      <c r="W153">
        <f>HYPERLINK("https://klasma.github.io/Logging_2313/klagomålsmail/A 2305-2025 FSC-klagomål mail.docx", "A 2305-2025")</f>
        <v/>
      </c>
      <c r="X153">
        <f>HYPERLINK("https://klasma.github.io/Logging_2313/tillsyn/A 2305-2025 tillsynsbegäran.docx", "A 2305-2025")</f>
        <v/>
      </c>
      <c r="Y153">
        <f>HYPERLINK("https://klasma.github.io/Logging_2313/tillsynsmail/A 2305-2025 tillsynsbegäran mail.docx", "A 2305-2025")</f>
        <v/>
      </c>
    </row>
    <row r="154" ht="15" customHeight="1">
      <c r="A154" t="inlineStr">
        <is>
          <t>A 34509-2025</t>
        </is>
      </c>
      <c r="B154" s="1" t="n">
        <v>45847.44314814815</v>
      </c>
      <c r="C154" s="1" t="n">
        <v>46033</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53043-2023</t>
        </is>
      </c>
      <c r="B155" s="1" t="n">
        <v>45226</v>
      </c>
      <c r="C155" s="1" t="n">
        <v>46033</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62012-2025</t>
        </is>
      </c>
      <c r="B156" s="1" t="n">
        <v>46003.67758101852</v>
      </c>
      <c r="C156" s="1" t="n">
        <v>46033</v>
      </c>
      <c r="D156" t="inlineStr">
        <is>
          <t>JÄMTLANDS LÄN</t>
        </is>
      </c>
      <c r="E156" t="inlineStr">
        <is>
          <t>STRÖMSUND</t>
        </is>
      </c>
      <c r="F156" t="inlineStr">
        <is>
          <t>SCA</t>
        </is>
      </c>
      <c r="G156" t="n">
        <v>2.3</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HYPERLINK("https://klasma.github.io/Logging_2313/artfynd/A 62012-2025 artfynd.xlsx", "A 62012-2025")</f>
        <v/>
      </c>
      <c r="T156">
        <f>HYPERLINK("https://klasma.github.io/Logging_2313/kartor/A 62012-2025 karta.png", "A 62012-2025")</f>
        <v/>
      </c>
      <c r="V156">
        <f>HYPERLINK("https://klasma.github.io/Logging_2313/klagomål/A 62012-2025 FSC-klagomål.docx", "A 62012-2025")</f>
        <v/>
      </c>
      <c r="W156">
        <f>HYPERLINK("https://klasma.github.io/Logging_2313/klagomålsmail/A 62012-2025 FSC-klagomål mail.docx", "A 62012-2025")</f>
        <v/>
      </c>
      <c r="X156">
        <f>HYPERLINK("https://klasma.github.io/Logging_2313/tillsyn/A 62012-2025 tillsynsbegäran.docx", "A 62012-2025")</f>
        <v/>
      </c>
      <c r="Y156">
        <f>HYPERLINK("https://klasma.github.io/Logging_2313/tillsynsmail/A 62012-2025 tillsynsbegäran mail.docx", "A 62012-2025")</f>
        <v/>
      </c>
    </row>
    <row r="157" ht="15" customHeight="1">
      <c r="A157" t="inlineStr">
        <is>
          <t>A 38023-2025</t>
        </is>
      </c>
      <c r="B157" s="1" t="n">
        <v>45882.34489583333</v>
      </c>
      <c r="C157" s="1" t="n">
        <v>46033</v>
      </c>
      <c r="D157" t="inlineStr">
        <is>
          <t>JÄMTLANDS LÄN</t>
        </is>
      </c>
      <c r="E157" t="inlineStr">
        <is>
          <t>STRÖMSUND</t>
        </is>
      </c>
      <c r="F157" t="inlineStr">
        <is>
          <t>SCA</t>
        </is>
      </c>
      <c r="G157" t="n">
        <v>3.1</v>
      </c>
      <c r="H157" t="n">
        <v>0</v>
      </c>
      <c r="I157" t="n">
        <v>0</v>
      </c>
      <c r="J157" t="n">
        <v>3</v>
      </c>
      <c r="K157" t="n">
        <v>0</v>
      </c>
      <c r="L157" t="n">
        <v>0</v>
      </c>
      <c r="M157" t="n">
        <v>0</v>
      </c>
      <c r="N157" t="n">
        <v>0</v>
      </c>
      <c r="O157" t="n">
        <v>3</v>
      </c>
      <c r="P157" t="n">
        <v>0</v>
      </c>
      <c r="Q157" t="n">
        <v>3</v>
      </c>
      <c r="R157" s="2" t="inlineStr">
        <is>
          <t>Rödbrun blekspik
Vitgrynig nållav
Vitskaftad svartspik</t>
        </is>
      </c>
      <c r="S157">
        <f>HYPERLINK("https://klasma.github.io/Logging_2313/artfynd/A 38023-2025 artfynd.xlsx", "A 38023-2025")</f>
        <v/>
      </c>
      <c r="T157">
        <f>HYPERLINK("https://klasma.github.io/Logging_2313/kartor/A 38023-2025 karta.png", "A 38023-2025")</f>
        <v/>
      </c>
      <c r="V157">
        <f>HYPERLINK("https://klasma.github.io/Logging_2313/klagomål/A 38023-2025 FSC-klagomål.docx", "A 38023-2025")</f>
        <v/>
      </c>
      <c r="W157">
        <f>HYPERLINK("https://klasma.github.io/Logging_2313/klagomålsmail/A 38023-2025 FSC-klagomål mail.docx", "A 38023-2025")</f>
        <v/>
      </c>
      <c r="X157">
        <f>HYPERLINK("https://klasma.github.io/Logging_2313/tillsyn/A 38023-2025 tillsynsbegäran.docx", "A 38023-2025")</f>
        <v/>
      </c>
      <c r="Y157">
        <f>HYPERLINK("https://klasma.github.io/Logging_2313/tillsynsmail/A 38023-2025 tillsynsbegäran mail.docx", "A 38023-2025")</f>
        <v/>
      </c>
    </row>
    <row r="158" ht="15" customHeight="1">
      <c r="A158" t="inlineStr">
        <is>
          <t>A 54637-2025</t>
        </is>
      </c>
      <c r="B158" s="1" t="n">
        <v>45966</v>
      </c>
      <c r="C158" s="1" t="n">
        <v>46033</v>
      </c>
      <c r="D158" t="inlineStr">
        <is>
          <t>JÄMTLANDS LÄN</t>
        </is>
      </c>
      <c r="E158" t="inlineStr">
        <is>
          <t>STRÖMSUND</t>
        </is>
      </c>
      <c r="G158" t="n">
        <v>4.1</v>
      </c>
      <c r="H158" t="n">
        <v>0</v>
      </c>
      <c r="I158" t="n">
        <v>0</v>
      </c>
      <c r="J158" t="n">
        <v>3</v>
      </c>
      <c r="K158" t="n">
        <v>0</v>
      </c>
      <c r="L158" t="n">
        <v>0</v>
      </c>
      <c r="M158" t="n">
        <v>0</v>
      </c>
      <c r="N158" t="n">
        <v>0</v>
      </c>
      <c r="O158" t="n">
        <v>3</v>
      </c>
      <c r="P158" t="n">
        <v>0</v>
      </c>
      <c r="Q158" t="n">
        <v>3</v>
      </c>
      <c r="R158" s="2" t="inlineStr">
        <is>
          <t>Garnlav
Harticka
Vitgrynig nållav</t>
        </is>
      </c>
      <c r="S158">
        <f>HYPERLINK("https://klasma.github.io/Logging_2313/artfynd/A 54637-2025 artfynd.xlsx", "A 54637-2025")</f>
        <v/>
      </c>
      <c r="T158">
        <f>HYPERLINK("https://klasma.github.io/Logging_2313/kartor/A 54637-2025 karta.png", "A 54637-2025")</f>
        <v/>
      </c>
      <c r="V158">
        <f>HYPERLINK("https://klasma.github.io/Logging_2313/klagomål/A 54637-2025 FSC-klagomål.docx", "A 54637-2025")</f>
        <v/>
      </c>
      <c r="W158">
        <f>HYPERLINK("https://klasma.github.io/Logging_2313/klagomålsmail/A 54637-2025 FSC-klagomål mail.docx", "A 54637-2025")</f>
        <v/>
      </c>
      <c r="X158">
        <f>HYPERLINK("https://klasma.github.io/Logging_2313/tillsyn/A 54637-2025 tillsynsbegäran.docx", "A 54637-2025")</f>
        <v/>
      </c>
      <c r="Y158">
        <f>HYPERLINK("https://klasma.github.io/Logging_2313/tillsynsmail/A 54637-2025 tillsynsbegäran mail.docx", "A 54637-2025")</f>
        <v/>
      </c>
    </row>
    <row r="159" ht="15" customHeight="1">
      <c r="A159" t="inlineStr">
        <is>
          <t>A 69109-2021</t>
        </is>
      </c>
      <c r="B159" s="1" t="n">
        <v>44530</v>
      </c>
      <c r="C159" s="1" t="n">
        <v>46033</v>
      </c>
      <c r="D159" t="inlineStr">
        <is>
          <t>JÄMTLANDS LÄN</t>
        </is>
      </c>
      <c r="E159" t="inlineStr">
        <is>
          <t>STRÖMSUND</t>
        </is>
      </c>
      <c r="G159" t="n">
        <v>11.6</v>
      </c>
      <c r="H159" t="n">
        <v>0</v>
      </c>
      <c r="I159" t="n">
        <v>3</v>
      </c>
      <c r="J159" t="n">
        <v>0</v>
      </c>
      <c r="K159" t="n">
        <v>0</v>
      </c>
      <c r="L159" t="n">
        <v>0</v>
      </c>
      <c r="M159" t="n">
        <v>0</v>
      </c>
      <c r="N159" t="n">
        <v>0</v>
      </c>
      <c r="O159" t="n">
        <v>0</v>
      </c>
      <c r="P159" t="n">
        <v>0</v>
      </c>
      <c r="Q159" t="n">
        <v>3</v>
      </c>
      <c r="R159" s="2" t="inlineStr">
        <is>
          <t>Nordlig tuffmossa
Skogsbräsma
Sotriska</t>
        </is>
      </c>
      <c r="S159">
        <f>HYPERLINK("https://klasma.github.io/Logging_2313/artfynd/A 69109-2021 artfynd.xlsx", "A 69109-2021")</f>
        <v/>
      </c>
      <c r="T159">
        <f>HYPERLINK("https://klasma.github.io/Logging_2313/kartor/A 69109-2021 karta.png", "A 69109-2021")</f>
        <v/>
      </c>
      <c r="V159">
        <f>HYPERLINK("https://klasma.github.io/Logging_2313/klagomål/A 69109-2021 FSC-klagomål.docx", "A 69109-2021")</f>
        <v/>
      </c>
      <c r="W159">
        <f>HYPERLINK("https://klasma.github.io/Logging_2313/klagomålsmail/A 69109-2021 FSC-klagomål mail.docx", "A 69109-2021")</f>
        <v/>
      </c>
      <c r="X159">
        <f>HYPERLINK("https://klasma.github.io/Logging_2313/tillsyn/A 69109-2021 tillsynsbegäran.docx", "A 69109-2021")</f>
        <v/>
      </c>
      <c r="Y159">
        <f>HYPERLINK("https://klasma.github.io/Logging_2313/tillsynsmail/A 69109-2021 tillsynsbegäran mail.docx", "A 69109-2021")</f>
        <v/>
      </c>
    </row>
    <row r="160" ht="15" customHeight="1">
      <c r="A160" t="inlineStr">
        <is>
          <t>A 58235-2025</t>
        </is>
      </c>
      <c r="B160" s="1" t="n">
        <v>45985.3872337963</v>
      </c>
      <c r="C160" s="1" t="n">
        <v>46033</v>
      </c>
      <c r="D160" t="inlineStr">
        <is>
          <t>JÄMTLANDS LÄN</t>
        </is>
      </c>
      <c r="E160" t="inlineStr">
        <is>
          <t>STRÖMSUND</t>
        </is>
      </c>
      <c r="F160" t="inlineStr">
        <is>
          <t>SCA</t>
        </is>
      </c>
      <c r="G160" t="n">
        <v>1</v>
      </c>
      <c r="H160" t="n">
        <v>0</v>
      </c>
      <c r="I160" t="n">
        <v>0</v>
      </c>
      <c r="J160" t="n">
        <v>3</v>
      </c>
      <c r="K160" t="n">
        <v>0</v>
      </c>
      <c r="L160" t="n">
        <v>0</v>
      </c>
      <c r="M160" t="n">
        <v>0</v>
      </c>
      <c r="N160" t="n">
        <v>0</v>
      </c>
      <c r="O160" t="n">
        <v>3</v>
      </c>
      <c r="P160" t="n">
        <v>0</v>
      </c>
      <c r="Q160" t="n">
        <v>3</v>
      </c>
      <c r="R160" s="2" t="inlineStr">
        <is>
          <t>Gammelgransskål
Garnlav
Vitgrynig nållav</t>
        </is>
      </c>
      <c r="S160">
        <f>HYPERLINK("https://klasma.github.io/Logging_2313/artfynd/A 58235-2025 artfynd.xlsx", "A 58235-2025")</f>
        <v/>
      </c>
      <c r="T160">
        <f>HYPERLINK("https://klasma.github.io/Logging_2313/kartor/A 58235-2025 karta.png", "A 58235-2025")</f>
        <v/>
      </c>
      <c r="V160">
        <f>HYPERLINK("https://klasma.github.io/Logging_2313/klagomål/A 58235-2025 FSC-klagomål.docx", "A 58235-2025")</f>
        <v/>
      </c>
      <c r="W160">
        <f>HYPERLINK("https://klasma.github.io/Logging_2313/klagomålsmail/A 58235-2025 FSC-klagomål mail.docx", "A 58235-2025")</f>
        <v/>
      </c>
      <c r="X160">
        <f>HYPERLINK("https://klasma.github.io/Logging_2313/tillsyn/A 58235-2025 tillsynsbegäran.docx", "A 58235-2025")</f>
        <v/>
      </c>
      <c r="Y160">
        <f>HYPERLINK("https://klasma.github.io/Logging_2313/tillsynsmail/A 58235-2025 tillsynsbegäran mail.docx", "A 58235-2025")</f>
        <v/>
      </c>
    </row>
    <row r="161" ht="15" customHeight="1">
      <c r="A161" t="inlineStr">
        <is>
          <t>A 24806-2024</t>
        </is>
      </c>
      <c r="B161" s="1" t="n">
        <v>45460.95342592592</v>
      </c>
      <c r="C161" s="1" t="n">
        <v>46033</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46267-2023</t>
        </is>
      </c>
      <c r="B162" s="1" t="n">
        <v>45196</v>
      </c>
      <c r="C162" s="1" t="n">
        <v>46033</v>
      </c>
      <c r="D162" t="inlineStr">
        <is>
          <t>JÄMTLANDS LÄN</t>
        </is>
      </c>
      <c r="E162" t="inlineStr">
        <is>
          <t>STRÖMSUND</t>
        </is>
      </c>
      <c r="F162" t="inlineStr">
        <is>
          <t>SCA</t>
        </is>
      </c>
      <c r="G162" t="n">
        <v>7.5</v>
      </c>
      <c r="H162" t="n">
        <v>1</v>
      </c>
      <c r="I162" t="n">
        <v>0</v>
      </c>
      <c r="J162" t="n">
        <v>3</v>
      </c>
      <c r="K162" t="n">
        <v>0</v>
      </c>
      <c r="L162" t="n">
        <v>0</v>
      </c>
      <c r="M162" t="n">
        <v>0</v>
      </c>
      <c r="N162" t="n">
        <v>0</v>
      </c>
      <c r="O162" t="n">
        <v>3</v>
      </c>
      <c r="P162" t="n">
        <v>0</v>
      </c>
      <c r="Q162" t="n">
        <v>3</v>
      </c>
      <c r="R162" s="2" t="inlineStr">
        <is>
          <t>Rosenticka
Tretåig hackspett
Ullticka</t>
        </is>
      </c>
      <c r="S162">
        <f>HYPERLINK("https://klasma.github.io/Logging_2313/artfynd/A 46267-2023 artfynd.xlsx", "A 46267-2023")</f>
        <v/>
      </c>
      <c r="T162">
        <f>HYPERLINK("https://klasma.github.io/Logging_2313/kartor/A 46267-2023 karta.png", "A 46267-2023")</f>
        <v/>
      </c>
      <c r="V162">
        <f>HYPERLINK("https://klasma.github.io/Logging_2313/klagomål/A 46267-2023 FSC-klagomål.docx", "A 46267-2023")</f>
        <v/>
      </c>
      <c r="W162">
        <f>HYPERLINK("https://klasma.github.io/Logging_2313/klagomålsmail/A 46267-2023 FSC-klagomål mail.docx", "A 46267-2023")</f>
        <v/>
      </c>
      <c r="X162">
        <f>HYPERLINK("https://klasma.github.io/Logging_2313/tillsyn/A 46267-2023 tillsynsbegäran.docx", "A 46267-2023")</f>
        <v/>
      </c>
      <c r="Y162">
        <f>HYPERLINK("https://klasma.github.io/Logging_2313/tillsynsmail/A 46267-2023 tillsynsbegäran mail.docx", "A 46267-2023")</f>
        <v/>
      </c>
      <c r="Z162">
        <f>HYPERLINK("https://klasma.github.io/Logging_2313/fåglar/A 46267-2023 prioriterade fågelarter.docx", "A 46267-2023")</f>
        <v/>
      </c>
    </row>
    <row r="163" ht="15" customHeight="1">
      <c r="A163" t="inlineStr">
        <is>
          <t>A 46341-2022</t>
        </is>
      </c>
      <c r="B163" s="1" t="n">
        <v>44847</v>
      </c>
      <c r="C163" s="1" t="n">
        <v>46033</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32908-2023</t>
        </is>
      </c>
      <c r="B164" s="1" t="n">
        <v>45124.95153935185</v>
      </c>
      <c r="C164" s="1" t="n">
        <v>46033</v>
      </c>
      <c r="D164" t="inlineStr">
        <is>
          <t>JÄMTLANDS LÄN</t>
        </is>
      </c>
      <c r="E164" t="inlineStr">
        <is>
          <t>STRÖMSUND</t>
        </is>
      </c>
      <c r="F164" t="inlineStr">
        <is>
          <t>SCA</t>
        </is>
      </c>
      <c r="G164" t="n">
        <v>9.800000000000001</v>
      </c>
      <c r="H164" t="n">
        <v>1</v>
      </c>
      <c r="I164" t="n">
        <v>0</v>
      </c>
      <c r="J164" t="n">
        <v>2</v>
      </c>
      <c r="K164" t="n">
        <v>0</v>
      </c>
      <c r="L164" t="n">
        <v>0</v>
      </c>
      <c r="M164" t="n">
        <v>0</v>
      </c>
      <c r="N164" t="n">
        <v>0</v>
      </c>
      <c r="O164" t="n">
        <v>2</v>
      </c>
      <c r="P164" t="n">
        <v>0</v>
      </c>
      <c r="Q164" t="n">
        <v>3</v>
      </c>
      <c r="R164" s="2" t="inlineStr">
        <is>
          <t>Garnlav
Rosenticka
Revlummer</t>
        </is>
      </c>
      <c r="S164">
        <f>HYPERLINK("https://klasma.github.io/Logging_2313/artfynd/A 32908-2023 artfynd.xlsx", "A 32908-2023")</f>
        <v/>
      </c>
      <c r="T164">
        <f>HYPERLINK("https://klasma.github.io/Logging_2313/kartor/A 32908-2023 karta.png", "A 32908-2023")</f>
        <v/>
      </c>
      <c r="V164">
        <f>HYPERLINK("https://klasma.github.io/Logging_2313/klagomål/A 32908-2023 FSC-klagomål.docx", "A 32908-2023")</f>
        <v/>
      </c>
      <c r="W164">
        <f>HYPERLINK("https://klasma.github.io/Logging_2313/klagomålsmail/A 32908-2023 FSC-klagomål mail.docx", "A 32908-2023")</f>
        <v/>
      </c>
      <c r="X164">
        <f>HYPERLINK("https://klasma.github.io/Logging_2313/tillsyn/A 32908-2023 tillsynsbegäran.docx", "A 32908-2023")</f>
        <v/>
      </c>
      <c r="Y164">
        <f>HYPERLINK("https://klasma.github.io/Logging_2313/tillsynsmail/A 32908-2023 tillsynsbegäran mail.docx", "A 32908-2023")</f>
        <v/>
      </c>
    </row>
    <row r="165" ht="15" customHeight="1">
      <c r="A165" t="inlineStr">
        <is>
          <t>A 61417-2021</t>
        </is>
      </c>
      <c r="B165" s="1" t="n">
        <v>44500</v>
      </c>
      <c r="C165" s="1" t="n">
        <v>46033</v>
      </c>
      <c r="D165" t="inlineStr">
        <is>
          <t>JÄMTLANDS LÄN</t>
        </is>
      </c>
      <c r="E165" t="inlineStr">
        <is>
          <t>STRÖMSUND</t>
        </is>
      </c>
      <c r="F165" t="inlineStr">
        <is>
          <t>SCA</t>
        </is>
      </c>
      <c r="G165" t="n">
        <v>13.8</v>
      </c>
      <c r="H165" t="n">
        <v>0</v>
      </c>
      <c r="I165" t="n">
        <v>0</v>
      </c>
      <c r="J165" t="n">
        <v>2</v>
      </c>
      <c r="K165" t="n">
        <v>1</v>
      </c>
      <c r="L165" t="n">
        <v>0</v>
      </c>
      <c r="M165" t="n">
        <v>0</v>
      </c>
      <c r="N165" t="n">
        <v>0</v>
      </c>
      <c r="O165" t="n">
        <v>3</v>
      </c>
      <c r="P165" t="n">
        <v>1</v>
      </c>
      <c r="Q165" t="n">
        <v>3</v>
      </c>
      <c r="R165" s="2" t="inlineStr">
        <is>
          <t>Gräddporing
Dvärgbägarlav
Nordtagging</t>
        </is>
      </c>
      <c r="S165">
        <f>HYPERLINK("https://klasma.github.io/Logging_2313/artfynd/A 61417-2021 artfynd.xlsx", "A 61417-2021")</f>
        <v/>
      </c>
      <c r="T165">
        <f>HYPERLINK("https://klasma.github.io/Logging_2313/kartor/A 61417-2021 karta.png", "A 61417-2021")</f>
        <v/>
      </c>
      <c r="V165">
        <f>HYPERLINK("https://klasma.github.io/Logging_2313/klagomål/A 61417-2021 FSC-klagomål.docx", "A 61417-2021")</f>
        <v/>
      </c>
      <c r="W165">
        <f>HYPERLINK("https://klasma.github.io/Logging_2313/klagomålsmail/A 61417-2021 FSC-klagomål mail.docx", "A 61417-2021")</f>
        <v/>
      </c>
      <c r="X165">
        <f>HYPERLINK("https://klasma.github.io/Logging_2313/tillsyn/A 61417-2021 tillsynsbegäran.docx", "A 61417-2021")</f>
        <v/>
      </c>
      <c r="Y165">
        <f>HYPERLINK("https://klasma.github.io/Logging_2313/tillsynsmail/A 61417-2021 tillsynsbegäran mail.docx", "A 61417-2021")</f>
        <v/>
      </c>
    </row>
    <row r="166" ht="15" customHeight="1">
      <c r="A166" t="inlineStr">
        <is>
          <t>A 10065-2023</t>
        </is>
      </c>
      <c r="B166" s="1" t="n">
        <v>44985</v>
      </c>
      <c r="C166" s="1" t="n">
        <v>46033</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2554-2022</t>
        </is>
      </c>
      <c r="B167" s="1" t="n">
        <v>44579</v>
      </c>
      <c r="C167" s="1" t="n">
        <v>46033</v>
      </c>
      <c r="D167" t="inlineStr">
        <is>
          <t>JÄMTLANDS LÄN</t>
        </is>
      </c>
      <c r="E167" t="inlineStr">
        <is>
          <t>STRÖMSUND</t>
        </is>
      </c>
      <c r="G167" t="n">
        <v>5</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HYPERLINK("https://klasma.github.io/Logging_2313/artfynd/A 2554-2022 artfynd.xlsx", "A 2554-2022")</f>
        <v/>
      </c>
      <c r="T167">
        <f>HYPERLINK("https://klasma.github.io/Logging_2313/kartor/A 2554-2022 karta.png", "A 2554-2022")</f>
        <v/>
      </c>
      <c r="V167">
        <f>HYPERLINK("https://klasma.github.io/Logging_2313/klagomål/A 2554-2022 FSC-klagomål.docx", "A 2554-2022")</f>
        <v/>
      </c>
      <c r="W167">
        <f>HYPERLINK("https://klasma.github.io/Logging_2313/klagomålsmail/A 2554-2022 FSC-klagomål mail.docx", "A 2554-2022")</f>
        <v/>
      </c>
      <c r="X167">
        <f>HYPERLINK("https://klasma.github.io/Logging_2313/tillsyn/A 2554-2022 tillsynsbegäran.docx", "A 2554-2022")</f>
        <v/>
      </c>
      <c r="Y167">
        <f>HYPERLINK("https://klasma.github.io/Logging_2313/tillsynsmail/A 2554-2022 tillsynsbegäran mail.docx", "A 2554-2022")</f>
        <v/>
      </c>
      <c r="Z167">
        <f>HYPERLINK("https://klasma.github.io/Logging_2313/fåglar/A 2554-2022 prioriterade fågelarter.docx", "A 2554-2022")</f>
        <v/>
      </c>
    </row>
    <row r="168" ht="15" customHeight="1">
      <c r="A168" t="inlineStr">
        <is>
          <t>A 27918-2024</t>
        </is>
      </c>
      <c r="B168" s="1" t="n">
        <v>45475.94855324074</v>
      </c>
      <c r="C168" s="1" t="n">
        <v>46033</v>
      </c>
      <c r="D168" t="inlineStr">
        <is>
          <t>JÄMTLANDS LÄN</t>
        </is>
      </c>
      <c r="E168" t="inlineStr">
        <is>
          <t>STRÖMSUND</t>
        </is>
      </c>
      <c r="F168" t="inlineStr">
        <is>
          <t>SCA</t>
        </is>
      </c>
      <c r="G168" t="n">
        <v>1.4</v>
      </c>
      <c r="H168" t="n">
        <v>0</v>
      </c>
      <c r="I168" t="n">
        <v>0</v>
      </c>
      <c r="J168" t="n">
        <v>3</v>
      </c>
      <c r="K168" t="n">
        <v>0</v>
      </c>
      <c r="L168" t="n">
        <v>0</v>
      </c>
      <c r="M168" t="n">
        <v>0</v>
      </c>
      <c r="N168" t="n">
        <v>0</v>
      </c>
      <c r="O168" t="n">
        <v>3</v>
      </c>
      <c r="P168" t="n">
        <v>0</v>
      </c>
      <c r="Q168" t="n">
        <v>3</v>
      </c>
      <c r="R168" s="2" t="inlineStr">
        <is>
          <t>Garnlav
Granticka
Kolflarnlav</t>
        </is>
      </c>
      <c r="S168">
        <f>HYPERLINK("https://klasma.github.io/Logging_2313/artfynd/A 27918-2024 artfynd.xlsx", "A 27918-2024")</f>
        <v/>
      </c>
      <c r="T168">
        <f>HYPERLINK("https://klasma.github.io/Logging_2313/kartor/A 27918-2024 karta.png", "A 27918-2024")</f>
        <v/>
      </c>
      <c r="V168">
        <f>HYPERLINK("https://klasma.github.io/Logging_2313/klagomål/A 27918-2024 FSC-klagomål.docx", "A 27918-2024")</f>
        <v/>
      </c>
      <c r="W168">
        <f>HYPERLINK("https://klasma.github.io/Logging_2313/klagomålsmail/A 27918-2024 FSC-klagomål mail.docx", "A 27918-2024")</f>
        <v/>
      </c>
      <c r="X168">
        <f>HYPERLINK("https://klasma.github.io/Logging_2313/tillsyn/A 27918-2024 tillsynsbegäran.docx", "A 27918-2024")</f>
        <v/>
      </c>
      <c r="Y168">
        <f>HYPERLINK("https://klasma.github.io/Logging_2313/tillsynsmail/A 27918-2024 tillsynsbegäran mail.docx", "A 27918-2024")</f>
        <v/>
      </c>
    </row>
    <row r="169" ht="15" customHeight="1">
      <c r="A169" t="inlineStr">
        <is>
          <t>A 30350-2024</t>
        </is>
      </c>
      <c r="B169" s="1" t="n">
        <v>45490</v>
      </c>
      <c r="C169" s="1" t="n">
        <v>46033</v>
      </c>
      <c r="D169" t="inlineStr">
        <is>
          <t>JÄMTLANDS LÄN</t>
        </is>
      </c>
      <c r="E169" t="inlineStr">
        <is>
          <t>STRÖMSUND</t>
        </is>
      </c>
      <c r="F169" t="inlineStr">
        <is>
          <t>SCA</t>
        </is>
      </c>
      <c r="G169" t="n">
        <v>3.9</v>
      </c>
      <c r="H169" t="n">
        <v>1</v>
      </c>
      <c r="I169" t="n">
        <v>2</v>
      </c>
      <c r="J169" t="n">
        <v>1</v>
      </c>
      <c r="K169" t="n">
        <v>0</v>
      </c>
      <c r="L169" t="n">
        <v>0</v>
      </c>
      <c r="M169" t="n">
        <v>0</v>
      </c>
      <c r="N169" t="n">
        <v>0</v>
      </c>
      <c r="O169" t="n">
        <v>1</v>
      </c>
      <c r="P169" t="n">
        <v>0</v>
      </c>
      <c r="Q169" t="n">
        <v>3</v>
      </c>
      <c r="R169" s="2" t="inlineStr">
        <is>
          <t>Lunglav
Granriska
Tvåblad</t>
        </is>
      </c>
      <c r="S169">
        <f>HYPERLINK("https://klasma.github.io/Logging_2313/artfynd/A 30350-2024 artfynd.xlsx", "A 30350-2024")</f>
        <v/>
      </c>
      <c r="T169">
        <f>HYPERLINK("https://klasma.github.io/Logging_2313/kartor/A 30350-2024 karta.png", "A 30350-2024")</f>
        <v/>
      </c>
      <c r="V169">
        <f>HYPERLINK("https://klasma.github.io/Logging_2313/klagomål/A 30350-2024 FSC-klagomål.docx", "A 30350-2024")</f>
        <v/>
      </c>
      <c r="W169">
        <f>HYPERLINK("https://klasma.github.io/Logging_2313/klagomålsmail/A 30350-2024 FSC-klagomål mail.docx", "A 30350-2024")</f>
        <v/>
      </c>
      <c r="X169">
        <f>HYPERLINK("https://klasma.github.io/Logging_2313/tillsyn/A 30350-2024 tillsynsbegäran.docx", "A 30350-2024")</f>
        <v/>
      </c>
      <c r="Y169">
        <f>HYPERLINK("https://klasma.github.io/Logging_2313/tillsynsmail/A 30350-2024 tillsynsbegäran mail.docx", "A 30350-2024")</f>
        <v/>
      </c>
    </row>
    <row r="170" ht="15" customHeight="1">
      <c r="A170" t="inlineStr">
        <is>
          <t>A 43161-2022</t>
        </is>
      </c>
      <c r="B170" s="1" t="n">
        <v>44833</v>
      </c>
      <c r="C170" s="1" t="n">
        <v>46033</v>
      </c>
      <c r="D170" t="inlineStr">
        <is>
          <t>JÄMTLANDS LÄN</t>
        </is>
      </c>
      <c r="E170" t="inlineStr">
        <is>
          <t>STRÖMSUND</t>
        </is>
      </c>
      <c r="F170" t="inlineStr">
        <is>
          <t>SCA</t>
        </is>
      </c>
      <c r="G170" t="n">
        <v>5.5</v>
      </c>
      <c r="H170" t="n">
        <v>0</v>
      </c>
      <c r="I170" t="n">
        <v>1</v>
      </c>
      <c r="J170" t="n">
        <v>2</v>
      </c>
      <c r="K170" t="n">
        <v>0</v>
      </c>
      <c r="L170" t="n">
        <v>0</v>
      </c>
      <c r="M170" t="n">
        <v>0</v>
      </c>
      <c r="N170" t="n">
        <v>0</v>
      </c>
      <c r="O170" t="n">
        <v>2</v>
      </c>
      <c r="P170" t="n">
        <v>0</v>
      </c>
      <c r="Q170" t="n">
        <v>3</v>
      </c>
      <c r="R170" s="2" t="inlineStr">
        <is>
          <t>Harticka
Lunglav
Kransrams</t>
        </is>
      </c>
      <c r="S170">
        <f>HYPERLINK("https://klasma.github.io/Logging_2313/artfynd/A 43161-2022 artfynd.xlsx", "A 43161-2022")</f>
        <v/>
      </c>
      <c r="T170">
        <f>HYPERLINK("https://klasma.github.io/Logging_2313/kartor/A 43161-2022 karta.png", "A 43161-2022")</f>
        <v/>
      </c>
      <c r="V170">
        <f>HYPERLINK("https://klasma.github.io/Logging_2313/klagomål/A 43161-2022 FSC-klagomål.docx", "A 43161-2022")</f>
        <v/>
      </c>
      <c r="W170">
        <f>HYPERLINK("https://klasma.github.io/Logging_2313/klagomålsmail/A 43161-2022 FSC-klagomål mail.docx", "A 43161-2022")</f>
        <v/>
      </c>
      <c r="X170">
        <f>HYPERLINK("https://klasma.github.io/Logging_2313/tillsyn/A 43161-2022 tillsynsbegäran.docx", "A 43161-2022")</f>
        <v/>
      </c>
      <c r="Y170">
        <f>HYPERLINK("https://klasma.github.io/Logging_2313/tillsynsmail/A 43161-2022 tillsynsbegäran mail.docx", "A 43161-2022")</f>
        <v/>
      </c>
    </row>
    <row r="171" ht="15" customHeight="1">
      <c r="A171" t="inlineStr">
        <is>
          <t>A 32651-2024</t>
        </is>
      </c>
      <c r="B171" s="1" t="n">
        <v>45513.9640625</v>
      </c>
      <c r="C171" s="1" t="n">
        <v>46033</v>
      </c>
      <c r="D171" t="inlineStr">
        <is>
          <t>JÄMTLANDS LÄN</t>
        </is>
      </c>
      <c r="E171" t="inlineStr">
        <is>
          <t>STRÖMSUND</t>
        </is>
      </c>
      <c r="F171" t="inlineStr">
        <is>
          <t>SCA</t>
        </is>
      </c>
      <c r="G171" t="n">
        <v>2.8</v>
      </c>
      <c r="H171" t="n">
        <v>0</v>
      </c>
      <c r="I171" t="n">
        <v>2</v>
      </c>
      <c r="J171" t="n">
        <v>1</v>
      </c>
      <c r="K171" t="n">
        <v>0</v>
      </c>
      <c r="L171" t="n">
        <v>0</v>
      </c>
      <c r="M171" t="n">
        <v>0</v>
      </c>
      <c r="N171" t="n">
        <v>0</v>
      </c>
      <c r="O171" t="n">
        <v>1</v>
      </c>
      <c r="P171" t="n">
        <v>0</v>
      </c>
      <c r="Q171" t="n">
        <v>3</v>
      </c>
      <c r="R171" s="2" t="inlineStr">
        <is>
          <t>Lunglav
Luddlav
Stuplav</t>
        </is>
      </c>
      <c r="S171">
        <f>HYPERLINK("https://klasma.github.io/Logging_2313/artfynd/A 32651-2024 artfynd.xlsx", "A 32651-2024")</f>
        <v/>
      </c>
      <c r="T171">
        <f>HYPERLINK("https://klasma.github.io/Logging_2313/kartor/A 32651-2024 karta.png", "A 32651-2024")</f>
        <v/>
      </c>
      <c r="V171">
        <f>HYPERLINK("https://klasma.github.io/Logging_2313/klagomål/A 32651-2024 FSC-klagomål.docx", "A 32651-2024")</f>
        <v/>
      </c>
      <c r="W171">
        <f>HYPERLINK("https://klasma.github.io/Logging_2313/klagomålsmail/A 32651-2024 FSC-klagomål mail.docx", "A 32651-2024")</f>
        <v/>
      </c>
      <c r="X171">
        <f>HYPERLINK("https://klasma.github.io/Logging_2313/tillsyn/A 32651-2024 tillsynsbegäran.docx", "A 32651-2024")</f>
        <v/>
      </c>
      <c r="Y171">
        <f>HYPERLINK("https://klasma.github.io/Logging_2313/tillsynsmail/A 32651-2024 tillsynsbegäran mail.docx", "A 32651-2024")</f>
        <v/>
      </c>
    </row>
    <row r="172" ht="15" customHeight="1">
      <c r="A172" t="inlineStr">
        <is>
          <t>A 9922-2024</t>
        </is>
      </c>
      <c r="B172" s="1" t="n">
        <v>45363</v>
      </c>
      <c r="C172" s="1" t="n">
        <v>46033</v>
      </c>
      <c r="D172" t="inlineStr">
        <is>
          <t>JÄMTLANDS LÄN</t>
        </is>
      </c>
      <c r="E172" t="inlineStr">
        <is>
          <t>STRÖMSUND</t>
        </is>
      </c>
      <c r="F172" t="inlineStr">
        <is>
          <t>Holmen skog AB</t>
        </is>
      </c>
      <c r="G172" t="n">
        <v>10.8</v>
      </c>
      <c r="H172" t="n">
        <v>0</v>
      </c>
      <c r="I172" t="n">
        <v>1</v>
      </c>
      <c r="J172" t="n">
        <v>2</v>
      </c>
      <c r="K172" t="n">
        <v>0</v>
      </c>
      <c r="L172" t="n">
        <v>0</v>
      </c>
      <c r="M172" t="n">
        <v>0</v>
      </c>
      <c r="N172" t="n">
        <v>0</v>
      </c>
      <c r="O172" t="n">
        <v>2</v>
      </c>
      <c r="P172" t="n">
        <v>0</v>
      </c>
      <c r="Q172" t="n">
        <v>3</v>
      </c>
      <c r="R172" s="2" t="inlineStr">
        <is>
          <t>Kolflarnlav
Vaddporing
Dropptaggsvamp</t>
        </is>
      </c>
      <c r="S172">
        <f>HYPERLINK("https://klasma.github.io/Logging_2313/artfynd/A 9922-2024 artfynd.xlsx", "A 9922-2024")</f>
        <v/>
      </c>
      <c r="T172">
        <f>HYPERLINK("https://klasma.github.io/Logging_2313/kartor/A 9922-2024 karta.png", "A 9922-2024")</f>
        <v/>
      </c>
      <c r="V172">
        <f>HYPERLINK("https://klasma.github.io/Logging_2313/klagomål/A 9922-2024 FSC-klagomål.docx", "A 9922-2024")</f>
        <v/>
      </c>
      <c r="W172">
        <f>HYPERLINK("https://klasma.github.io/Logging_2313/klagomålsmail/A 9922-2024 FSC-klagomål mail.docx", "A 9922-2024")</f>
        <v/>
      </c>
      <c r="X172">
        <f>HYPERLINK("https://klasma.github.io/Logging_2313/tillsyn/A 9922-2024 tillsynsbegäran.docx", "A 9922-2024")</f>
        <v/>
      </c>
      <c r="Y172">
        <f>HYPERLINK("https://klasma.github.io/Logging_2313/tillsynsmail/A 9922-2024 tillsynsbegäran mail.docx", "A 9922-2024")</f>
        <v/>
      </c>
    </row>
    <row r="173" ht="15" customHeight="1">
      <c r="A173" t="inlineStr">
        <is>
          <t>A 40107-2023</t>
        </is>
      </c>
      <c r="B173" s="1" t="n">
        <v>45168</v>
      </c>
      <c r="C173" s="1" t="n">
        <v>46033</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47165-2023</t>
        </is>
      </c>
      <c r="B174" s="1" t="n">
        <v>45201</v>
      </c>
      <c r="C174" s="1" t="n">
        <v>46033</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44604-2021</t>
        </is>
      </c>
      <c r="B175" s="1" t="n">
        <v>44435</v>
      </c>
      <c r="C175" s="1" t="n">
        <v>46033</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46033</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46033</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46033</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46033</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46033</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46033</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46033</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46033</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46033</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46033</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46033</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46033</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50974-2025</t>
        </is>
      </c>
      <c r="B188" s="1" t="n">
        <v>45947.31434027778</v>
      </c>
      <c r="C188" s="1" t="n">
        <v>46033</v>
      </c>
      <c r="D188" t="inlineStr">
        <is>
          <t>JÄMTLANDS LÄN</t>
        </is>
      </c>
      <c r="E188" t="inlineStr">
        <is>
          <t>STRÖMSUND</t>
        </is>
      </c>
      <c r="F188" t="inlineStr">
        <is>
          <t>Övriga statliga verk och myndigheter</t>
        </is>
      </c>
      <c r="G188" t="n">
        <v>3.8</v>
      </c>
      <c r="H188" t="n">
        <v>0</v>
      </c>
      <c r="I188" t="n">
        <v>0</v>
      </c>
      <c r="J188" t="n">
        <v>2</v>
      </c>
      <c r="K188" t="n">
        <v>0</v>
      </c>
      <c r="L188" t="n">
        <v>0</v>
      </c>
      <c r="M188" t="n">
        <v>0</v>
      </c>
      <c r="N188" t="n">
        <v>0</v>
      </c>
      <c r="O188" t="n">
        <v>2</v>
      </c>
      <c r="P188" t="n">
        <v>0</v>
      </c>
      <c r="Q188" t="n">
        <v>2</v>
      </c>
      <c r="R188" s="2" t="inlineStr">
        <is>
          <t>Garnlav
Liten svartspik</t>
        </is>
      </c>
      <c r="S188">
        <f>HYPERLINK("https://klasma.github.io/Logging_2313/artfynd/A 50974-2025 artfynd.xlsx", "A 50974-2025")</f>
        <v/>
      </c>
      <c r="T188">
        <f>HYPERLINK("https://klasma.github.io/Logging_2313/kartor/A 50974-2025 karta.png", "A 50974-2025")</f>
        <v/>
      </c>
      <c r="V188">
        <f>HYPERLINK("https://klasma.github.io/Logging_2313/klagomål/A 50974-2025 FSC-klagomål.docx", "A 50974-2025")</f>
        <v/>
      </c>
      <c r="W188">
        <f>HYPERLINK("https://klasma.github.io/Logging_2313/klagomålsmail/A 50974-2025 FSC-klagomål mail.docx", "A 50974-2025")</f>
        <v/>
      </c>
      <c r="X188">
        <f>HYPERLINK("https://klasma.github.io/Logging_2313/tillsyn/A 50974-2025 tillsynsbegäran.docx", "A 50974-2025")</f>
        <v/>
      </c>
      <c r="Y188">
        <f>HYPERLINK("https://klasma.github.io/Logging_2313/tillsynsmail/A 50974-2025 tillsynsbegäran mail.docx", "A 50974-2025")</f>
        <v/>
      </c>
    </row>
    <row r="189" ht="15" customHeight="1">
      <c r="A189" t="inlineStr">
        <is>
          <t>A 40010-2025</t>
        </is>
      </c>
      <c r="B189" s="1" t="n">
        <v>45894.34471064815</v>
      </c>
      <c r="C189" s="1" t="n">
        <v>46033</v>
      </c>
      <c r="D189" t="inlineStr">
        <is>
          <t>JÄMTLANDS LÄN</t>
        </is>
      </c>
      <c r="E189" t="inlineStr">
        <is>
          <t>STRÖMSUND</t>
        </is>
      </c>
      <c r="F189" t="inlineStr">
        <is>
          <t>SCA</t>
        </is>
      </c>
      <c r="G189" t="n">
        <v>1.9</v>
      </c>
      <c r="H189" t="n">
        <v>1</v>
      </c>
      <c r="I189" t="n">
        <v>0</v>
      </c>
      <c r="J189" t="n">
        <v>2</v>
      </c>
      <c r="K189" t="n">
        <v>0</v>
      </c>
      <c r="L189" t="n">
        <v>0</v>
      </c>
      <c r="M189" t="n">
        <v>0</v>
      </c>
      <c r="N189" t="n">
        <v>0</v>
      </c>
      <c r="O189" t="n">
        <v>2</v>
      </c>
      <c r="P189" t="n">
        <v>0</v>
      </c>
      <c r="Q189" t="n">
        <v>2</v>
      </c>
      <c r="R189" s="2" t="inlineStr">
        <is>
          <t>Tretåig hackspett
Vitgrynig nållav</t>
        </is>
      </c>
      <c r="S189">
        <f>HYPERLINK("https://klasma.github.io/Logging_2313/artfynd/A 40010-2025 artfynd.xlsx", "A 40010-2025")</f>
        <v/>
      </c>
      <c r="T189">
        <f>HYPERLINK("https://klasma.github.io/Logging_2313/kartor/A 40010-2025 karta.png", "A 40010-2025")</f>
        <v/>
      </c>
      <c r="V189">
        <f>HYPERLINK("https://klasma.github.io/Logging_2313/klagomål/A 40010-2025 FSC-klagomål.docx", "A 40010-2025")</f>
        <v/>
      </c>
      <c r="W189">
        <f>HYPERLINK("https://klasma.github.io/Logging_2313/klagomålsmail/A 40010-2025 FSC-klagomål mail.docx", "A 40010-2025")</f>
        <v/>
      </c>
      <c r="X189">
        <f>HYPERLINK("https://klasma.github.io/Logging_2313/tillsyn/A 40010-2025 tillsynsbegäran.docx", "A 40010-2025")</f>
        <v/>
      </c>
      <c r="Y189">
        <f>HYPERLINK("https://klasma.github.io/Logging_2313/tillsynsmail/A 40010-2025 tillsynsbegäran mail.docx", "A 40010-2025")</f>
        <v/>
      </c>
      <c r="Z189">
        <f>HYPERLINK("https://klasma.github.io/Logging_2313/fåglar/A 40010-2025 prioriterade fågelarter.docx", "A 40010-2025")</f>
        <v/>
      </c>
    </row>
    <row r="190" ht="15" customHeight="1">
      <c r="A190" t="inlineStr">
        <is>
          <t>A 60503-2023</t>
        </is>
      </c>
      <c r="B190" s="1" t="n">
        <v>45258</v>
      </c>
      <c r="C190" s="1" t="n">
        <v>46033</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44773-2021</t>
        </is>
      </c>
      <c r="B191" s="1" t="n">
        <v>44438</v>
      </c>
      <c r="C191" s="1" t="n">
        <v>46033</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27022-2025</t>
        </is>
      </c>
      <c r="B192" s="1" t="n">
        <v>45811.57333333333</v>
      </c>
      <c r="C192" s="1" t="n">
        <v>46033</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37786-2022</t>
        </is>
      </c>
      <c r="B193" s="1" t="n">
        <v>44810</v>
      </c>
      <c r="C193" s="1" t="n">
        <v>46033</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46033</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27163-2025</t>
        </is>
      </c>
      <c r="B195" s="1" t="n">
        <v>45812.34414351852</v>
      </c>
      <c r="C195" s="1" t="n">
        <v>46033</v>
      </c>
      <c r="D195" t="inlineStr">
        <is>
          <t>JÄMTLANDS LÄN</t>
        </is>
      </c>
      <c r="E195" t="inlineStr">
        <is>
          <t>STRÖMSUND</t>
        </is>
      </c>
      <c r="F195" t="inlineStr">
        <is>
          <t>SCA</t>
        </is>
      </c>
      <c r="G195" t="n">
        <v>8.199999999999999</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27163-2025 artfynd.xlsx", "A 27163-2025")</f>
        <v/>
      </c>
      <c r="T195">
        <f>HYPERLINK("https://klasma.github.io/Logging_2313/kartor/A 27163-2025 karta.png", "A 27163-2025")</f>
        <v/>
      </c>
      <c r="V195">
        <f>HYPERLINK("https://klasma.github.io/Logging_2313/klagomål/A 27163-2025 FSC-klagomål.docx", "A 27163-2025")</f>
        <v/>
      </c>
      <c r="W195">
        <f>HYPERLINK("https://klasma.github.io/Logging_2313/klagomålsmail/A 27163-2025 FSC-klagomål mail.docx", "A 27163-2025")</f>
        <v/>
      </c>
      <c r="X195">
        <f>HYPERLINK("https://klasma.github.io/Logging_2313/tillsyn/A 27163-2025 tillsynsbegäran.docx", "A 27163-2025")</f>
        <v/>
      </c>
      <c r="Y195">
        <f>HYPERLINK("https://klasma.github.io/Logging_2313/tillsynsmail/A 27163-2025 tillsynsbegäran mail.docx", "A 27163-2025")</f>
        <v/>
      </c>
    </row>
    <row r="196" ht="15" customHeight="1">
      <c r="A196" t="inlineStr">
        <is>
          <t>A 27622-2025</t>
        </is>
      </c>
      <c r="B196" s="1" t="n">
        <v>45813.55273148148</v>
      </c>
      <c r="C196" s="1" t="n">
        <v>46033</v>
      </c>
      <c r="D196" t="inlineStr">
        <is>
          <t>JÄMTLANDS LÄN</t>
        </is>
      </c>
      <c r="E196" t="inlineStr">
        <is>
          <t>STRÖMSUND</t>
        </is>
      </c>
      <c r="F196" t="inlineStr">
        <is>
          <t>SCA</t>
        </is>
      </c>
      <c r="G196" t="n">
        <v>2.4</v>
      </c>
      <c r="H196" t="n">
        <v>0</v>
      </c>
      <c r="I196" t="n">
        <v>1</v>
      </c>
      <c r="J196" t="n">
        <v>1</v>
      </c>
      <c r="K196" t="n">
        <v>0</v>
      </c>
      <c r="L196" t="n">
        <v>0</v>
      </c>
      <c r="M196" t="n">
        <v>0</v>
      </c>
      <c r="N196" t="n">
        <v>0</v>
      </c>
      <c r="O196" t="n">
        <v>1</v>
      </c>
      <c r="P196" t="n">
        <v>0</v>
      </c>
      <c r="Q196" t="n">
        <v>2</v>
      </c>
      <c r="R196" s="2" t="inlineStr">
        <is>
          <t>Vaddporing
Svart trolldruva</t>
        </is>
      </c>
      <c r="S196">
        <f>HYPERLINK("https://klasma.github.io/Logging_2313/artfynd/A 27622-2025 artfynd.xlsx", "A 27622-2025")</f>
        <v/>
      </c>
      <c r="T196">
        <f>HYPERLINK("https://klasma.github.io/Logging_2313/kartor/A 27622-2025 karta.png", "A 27622-2025")</f>
        <v/>
      </c>
      <c r="V196">
        <f>HYPERLINK("https://klasma.github.io/Logging_2313/klagomål/A 27622-2025 FSC-klagomål.docx", "A 27622-2025")</f>
        <v/>
      </c>
      <c r="W196">
        <f>HYPERLINK("https://klasma.github.io/Logging_2313/klagomålsmail/A 27622-2025 FSC-klagomål mail.docx", "A 27622-2025")</f>
        <v/>
      </c>
      <c r="X196">
        <f>HYPERLINK("https://klasma.github.io/Logging_2313/tillsyn/A 27622-2025 tillsynsbegäran.docx", "A 27622-2025")</f>
        <v/>
      </c>
      <c r="Y196">
        <f>HYPERLINK("https://klasma.github.io/Logging_2313/tillsynsmail/A 27622-2025 tillsynsbegäran mail.docx", "A 27622-2025")</f>
        <v/>
      </c>
    </row>
    <row r="197" ht="15" customHeight="1">
      <c r="A197" t="inlineStr">
        <is>
          <t>A 45073-2025</t>
        </is>
      </c>
      <c r="B197" s="1" t="n">
        <v>45919.36067129629</v>
      </c>
      <c r="C197" s="1" t="n">
        <v>46033</v>
      </c>
      <c r="D197" t="inlineStr">
        <is>
          <t>JÄMTLANDS LÄN</t>
        </is>
      </c>
      <c r="E197" t="inlineStr">
        <is>
          <t>STRÖMSUND</t>
        </is>
      </c>
      <c r="F197" t="inlineStr">
        <is>
          <t>Holmen skog AB</t>
        </is>
      </c>
      <c r="G197" t="n">
        <v>12.7</v>
      </c>
      <c r="H197" t="n">
        <v>0</v>
      </c>
      <c r="I197" t="n">
        <v>1</v>
      </c>
      <c r="J197" t="n">
        <v>1</v>
      </c>
      <c r="K197" t="n">
        <v>0</v>
      </c>
      <c r="L197" t="n">
        <v>0</v>
      </c>
      <c r="M197" t="n">
        <v>0</v>
      </c>
      <c r="N197" t="n">
        <v>0</v>
      </c>
      <c r="O197" t="n">
        <v>1</v>
      </c>
      <c r="P197" t="n">
        <v>0</v>
      </c>
      <c r="Q197" t="n">
        <v>2</v>
      </c>
      <c r="R197" s="2" t="inlineStr">
        <is>
          <t>Lunglav
Bårdlav</t>
        </is>
      </c>
      <c r="S197">
        <f>HYPERLINK("https://klasma.github.io/Logging_2313/artfynd/A 45073-2025 artfynd.xlsx", "A 45073-2025")</f>
        <v/>
      </c>
      <c r="T197">
        <f>HYPERLINK("https://klasma.github.io/Logging_2313/kartor/A 45073-2025 karta.png", "A 45073-2025")</f>
        <v/>
      </c>
      <c r="V197">
        <f>HYPERLINK("https://klasma.github.io/Logging_2313/klagomål/A 45073-2025 FSC-klagomål.docx", "A 45073-2025")</f>
        <v/>
      </c>
      <c r="W197">
        <f>HYPERLINK("https://klasma.github.io/Logging_2313/klagomålsmail/A 45073-2025 FSC-klagomål mail.docx", "A 45073-2025")</f>
        <v/>
      </c>
      <c r="X197">
        <f>HYPERLINK("https://klasma.github.io/Logging_2313/tillsyn/A 45073-2025 tillsynsbegäran.docx", "A 45073-2025")</f>
        <v/>
      </c>
      <c r="Y197">
        <f>HYPERLINK("https://klasma.github.io/Logging_2313/tillsynsmail/A 45073-2025 tillsynsbegäran mail.docx", "A 45073-2025")</f>
        <v/>
      </c>
    </row>
    <row r="198" ht="15" customHeight="1">
      <c r="A198" t="inlineStr">
        <is>
          <t>A 29537-2025</t>
        </is>
      </c>
      <c r="B198" s="1" t="n">
        <v>45825.34508101852</v>
      </c>
      <c r="C198" s="1" t="n">
        <v>46033</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45613-2025</t>
        </is>
      </c>
      <c r="B199" s="1" t="n">
        <v>45922.71922453704</v>
      </c>
      <c r="C199" s="1" t="n">
        <v>46033</v>
      </c>
      <c r="D199" t="inlineStr">
        <is>
          <t>JÄMTLANDS LÄN</t>
        </is>
      </c>
      <c r="E199" t="inlineStr">
        <is>
          <t>STRÖMSUND</t>
        </is>
      </c>
      <c r="F199" t="inlineStr">
        <is>
          <t>SCA</t>
        </is>
      </c>
      <c r="G199" t="n">
        <v>3</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45613-2025 artfynd.xlsx", "A 45613-2025")</f>
        <v/>
      </c>
      <c r="T199">
        <f>HYPERLINK("https://klasma.github.io/Logging_2313/kartor/A 45613-2025 karta.png", "A 45613-2025")</f>
        <v/>
      </c>
      <c r="V199">
        <f>HYPERLINK("https://klasma.github.io/Logging_2313/klagomål/A 45613-2025 FSC-klagomål.docx", "A 45613-2025")</f>
        <v/>
      </c>
      <c r="W199">
        <f>HYPERLINK("https://klasma.github.io/Logging_2313/klagomålsmail/A 45613-2025 FSC-klagomål mail.docx", "A 45613-2025")</f>
        <v/>
      </c>
      <c r="X199">
        <f>HYPERLINK("https://klasma.github.io/Logging_2313/tillsyn/A 45613-2025 tillsynsbegäran.docx", "A 45613-2025")</f>
        <v/>
      </c>
      <c r="Y199">
        <f>HYPERLINK("https://klasma.github.io/Logging_2313/tillsynsmail/A 45613-2025 tillsynsbegäran mail.docx", "A 45613-2025")</f>
        <v/>
      </c>
    </row>
    <row r="200" ht="15" customHeight="1">
      <c r="A200" t="inlineStr">
        <is>
          <t>A 32100-2025</t>
        </is>
      </c>
      <c r="B200" s="1" t="n">
        <v>45835.468125</v>
      </c>
      <c r="C200" s="1" t="n">
        <v>46033</v>
      </c>
      <c r="D200" t="inlineStr">
        <is>
          <t>JÄMTLANDS LÄN</t>
        </is>
      </c>
      <c r="E200" t="inlineStr">
        <is>
          <t>STRÖMSUND</t>
        </is>
      </c>
      <c r="F200" t="inlineStr">
        <is>
          <t>Holmen skog AB</t>
        </is>
      </c>
      <c r="G200" t="n">
        <v>2.2</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32100-2025 artfynd.xlsx", "A 32100-2025")</f>
        <v/>
      </c>
      <c r="T200">
        <f>HYPERLINK("https://klasma.github.io/Logging_2313/kartor/A 32100-2025 karta.png", "A 32100-2025")</f>
        <v/>
      </c>
      <c r="V200">
        <f>HYPERLINK("https://klasma.github.io/Logging_2313/klagomål/A 32100-2025 FSC-klagomål.docx", "A 32100-2025")</f>
        <v/>
      </c>
      <c r="W200">
        <f>HYPERLINK("https://klasma.github.io/Logging_2313/klagomålsmail/A 32100-2025 FSC-klagomål mail.docx", "A 32100-2025")</f>
        <v/>
      </c>
      <c r="X200">
        <f>HYPERLINK("https://klasma.github.io/Logging_2313/tillsyn/A 32100-2025 tillsynsbegäran.docx", "A 32100-2025")</f>
        <v/>
      </c>
      <c r="Y200">
        <f>HYPERLINK("https://klasma.github.io/Logging_2313/tillsynsmail/A 32100-2025 tillsynsbegäran mail.docx", "A 32100-2025")</f>
        <v/>
      </c>
    </row>
    <row r="201" ht="15" customHeight="1">
      <c r="A201" t="inlineStr">
        <is>
          <t>A 42239-2021</t>
        </is>
      </c>
      <c r="B201" s="1" t="n">
        <v>44426</v>
      </c>
      <c r="C201" s="1" t="n">
        <v>46033</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32428-2025</t>
        </is>
      </c>
      <c r="B202" s="1" t="n">
        <v>45838.36509259259</v>
      </c>
      <c r="C202" s="1" t="n">
        <v>46033</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49043-2025</t>
        </is>
      </c>
      <c r="B203" s="1" t="n">
        <v>45937.63622685185</v>
      </c>
      <c r="C203" s="1" t="n">
        <v>46033</v>
      </c>
      <c r="D203" t="inlineStr">
        <is>
          <t>JÄMTLANDS LÄN</t>
        </is>
      </c>
      <c r="E203" t="inlineStr">
        <is>
          <t>STRÖMSUND</t>
        </is>
      </c>
      <c r="F203" t="inlineStr">
        <is>
          <t>SCA</t>
        </is>
      </c>
      <c r="G203" t="n">
        <v>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HYPERLINK("https://klasma.github.io/Logging_2313/artfynd/A 49043-2025 artfynd.xlsx", "A 49043-2025")</f>
        <v/>
      </c>
      <c r="T203">
        <f>HYPERLINK("https://klasma.github.io/Logging_2313/kartor/A 49043-2025 karta.png", "A 49043-2025")</f>
        <v/>
      </c>
      <c r="V203">
        <f>HYPERLINK("https://klasma.github.io/Logging_2313/klagomål/A 49043-2025 FSC-klagomål.docx", "A 49043-2025")</f>
        <v/>
      </c>
      <c r="W203">
        <f>HYPERLINK("https://klasma.github.io/Logging_2313/klagomålsmail/A 49043-2025 FSC-klagomål mail.docx", "A 49043-2025")</f>
        <v/>
      </c>
      <c r="X203">
        <f>HYPERLINK("https://klasma.github.io/Logging_2313/tillsyn/A 49043-2025 tillsynsbegäran.docx", "A 49043-2025")</f>
        <v/>
      </c>
      <c r="Y203">
        <f>HYPERLINK("https://klasma.github.io/Logging_2313/tillsynsmail/A 49043-2025 tillsynsbegäran mail.docx", "A 49043-2025")</f>
        <v/>
      </c>
    </row>
    <row r="204" ht="15" customHeight="1">
      <c r="A204" t="inlineStr">
        <is>
          <t>A 13189-2023</t>
        </is>
      </c>
      <c r="B204" s="1" t="n">
        <v>45002</v>
      </c>
      <c r="C204" s="1" t="n">
        <v>46033</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27367-2023</t>
        </is>
      </c>
      <c r="B205" s="1" t="n">
        <v>45096</v>
      </c>
      <c r="C205" s="1" t="n">
        <v>46033</v>
      </c>
      <c r="D205" t="inlineStr">
        <is>
          <t>JÄMTLANDS LÄN</t>
        </is>
      </c>
      <c r="E205" t="inlineStr">
        <is>
          <t>STRÖMSUND</t>
        </is>
      </c>
      <c r="F205" t="inlineStr">
        <is>
          <t>SCA</t>
        </is>
      </c>
      <c r="G205" t="n">
        <v>2.8</v>
      </c>
      <c r="H205" t="n">
        <v>0</v>
      </c>
      <c r="I205" t="n">
        <v>2</v>
      </c>
      <c r="J205" t="n">
        <v>0</v>
      </c>
      <c r="K205" t="n">
        <v>0</v>
      </c>
      <c r="L205" t="n">
        <v>0</v>
      </c>
      <c r="M205" t="n">
        <v>0</v>
      </c>
      <c r="N205" t="n">
        <v>0</v>
      </c>
      <c r="O205" t="n">
        <v>0</v>
      </c>
      <c r="P205" t="n">
        <v>0</v>
      </c>
      <c r="Q205" t="n">
        <v>2</v>
      </c>
      <c r="R205" s="2" t="inlineStr">
        <is>
          <t>Bollvitmossa
Skinnlav</t>
        </is>
      </c>
      <c r="S205">
        <f>HYPERLINK("https://klasma.github.io/Logging_2313/artfynd/A 27367-2023 artfynd.xlsx", "A 27367-2023")</f>
        <v/>
      </c>
      <c r="T205">
        <f>HYPERLINK("https://klasma.github.io/Logging_2313/kartor/A 27367-2023 karta.png", "A 27367-2023")</f>
        <v/>
      </c>
      <c r="V205">
        <f>HYPERLINK("https://klasma.github.io/Logging_2313/klagomål/A 27367-2023 FSC-klagomål.docx", "A 27367-2023")</f>
        <v/>
      </c>
      <c r="W205">
        <f>HYPERLINK("https://klasma.github.io/Logging_2313/klagomålsmail/A 27367-2023 FSC-klagomål mail.docx", "A 27367-2023")</f>
        <v/>
      </c>
      <c r="X205">
        <f>HYPERLINK("https://klasma.github.io/Logging_2313/tillsyn/A 27367-2023 tillsynsbegäran.docx", "A 27367-2023")</f>
        <v/>
      </c>
      <c r="Y205">
        <f>HYPERLINK("https://klasma.github.io/Logging_2313/tillsynsmail/A 27367-2023 tillsynsbegäran mail.docx", "A 27367-2023")</f>
        <v/>
      </c>
    </row>
    <row r="206" ht="15" customHeight="1">
      <c r="A206" t="inlineStr">
        <is>
          <t>A 16513-2022</t>
        </is>
      </c>
      <c r="B206" s="1" t="n">
        <v>44671.92664351852</v>
      </c>
      <c r="C206" s="1" t="n">
        <v>46033</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18987-2023</t>
        </is>
      </c>
      <c r="B207" s="1" t="n">
        <v>45044</v>
      </c>
      <c r="C207" s="1" t="n">
        <v>46033</v>
      </c>
      <c r="D207" t="inlineStr">
        <is>
          <t>JÄMTLANDS LÄN</t>
        </is>
      </c>
      <c r="E207" t="inlineStr">
        <is>
          <t>STRÖMSUND</t>
        </is>
      </c>
      <c r="F207" t="inlineStr">
        <is>
          <t>SCA</t>
        </is>
      </c>
      <c r="G207" t="n">
        <v>4.4</v>
      </c>
      <c r="H207" t="n">
        <v>0</v>
      </c>
      <c r="I207" t="n">
        <v>1</v>
      </c>
      <c r="J207" t="n">
        <v>1</v>
      </c>
      <c r="K207" t="n">
        <v>0</v>
      </c>
      <c r="L207" t="n">
        <v>0</v>
      </c>
      <c r="M207" t="n">
        <v>0</v>
      </c>
      <c r="N207" t="n">
        <v>0</v>
      </c>
      <c r="O207" t="n">
        <v>1</v>
      </c>
      <c r="P207" t="n">
        <v>0</v>
      </c>
      <c r="Q207" t="n">
        <v>2</v>
      </c>
      <c r="R207" s="2" t="inlineStr">
        <is>
          <t>Skrovellav
Mörk husmossa</t>
        </is>
      </c>
      <c r="S207">
        <f>HYPERLINK("https://klasma.github.io/Logging_2313/artfynd/A 18987-2023 artfynd.xlsx", "A 18987-2023")</f>
        <v/>
      </c>
      <c r="T207">
        <f>HYPERLINK("https://klasma.github.io/Logging_2313/kartor/A 18987-2023 karta.png", "A 18987-2023")</f>
        <v/>
      </c>
      <c r="V207">
        <f>HYPERLINK("https://klasma.github.io/Logging_2313/klagomål/A 18987-2023 FSC-klagomål.docx", "A 18987-2023")</f>
        <v/>
      </c>
      <c r="W207">
        <f>HYPERLINK("https://klasma.github.io/Logging_2313/klagomålsmail/A 18987-2023 FSC-klagomål mail.docx", "A 18987-2023")</f>
        <v/>
      </c>
      <c r="X207">
        <f>HYPERLINK("https://klasma.github.io/Logging_2313/tillsyn/A 18987-2023 tillsynsbegäran.docx", "A 18987-2023")</f>
        <v/>
      </c>
      <c r="Y207">
        <f>HYPERLINK("https://klasma.github.io/Logging_2313/tillsynsmail/A 18987-2023 tillsynsbegäran mail.docx", "A 18987-2023")</f>
        <v/>
      </c>
    </row>
    <row r="208" ht="15" customHeight="1">
      <c r="A208" t="inlineStr">
        <is>
          <t>A 44413-2023</t>
        </is>
      </c>
      <c r="B208" s="1" t="n">
        <v>45188</v>
      </c>
      <c r="C208" s="1" t="n">
        <v>46033</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35643-2025</t>
        </is>
      </c>
      <c r="B209" s="1" t="n">
        <v>45859.49013888889</v>
      </c>
      <c r="C209" s="1" t="n">
        <v>46033</v>
      </c>
      <c r="D209" t="inlineStr">
        <is>
          <t>JÄMTLANDS LÄN</t>
        </is>
      </c>
      <c r="E209" t="inlineStr">
        <is>
          <t>STRÖMSUND</t>
        </is>
      </c>
      <c r="F209" t="inlineStr">
        <is>
          <t>SCA</t>
        </is>
      </c>
      <c r="G209" t="n">
        <v>20.6</v>
      </c>
      <c r="H209" t="n">
        <v>0</v>
      </c>
      <c r="I209" t="n">
        <v>1</v>
      </c>
      <c r="J209" t="n">
        <v>1</v>
      </c>
      <c r="K209" t="n">
        <v>0</v>
      </c>
      <c r="L209" t="n">
        <v>0</v>
      </c>
      <c r="M209" t="n">
        <v>0</v>
      </c>
      <c r="N209" t="n">
        <v>0</v>
      </c>
      <c r="O209" t="n">
        <v>1</v>
      </c>
      <c r="P209" t="n">
        <v>0</v>
      </c>
      <c r="Q209" t="n">
        <v>2</v>
      </c>
      <c r="R209" s="2" t="inlineStr">
        <is>
          <t>Garnlav
Svavelriska</t>
        </is>
      </c>
      <c r="S209">
        <f>HYPERLINK("https://klasma.github.io/Logging_2313/artfynd/A 35643-2025 artfynd.xlsx", "A 35643-2025")</f>
        <v/>
      </c>
      <c r="T209">
        <f>HYPERLINK("https://klasma.github.io/Logging_2313/kartor/A 35643-2025 karta.png", "A 35643-2025")</f>
        <v/>
      </c>
      <c r="V209">
        <f>HYPERLINK("https://klasma.github.io/Logging_2313/klagomål/A 35643-2025 FSC-klagomål.docx", "A 35643-2025")</f>
        <v/>
      </c>
      <c r="W209">
        <f>HYPERLINK("https://klasma.github.io/Logging_2313/klagomålsmail/A 35643-2025 FSC-klagomål mail.docx", "A 35643-2025")</f>
        <v/>
      </c>
      <c r="X209">
        <f>HYPERLINK("https://klasma.github.io/Logging_2313/tillsyn/A 35643-2025 tillsynsbegäran.docx", "A 35643-2025")</f>
        <v/>
      </c>
      <c r="Y209">
        <f>HYPERLINK("https://klasma.github.io/Logging_2313/tillsynsmail/A 35643-2025 tillsynsbegäran mail.docx", "A 35643-2025")</f>
        <v/>
      </c>
    </row>
    <row r="210" ht="15" customHeight="1">
      <c r="A210" t="inlineStr">
        <is>
          <t>A 35664-2025</t>
        </is>
      </c>
      <c r="B210" s="1" t="n">
        <v>45859.61524305555</v>
      </c>
      <c r="C210" s="1" t="n">
        <v>46033</v>
      </c>
      <c r="D210" t="inlineStr">
        <is>
          <t>JÄMTLANDS LÄN</t>
        </is>
      </c>
      <c r="E210" t="inlineStr">
        <is>
          <t>STRÖMSUND</t>
        </is>
      </c>
      <c r="F210" t="inlineStr">
        <is>
          <t>SCA</t>
        </is>
      </c>
      <c r="G210" t="n">
        <v>2.6</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35664-2025 artfynd.xlsx", "A 35664-2025")</f>
        <v/>
      </c>
      <c r="T210">
        <f>HYPERLINK("https://klasma.github.io/Logging_2313/kartor/A 35664-2025 karta.png", "A 35664-2025")</f>
        <v/>
      </c>
      <c r="V210">
        <f>HYPERLINK("https://klasma.github.io/Logging_2313/klagomål/A 35664-2025 FSC-klagomål.docx", "A 35664-2025")</f>
        <v/>
      </c>
      <c r="W210">
        <f>HYPERLINK("https://klasma.github.io/Logging_2313/klagomålsmail/A 35664-2025 FSC-klagomål mail.docx", "A 35664-2025")</f>
        <v/>
      </c>
      <c r="X210">
        <f>HYPERLINK("https://klasma.github.io/Logging_2313/tillsyn/A 35664-2025 tillsynsbegäran.docx", "A 35664-2025")</f>
        <v/>
      </c>
      <c r="Y210">
        <f>HYPERLINK("https://klasma.github.io/Logging_2313/tillsynsmail/A 35664-2025 tillsynsbegäran mail.docx", "A 35664-2025")</f>
        <v/>
      </c>
    </row>
    <row r="211" ht="15" customHeight="1">
      <c r="A211" t="inlineStr">
        <is>
          <t>A 49183-2024</t>
        </is>
      </c>
      <c r="B211" s="1" t="n">
        <v>45595.34423611111</v>
      </c>
      <c r="C211" s="1" t="n">
        <v>46033</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54573-2025</t>
        </is>
      </c>
      <c r="B212" s="1" t="n">
        <v>45965</v>
      </c>
      <c r="C212" s="1" t="n">
        <v>46033</v>
      </c>
      <c r="D212" t="inlineStr">
        <is>
          <t>JÄMTLANDS LÄN</t>
        </is>
      </c>
      <c r="E212" t="inlineStr">
        <is>
          <t>STRÖMSUND</t>
        </is>
      </c>
      <c r="G212" t="n">
        <v>5.3</v>
      </c>
      <c r="H212" t="n">
        <v>0</v>
      </c>
      <c r="I212" t="n">
        <v>2</v>
      </c>
      <c r="J212" t="n">
        <v>0</v>
      </c>
      <c r="K212" t="n">
        <v>0</v>
      </c>
      <c r="L212" t="n">
        <v>0</v>
      </c>
      <c r="M212" t="n">
        <v>0</v>
      </c>
      <c r="N212" t="n">
        <v>0</v>
      </c>
      <c r="O212" t="n">
        <v>0</v>
      </c>
      <c r="P212" t="n">
        <v>0</v>
      </c>
      <c r="Q212" t="n">
        <v>2</v>
      </c>
      <c r="R212" s="2" t="inlineStr">
        <is>
          <t>Kransrams
Stuplav</t>
        </is>
      </c>
      <c r="S212">
        <f>HYPERLINK("https://klasma.github.io/Logging_2313/artfynd/A 54573-2025 artfynd.xlsx", "A 54573-2025")</f>
        <v/>
      </c>
      <c r="T212">
        <f>HYPERLINK("https://klasma.github.io/Logging_2313/kartor/A 54573-2025 karta.png", "A 54573-2025")</f>
        <v/>
      </c>
      <c r="V212">
        <f>HYPERLINK("https://klasma.github.io/Logging_2313/klagomål/A 54573-2025 FSC-klagomål.docx", "A 54573-2025")</f>
        <v/>
      </c>
      <c r="W212">
        <f>HYPERLINK("https://klasma.github.io/Logging_2313/klagomålsmail/A 54573-2025 FSC-klagomål mail.docx", "A 54573-2025")</f>
        <v/>
      </c>
      <c r="X212">
        <f>HYPERLINK("https://klasma.github.io/Logging_2313/tillsyn/A 54573-2025 tillsynsbegäran.docx", "A 54573-2025")</f>
        <v/>
      </c>
      <c r="Y212">
        <f>HYPERLINK("https://klasma.github.io/Logging_2313/tillsynsmail/A 54573-2025 tillsynsbegäran mail.docx", "A 54573-2025")</f>
        <v/>
      </c>
    </row>
    <row r="213" ht="15" customHeight="1">
      <c r="A213" t="inlineStr">
        <is>
          <t>A 54663-2025</t>
        </is>
      </c>
      <c r="B213" s="1" t="n">
        <v>45966.40726851852</v>
      </c>
      <c r="C213" s="1" t="n">
        <v>46033</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Harticka
Ullticka</t>
        </is>
      </c>
      <c r="S213">
        <f>HYPERLINK("https://klasma.github.io/Logging_2313/artfynd/A 54663-2025 artfynd.xlsx", "A 54663-2025")</f>
        <v/>
      </c>
      <c r="T213">
        <f>HYPERLINK("https://klasma.github.io/Logging_2313/kartor/A 54663-2025 karta.png", "A 54663-2025")</f>
        <v/>
      </c>
      <c r="V213">
        <f>HYPERLINK("https://klasma.github.io/Logging_2313/klagomål/A 54663-2025 FSC-klagomål.docx", "A 54663-2025")</f>
        <v/>
      </c>
      <c r="W213">
        <f>HYPERLINK("https://klasma.github.io/Logging_2313/klagomålsmail/A 54663-2025 FSC-klagomål mail.docx", "A 54663-2025")</f>
        <v/>
      </c>
      <c r="X213">
        <f>HYPERLINK("https://klasma.github.io/Logging_2313/tillsyn/A 54663-2025 tillsynsbegäran.docx", "A 54663-2025")</f>
        <v/>
      </c>
      <c r="Y213">
        <f>HYPERLINK("https://klasma.github.io/Logging_2313/tillsynsmail/A 54663-2025 tillsynsbegäran mail.docx", "A 54663-2025")</f>
        <v/>
      </c>
    </row>
    <row r="214" ht="15" customHeight="1">
      <c r="A214" t="inlineStr">
        <is>
          <t>A 42385-2024</t>
        </is>
      </c>
      <c r="B214" s="1" t="n">
        <v>45562</v>
      </c>
      <c r="C214" s="1" t="n">
        <v>46033</v>
      </c>
      <c r="D214" t="inlineStr">
        <is>
          <t>JÄMTLANDS LÄN</t>
        </is>
      </c>
      <c r="E214" t="inlineStr">
        <is>
          <t>STRÖMSUND</t>
        </is>
      </c>
      <c r="F214" t="inlineStr">
        <is>
          <t>Övriga statliga verk och myndigheter</t>
        </is>
      </c>
      <c r="G214" t="n">
        <v>5</v>
      </c>
      <c r="H214" t="n">
        <v>0</v>
      </c>
      <c r="I214" t="n">
        <v>1</v>
      </c>
      <c r="J214" t="n">
        <v>1</v>
      </c>
      <c r="K214" t="n">
        <v>0</v>
      </c>
      <c r="L214" t="n">
        <v>0</v>
      </c>
      <c r="M214" t="n">
        <v>0</v>
      </c>
      <c r="N214" t="n">
        <v>0</v>
      </c>
      <c r="O214" t="n">
        <v>1</v>
      </c>
      <c r="P214" t="n">
        <v>0</v>
      </c>
      <c r="Q214" t="n">
        <v>2</v>
      </c>
      <c r="R214" s="2" t="inlineStr">
        <is>
          <t>Granticka
Trådticka</t>
        </is>
      </c>
      <c r="S214">
        <f>HYPERLINK("https://klasma.github.io/Logging_2313/artfynd/A 42385-2024 artfynd.xlsx", "A 42385-2024")</f>
        <v/>
      </c>
      <c r="T214">
        <f>HYPERLINK("https://klasma.github.io/Logging_2313/kartor/A 42385-2024 karta.png", "A 42385-2024")</f>
        <v/>
      </c>
      <c r="V214">
        <f>HYPERLINK("https://klasma.github.io/Logging_2313/klagomål/A 42385-2024 FSC-klagomål.docx", "A 42385-2024")</f>
        <v/>
      </c>
      <c r="W214">
        <f>HYPERLINK("https://klasma.github.io/Logging_2313/klagomålsmail/A 42385-2024 FSC-klagomål mail.docx", "A 42385-2024")</f>
        <v/>
      </c>
      <c r="X214">
        <f>HYPERLINK("https://klasma.github.io/Logging_2313/tillsyn/A 42385-2024 tillsynsbegäran.docx", "A 42385-2024")</f>
        <v/>
      </c>
      <c r="Y214">
        <f>HYPERLINK("https://klasma.github.io/Logging_2313/tillsynsmail/A 42385-2024 tillsynsbegäran mail.docx", "A 42385-2024")</f>
        <v/>
      </c>
    </row>
    <row r="215" ht="15" customHeight="1">
      <c r="A215" t="inlineStr">
        <is>
          <t>A 58391-2024</t>
        </is>
      </c>
      <c r="B215" s="1" t="n">
        <v>45633.76444444444</v>
      </c>
      <c r="C215" s="1" t="n">
        <v>46033</v>
      </c>
      <c r="D215" t="inlineStr">
        <is>
          <t>JÄMTLANDS LÄN</t>
        </is>
      </c>
      <c r="E215" t="inlineStr">
        <is>
          <t>STRÖMSUND</t>
        </is>
      </c>
      <c r="G215" t="n">
        <v>14.7</v>
      </c>
      <c r="H215" t="n">
        <v>0</v>
      </c>
      <c r="I215" t="n">
        <v>0</v>
      </c>
      <c r="J215" t="n">
        <v>2</v>
      </c>
      <c r="K215" t="n">
        <v>0</v>
      </c>
      <c r="L215" t="n">
        <v>0</v>
      </c>
      <c r="M215" t="n">
        <v>0</v>
      </c>
      <c r="N215" t="n">
        <v>0</v>
      </c>
      <c r="O215" t="n">
        <v>2</v>
      </c>
      <c r="P215" t="n">
        <v>0</v>
      </c>
      <c r="Q215" t="n">
        <v>2</v>
      </c>
      <c r="R215" s="2" t="inlineStr">
        <is>
          <t>Lunglav
Violmussling</t>
        </is>
      </c>
      <c r="S215">
        <f>HYPERLINK("https://klasma.github.io/Logging_2313/artfynd/A 58391-2024 artfynd.xlsx", "A 58391-2024")</f>
        <v/>
      </c>
      <c r="T215">
        <f>HYPERLINK("https://klasma.github.io/Logging_2313/kartor/A 58391-2024 karta.png", "A 58391-2024")</f>
        <v/>
      </c>
      <c r="V215">
        <f>HYPERLINK("https://klasma.github.io/Logging_2313/klagomål/A 58391-2024 FSC-klagomål.docx", "A 58391-2024")</f>
        <v/>
      </c>
      <c r="W215">
        <f>HYPERLINK("https://klasma.github.io/Logging_2313/klagomålsmail/A 58391-2024 FSC-klagomål mail.docx", "A 58391-2024")</f>
        <v/>
      </c>
      <c r="X215">
        <f>HYPERLINK("https://klasma.github.io/Logging_2313/tillsyn/A 58391-2024 tillsynsbegäran.docx", "A 58391-2024")</f>
        <v/>
      </c>
      <c r="Y215">
        <f>HYPERLINK("https://klasma.github.io/Logging_2313/tillsynsmail/A 58391-2024 tillsynsbegäran mail.docx", "A 58391-2024")</f>
        <v/>
      </c>
    </row>
    <row r="216" ht="15" customHeight="1">
      <c r="A216" t="inlineStr">
        <is>
          <t>A 15461-2023</t>
        </is>
      </c>
      <c r="B216" s="1" t="n">
        <v>45019</v>
      </c>
      <c r="C216" s="1" t="n">
        <v>46033</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63108-2025</t>
        </is>
      </c>
      <c r="B217" s="1" t="n">
        <v>46009.74135416667</v>
      </c>
      <c r="C217" s="1" t="n">
        <v>46033</v>
      </c>
      <c r="D217" t="inlineStr">
        <is>
          <t>JÄMTLANDS LÄN</t>
        </is>
      </c>
      <c r="E217" t="inlineStr">
        <is>
          <t>STRÖMSUND</t>
        </is>
      </c>
      <c r="G217" t="n">
        <v>22.9</v>
      </c>
      <c r="H217" t="n">
        <v>1</v>
      </c>
      <c r="I217" t="n">
        <v>0</v>
      </c>
      <c r="J217" t="n">
        <v>2</v>
      </c>
      <c r="K217" t="n">
        <v>0</v>
      </c>
      <c r="L217" t="n">
        <v>0</v>
      </c>
      <c r="M217" t="n">
        <v>0</v>
      </c>
      <c r="N217" t="n">
        <v>0</v>
      </c>
      <c r="O217" t="n">
        <v>2</v>
      </c>
      <c r="P217" t="n">
        <v>0</v>
      </c>
      <c r="Q217" t="n">
        <v>2</v>
      </c>
      <c r="R217" s="2" t="inlineStr">
        <is>
          <t>Brunklöver
Tretåig hackspett</t>
        </is>
      </c>
      <c r="S217">
        <f>HYPERLINK("https://klasma.github.io/Logging_2313/artfynd/A 63108-2025 artfynd.xlsx", "A 63108-2025")</f>
        <v/>
      </c>
      <c r="T217">
        <f>HYPERLINK("https://klasma.github.io/Logging_2313/kartor/A 63108-2025 karta.png", "A 63108-2025")</f>
        <v/>
      </c>
      <c r="V217">
        <f>HYPERLINK("https://klasma.github.io/Logging_2313/klagomål/A 63108-2025 FSC-klagomål.docx", "A 63108-2025")</f>
        <v/>
      </c>
      <c r="W217">
        <f>HYPERLINK("https://klasma.github.io/Logging_2313/klagomålsmail/A 63108-2025 FSC-klagomål mail.docx", "A 63108-2025")</f>
        <v/>
      </c>
      <c r="X217">
        <f>HYPERLINK("https://klasma.github.io/Logging_2313/tillsyn/A 63108-2025 tillsynsbegäran.docx", "A 63108-2025")</f>
        <v/>
      </c>
      <c r="Y217">
        <f>HYPERLINK("https://klasma.github.io/Logging_2313/tillsynsmail/A 63108-2025 tillsynsbegäran mail.docx", "A 63108-2025")</f>
        <v/>
      </c>
      <c r="Z217">
        <f>HYPERLINK("https://klasma.github.io/Logging_2313/fåglar/A 63108-2025 prioriterade fågelarter.docx", "A 63108-2025")</f>
        <v/>
      </c>
    </row>
    <row r="218" ht="15" customHeight="1">
      <c r="A218" t="inlineStr">
        <is>
          <t>A 57333-2025</t>
        </is>
      </c>
      <c r="B218" s="1" t="n">
        <v>45980.34482638889</v>
      </c>
      <c r="C218" s="1" t="n">
        <v>46033</v>
      </c>
      <c r="D218" t="inlineStr">
        <is>
          <t>JÄMTLANDS LÄN</t>
        </is>
      </c>
      <c r="E218" t="inlineStr">
        <is>
          <t>STRÖMSUND</t>
        </is>
      </c>
      <c r="F218" t="inlineStr">
        <is>
          <t>SCA</t>
        </is>
      </c>
      <c r="G218" t="n">
        <v>3.6</v>
      </c>
      <c r="H218" t="n">
        <v>0</v>
      </c>
      <c r="I218" t="n">
        <v>1</v>
      </c>
      <c r="J218" t="n">
        <v>1</v>
      </c>
      <c r="K218" t="n">
        <v>0</v>
      </c>
      <c r="L218" t="n">
        <v>0</v>
      </c>
      <c r="M218" t="n">
        <v>0</v>
      </c>
      <c r="N218" t="n">
        <v>0</v>
      </c>
      <c r="O218" t="n">
        <v>1</v>
      </c>
      <c r="P218" t="n">
        <v>0</v>
      </c>
      <c r="Q218" t="n">
        <v>2</v>
      </c>
      <c r="R218" s="2" t="inlineStr">
        <is>
          <t>Lunglav
Stuplav</t>
        </is>
      </c>
      <c r="S218">
        <f>HYPERLINK("https://klasma.github.io/Logging_2313/artfynd/A 57333-2025 artfynd.xlsx", "A 57333-2025")</f>
        <v/>
      </c>
      <c r="T218">
        <f>HYPERLINK("https://klasma.github.io/Logging_2313/kartor/A 57333-2025 karta.png", "A 57333-2025")</f>
        <v/>
      </c>
      <c r="V218">
        <f>HYPERLINK("https://klasma.github.io/Logging_2313/klagomål/A 57333-2025 FSC-klagomål.docx", "A 57333-2025")</f>
        <v/>
      </c>
      <c r="W218">
        <f>HYPERLINK("https://klasma.github.io/Logging_2313/klagomålsmail/A 57333-2025 FSC-klagomål mail.docx", "A 57333-2025")</f>
        <v/>
      </c>
      <c r="X218">
        <f>HYPERLINK("https://klasma.github.io/Logging_2313/tillsyn/A 57333-2025 tillsynsbegäran.docx", "A 57333-2025")</f>
        <v/>
      </c>
      <c r="Y218">
        <f>HYPERLINK("https://klasma.github.io/Logging_2313/tillsynsmail/A 57333-2025 tillsynsbegäran mail.docx", "A 57333-2025")</f>
        <v/>
      </c>
    </row>
    <row r="219" ht="15" customHeight="1">
      <c r="A219" t="inlineStr">
        <is>
          <t>A 58239-2025</t>
        </is>
      </c>
      <c r="B219" s="1" t="n">
        <v>45985.38788194444</v>
      </c>
      <c r="C219" s="1" t="n">
        <v>46033</v>
      </c>
      <c r="D219" t="inlineStr">
        <is>
          <t>JÄMTLANDS LÄN</t>
        </is>
      </c>
      <c r="E219" t="inlineStr">
        <is>
          <t>STRÖMSUND</t>
        </is>
      </c>
      <c r="F219" t="inlineStr">
        <is>
          <t>SCA</t>
        </is>
      </c>
      <c r="G219" t="n">
        <v>1.3</v>
      </c>
      <c r="H219" t="n">
        <v>0</v>
      </c>
      <c r="I219" t="n">
        <v>0</v>
      </c>
      <c r="J219" t="n">
        <v>2</v>
      </c>
      <c r="K219" t="n">
        <v>0</v>
      </c>
      <c r="L219" t="n">
        <v>0</v>
      </c>
      <c r="M219" t="n">
        <v>0</v>
      </c>
      <c r="N219" t="n">
        <v>0</v>
      </c>
      <c r="O219" t="n">
        <v>2</v>
      </c>
      <c r="P219" t="n">
        <v>0</v>
      </c>
      <c r="Q219" t="n">
        <v>2</v>
      </c>
      <c r="R219" s="2" t="inlineStr">
        <is>
          <t>Gammelgransskål
Garnlav</t>
        </is>
      </c>
      <c r="S219">
        <f>HYPERLINK("https://klasma.github.io/Logging_2313/artfynd/A 58239-2025 artfynd.xlsx", "A 58239-2025")</f>
        <v/>
      </c>
      <c r="T219">
        <f>HYPERLINK("https://klasma.github.io/Logging_2313/kartor/A 58239-2025 karta.png", "A 58239-2025")</f>
        <v/>
      </c>
      <c r="V219">
        <f>HYPERLINK("https://klasma.github.io/Logging_2313/klagomål/A 58239-2025 FSC-klagomål.docx", "A 58239-2025")</f>
        <v/>
      </c>
      <c r="W219">
        <f>HYPERLINK("https://klasma.github.io/Logging_2313/klagomålsmail/A 58239-2025 FSC-klagomål mail.docx", "A 58239-2025")</f>
        <v/>
      </c>
      <c r="X219">
        <f>HYPERLINK("https://klasma.github.io/Logging_2313/tillsyn/A 58239-2025 tillsynsbegäran.docx", "A 58239-2025")</f>
        <v/>
      </c>
      <c r="Y219">
        <f>HYPERLINK("https://klasma.github.io/Logging_2313/tillsynsmail/A 58239-2025 tillsynsbegäran mail.docx", "A 58239-2025")</f>
        <v/>
      </c>
    </row>
    <row r="220" ht="15" customHeight="1">
      <c r="A220" t="inlineStr">
        <is>
          <t>A 34784-2025</t>
        </is>
      </c>
      <c r="B220" s="1" t="n">
        <v>45848.67758101852</v>
      </c>
      <c r="C220" s="1" t="n">
        <v>46033</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49190-2024</t>
        </is>
      </c>
      <c r="B221" s="1" t="n">
        <v>45595.34515046296</v>
      </c>
      <c r="C221" s="1" t="n">
        <v>46033</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59742-2024</t>
        </is>
      </c>
      <c r="B222" s="1" t="n">
        <v>45639.53158564815</v>
      </c>
      <c r="C222" s="1" t="n">
        <v>46033</v>
      </c>
      <c r="D222" t="inlineStr">
        <is>
          <t>JÄMTLANDS LÄN</t>
        </is>
      </c>
      <c r="E222" t="inlineStr">
        <is>
          <t>STRÖMSUND</t>
        </is>
      </c>
      <c r="F222" t="inlineStr">
        <is>
          <t>SCA</t>
        </is>
      </c>
      <c r="G222" t="n">
        <v>6.2</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HYPERLINK("https://klasma.github.io/Logging_2313/artfynd/A 59742-2024 artfynd.xlsx", "A 59742-2024")</f>
        <v/>
      </c>
      <c r="T222">
        <f>HYPERLINK("https://klasma.github.io/Logging_2313/kartor/A 59742-2024 karta.png", "A 59742-2024")</f>
        <v/>
      </c>
      <c r="V222">
        <f>HYPERLINK("https://klasma.github.io/Logging_2313/klagomål/A 59742-2024 FSC-klagomål.docx", "A 59742-2024")</f>
        <v/>
      </c>
      <c r="W222">
        <f>HYPERLINK("https://klasma.github.io/Logging_2313/klagomålsmail/A 59742-2024 FSC-klagomål mail.docx", "A 59742-2024")</f>
        <v/>
      </c>
      <c r="X222">
        <f>HYPERLINK("https://klasma.github.io/Logging_2313/tillsyn/A 59742-2024 tillsynsbegäran.docx", "A 59742-2024")</f>
        <v/>
      </c>
      <c r="Y222">
        <f>HYPERLINK("https://klasma.github.io/Logging_2313/tillsynsmail/A 59742-2024 tillsynsbegäran mail.docx", "A 59742-2024")</f>
        <v/>
      </c>
      <c r="Z222">
        <f>HYPERLINK("https://klasma.github.io/Logging_2313/fåglar/A 59742-2024 prioriterade fågelarter.docx", "A 59742-2024")</f>
        <v/>
      </c>
    </row>
    <row r="223" ht="15" customHeight="1">
      <c r="A223" t="inlineStr">
        <is>
          <t>A 29071-2023</t>
        </is>
      </c>
      <c r="B223" s="1" t="n">
        <v>45104</v>
      </c>
      <c r="C223" s="1" t="n">
        <v>46033</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36837-2024</t>
        </is>
      </c>
      <c r="B224" s="1" t="n">
        <v>45538.52561342593</v>
      </c>
      <c r="C224" s="1" t="n">
        <v>46033</v>
      </c>
      <c r="D224" t="inlineStr">
        <is>
          <t>JÄMTLANDS LÄN</t>
        </is>
      </c>
      <c r="E224" t="inlineStr">
        <is>
          <t>STRÖMSUND</t>
        </is>
      </c>
      <c r="F224" t="inlineStr">
        <is>
          <t>SCA</t>
        </is>
      </c>
      <c r="G224" t="n">
        <v>5</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36837-2024 artfynd.xlsx", "A 36837-2024")</f>
        <v/>
      </c>
      <c r="T224">
        <f>HYPERLINK("https://klasma.github.io/Logging_2313/kartor/A 36837-2024 karta.png", "A 36837-2024")</f>
        <v/>
      </c>
      <c r="V224">
        <f>HYPERLINK("https://klasma.github.io/Logging_2313/klagomål/A 36837-2024 FSC-klagomål.docx", "A 36837-2024")</f>
        <v/>
      </c>
      <c r="W224">
        <f>HYPERLINK("https://klasma.github.io/Logging_2313/klagomålsmail/A 36837-2024 FSC-klagomål mail.docx", "A 36837-2024")</f>
        <v/>
      </c>
      <c r="X224">
        <f>HYPERLINK("https://klasma.github.io/Logging_2313/tillsyn/A 36837-2024 tillsynsbegäran.docx", "A 36837-2024")</f>
        <v/>
      </c>
      <c r="Y224">
        <f>HYPERLINK("https://klasma.github.io/Logging_2313/tillsynsmail/A 36837-2024 tillsynsbegäran mail.docx", "A 36837-2024")</f>
        <v/>
      </c>
    </row>
    <row r="225" ht="15" customHeight="1">
      <c r="A225" t="inlineStr">
        <is>
          <t>A 63532-2021</t>
        </is>
      </c>
      <c r="B225" s="1" t="n">
        <v>44504</v>
      </c>
      <c r="C225" s="1" t="n">
        <v>46033</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21629-2024</t>
        </is>
      </c>
      <c r="B226" s="1" t="n">
        <v>45442.32594907407</v>
      </c>
      <c r="C226" s="1" t="n">
        <v>46033</v>
      </c>
      <c r="D226" t="inlineStr">
        <is>
          <t>JÄMTLANDS LÄN</t>
        </is>
      </c>
      <c r="E226" t="inlineStr">
        <is>
          <t>STRÖMSUND</t>
        </is>
      </c>
      <c r="F226" t="inlineStr">
        <is>
          <t>Holmen skog AB</t>
        </is>
      </c>
      <c r="G226" t="n">
        <v>1.1</v>
      </c>
      <c r="H226" t="n">
        <v>0</v>
      </c>
      <c r="I226" t="n">
        <v>0</v>
      </c>
      <c r="J226" t="n">
        <v>2</v>
      </c>
      <c r="K226" t="n">
        <v>0</v>
      </c>
      <c r="L226" t="n">
        <v>0</v>
      </c>
      <c r="M226" t="n">
        <v>0</v>
      </c>
      <c r="N226" t="n">
        <v>0</v>
      </c>
      <c r="O226" t="n">
        <v>2</v>
      </c>
      <c r="P226" t="n">
        <v>0</v>
      </c>
      <c r="Q226" t="n">
        <v>2</v>
      </c>
      <c r="R226" s="2" t="inlineStr">
        <is>
          <t>Blå taggsvamp
Talltaggsvamp</t>
        </is>
      </c>
      <c r="S226">
        <f>HYPERLINK("https://klasma.github.io/Logging_2313/artfynd/A 21629-2024 artfynd.xlsx", "A 21629-2024")</f>
        <v/>
      </c>
      <c r="T226">
        <f>HYPERLINK("https://klasma.github.io/Logging_2313/kartor/A 21629-2024 karta.png", "A 21629-2024")</f>
        <v/>
      </c>
      <c r="V226">
        <f>HYPERLINK("https://klasma.github.io/Logging_2313/klagomål/A 21629-2024 FSC-klagomål.docx", "A 21629-2024")</f>
        <v/>
      </c>
      <c r="W226">
        <f>HYPERLINK("https://klasma.github.io/Logging_2313/klagomålsmail/A 21629-2024 FSC-klagomål mail.docx", "A 21629-2024")</f>
        <v/>
      </c>
      <c r="X226">
        <f>HYPERLINK("https://klasma.github.io/Logging_2313/tillsyn/A 21629-2024 tillsynsbegäran.docx", "A 21629-2024")</f>
        <v/>
      </c>
      <c r="Y226">
        <f>HYPERLINK("https://klasma.github.io/Logging_2313/tillsynsmail/A 21629-2024 tillsynsbegäran mail.docx", "A 21629-2024")</f>
        <v/>
      </c>
    </row>
    <row r="227" ht="15" customHeight="1">
      <c r="A227" t="inlineStr">
        <is>
          <t>A 38281-2024</t>
        </is>
      </c>
      <c r="B227" s="1" t="n">
        <v>45545.61533564814</v>
      </c>
      <c r="C227" s="1" t="n">
        <v>46033</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20781-2024</t>
        </is>
      </c>
      <c r="B228" s="1" t="n">
        <v>45436.94723379629</v>
      </c>
      <c r="C228" s="1" t="n">
        <v>46033</v>
      </c>
      <c r="D228" t="inlineStr">
        <is>
          <t>JÄMTLANDS LÄN</t>
        </is>
      </c>
      <c r="E228" t="inlineStr">
        <is>
          <t>STRÖMSUND</t>
        </is>
      </c>
      <c r="F228" t="inlineStr">
        <is>
          <t>SCA</t>
        </is>
      </c>
      <c r="G228" t="n">
        <v>3</v>
      </c>
      <c r="H228" t="n">
        <v>1</v>
      </c>
      <c r="I228" t="n">
        <v>0</v>
      </c>
      <c r="J228" t="n">
        <v>1</v>
      </c>
      <c r="K228" t="n">
        <v>0</v>
      </c>
      <c r="L228" t="n">
        <v>1</v>
      </c>
      <c r="M228" t="n">
        <v>0</v>
      </c>
      <c r="N228" t="n">
        <v>0</v>
      </c>
      <c r="O228" t="n">
        <v>2</v>
      </c>
      <c r="P228" t="n">
        <v>1</v>
      </c>
      <c r="Q228" t="n">
        <v>2</v>
      </c>
      <c r="R228" s="2" t="inlineStr">
        <is>
          <t>Storspov
Majviva</t>
        </is>
      </c>
      <c r="S228">
        <f>HYPERLINK("https://klasma.github.io/Logging_2313/artfynd/A 20781-2024 artfynd.xlsx", "A 20781-2024")</f>
        <v/>
      </c>
      <c r="T228">
        <f>HYPERLINK("https://klasma.github.io/Logging_2313/kartor/A 20781-2024 karta.png", "A 20781-2024")</f>
        <v/>
      </c>
      <c r="V228">
        <f>HYPERLINK("https://klasma.github.io/Logging_2313/klagomål/A 20781-2024 FSC-klagomål.docx", "A 20781-2024")</f>
        <v/>
      </c>
      <c r="W228">
        <f>HYPERLINK("https://klasma.github.io/Logging_2313/klagomålsmail/A 20781-2024 FSC-klagomål mail.docx", "A 20781-2024")</f>
        <v/>
      </c>
      <c r="X228">
        <f>HYPERLINK("https://klasma.github.io/Logging_2313/tillsyn/A 20781-2024 tillsynsbegäran.docx", "A 20781-2024")</f>
        <v/>
      </c>
      <c r="Y228">
        <f>HYPERLINK("https://klasma.github.io/Logging_2313/tillsynsmail/A 20781-2024 tillsynsbegäran mail.docx", "A 20781-2024")</f>
        <v/>
      </c>
    </row>
    <row r="229" ht="15" customHeight="1">
      <c r="A229" t="inlineStr">
        <is>
          <t>A 30351-2024</t>
        </is>
      </c>
      <c r="B229" s="1" t="n">
        <v>45490</v>
      </c>
      <c r="C229" s="1" t="n">
        <v>46033</v>
      </c>
      <c r="D229" t="inlineStr">
        <is>
          <t>JÄMTLANDS LÄN</t>
        </is>
      </c>
      <c r="E229" t="inlineStr">
        <is>
          <t>STRÖMSUND</t>
        </is>
      </c>
      <c r="F229" t="inlineStr">
        <is>
          <t>SCA</t>
        </is>
      </c>
      <c r="G229" t="n">
        <v>4.8</v>
      </c>
      <c r="H229" t="n">
        <v>0</v>
      </c>
      <c r="I229" t="n">
        <v>0</v>
      </c>
      <c r="J229" t="n">
        <v>1</v>
      </c>
      <c r="K229" t="n">
        <v>1</v>
      </c>
      <c r="L229" t="n">
        <v>0</v>
      </c>
      <c r="M229" t="n">
        <v>0</v>
      </c>
      <c r="N229" t="n">
        <v>0</v>
      </c>
      <c r="O229" t="n">
        <v>2</v>
      </c>
      <c r="P229" t="n">
        <v>1</v>
      </c>
      <c r="Q229" t="n">
        <v>2</v>
      </c>
      <c r="R229" s="2" t="inlineStr">
        <is>
          <t>Rynkskinn
Gammelgransskål</t>
        </is>
      </c>
      <c r="S229">
        <f>HYPERLINK("https://klasma.github.io/Logging_2313/artfynd/A 30351-2024 artfynd.xlsx", "A 30351-2024")</f>
        <v/>
      </c>
      <c r="T229">
        <f>HYPERLINK("https://klasma.github.io/Logging_2313/kartor/A 30351-2024 karta.png", "A 30351-2024")</f>
        <v/>
      </c>
      <c r="V229">
        <f>HYPERLINK("https://klasma.github.io/Logging_2313/klagomål/A 30351-2024 FSC-klagomål.docx", "A 30351-2024")</f>
        <v/>
      </c>
      <c r="W229">
        <f>HYPERLINK("https://klasma.github.io/Logging_2313/klagomålsmail/A 30351-2024 FSC-klagomål mail.docx", "A 30351-2024")</f>
        <v/>
      </c>
      <c r="X229">
        <f>HYPERLINK("https://klasma.github.io/Logging_2313/tillsyn/A 30351-2024 tillsynsbegäran.docx", "A 30351-2024")</f>
        <v/>
      </c>
      <c r="Y229">
        <f>HYPERLINK("https://klasma.github.io/Logging_2313/tillsynsmail/A 30351-2024 tillsynsbegäran mail.docx", "A 30351-2024")</f>
        <v/>
      </c>
    </row>
    <row r="230" ht="15" customHeight="1">
      <c r="A230" t="inlineStr">
        <is>
          <t>A 39055-2023</t>
        </is>
      </c>
      <c r="B230" s="1" t="n">
        <v>45163</v>
      </c>
      <c r="C230" s="1" t="n">
        <v>46033</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39696-2022</t>
        </is>
      </c>
      <c r="B231" s="1" t="n">
        <v>44818</v>
      </c>
      <c r="C231" s="1" t="n">
        <v>46033</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46033</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46033</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46033</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46033</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46033</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46033</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46033</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46033</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46033</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46033</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10696-2022</t>
        </is>
      </c>
      <c r="B242" s="1" t="n">
        <v>44624</v>
      </c>
      <c r="C242" s="1" t="n">
        <v>46033</v>
      </c>
      <c r="D242" t="inlineStr">
        <is>
          <t>JÄMTLANDS LÄN</t>
        </is>
      </c>
      <c r="E242" t="inlineStr">
        <is>
          <t>STRÖMSUND</t>
        </is>
      </c>
      <c r="F242" t="inlineStr">
        <is>
          <t>SCA</t>
        </is>
      </c>
      <c r="G242" t="n">
        <v>9</v>
      </c>
      <c r="H242" t="n">
        <v>0</v>
      </c>
      <c r="I242" t="n">
        <v>0</v>
      </c>
      <c r="J242" t="n">
        <v>0</v>
      </c>
      <c r="K242" t="n">
        <v>1</v>
      </c>
      <c r="L242" t="n">
        <v>0</v>
      </c>
      <c r="M242" t="n">
        <v>0</v>
      </c>
      <c r="N242" t="n">
        <v>0</v>
      </c>
      <c r="O242" t="n">
        <v>1</v>
      </c>
      <c r="P242" t="n">
        <v>1</v>
      </c>
      <c r="Q242" t="n">
        <v>1</v>
      </c>
      <c r="R242" s="2" t="inlineStr">
        <is>
          <t>Smalskaftslav</t>
        </is>
      </c>
      <c r="S242">
        <f>HYPERLINK("https://klasma.github.io/Logging_2313/artfynd/A 10696-2022 artfynd.xlsx", "A 10696-2022")</f>
        <v/>
      </c>
      <c r="T242">
        <f>HYPERLINK("https://klasma.github.io/Logging_2313/kartor/A 10696-2022 karta.png", "A 10696-2022")</f>
        <v/>
      </c>
      <c r="V242">
        <f>HYPERLINK("https://klasma.github.io/Logging_2313/klagomål/A 10696-2022 FSC-klagomål.docx", "A 10696-2022")</f>
        <v/>
      </c>
      <c r="W242">
        <f>HYPERLINK("https://klasma.github.io/Logging_2313/klagomålsmail/A 10696-2022 FSC-klagomål mail.docx", "A 10696-2022")</f>
        <v/>
      </c>
      <c r="X242">
        <f>HYPERLINK("https://klasma.github.io/Logging_2313/tillsyn/A 10696-2022 tillsynsbegäran.docx", "A 10696-2022")</f>
        <v/>
      </c>
      <c r="Y242">
        <f>HYPERLINK("https://klasma.github.io/Logging_2313/tillsynsmail/A 10696-2022 tillsynsbegäran mail.docx", "A 10696-2022")</f>
        <v/>
      </c>
    </row>
    <row r="243" ht="15" customHeight="1">
      <c r="A243" t="inlineStr">
        <is>
          <t>A 14291-2022</t>
        </is>
      </c>
      <c r="B243" s="1" t="n">
        <v>44651</v>
      </c>
      <c r="C243" s="1" t="n">
        <v>46033</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12950-2022</t>
        </is>
      </c>
      <c r="B244" s="1" t="n">
        <v>44642</v>
      </c>
      <c r="C244" s="1" t="n">
        <v>46033</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48544-2022</t>
        </is>
      </c>
      <c r="B245" s="1" t="n">
        <v>44858</v>
      </c>
      <c r="C245" s="1" t="n">
        <v>46033</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21208-2022</t>
        </is>
      </c>
      <c r="B246" s="1" t="n">
        <v>44704</v>
      </c>
      <c r="C246" s="1" t="n">
        <v>46033</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24729-2022</t>
        </is>
      </c>
      <c r="B247" s="1" t="n">
        <v>44727</v>
      </c>
      <c r="C247" s="1" t="n">
        <v>46033</v>
      </c>
      <c r="D247" t="inlineStr">
        <is>
          <t>JÄMTLANDS LÄN</t>
        </is>
      </c>
      <c r="E247" t="inlineStr">
        <is>
          <t>STRÖMSUND</t>
        </is>
      </c>
      <c r="F247" t="inlineStr">
        <is>
          <t>SCA</t>
        </is>
      </c>
      <c r="G247" t="n">
        <v>1.3</v>
      </c>
      <c r="H247" t="n">
        <v>0</v>
      </c>
      <c r="I247" t="n">
        <v>0</v>
      </c>
      <c r="J247" t="n">
        <v>1</v>
      </c>
      <c r="K247" t="n">
        <v>0</v>
      </c>
      <c r="L247" t="n">
        <v>0</v>
      </c>
      <c r="M247" t="n">
        <v>0</v>
      </c>
      <c r="N247" t="n">
        <v>0</v>
      </c>
      <c r="O247" t="n">
        <v>1</v>
      </c>
      <c r="P247" t="n">
        <v>0</v>
      </c>
      <c r="Q247" t="n">
        <v>1</v>
      </c>
      <c r="R247" s="2" t="inlineStr">
        <is>
          <t>Granticka</t>
        </is>
      </c>
      <c r="S247">
        <f>HYPERLINK("https://klasma.github.io/Logging_2313/artfynd/A 24729-2022 artfynd.xlsx", "A 24729-2022")</f>
        <v/>
      </c>
      <c r="T247">
        <f>HYPERLINK("https://klasma.github.io/Logging_2313/kartor/A 24729-2022 karta.png", "A 24729-2022")</f>
        <v/>
      </c>
      <c r="U247">
        <f>HYPERLINK("https://klasma.github.io/Logging_2313/knärot/A 24729-2022 karta knärot.png", "A 24729-2022")</f>
        <v/>
      </c>
      <c r="V247">
        <f>HYPERLINK("https://klasma.github.io/Logging_2313/klagomål/A 24729-2022 FSC-klagomål.docx", "A 24729-2022")</f>
        <v/>
      </c>
      <c r="W247">
        <f>HYPERLINK("https://klasma.github.io/Logging_2313/klagomålsmail/A 24729-2022 FSC-klagomål mail.docx", "A 24729-2022")</f>
        <v/>
      </c>
      <c r="X247">
        <f>HYPERLINK("https://klasma.github.io/Logging_2313/tillsyn/A 24729-2022 tillsynsbegäran.docx", "A 24729-2022")</f>
        <v/>
      </c>
      <c r="Y247">
        <f>HYPERLINK("https://klasma.github.io/Logging_2313/tillsynsmail/A 24729-2022 tillsynsbegäran mail.docx", "A 24729-2022")</f>
        <v/>
      </c>
    </row>
    <row r="248" ht="15" customHeight="1">
      <c r="A248" t="inlineStr">
        <is>
          <t>A 22051-2025</t>
        </is>
      </c>
      <c r="B248" s="1" t="n">
        <v>45785.34456018519</v>
      </c>
      <c r="C248" s="1" t="n">
        <v>46033</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22181-2025</t>
        </is>
      </c>
      <c r="B249" s="1" t="n">
        <v>45785.61623842592</v>
      </c>
      <c r="C249" s="1" t="n">
        <v>46033</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66483-2021</t>
        </is>
      </c>
      <c r="B250" s="1" t="n">
        <v>44518</v>
      </c>
      <c r="C250" s="1" t="n">
        <v>46033</v>
      </c>
      <c r="D250" t="inlineStr">
        <is>
          <t>JÄMTLANDS LÄN</t>
        </is>
      </c>
      <c r="E250" t="inlineStr">
        <is>
          <t>STRÖMSUND</t>
        </is>
      </c>
      <c r="F250" t="inlineStr">
        <is>
          <t>SCA</t>
        </is>
      </c>
      <c r="G250" t="n">
        <v>10.2</v>
      </c>
      <c r="H250" t="n">
        <v>0</v>
      </c>
      <c r="I250" t="n">
        <v>0</v>
      </c>
      <c r="J250" t="n">
        <v>1</v>
      </c>
      <c r="K250" t="n">
        <v>0</v>
      </c>
      <c r="L250" t="n">
        <v>0</v>
      </c>
      <c r="M250" t="n">
        <v>0</v>
      </c>
      <c r="N250" t="n">
        <v>0</v>
      </c>
      <c r="O250" t="n">
        <v>1</v>
      </c>
      <c r="P250" t="n">
        <v>0</v>
      </c>
      <c r="Q250" t="n">
        <v>1</v>
      </c>
      <c r="R250" s="2" t="inlineStr">
        <is>
          <t>Knottrig blåslav</t>
        </is>
      </c>
      <c r="S250">
        <f>HYPERLINK("https://klasma.github.io/Logging_2313/artfynd/A 66483-2021 artfynd.xlsx", "A 66483-2021")</f>
        <v/>
      </c>
      <c r="T250">
        <f>HYPERLINK("https://klasma.github.io/Logging_2313/kartor/A 66483-2021 karta.png", "A 66483-2021")</f>
        <v/>
      </c>
      <c r="V250">
        <f>HYPERLINK("https://klasma.github.io/Logging_2313/klagomål/A 66483-2021 FSC-klagomål.docx", "A 66483-2021")</f>
        <v/>
      </c>
      <c r="W250">
        <f>HYPERLINK("https://klasma.github.io/Logging_2313/klagomålsmail/A 66483-2021 FSC-klagomål mail.docx", "A 66483-2021")</f>
        <v/>
      </c>
      <c r="X250">
        <f>HYPERLINK("https://klasma.github.io/Logging_2313/tillsyn/A 66483-2021 tillsynsbegäran.docx", "A 66483-2021")</f>
        <v/>
      </c>
      <c r="Y250">
        <f>HYPERLINK("https://klasma.github.io/Logging_2313/tillsynsmail/A 66483-2021 tillsynsbegäran mail.docx", "A 66483-2021")</f>
        <v/>
      </c>
    </row>
    <row r="251" ht="15" customHeight="1">
      <c r="A251" t="inlineStr">
        <is>
          <t>A 30085-2025</t>
        </is>
      </c>
      <c r="B251" s="1" t="n">
        <v>45826.65711805555</v>
      </c>
      <c r="C251" s="1" t="n">
        <v>46033</v>
      </c>
      <c r="D251" t="inlineStr">
        <is>
          <t>JÄMTLANDS LÄN</t>
        </is>
      </c>
      <c r="E251" t="inlineStr">
        <is>
          <t>STRÖMSUND</t>
        </is>
      </c>
      <c r="F251" t="inlineStr">
        <is>
          <t>Sveaskog</t>
        </is>
      </c>
      <c r="G251" t="n">
        <v>1.4</v>
      </c>
      <c r="H251" t="n">
        <v>0</v>
      </c>
      <c r="I251" t="n">
        <v>0</v>
      </c>
      <c r="J251" t="n">
        <v>0</v>
      </c>
      <c r="K251" t="n">
        <v>1</v>
      </c>
      <c r="L251" t="n">
        <v>0</v>
      </c>
      <c r="M251" t="n">
        <v>0</v>
      </c>
      <c r="N251" t="n">
        <v>0</v>
      </c>
      <c r="O251" t="n">
        <v>1</v>
      </c>
      <c r="P251" t="n">
        <v>1</v>
      </c>
      <c r="Q251" t="n">
        <v>1</v>
      </c>
      <c r="R251" s="2" t="inlineStr">
        <is>
          <t>Blyspindling agg.</t>
        </is>
      </c>
      <c r="S251">
        <f>HYPERLINK("https://klasma.github.io/Logging_2313/artfynd/A 30085-2025 artfynd.xlsx", "A 30085-2025")</f>
        <v/>
      </c>
      <c r="T251">
        <f>HYPERLINK("https://klasma.github.io/Logging_2313/kartor/A 30085-2025 karta.png", "A 30085-2025")</f>
        <v/>
      </c>
      <c r="V251">
        <f>HYPERLINK("https://klasma.github.io/Logging_2313/klagomål/A 30085-2025 FSC-klagomål.docx", "A 30085-2025")</f>
        <v/>
      </c>
      <c r="W251">
        <f>HYPERLINK("https://klasma.github.io/Logging_2313/klagomålsmail/A 30085-2025 FSC-klagomål mail.docx", "A 30085-2025")</f>
        <v/>
      </c>
      <c r="X251">
        <f>HYPERLINK("https://klasma.github.io/Logging_2313/tillsyn/A 30085-2025 tillsynsbegäran.docx", "A 30085-2025")</f>
        <v/>
      </c>
      <c r="Y251">
        <f>HYPERLINK("https://klasma.github.io/Logging_2313/tillsynsmail/A 30085-2025 tillsynsbegäran mail.docx", "A 30085-2025")</f>
        <v/>
      </c>
    </row>
    <row r="252" ht="15" customHeight="1">
      <c r="A252" t="inlineStr">
        <is>
          <t>A 59840-2025</t>
        </is>
      </c>
      <c r="B252" s="1" t="n">
        <v>45992.67763888889</v>
      </c>
      <c r="C252" s="1" t="n">
        <v>46033</v>
      </c>
      <c r="D252" t="inlineStr">
        <is>
          <t>JÄMTLANDS LÄN</t>
        </is>
      </c>
      <c r="E252" t="inlineStr">
        <is>
          <t>STRÖMSUND</t>
        </is>
      </c>
      <c r="F252" t="inlineStr">
        <is>
          <t>SCA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HYPERLINK("https://klasma.github.io/Logging_2313/artfynd/A 59840-2025 artfynd.xlsx", "A 59840-2025")</f>
        <v/>
      </c>
      <c r="T252">
        <f>HYPERLINK("https://klasma.github.io/Logging_2313/kartor/A 59840-2025 karta.png", "A 59840-2025")</f>
        <v/>
      </c>
      <c r="V252">
        <f>HYPERLINK("https://klasma.github.io/Logging_2313/klagomål/A 59840-2025 FSC-klagomål.docx", "A 59840-2025")</f>
        <v/>
      </c>
      <c r="W252">
        <f>HYPERLINK("https://klasma.github.io/Logging_2313/klagomålsmail/A 59840-2025 FSC-klagomål mail.docx", "A 59840-2025")</f>
        <v/>
      </c>
      <c r="X252">
        <f>HYPERLINK("https://klasma.github.io/Logging_2313/tillsyn/A 59840-2025 tillsynsbegäran.docx", "A 59840-2025")</f>
        <v/>
      </c>
      <c r="Y252">
        <f>HYPERLINK("https://klasma.github.io/Logging_2313/tillsynsmail/A 59840-2025 tillsynsbegäran mail.docx", "A 59840-2025")</f>
        <v/>
      </c>
    </row>
    <row r="253" ht="15" customHeight="1">
      <c r="A253" t="inlineStr">
        <is>
          <t>A 49524-2023</t>
        </is>
      </c>
      <c r="B253" s="1" t="n">
        <v>45211</v>
      </c>
      <c r="C253" s="1" t="n">
        <v>46033</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59735-2025</t>
        </is>
      </c>
      <c r="B254" s="1" t="n">
        <v>45992.57347222222</v>
      </c>
      <c r="C254" s="1" t="n">
        <v>46033</v>
      </c>
      <c r="D254" t="inlineStr">
        <is>
          <t>JÄMTLANDS LÄN</t>
        </is>
      </c>
      <c r="E254" t="inlineStr">
        <is>
          <t>STRÖMSUND</t>
        </is>
      </c>
      <c r="F254" t="inlineStr">
        <is>
          <t>SCA</t>
        </is>
      </c>
      <c r="G254" t="n">
        <v>13.5</v>
      </c>
      <c r="H254" t="n">
        <v>0</v>
      </c>
      <c r="I254" t="n">
        <v>1</v>
      </c>
      <c r="J254" t="n">
        <v>0</v>
      </c>
      <c r="K254" t="n">
        <v>0</v>
      </c>
      <c r="L254" t="n">
        <v>0</v>
      </c>
      <c r="M254" t="n">
        <v>0</v>
      </c>
      <c r="N254" t="n">
        <v>0</v>
      </c>
      <c r="O254" t="n">
        <v>0</v>
      </c>
      <c r="P254" t="n">
        <v>0</v>
      </c>
      <c r="Q254" t="n">
        <v>1</v>
      </c>
      <c r="R254" s="2" t="inlineStr">
        <is>
          <t>Skinnlav</t>
        </is>
      </c>
      <c r="S254">
        <f>HYPERLINK("https://klasma.github.io/Logging_2313/artfynd/A 59735-2025 artfynd.xlsx", "A 59735-2025")</f>
        <v/>
      </c>
      <c r="T254">
        <f>HYPERLINK("https://klasma.github.io/Logging_2313/kartor/A 59735-2025 karta.png", "A 59735-2025")</f>
        <v/>
      </c>
      <c r="V254">
        <f>HYPERLINK("https://klasma.github.io/Logging_2313/klagomål/A 59735-2025 FSC-klagomål.docx", "A 59735-2025")</f>
        <v/>
      </c>
      <c r="W254">
        <f>HYPERLINK("https://klasma.github.io/Logging_2313/klagomålsmail/A 59735-2025 FSC-klagomål mail.docx", "A 59735-2025")</f>
        <v/>
      </c>
      <c r="X254">
        <f>HYPERLINK("https://klasma.github.io/Logging_2313/tillsyn/A 59735-2025 tillsynsbegäran.docx", "A 59735-2025")</f>
        <v/>
      </c>
      <c r="Y254">
        <f>HYPERLINK("https://klasma.github.io/Logging_2313/tillsynsmail/A 59735-2025 tillsynsbegäran mail.docx", "A 59735-2025")</f>
        <v/>
      </c>
    </row>
    <row r="255" ht="15" customHeight="1">
      <c r="A255" t="inlineStr">
        <is>
          <t>A 40305-2025</t>
        </is>
      </c>
      <c r="B255" s="1" t="n">
        <v>45895.40702546296</v>
      </c>
      <c r="C255" s="1" t="n">
        <v>46033</v>
      </c>
      <c r="D255" t="inlineStr">
        <is>
          <t>JÄMTLANDS LÄN</t>
        </is>
      </c>
      <c r="E255" t="inlineStr">
        <is>
          <t>STRÖMSUND</t>
        </is>
      </c>
      <c r="F255" t="inlineStr">
        <is>
          <t>SCA</t>
        </is>
      </c>
      <c r="G255" t="n">
        <v>4.5</v>
      </c>
      <c r="H255" t="n">
        <v>0</v>
      </c>
      <c r="I255" t="n">
        <v>0</v>
      </c>
      <c r="J255" t="n">
        <v>1</v>
      </c>
      <c r="K255" t="n">
        <v>0</v>
      </c>
      <c r="L255" t="n">
        <v>0</v>
      </c>
      <c r="M255" t="n">
        <v>0</v>
      </c>
      <c r="N255" t="n">
        <v>0</v>
      </c>
      <c r="O255" t="n">
        <v>1</v>
      </c>
      <c r="P255" t="n">
        <v>0</v>
      </c>
      <c r="Q255" t="n">
        <v>1</v>
      </c>
      <c r="R255" s="2" t="inlineStr">
        <is>
          <t>Granticka</t>
        </is>
      </c>
      <c r="S255">
        <f>HYPERLINK("https://klasma.github.io/Logging_2313/artfynd/A 40305-2025 artfynd.xlsx", "A 40305-2025")</f>
        <v/>
      </c>
      <c r="T255">
        <f>HYPERLINK("https://klasma.github.io/Logging_2313/kartor/A 40305-2025 karta.png", "A 40305-2025")</f>
        <v/>
      </c>
      <c r="V255">
        <f>HYPERLINK("https://klasma.github.io/Logging_2313/klagomål/A 40305-2025 FSC-klagomål.docx", "A 40305-2025")</f>
        <v/>
      </c>
      <c r="W255">
        <f>HYPERLINK("https://klasma.github.io/Logging_2313/klagomålsmail/A 40305-2025 FSC-klagomål mail.docx", "A 40305-2025")</f>
        <v/>
      </c>
      <c r="X255">
        <f>HYPERLINK("https://klasma.github.io/Logging_2313/tillsyn/A 40305-2025 tillsynsbegäran.docx", "A 40305-2025")</f>
        <v/>
      </c>
      <c r="Y255">
        <f>HYPERLINK("https://klasma.github.io/Logging_2313/tillsynsmail/A 40305-2025 tillsynsbegäran mail.docx", "A 40305-2025")</f>
        <v/>
      </c>
    </row>
    <row r="256" ht="15" customHeight="1">
      <c r="A256" t="inlineStr">
        <is>
          <t>A 24315-2025</t>
        </is>
      </c>
      <c r="B256" s="1" t="n">
        <v>45797.53167824074</v>
      </c>
      <c r="C256" s="1" t="n">
        <v>46033</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17855-2021</t>
        </is>
      </c>
      <c r="B257" s="1" t="n">
        <v>44300</v>
      </c>
      <c r="C257" s="1" t="n">
        <v>46033</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4824-2024</t>
        </is>
      </c>
      <c r="B258" s="1" t="n">
        <v>45328</v>
      </c>
      <c r="C258" s="1" t="n">
        <v>46033</v>
      </c>
      <c r="D258" t="inlineStr">
        <is>
          <t>JÄMTLANDS LÄN</t>
        </is>
      </c>
      <c r="E258" t="inlineStr">
        <is>
          <t>STRÖMSUND</t>
        </is>
      </c>
      <c r="F258" t="inlineStr">
        <is>
          <t>SCA</t>
        </is>
      </c>
      <c r="G258" t="n">
        <v>10.2</v>
      </c>
      <c r="H258" t="n">
        <v>0</v>
      </c>
      <c r="I258" t="n">
        <v>0</v>
      </c>
      <c r="J258" t="n">
        <v>1</v>
      </c>
      <c r="K258" t="n">
        <v>0</v>
      </c>
      <c r="L258" t="n">
        <v>0</v>
      </c>
      <c r="M258" t="n">
        <v>0</v>
      </c>
      <c r="N258" t="n">
        <v>0</v>
      </c>
      <c r="O258" t="n">
        <v>1</v>
      </c>
      <c r="P258" t="n">
        <v>0</v>
      </c>
      <c r="Q258" t="n">
        <v>1</v>
      </c>
      <c r="R258" s="2" t="inlineStr">
        <is>
          <t>Lunglav</t>
        </is>
      </c>
      <c r="S258">
        <f>HYPERLINK("https://klasma.github.io/Logging_2313/artfynd/A 4824-2024 artfynd.xlsx", "A 4824-2024")</f>
        <v/>
      </c>
      <c r="T258">
        <f>HYPERLINK("https://klasma.github.io/Logging_2313/kartor/A 4824-2024 karta.png", "A 4824-2024")</f>
        <v/>
      </c>
      <c r="V258">
        <f>HYPERLINK("https://klasma.github.io/Logging_2313/klagomål/A 4824-2024 FSC-klagomål.docx", "A 4824-2024")</f>
        <v/>
      </c>
      <c r="W258">
        <f>HYPERLINK("https://klasma.github.io/Logging_2313/klagomålsmail/A 4824-2024 FSC-klagomål mail.docx", "A 4824-2024")</f>
        <v/>
      </c>
      <c r="X258">
        <f>HYPERLINK("https://klasma.github.io/Logging_2313/tillsyn/A 4824-2024 tillsynsbegäran.docx", "A 4824-2024")</f>
        <v/>
      </c>
      <c r="Y258">
        <f>HYPERLINK("https://klasma.github.io/Logging_2313/tillsynsmail/A 4824-2024 tillsynsbegäran mail.docx", "A 4824-2024")</f>
        <v/>
      </c>
    </row>
    <row r="259" ht="15" customHeight="1">
      <c r="A259" t="inlineStr">
        <is>
          <t>A 15258-2024</t>
        </is>
      </c>
      <c r="B259" s="1" t="n">
        <v>45400</v>
      </c>
      <c r="C259" s="1" t="n">
        <v>46033</v>
      </c>
      <c r="D259" t="inlineStr">
        <is>
          <t>JÄMTLANDS LÄN</t>
        </is>
      </c>
      <c r="E259" t="inlineStr">
        <is>
          <t>STRÖMSUND</t>
        </is>
      </c>
      <c r="G259" t="n">
        <v>40.8</v>
      </c>
      <c r="H259" t="n">
        <v>0</v>
      </c>
      <c r="I259" t="n">
        <v>1</v>
      </c>
      <c r="J259" t="n">
        <v>0</v>
      </c>
      <c r="K259" t="n">
        <v>0</v>
      </c>
      <c r="L259" t="n">
        <v>0</v>
      </c>
      <c r="M259" t="n">
        <v>0</v>
      </c>
      <c r="N259" t="n">
        <v>0</v>
      </c>
      <c r="O259" t="n">
        <v>0</v>
      </c>
      <c r="P259" t="n">
        <v>0</v>
      </c>
      <c r="Q259" t="n">
        <v>1</v>
      </c>
      <c r="R259" s="2" t="inlineStr">
        <is>
          <t>Finbräken</t>
        </is>
      </c>
      <c r="S259">
        <f>HYPERLINK("https://klasma.github.io/Logging_2313/artfynd/A 15258-2024 artfynd.xlsx", "A 15258-2024")</f>
        <v/>
      </c>
      <c r="T259">
        <f>HYPERLINK("https://klasma.github.io/Logging_2313/kartor/A 15258-2024 karta.png", "A 15258-2024")</f>
        <v/>
      </c>
      <c r="V259">
        <f>HYPERLINK("https://klasma.github.io/Logging_2313/klagomål/A 15258-2024 FSC-klagomål.docx", "A 15258-2024")</f>
        <v/>
      </c>
      <c r="W259">
        <f>HYPERLINK("https://klasma.github.io/Logging_2313/klagomålsmail/A 15258-2024 FSC-klagomål mail.docx", "A 15258-2024")</f>
        <v/>
      </c>
      <c r="X259">
        <f>HYPERLINK("https://klasma.github.io/Logging_2313/tillsyn/A 15258-2024 tillsynsbegäran.docx", "A 15258-2024")</f>
        <v/>
      </c>
      <c r="Y259">
        <f>HYPERLINK("https://klasma.github.io/Logging_2313/tillsynsmail/A 15258-2024 tillsynsbegäran mail.docx", "A 15258-2024")</f>
        <v/>
      </c>
    </row>
    <row r="260" ht="15" customHeight="1">
      <c r="A260" t="inlineStr">
        <is>
          <t>A 59523-2023</t>
        </is>
      </c>
      <c r="B260" s="1" t="n">
        <v>45254</v>
      </c>
      <c r="C260" s="1" t="n">
        <v>46033</v>
      </c>
      <c r="D260" t="inlineStr">
        <is>
          <t>JÄMTLANDS LÄN</t>
        </is>
      </c>
      <c r="E260" t="inlineStr">
        <is>
          <t>STRÖMSUND</t>
        </is>
      </c>
      <c r="F260" t="inlineStr">
        <is>
          <t>Holmen skog AB</t>
        </is>
      </c>
      <c r="G260" t="n">
        <v>51.2</v>
      </c>
      <c r="H260" t="n">
        <v>0</v>
      </c>
      <c r="I260" t="n">
        <v>0</v>
      </c>
      <c r="J260" t="n">
        <v>1</v>
      </c>
      <c r="K260" t="n">
        <v>0</v>
      </c>
      <c r="L260" t="n">
        <v>0</v>
      </c>
      <c r="M260" t="n">
        <v>0</v>
      </c>
      <c r="N260" t="n">
        <v>0</v>
      </c>
      <c r="O260" t="n">
        <v>1</v>
      </c>
      <c r="P260" t="n">
        <v>0</v>
      </c>
      <c r="Q260" t="n">
        <v>1</v>
      </c>
      <c r="R260" s="2" t="inlineStr">
        <is>
          <t>Granticka</t>
        </is>
      </c>
      <c r="S260">
        <f>HYPERLINK("https://klasma.github.io/Logging_2313/artfynd/A 59523-2023 artfynd.xlsx", "A 59523-2023")</f>
        <v/>
      </c>
      <c r="T260">
        <f>HYPERLINK("https://klasma.github.io/Logging_2313/kartor/A 59523-2023 karta.png", "A 59523-2023")</f>
        <v/>
      </c>
      <c r="V260">
        <f>HYPERLINK("https://klasma.github.io/Logging_2313/klagomål/A 59523-2023 FSC-klagomål.docx", "A 59523-2023")</f>
        <v/>
      </c>
      <c r="W260">
        <f>HYPERLINK("https://klasma.github.io/Logging_2313/klagomålsmail/A 59523-2023 FSC-klagomål mail.docx", "A 59523-2023")</f>
        <v/>
      </c>
      <c r="X260">
        <f>HYPERLINK("https://klasma.github.io/Logging_2313/tillsyn/A 59523-2023 tillsynsbegäran.docx", "A 59523-2023")</f>
        <v/>
      </c>
      <c r="Y260">
        <f>HYPERLINK("https://klasma.github.io/Logging_2313/tillsynsmail/A 59523-2023 tillsynsbegäran mail.docx", "A 59523-2023")</f>
        <v/>
      </c>
    </row>
    <row r="261" ht="15" customHeight="1">
      <c r="A261" t="inlineStr">
        <is>
          <t>A 10075-2023</t>
        </is>
      </c>
      <c r="B261" s="1" t="n">
        <v>44985</v>
      </c>
      <c r="C261" s="1" t="n">
        <v>46033</v>
      </c>
      <c r="D261" t="inlineStr">
        <is>
          <t>JÄMTLANDS LÄN</t>
        </is>
      </c>
      <c r="E261" t="inlineStr">
        <is>
          <t>STRÖMSUND</t>
        </is>
      </c>
      <c r="F261" t="inlineStr">
        <is>
          <t>SCA</t>
        </is>
      </c>
      <c r="G261" t="n">
        <v>13.4</v>
      </c>
      <c r="H261" t="n">
        <v>0</v>
      </c>
      <c r="I261" t="n">
        <v>0</v>
      </c>
      <c r="J261" t="n">
        <v>1</v>
      </c>
      <c r="K261" t="n">
        <v>0</v>
      </c>
      <c r="L261" t="n">
        <v>0</v>
      </c>
      <c r="M261" t="n">
        <v>0</v>
      </c>
      <c r="N261" t="n">
        <v>0</v>
      </c>
      <c r="O261" t="n">
        <v>1</v>
      </c>
      <c r="P261" t="n">
        <v>0</v>
      </c>
      <c r="Q261" t="n">
        <v>1</v>
      </c>
      <c r="R261" s="2" t="inlineStr">
        <is>
          <t>Brunklöver</t>
        </is>
      </c>
      <c r="S261">
        <f>HYPERLINK("https://klasma.github.io/Logging_2313/artfynd/A 10075-2023 artfynd.xlsx", "A 10075-2023")</f>
        <v/>
      </c>
      <c r="T261">
        <f>HYPERLINK("https://klasma.github.io/Logging_2313/kartor/A 10075-2023 karta.png", "A 10075-2023")</f>
        <v/>
      </c>
      <c r="V261">
        <f>HYPERLINK("https://klasma.github.io/Logging_2313/klagomål/A 10075-2023 FSC-klagomål.docx", "A 10075-2023")</f>
        <v/>
      </c>
      <c r="W261">
        <f>HYPERLINK("https://klasma.github.io/Logging_2313/klagomålsmail/A 10075-2023 FSC-klagomål mail.docx", "A 10075-2023")</f>
        <v/>
      </c>
      <c r="X261">
        <f>HYPERLINK("https://klasma.github.io/Logging_2313/tillsyn/A 10075-2023 tillsynsbegäran.docx", "A 10075-2023")</f>
        <v/>
      </c>
      <c r="Y261">
        <f>HYPERLINK("https://klasma.github.io/Logging_2313/tillsynsmail/A 10075-2023 tillsynsbegäran mail.docx", "A 10075-2023")</f>
        <v/>
      </c>
    </row>
    <row r="262" ht="15" customHeight="1">
      <c r="A262" t="inlineStr">
        <is>
          <t>A 52809-2025</t>
        </is>
      </c>
      <c r="B262" s="1" t="n">
        <v>45957.44869212963</v>
      </c>
      <c r="C262" s="1" t="n">
        <v>46033</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52809-2025 artfynd.xlsx", "A 52809-2025")</f>
        <v/>
      </c>
      <c r="T262">
        <f>HYPERLINK("https://klasma.github.io/Logging_2313/kartor/A 52809-2025 karta.png", "A 52809-2025")</f>
        <v/>
      </c>
      <c r="V262">
        <f>HYPERLINK("https://klasma.github.io/Logging_2313/klagomål/A 52809-2025 FSC-klagomål.docx", "A 52809-2025")</f>
        <v/>
      </c>
      <c r="W262">
        <f>HYPERLINK("https://klasma.github.io/Logging_2313/klagomålsmail/A 52809-2025 FSC-klagomål mail.docx", "A 52809-2025")</f>
        <v/>
      </c>
      <c r="X262">
        <f>HYPERLINK("https://klasma.github.io/Logging_2313/tillsyn/A 52809-2025 tillsynsbegäran.docx", "A 52809-2025")</f>
        <v/>
      </c>
      <c r="Y262">
        <f>HYPERLINK("https://klasma.github.io/Logging_2313/tillsynsmail/A 52809-2025 tillsynsbegäran mail.docx", "A 52809-2025")</f>
        <v/>
      </c>
    </row>
    <row r="263" ht="15" customHeight="1">
      <c r="A263" t="inlineStr">
        <is>
          <t>A 28018-2025</t>
        </is>
      </c>
      <c r="B263" s="1" t="n">
        <v>45817.61528935185</v>
      </c>
      <c r="C263" s="1" t="n">
        <v>46033</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28018-2025 artfynd.xlsx", "A 28018-2025")</f>
        <v/>
      </c>
      <c r="T263">
        <f>HYPERLINK("https://klasma.github.io/Logging_2313/kartor/A 28018-2025 karta.png", "A 28018-2025")</f>
        <v/>
      </c>
      <c r="V263">
        <f>HYPERLINK("https://klasma.github.io/Logging_2313/klagomål/A 28018-2025 FSC-klagomål.docx", "A 28018-2025")</f>
        <v/>
      </c>
      <c r="W263">
        <f>HYPERLINK("https://klasma.github.io/Logging_2313/klagomålsmail/A 28018-2025 FSC-klagomål mail.docx", "A 28018-2025")</f>
        <v/>
      </c>
      <c r="X263">
        <f>HYPERLINK("https://klasma.github.io/Logging_2313/tillsyn/A 28018-2025 tillsynsbegäran.docx", "A 28018-2025")</f>
        <v/>
      </c>
      <c r="Y263">
        <f>HYPERLINK("https://klasma.github.io/Logging_2313/tillsynsmail/A 28018-2025 tillsynsbegäran mail.docx", "A 28018-2025")</f>
        <v/>
      </c>
    </row>
    <row r="264" ht="15" customHeight="1">
      <c r="A264" t="inlineStr">
        <is>
          <t>A 45289-2025</t>
        </is>
      </c>
      <c r="B264" s="1" t="n">
        <v>45920.34424768519</v>
      </c>
      <c r="C264" s="1" t="n">
        <v>46033</v>
      </c>
      <c r="D264" t="inlineStr">
        <is>
          <t>JÄMTLANDS LÄN</t>
        </is>
      </c>
      <c r="E264" t="inlineStr">
        <is>
          <t>STRÖMSUND</t>
        </is>
      </c>
      <c r="F264" t="inlineStr">
        <is>
          <t>SCA</t>
        </is>
      </c>
      <c r="G264" t="n">
        <v>4.1</v>
      </c>
      <c r="H264" t="n">
        <v>0</v>
      </c>
      <c r="I264" t="n">
        <v>0</v>
      </c>
      <c r="J264" t="n">
        <v>1</v>
      </c>
      <c r="K264" t="n">
        <v>0</v>
      </c>
      <c r="L264" t="n">
        <v>0</v>
      </c>
      <c r="M264" t="n">
        <v>0</v>
      </c>
      <c r="N264" t="n">
        <v>0</v>
      </c>
      <c r="O264" t="n">
        <v>1</v>
      </c>
      <c r="P264" t="n">
        <v>0</v>
      </c>
      <c r="Q264" t="n">
        <v>1</v>
      </c>
      <c r="R264" s="2" t="inlineStr">
        <is>
          <t>Mörk kolflarnlav</t>
        </is>
      </c>
      <c r="S264">
        <f>HYPERLINK("https://klasma.github.io/Logging_2313/artfynd/A 45289-2025 artfynd.xlsx", "A 45289-2025")</f>
        <v/>
      </c>
      <c r="T264">
        <f>HYPERLINK("https://klasma.github.io/Logging_2313/kartor/A 45289-2025 karta.png", "A 45289-2025")</f>
        <v/>
      </c>
      <c r="V264">
        <f>HYPERLINK("https://klasma.github.io/Logging_2313/klagomål/A 45289-2025 FSC-klagomål.docx", "A 45289-2025")</f>
        <v/>
      </c>
      <c r="W264">
        <f>HYPERLINK("https://klasma.github.io/Logging_2313/klagomålsmail/A 45289-2025 FSC-klagomål mail.docx", "A 45289-2025")</f>
        <v/>
      </c>
      <c r="X264">
        <f>HYPERLINK("https://klasma.github.io/Logging_2313/tillsyn/A 45289-2025 tillsynsbegäran.docx", "A 45289-2025")</f>
        <v/>
      </c>
      <c r="Y264">
        <f>HYPERLINK("https://klasma.github.io/Logging_2313/tillsynsmail/A 45289-2025 tillsynsbegäran mail.docx", "A 45289-2025")</f>
        <v/>
      </c>
    </row>
    <row r="265" ht="15" customHeight="1">
      <c r="A265" t="inlineStr">
        <is>
          <t>A 4881-2025</t>
        </is>
      </c>
      <c r="B265" s="1" t="n">
        <v>45688.67707175926</v>
      </c>
      <c r="C265" s="1" t="n">
        <v>46033</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29721-2025</t>
        </is>
      </c>
      <c r="B266" s="1" t="n">
        <v>45825.57422453703</v>
      </c>
      <c r="C266" s="1" t="n">
        <v>46033</v>
      </c>
      <c r="D266" t="inlineStr">
        <is>
          <t>JÄMTLANDS LÄN</t>
        </is>
      </c>
      <c r="E266" t="inlineStr">
        <is>
          <t>STRÖMSUND</t>
        </is>
      </c>
      <c r="F266" t="inlineStr">
        <is>
          <t>SCA</t>
        </is>
      </c>
      <c r="G266" t="n">
        <v>25.2</v>
      </c>
      <c r="H266" t="n">
        <v>1</v>
      </c>
      <c r="I266" t="n">
        <v>0</v>
      </c>
      <c r="J266" t="n">
        <v>0</v>
      </c>
      <c r="K266" t="n">
        <v>0</v>
      </c>
      <c r="L266" t="n">
        <v>1</v>
      </c>
      <c r="M266" t="n">
        <v>0</v>
      </c>
      <c r="N266" t="n">
        <v>0</v>
      </c>
      <c r="O266" t="n">
        <v>1</v>
      </c>
      <c r="P266" t="n">
        <v>1</v>
      </c>
      <c r="Q266" t="n">
        <v>1</v>
      </c>
      <c r="R266" s="2" t="inlineStr">
        <is>
          <t>Violett guldvinge</t>
        </is>
      </c>
      <c r="S266">
        <f>HYPERLINK("https://klasma.github.io/Logging_2313/artfynd/A 29721-2025 artfynd.xlsx", "A 29721-2025")</f>
        <v/>
      </c>
      <c r="T266">
        <f>HYPERLINK("https://klasma.github.io/Logging_2313/kartor/A 29721-2025 karta.png", "A 29721-2025")</f>
        <v/>
      </c>
      <c r="V266">
        <f>HYPERLINK("https://klasma.github.io/Logging_2313/klagomål/A 29721-2025 FSC-klagomål.docx", "A 29721-2025")</f>
        <v/>
      </c>
      <c r="W266">
        <f>HYPERLINK("https://klasma.github.io/Logging_2313/klagomålsmail/A 29721-2025 FSC-klagomål mail.docx", "A 29721-2025")</f>
        <v/>
      </c>
      <c r="X266">
        <f>HYPERLINK("https://klasma.github.io/Logging_2313/tillsyn/A 29721-2025 tillsynsbegäran.docx", "A 29721-2025")</f>
        <v/>
      </c>
      <c r="Y266">
        <f>HYPERLINK("https://klasma.github.io/Logging_2313/tillsynsmail/A 29721-2025 tillsynsbegäran mail.docx", "A 29721-2025")</f>
        <v/>
      </c>
    </row>
    <row r="267" ht="15" customHeight="1">
      <c r="A267" t="inlineStr">
        <is>
          <t>A 29604-2023</t>
        </is>
      </c>
      <c r="B267" s="1" t="n">
        <v>45106</v>
      </c>
      <c r="C267" s="1" t="n">
        <v>46033</v>
      </c>
      <c r="D267" t="inlineStr">
        <is>
          <t>JÄMTLANDS LÄN</t>
        </is>
      </c>
      <c r="E267" t="inlineStr">
        <is>
          <t>STRÖMSUND</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HYPERLINK("https://klasma.github.io/Logging_2313/artfynd/A 29604-2023 artfynd.xlsx", "A 29604-2023")</f>
        <v/>
      </c>
      <c r="T267">
        <f>HYPERLINK("https://klasma.github.io/Logging_2313/kartor/A 29604-2023 karta.png", "A 29604-2023")</f>
        <v/>
      </c>
      <c r="V267">
        <f>HYPERLINK("https://klasma.github.io/Logging_2313/klagomål/A 29604-2023 FSC-klagomål.docx", "A 29604-2023")</f>
        <v/>
      </c>
      <c r="W267">
        <f>HYPERLINK("https://klasma.github.io/Logging_2313/klagomålsmail/A 29604-2023 FSC-klagomål mail.docx", "A 29604-2023")</f>
        <v/>
      </c>
      <c r="X267">
        <f>HYPERLINK("https://klasma.github.io/Logging_2313/tillsyn/A 29604-2023 tillsynsbegäran.docx", "A 29604-2023")</f>
        <v/>
      </c>
      <c r="Y267">
        <f>HYPERLINK("https://klasma.github.io/Logging_2313/tillsynsmail/A 29604-2023 tillsynsbegäran mail.docx", "A 29604-2023")</f>
        <v/>
      </c>
    </row>
    <row r="268" ht="15" customHeight="1">
      <c r="A268" t="inlineStr">
        <is>
          <t>A 30142-2025</t>
        </is>
      </c>
      <c r="B268" s="1" t="n">
        <v>45826.9224537037</v>
      </c>
      <c r="C268" s="1" t="n">
        <v>46033</v>
      </c>
      <c r="D268" t="inlineStr">
        <is>
          <t>JÄMTLANDS LÄN</t>
        </is>
      </c>
      <c r="E268" t="inlineStr">
        <is>
          <t>STRÖMSUND</t>
        </is>
      </c>
      <c r="G268" t="n">
        <v>6.7</v>
      </c>
      <c r="H268" t="n">
        <v>1</v>
      </c>
      <c r="I268" t="n">
        <v>1</v>
      </c>
      <c r="J268" t="n">
        <v>0</v>
      </c>
      <c r="K268" t="n">
        <v>0</v>
      </c>
      <c r="L268" t="n">
        <v>0</v>
      </c>
      <c r="M268" t="n">
        <v>0</v>
      </c>
      <c r="N268" t="n">
        <v>0</v>
      </c>
      <c r="O268" t="n">
        <v>0</v>
      </c>
      <c r="P268" t="n">
        <v>0</v>
      </c>
      <c r="Q268" t="n">
        <v>1</v>
      </c>
      <c r="R268" s="2" t="inlineStr">
        <is>
          <t>Guckusko</t>
        </is>
      </c>
      <c r="S268">
        <f>HYPERLINK("https://klasma.github.io/Logging_2313/artfynd/A 30142-2025 artfynd.xlsx", "A 30142-2025")</f>
        <v/>
      </c>
      <c r="T268">
        <f>HYPERLINK("https://klasma.github.io/Logging_2313/kartor/A 30142-2025 karta.png", "A 30142-2025")</f>
        <v/>
      </c>
      <c r="V268">
        <f>HYPERLINK("https://klasma.github.io/Logging_2313/klagomål/A 30142-2025 FSC-klagomål.docx", "A 30142-2025")</f>
        <v/>
      </c>
      <c r="W268">
        <f>HYPERLINK("https://klasma.github.io/Logging_2313/klagomålsmail/A 30142-2025 FSC-klagomål mail.docx", "A 30142-2025")</f>
        <v/>
      </c>
      <c r="X268">
        <f>HYPERLINK("https://klasma.github.io/Logging_2313/tillsyn/A 30142-2025 tillsynsbegäran.docx", "A 30142-2025")</f>
        <v/>
      </c>
      <c r="Y268">
        <f>HYPERLINK("https://klasma.github.io/Logging_2313/tillsynsmail/A 30142-2025 tillsynsbegäran mail.docx", "A 30142-2025")</f>
        <v/>
      </c>
    </row>
    <row r="269" ht="15" customHeight="1">
      <c r="A269" t="inlineStr">
        <is>
          <t>A 45454-2025</t>
        </is>
      </c>
      <c r="B269" s="1" t="n">
        <v>45922.49015046296</v>
      </c>
      <c r="C269" s="1" t="n">
        <v>46033</v>
      </c>
      <c r="D269" t="inlineStr">
        <is>
          <t>JÄMTLANDS LÄN</t>
        </is>
      </c>
      <c r="E269" t="inlineStr">
        <is>
          <t>STRÖMSUND</t>
        </is>
      </c>
      <c r="F269" t="inlineStr">
        <is>
          <t>SCA</t>
        </is>
      </c>
      <c r="G269" t="n">
        <v>3.7</v>
      </c>
      <c r="H269" t="n">
        <v>0</v>
      </c>
      <c r="I269" t="n">
        <v>0</v>
      </c>
      <c r="J269" t="n">
        <v>1</v>
      </c>
      <c r="K269" t="n">
        <v>0</v>
      </c>
      <c r="L269" t="n">
        <v>0</v>
      </c>
      <c r="M269" t="n">
        <v>0</v>
      </c>
      <c r="N269" t="n">
        <v>0</v>
      </c>
      <c r="O269" t="n">
        <v>1</v>
      </c>
      <c r="P269" t="n">
        <v>0</v>
      </c>
      <c r="Q269" t="n">
        <v>1</v>
      </c>
      <c r="R269" s="2" t="inlineStr">
        <is>
          <t>Gammelgransskål</t>
        </is>
      </c>
      <c r="S269">
        <f>HYPERLINK("https://klasma.github.io/Logging_2313/artfynd/A 45454-2025 artfynd.xlsx", "A 45454-2025")</f>
        <v/>
      </c>
      <c r="T269">
        <f>HYPERLINK("https://klasma.github.io/Logging_2313/kartor/A 45454-2025 karta.png", "A 45454-2025")</f>
        <v/>
      </c>
      <c r="V269">
        <f>HYPERLINK("https://klasma.github.io/Logging_2313/klagomål/A 45454-2025 FSC-klagomål.docx", "A 45454-2025")</f>
        <v/>
      </c>
      <c r="W269">
        <f>HYPERLINK("https://klasma.github.io/Logging_2313/klagomålsmail/A 45454-2025 FSC-klagomål mail.docx", "A 45454-2025")</f>
        <v/>
      </c>
      <c r="X269">
        <f>HYPERLINK("https://klasma.github.io/Logging_2313/tillsyn/A 45454-2025 tillsynsbegäran.docx", "A 45454-2025")</f>
        <v/>
      </c>
      <c r="Y269">
        <f>HYPERLINK("https://klasma.github.io/Logging_2313/tillsynsmail/A 45454-2025 tillsynsbegäran mail.docx", "A 45454-2025")</f>
        <v/>
      </c>
    </row>
    <row r="270" ht="15" customHeight="1">
      <c r="A270" t="inlineStr">
        <is>
          <t>A 32965-2022</t>
        </is>
      </c>
      <c r="B270" s="1" t="n">
        <v>44784</v>
      </c>
      <c r="C270" s="1" t="n">
        <v>46033</v>
      </c>
      <c r="D270" t="inlineStr">
        <is>
          <t>JÄMTLANDS LÄN</t>
        </is>
      </c>
      <c r="E270" t="inlineStr">
        <is>
          <t>STRÖMSUND</t>
        </is>
      </c>
      <c r="G270" t="n">
        <v>5.8</v>
      </c>
      <c r="H270" t="n">
        <v>0</v>
      </c>
      <c r="I270" t="n">
        <v>0</v>
      </c>
      <c r="J270" t="n">
        <v>1</v>
      </c>
      <c r="K270" t="n">
        <v>0</v>
      </c>
      <c r="L270" t="n">
        <v>0</v>
      </c>
      <c r="M270" t="n">
        <v>0</v>
      </c>
      <c r="N270" t="n">
        <v>0</v>
      </c>
      <c r="O270" t="n">
        <v>1</v>
      </c>
      <c r="P270" t="n">
        <v>0</v>
      </c>
      <c r="Q270" t="n">
        <v>1</v>
      </c>
      <c r="R270" s="2" t="inlineStr">
        <is>
          <t>Vitgrynig nållav</t>
        </is>
      </c>
      <c r="S270">
        <f>HYPERLINK("https://klasma.github.io/Logging_2313/artfynd/A 32965-2022 artfynd.xlsx", "A 32965-2022")</f>
        <v/>
      </c>
      <c r="T270">
        <f>HYPERLINK("https://klasma.github.io/Logging_2313/kartor/A 32965-2022 karta.png", "A 32965-2022")</f>
        <v/>
      </c>
      <c r="V270">
        <f>HYPERLINK("https://klasma.github.io/Logging_2313/klagomål/A 32965-2022 FSC-klagomål.docx", "A 32965-2022")</f>
        <v/>
      </c>
      <c r="W270">
        <f>HYPERLINK("https://klasma.github.io/Logging_2313/klagomålsmail/A 32965-2022 FSC-klagomål mail.docx", "A 32965-2022")</f>
        <v/>
      </c>
      <c r="X270">
        <f>HYPERLINK("https://klasma.github.io/Logging_2313/tillsyn/A 32965-2022 tillsynsbegäran.docx", "A 32965-2022")</f>
        <v/>
      </c>
      <c r="Y270">
        <f>HYPERLINK("https://klasma.github.io/Logging_2313/tillsynsmail/A 32965-2022 tillsynsbegäran mail.docx", "A 32965-2022")</f>
        <v/>
      </c>
    </row>
    <row r="271" ht="15" customHeight="1">
      <c r="A271" t="inlineStr">
        <is>
          <t>A 59845-2024</t>
        </is>
      </c>
      <c r="B271" s="1" t="n">
        <v>45639.67739583334</v>
      </c>
      <c r="C271" s="1" t="n">
        <v>46033</v>
      </c>
      <c r="D271" t="inlineStr">
        <is>
          <t>JÄMTLANDS LÄN</t>
        </is>
      </c>
      <c r="E271" t="inlineStr">
        <is>
          <t>STRÖMSUND</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HYPERLINK("https://klasma.github.io/Logging_2313/artfynd/A 59845-2024 artfynd.xlsx", "A 59845-2024")</f>
        <v/>
      </c>
      <c r="T271">
        <f>HYPERLINK("https://klasma.github.io/Logging_2313/kartor/A 59845-2024 karta.png", "A 59845-2024")</f>
        <v/>
      </c>
      <c r="V271">
        <f>HYPERLINK("https://klasma.github.io/Logging_2313/klagomål/A 59845-2024 FSC-klagomål.docx", "A 59845-2024")</f>
        <v/>
      </c>
      <c r="W271">
        <f>HYPERLINK("https://klasma.github.io/Logging_2313/klagomålsmail/A 59845-2024 FSC-klagomål mail.docx", "A 59845-2024")</f>
        <v/>
      </c>
      <c r="X271">
        <f>HYPERLINK("https://klasma.github.io/Logging_2313/tillsyn/A 59845-2024 tillsynsbegäran.docx", "A 59845-2024")</f>
        <v/>
      </c>
      <c r="Y271">
        <f>HYPERLINK("https://klasma.github.io/Logging_2313/tillsynsmail/A 59845-2024 tillsynsbegäran mail.docx", "A 59845-2024")</f>
        <v/>
      </c>
    </row>
    <row r="272" ht="15" customHeight="1">
      <c r="A272" t="inlineStr">
        <is>
          <t>A 22057-2025</t>
        </is>
      </c>
      <c r="B272" s="1" t="n">
        <v>45785.3699537037</v>
      </c>
      <c r="C272" s="1" t="n">
        <v>46033</v>
      </c>
      <c r="D272" t="inlineStr">
        <is>
          <t>JÄMTLANDS LÄN</t>
        </is>
      </c>
      <c r="E272" t="inlineStr">
        <is>
          <t>STRÖMSUND</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22057-2025 artfynd.xlsx", "A 22057-2025")</f>
        <v/>
      </c>
      <c r="T272">
        <f>HYPERLINK("https://klasma.github.io/Logging_2313/kartor/A 22057-2025 karta.png", "A 22057-2025")</f>
        <v/>
      </c>
      <c r="V272">
        <f>HYPERLINK("https://klasma.github.io/Logging_2313/klagomål/A 22057-2025 FSC-klagomål.docx", "A 22057-2025")</f>
        <v/>
      </c>
      <c r="W272">
        <f>HYPERLINK("https://klasma.github.io/Logging_2313/klagomålsmail/A 22057-2025 FSC-klagomål mail.docx", "A 22057-2025")</f>
        <v/>
      </c>
      <c r="X272">
        <f>HYPERLINK("https://klasma.github.io/Logging_2313/tillsyn/A 22057-2025 tillsynsbegäran.docx", "A 22057-2025")</f>
        <v/>
      </c>
      <c r="Y272">
        <f>HYPERLINK("https://klasma.github.io/Logging_2313/tillsynsmail/A 22057-2025 tillsynsbegäran mail.docx", "A 22057-2025")</f>
        <v/>
      </c>
      <c r="Z272">
        <f>HYPERLINK("https://klasma.github.io/Logging_2313/fåglar/A 22057-2025 prioriterade fågelarter.docx", "A 22057-2025")</f>
        <v/>
      </c>
    </row>
    <row r="273" ht="15" customHeight="1">
      <c r="A273" t="inlineStr">
        <is>
          <t>A 46570-2025</t>
        </is>
      </c>
      <c r="B273" s="1" t="n">
        <v>45926.36619212963</v>
      </c>
      <c r="C273" s="1" t="n">
        <v>46033</v>
      </c>
      <c r="D273" t="inlineStr">
        <is>
          <t>JÄMTLANDS LÄN</t>
        </is>
      </c>
      <c r="E273" t="inlineStr">
        <is>
          <t>STRÖMSUND</t>
        </is>
      </c>
      <c r="G273" t="n">
        <v>4.6</v>
      </c>
      <c r="H273" t="n">
        <v>0</v>
      </c>
      <c r="I273" t="n">
        <v>1</v>
      </c>
      <c r="J273" t="n">
        <v>0</v>
      </c>
      <c r="K273" t="n">
        <v>0</v>
      </c>
      <c r="L273" t="n">
        <v>0</v>
      </c>
      <c r="M273" t="n">
        <v>0</v>
      </c>
      <c r="N273" t="n">
        <v>0</v>
      </c>
      <c r="O273" t="n">
        <v>0</v>
      </c>
      <c r="P273" t="n">
        <v>0</v>
      </c>
      <c r="Q273" t="n">
        <v>1</v>
      </c>
      <c r="R273" s="2" t="inlineStr">
        <is>
          <t>Svavelriska</t>
        </is>
      </c>
      <c r="S273">
        <f>HYPERLINK("https://klasma.github.io/Logging_2313/artfynd/A 46570-2025 artfynd.xlsx", "A 46570-2025")</f>
        <v/>
      </c>
      <c r="T273">
        <f>HYPERLINK("https://klasma.github.io/Logging_2313/kartor/A 46570-2025 karta.png", "A 46570-2025")</f>
        <v/>
      </c>
      <c r="V273">
        <f>HYPERLINK("https://klasma.github.io/Logging_2313/klagomål/A 46570-2025 FSC-klagomål.docx", "A 46570-2025")</f>
        <v/>
      </c>
      <c r="W273">
        <f>HYPERLINK("https://klasma.github.io/Logging_2313/klagomålsmail/A 46570-2025 FSC-klagomål mail.docx", "A 46570-2025")</f>
        <v/>
      </c>
      <c r="X273">
        <f>HYPERLINK("https://klasma.github.io/Logging_2313/tillsyn/A 46570-2025 tillsynsbegäran.docx", "A 46570-2025")</f>
        <v/>
      </c>
      <c r="Y273">
        <f>HYPERLINK("https://klasma.github.io/Logging_2313/tillsynsmail/A 46570-2025 tillsynsbegäran mail.docx", "A 46570-2025")</f>
        <v/>
      </c>
    </row>
    <row r="274" ht="15" customHeight="1">
      <c r="A274" t="inlineStr">
        <is>
          <t>A 9710-2021</t>
        </is>
      </c>
      <c r="B274" s="1" t="n">
        <v>44252</v>
      </c>
      <c r="C274" s="1" t="n">
        <v>46033</v>
      </c>
      <c r="D274" t="inlineStr">
        <is>
          <t>JÄMTLANDS LÄN</t>
        </is>
      </c>
      <c r="E274" t="inlineStr">
        <is>
          <t>STRÖMSUND</t>
        </is>
      </c>
      <c r="G274" t="n">
        <v>18.5</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9710-2021 artfynd.xlsx", "A 9710-2021")</f>
        <v/>
      </c>
      <c r="T274">
        <f>HYPERLINK("https://klasma.github.io/Logging_2313/kartor/A 9710-2021 karta.png", "A 9710-2021")</f>
        <v/>
      </c>
      <c r="V274">
        <f>HYPERLINK("https://klasma.github.io/Logging_2313/klagomål/A 9710-2021 FSC-klagomål.docx", "A 9710-2021")</f>
        <v/>
      </c>
      <c r="W274">
        <f>HYPERLINK("https://klasma.github.io/Logging_2313/klagomålsmail/A 9710-2021 FSC-klagomål mail.docx", "A 9710-2021")</f>
        <v/>
      </c>
      <c r="X274">
        <f>HYPERLINK("https://klasma.github.io/Logging_2313/tillsyn/A 9710-2021 tillsynsbegäran.docx", "A 9710-2021")</f>
        <v/>
      </c>
      <c r="Y274">
        <f>HYPERLINK("https://klasma.github.io/Logging_2313/tillsynsmail/A 9710-2021 tillsynsbegäran mail.docx", "A 9710-2021")</f>
        <v/>
      </c>
      <c r="Z274">
        <f>HYPERLINK("https://klasma.github.io/Logging_2313/fåglar/A 9710-2021 prioriterade fågelarter.docx", "A 9710-2021")</f>
        <v/>
      </c>
    </row>
    <row r="275" ht="15" customHeight="1">
      <c r="A275" t="inlineStr">
        <is>
          <t>A 31481-2025</t>
        </is>
      </c>
      <c r="B275" s="1" t="n">
        <v>45833.57373842593</v>
      </c>
      <c r="C275" s="1" t="n">
        <v>46033</v>
      </c>
      <c r="D275" t="inlineStr">
        <is>
          <t>JÄMTLANDS LÄN</t>
        </is>
      </c>
      <c r="E275" t="inlineStr">
        <is>
          <t>STRÖMSUND</t>
        </is>
      </c>
      <c r="F275" t="inlineStr">
        <is>
          <t>SCA</t>
        </is>
      </c>
      <c r="G275" t="n">
        <v>2.7</v>
      </c>
      <c r="H275" t="n">
        <v>1</v>
      </c>
      <c r="I275" t="n">
        <v>0</v>
      </c>
      <c r="J275" t="n">
        <v>0</v>
      </c>
      <c r="K275" t="n">
        <v>1</v>
      </c>
      <c r="L275" t="n">
        <v>0</v>
      </c>
      <c r="M275" t="n">
        <v>0</v>
      </c>
      <c r="N275" t="n">
        <v>0</v>
      </c>
      <c r="O275" t="n">
        <v>1</v>
      </c>
      <c r="P275" t="n">
        <v>1</v>
      </c>
      <c r="Q275" t="n">
        <v>1</v>
      </c>
      <c r="R275" s="2" t="inlineStr">
        <is>
          <t>Doftticka</t>
        </is>
      </c>
      <c r="S275">
        <f>HYPERLINK("https://klasma.github.io/Logging_2313/artfynd/A 31481-2025 artfynd.xlsx", "A 31481-2025")</f>
        <v/>
      </c>
      <c r="T275">
        <f>HYPERLINK("https://klasma.github.io/Logging_2313/kartor/A 31481-2025 karta.png", "A 31481-2025")</f>
        <v/>
      </c>
      <c r="V275">
        <f>HYPERLINK("https://klasma.github.io/Logging_2313/klagomål/A 31481-2025 FSC-klagomål.docx", "A 31481-2025")</f>
        <v/>
      </c>
      <c r="W275">
        <f>HYPERLINK("https://klasma.github.io/Logging_2313/klagomålsmail/A 31481-2025 FSC-klagomål mail.docx", "A 31481-2025")</f>
        <v/>
      </c>
      <c r="X275">
        <f>HYPERLINK("https://klasma.github.io/Logging_2313/tillsyn/A 31481-2025 tillsynsbegäran.docx", "A 31481-2025")</f>
        <v/>
      </c>
      <c r="Y275">
        <f>HYPERLINK("https://klasma.github.io/Logging_2313/tillsynsmail/A 31481-2025 tillsynsbegäran mail.docx", "A 31481-2025")</f>
        <v/>
      </c>
    </row>
    <row r="276" ht="15" customHeight="1">
      <c r="A276" t="inlineStr">
        <is>
          <t>A 4377-2024</t>
        </is>
      </c>
      <c r="B276" s="1" t="n">
        <v>45326</v>
      </c>
      <c r="C276" s="1" t="n">
        <v>46033</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32849-2025</t>
        </is>
      </c>
      <c r="B277" s="1" t="n">
        <v>45839.57371527778</v>
      </c>
      <c r="C277" s="1" t="n">
        <v>46033</v>
      </c>
      <c r="D277" t="inlineStr">
        <is>
          <t>JÄMTLANDS LÄN</t>
        </is>
      </c>
      <c r="E277" t="inlineStr">
        <is>
          <t>STRÖMSUND</t>
        </is>
      </c>
      <c r="F277" t="inlineStr">
        <is>
          <t>SCA</t>
        </is>
      </c>
      <c r="G277" t="n">
        <v>8.5</v>
      </c>
      <c r="H277" t="n">
        <v>1</v>
      </c>
      <c r="I277" t="n">
        <v>0</v>
      </c>
      <c r="J277" t="n">
        <v>0</v>
      </c>
      <c r="K277" t="n">
        <v>0</v>
      </c>
      <c r="L277" t="n">
        <v>0</v>
      </c>
      <c r="M277" t="n">
        <v>0</v>
      </c>
      <c r="N277" t="n">
        <v>0</v>
      </c>
      <c r="O277" t="n">
        <v>0</v>
      </c>
      <c r="P277" t="n">
        <v>0</v>
      </c>
      <c r="Q277" t="n">
        <v>1</v>
      </c>
      <c r="R277" s="2" t="inlineStr">
        <is>
          <t>Tjäder</t>
        </is>
      </c>
      <c r="S277">
        <f>HYPERLINK("https://klasma.github.io/Logging_2313/artfynd/A 32849-2025 artfynd.xlsx", "A 32849-2025")</f>
        <v/>
      </c>
      <c r="T277">
        <f>HYPERLINK("https://klasma.github.io/Logging_2313/kartor/A 32849-2025 karta.png", "A 32849-2025")</f>
        <v/>
      </c>
      <c r="V277">
        <f>HYPERLINK("https://klasma.github.io/Logging_2313/klagomål/A 32849-2025 FSC-klagomål.docx", "A 32849-2025")</f>
        <v/>
      </c>
      <c r="W277">
        <f>HYPERLINK("https://klasma.github.io/Logging_2313/klagomålsmail/A 32849-2025 FSC-klagomål mail.docx", "A 32849-2025")</f>
        <v/>
      </c>
      <c r="X277">
        <f>HYPERLINK("https://klasma.github.io/Logging_2313/tillsyn/A 32849-2025 tillsynsbegäran.docx", "A 32849-2025")</f>
        <v/>
      </c>
      <c r="Y277">
        <f>HYPERLINK("https://klasma.github.io/Logging_2313/tillsynsmail/A 32849-2025 tillsynsbegäran mail.docx", "A 32849-2025")</f>
        <v/>
      </c>
      <c r="Z277">
        <f>HYPERLINK("https://klasma.github.io/Logging_2313/fåglar/A 32849-2025 prioriterade fågelarter.docx", "A 32849-2025")</f>
        <v/>
      </c>
    </row>
    <row r="278" ht="15" customHeight="1">
      <c r="A278" t="inlineStr">
        <is>
          <t>A 21938-2021</t>
        </is>
      </c>
      <c r="B278" s="1" t="n">
        <v>44322</v>
      </c>
      <c r="C278" s="1" t="n">
        <v>46033</v>
      </c>
      <c r="D278" t="inlineStr">
        <is>
          <t>JÄMTLANDS LÄN</t>
        </is>
      </c>
      <c r="E278" t="inlineStr">
        <is>
          <t>STRÖMSUND</t>
        </is>
      </c>
      <c r="F278" t="inlineStr">
        <is>
          <t>SCA</t>
        </is>
      </c>
      <c r="G278" t="n">
        <v>4.9</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21938-2021 artfynd.xlsx", "A 21938-2021")</f>
        <v/>
      </c>
      <c r="T278">
        <f>HYPERLINK("https://klasma.github.io/Logging_2313/kartor/A 21938-2021 karta.png", "A 21938-2021")</f>
        <v/>
      </c>
      <c r="U278">
        <f>HYPERLINK("https://klasma.github.io/Logging_2313/knärot/A 21938-2021 karta knärot.png", "A 21938-2021")</f>
        <v/>
      </c>
      <c r="V278">
        <f>HYPERLINK("https://klasma.github.io/Logging_2313/klagomål/A 21938-2021 FSC-klagomål.docx", "A 21938-2021")</f>
        <v/>
      </c>
      <c r="W278">
        <f>HYPERLINK("https://klasma.github.io/Logging_2313/klagomålsmail/A 21938-2021 FSC-klagomål mail.docx", "A 21938-2021")</f>
        <v/>
      </c>
      <c r="X278">
        <f>HYPERLINK("https://klasma.github.io/Logging_2313/tillsyn/A 21938-2021 tillsynsbegäran.docx", "A 21938-2021")</f>
        <v/>
      </c>
      <c r="Y278">
        <f>HYPERLINK("https://klasma.github.io/Logging_2313/tillsynsmail/A 21938-2021 tillsynsbegäran mail.docx", "A 21938-2021")</f>
        <v/>
      </c>
      <c r="Z278">
        <f>HYPERLINK("https://klasma.github.io/Logging_2313/fåglar/A 21938-2021 prioriterade fågelarter.docx", "A 21938-2021")</f>
        <v/>
      </c>
    </row>
    <row r="279" ht="15" customHeight="1">
      <c r="A279" t="inlineStr">
        <is>
          <t>A 28509-2024</t>
        </is>
      </c>
      <c r="B279" s="1" t="n">
        <v>45477.94773148148</v>
      </c>
      <c r="C279" s="1" t="n">
        <v>46033</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32474-2025</t>
        </is>
      </c>
      <c r="B280" s="1" t="n">
        <v>45838.42800925926</v>
      </c>
      <c r="C280" s="1" t="n">
        <v>46033</v>
      </c>
      <c r="D280" t="inlineStr">
        <is>
          <t>JÄMTLANDS LÄN</t>
        </is>
      </c>
      <c r="E280" t="inlineStr">
        <is>
          <t>STRÖMSUND</t>
        </is>
      </c>
      <c r="F280" t="inlineStr">
        <is>
          <t>SCA</t>
        </is>
      </c>
      <c r="G280" t="n">
        <v>0.9</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32474-2025 artfynd.xlsx", "A 32474-2025")</f>
        <v/>
      </c>
      <c r="T280">
        <f>HYPERLINK("https://klasma.github.io/Logging_2313/kartor/A 32474-2025 karta.png", "A 32474-2025")</f>
        <v/>
      </c>
      <c r="V280">
        <f>HYPERLINK("https://klasma.github.io/Logging_2313/klagomål/A 32474-2025 FSC-klagomål.docx", "A 32474-2025")</f>
        <v/>
      </c>
      <c r="W280">
        <f>HYPERLINK("https://klasma.github.io/Logging_2313/klagomålsmail/A 32474-2025 FSC-klagomål mail.docx", "A 32474-2025")</f>
        <v/>
      </c>
      <c r="X280">
        <f>HYPERLINK("https://klasma.github.io/Logging_2313/tillsyn/A 32474-2025 tillsynsbegäran.docx", "A 32474-2025")</f>
        <v/>
      </c>
      <c r="Y280">
        <f>HYPERLINK("https://klasma.github.io/Logging_2313/tillsynsmail/A 32474-2025 tillsynsbegäran mail.docx", "A 32474-2025")</f>
        <v/>
      </c>
    </row>
    <row r="281" ht="15" customHeight="1">
      <c r="A281" t="inlineStr">
        <is>
          <t>A 32939-2025</t>
        </is>
      </c>
      <c r="B281" s="1" t="n">
        <v>45839.67765046296</v>
      </c>
      <c r="C281" s="1" t="n">
        <v>46033</v>
      </c>
      <c r="D281" t="inlineStr">
        <is>
          <t>JÄMTLANDS LÄN</t>
        </is>
      </c>
      <c r="E281" t="inlineStr">
        <is>
          <t>STRÖMSUND</t>
        </is>
      </c>
      <c r="F281" t="inlineStr">
        <is>
          <t>SCA</t>
        </is>
      </c>
      <c r="G281" t="n">
        <v>1.2</v>
      </c>
      <c r="H281" t="n">
        <v>0</v>
      </c>
      <c r="I281" t="n">
        <v>0</v>
      </c>
      <c r="J281" t="n">
        <v>1</v>
      </c>
      <c r="K281" t="n">
        <v>0</v>
      </c>
      <c r="L281" t="n">
        <v>0</v>
      </c>
      <c r="M281" t="n">
        <v>0</v>
      </c>
      <c r="N281" t="n">
        <v>0</v>
      </c>
      <c r="O281" t="n">
        <v>1</v>
      </c>
      <c r="P281" t="n">
        <v>0</v>
      </c>
      <c r="Q281" t="n">
        <v>1</v>
      </c>
      <c r="R281" s="2" t="inlineStr">
        <is>
          <t>Harticka</t>
        </is>
      </c>
      <c r="S281">
        <f>HYPERLINK("https://klasma.github.io/Logging_2313/artfynd/A 32939-2025 artfynd.xlsx", "A 32939-2025")</f>
        <v/>
      </c>
      <c r="T281">
        <f>HYPERLINK("https://klasma.github.io/Logging_2313/kartor/A 32939-2025 karta.png", "A 32939-2025")</f>
        <v/>
      </c>
      <c r="U281">
        <f>HYPERLINK("https://klasma.github.io/Logging_2313/knärot/A 32939-2025 karta knärot.png", "A 32939-2025")</f>
        <v/>
      </c>
      <c r="V281">
        <f>HYPERLINK("https://klasma.github.io/Logging_2313/klagomål/A 32939-2025 FSC-klagomål.docx", "A 32939-2025")</f>
        <v/>
      </c>
      <c r="W281">
        <f>HYPERLINK("https://klasma.github.io/Logging_2313/klagomålsmail/A 32939-2025 FSC-klagomål mail.docx", "A 32939-2025")</f>
        <v/>
      </c>
      <c r="X281">
        <f>HYPERLINK("https://klasma.github.io/Logging_2313/tillsyn/A 32939-2025 tillsynsbegäran.docx", "A 32939-2025")</f>
        <v/>
      </c>
      <c r="Y281">
        <f>HYPERLINK("https://klasma.github.io/Logging_2313/tillsynsmail/A 32939-2025 tillsynsbegäran mail.docx", "A 32939-2025")</f>
        <v/>
      </c>
    </row>
    <row r="282" ht="15" customHeight="1">
      <c r="A282" t="inlineStr">
        <is>
          <t>A 54064-2023</t>
        </is>
      </c>
      <c r="B282" s="1" t="n">
        <v>45231</v>
      </c>
      <c r="C282" s="1" t="n">
        <v>46033</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54064-2023 artfynd.xlsx", "A 54064-2023")</f>
        <v/>
      </c>
      <c r="T282">
        <f>HYPERLINK("https://klasma.github.io/Logging_2313/kartor/A 54064-2023 karta.png", "A 54064-2023")</f>
        <v/>
      </c>
      <c r="V282">
        <f>HYPERLINK("https://klasma.github.io/Logging_2313/klagomål/A 54064-2023 FSC-klagomål.docx", "A 54064-2023")</f>
        <v/>
      </c>
      <c r="W282">
        <f>HYPERLINK("https://klasma.github.io/Logging_2313/klagomålsmail/A 54064-2023 FSC-klagomål mail.docx", "A 54064-2023")</f>
        <v/>
      </c>
      <c r="X282">
        <f>HYPERLINK("https://klasma.github.io/Logging_2313/tillsyn/A 54064-2023 tillsynsbegäran.docx", "A 54064-2023")</f>
        <v/>
      </c>
      <c r="Y282">
        <f>HYPERLINK("https://klasma.github.io/Logging_2313/tillsynsmail/A 54064-2023 tillsynsbegäran mail.docx", "A 54064-2023")</f>
        <v/>
      </c>
    </row>
    <row r="283" ht="15" customHeight="1">
      <c r="A283" t="inlineStr">
        <is>
          <t>A 44406-2025</t>
        </is>
      </c>
      <c r="B283" s="1" t="n">
        <v>45916</v>
      </c>
      <c r="C283" s="1" t="n">
        <v>46033</v>
      </c>
      <c r="D283" t="inlineStr">
        <is>
          <t>JÄMTLANDS LÄN</t>
        </is>
      </c>
      <c r="E283" t="inlineStr">
        <is>
          <t>STRÖMSUND</t>
        </is>
      </c>
      <c r="F283" t="inlineStr">
        <is>
          <t>Holmen skog AB</t>
        </is>
      </c>
      <c r="G283" t="n">
        <v>21.8</v>
      </c>
      <c r="H283" t="n">
        <v>1</v>
      </c>
      <c r="I283" t="n">
        <v>0</v>
      </c>
      <c r="J283" t="n">
        <v>0</v>
      </c>
      <c r="K283" t="n">
        <v>0</v>
      </c>
      <c r="L283" t="n">
        <v>0</v>
      </c>
      <c r="M283" t="n">
        <v>0</v>
      </c>
      <c r="N283" t="n">
        <v>0</v>
      </c>
      <c r="O283" t="n">
        <v>0</v>
      </c>
      <c r="P283" t="n">
        <v>0</v>
      </c>
      <c r="Q283" t="n">
        <v>1</v>
      </c>
      <c r="R283" s="2" t="inlineStr">
        <is>
          <t>Fläcknycklar</t>
        </is>
      </c>
      <c r="S283">
        <f>HYPERLINK("https://klasma.github.io/Logging_2313/artfynd/A 44406-2025 artfynd.xlsx", "A 44406-2025")</f>
        <v/>
      </c>
      <c r="T283">
        <f>HYPERLINK("https://klasma.github.io/Logging_2313/kartor/A 44406-2025 karta.png", "A 44406-2025")</f>
        <v/>
      </c>
      <c r="V283">
        <f>HYPERLINK("https://klasma.github.io/Logging_2313/klagomål/A 44406-2025 FSC-klagomål.docx", "A 44406-2025")</f>
        <v/>
      </c>
      <c r="W283">
        <f>HYPERLINK("https://klasma.github.io/Logging_2313/klagomålsmail/A 44406-2025 FSC-klagomål mail.docx", "A 44406-2025")</f>
        <v/>
      </c>
      <c r="X283">
        <f>HYPERLINK("https://klasma.github.io/Logging_2313/tillsyn/A 44406-2025 tillsynsbegäran.docx", "A 44406-2025")</f>
        <v/>
      </c>
      <c r="Y283">
        <f>HYPERLINK("https://klasma.github.io/Logging_2313/tillsynsmail/A 44406-2025 tillsynsbegäran mail.docx", "A 44406-2025")</f>
        <v/>
      </c>
    </row>
    <row r="284" ht="15" customHeight="1">
      <c r="A284" t="inlineStr">
        <is>
          <t>A 34298-2025</t>
        </is>
      </c>
      <c r="B284" s="1" t="n">
        <v>45846</v>
      </c>
      <c r="C284" s="1" t="n">
        <v>46033</v>
      </c>
      <c r="D284" t="inlineStr">
        <is>
          <t>JÄMTLANDS LÄN</t>
        </is>
      </c>
      <c r="E284" t="inlineStr">
        <is>
          <t>STRÖMSUND</t>
        </is>
      </c>
      <c r="F284" t="inlineStr">
        <is>
          <t>SCA</t>
        </is>
      </c>
      <c r="G284" t="n">
        <v>16.3</v>
      </c>
      <c r="H284" t="n">
        <v>1</v>
      </c>
      <c r="I284" t="n">
        <v>0</v>
      </c>
      <c r="J284" t="n">
        <v>0</v>
      </c>
      <c r="K284" t="n">
        <v>1</v>
      </c>
      <c r="L284" t="n">
        <v>0</v>
      </c>
      <c r="M284" t="n">
        <v>0</v>
      </c>
      <c r="N284" t="n">
        <v>0</v>
      </c>
      <c r="O284" t="n">
        <v>1</v>
      </c>
      <c r="P284" t="n">
        <v>1</v>
      </c>
      <c r="Q284" t="n">
        <v>1</v>
      </c>
      <c r="R284" s="2" t="inlineStr">
        <is>
          <t>Doftticka</t>
        </is>
      </c>
      <c r="S284">
        <f>HYPERLINK("https://klasma.github.io/Logging_2313/artfynd/A 34298-2025 artfynd.xlsx", "A 34298-2025")</f>
        <v/>
      </c>
      <c r="T284">
        <f>HYPERLINK("https://klasma.github.io/Logging_2313/kartor/A 34298-2025 karta.png", "A 34298-2025")</f>
        <v/>
      </c>
      <c r="V284">
        <f>HYPERLINK("https://klasma.github.io/Logging_2313/klagomål/A 34298-2025 FSC-klagomål.docx", "A 34298-2025")</f>
        <v/>
      </c>
      <c r="W284">
        <f>HYPERLINK("https://klasma.github.io/Logging_2313/klagomålsmail/A 34298-2025 FSC-klagomål mail.docx", "A 34298-2025")</f>
        <v/>
      </c>
      <c r="X284">
        <f>HYPERLINK("https://klasma.github.io/Logging_2313/tillsyn/A 34298-2025 tillsynsbegäran.docx", "A 34298-2025")</f>
        <v/>
      </c>
      <c r="Y284">
        <f>HYPERLINK("https://klasma.github.io/Logging_2313/tillsynsmail/A 34298-2025 tillsynsbegäran mail.docx", "A 34298-2025")</f>
        <v/>
      </c>
    </row>
    <row r="285" ht="15" customHeight="1">
      <c r="A285" t="inlineStr">
        <is>
          <t>A 34890-2025</t>
        </is>
      </c>
      <c r="B285" s="1" t="n">
        <v>45849.49013888889</v>
      </c>
      <c r="C285" s="1" t="n">
        <v>46033</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39075-2023</t>
        </is>
      </c>
      <c r="B286" s="1" t="n">
        <v>45163</v>
      </c>
      <c r="C286" s="1" t="n">
        <v>46033</v>
      </c>
      <c r="D286" t="inlineStr">
        <is>
          <t>JÄMTLANDS LÄN</t>
        </is>
      </c>
      <c r="E286" t="inlineStr">
        <is>
          <t>STRÖMSUND</t>
        </is>
      </c>
      <c r="F286" t="inlineStr">
        <is>
          <t>SCA</t>
        </is>
      </c>
      <c r="G286" t="n">
        <v>2.1</v>
      </c>
      <c r="H286" t="n">
        <v>0</v>
      </c>
      <c r="I286" t="n">
        <v>0</v>
      </c>
      <c r="J286" t="n">
        <v>1</v>
      </c>
      <c r="K286" t="n">
        <v>0</v>
      </c>
      <c r="L286" t="n">
        <v>0</v>
      </c>
      <c r="M286" t="n">
        <v>0</v>
      </c>
      <c r="N286" t="n">
        <v>0</v>
      </c>
      <c r="O286" t="n">
        <v>1</v>
      </c>
      <c r="P286" t="n">
        <v>0</v>
      </c>
      <c r="Q286" t="n">
        <v>1</v>
      </c>
      <c r="R286" s="2" t="inlineStr">
        <is>
          <t>Brunpudrad nållav</t>
        </is>
      </c>
      <c r="S286">
        <f>HYPERLINK("https://klasma.github.io/Logging_2313/artfynd/A 39075-2023 artfynd.xlsx", "A 39075-2023")</f>
        <v/>
      </c>
      <c r="T286">
        <f>HYPERLINK("https://klasma.github.io/Logging_2313/kartor/A 39075-2023 karta.png", "A 39075-2023")</f>
        <v/>
      </c>
      <c r="V286">
        <f>HYPERLINK("https://klasma.github.io/Logging_2313/klagomål/A 39075-2023 FSC-klagomål.docx", "A 39075-2023")</f>
        <v/>
      </c>
      <c r="W286">
        <f>HYPERLINK("https://klasma.github.io/Logging_2313/klagomålsmail/A 39075-2023 FSC-klagomål mail.docx", "A 39075-2023")</f>
        <v/>
      </c>
      <c r="X286">
        <f>HYPERLINK("https://klasma.github.io/Logging_2313/tillsyn/A 39075-2023 tillsynsbegäran.docx", "A 39075-2023")</f>
        <v/>
      </c>
      <c r="Y286">
        <f>HYPERLINK("https://klasma.github.io/Logging_2313/tillsynsmail/A 39075-2023 tillsynsbegäran mail.docx", "A 39075-2023")</f>
        <v/>
      </c>
    </row>
    <row r="287" ht="15" customHeight="1">
      <c r="A287" t="inlineStr">
        <is>
          <t>A 69551-2021</t>
        </is>
      </c>
      <c r="B287" s="1" t="n">
        <v>44531</v>
      </c>
      <c r="C287" s="1" t="n">
        <v>46033</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13897-2023</t>
        </is>
      </c>
      <c r="B288" s="1" t="n">
        <v>45008</v>
      </c>
      <c r="C288" s="1" t="n">
        <v>46033</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8896-2024</t>
        </is>
      </c>
      <c r="B289" s="1" t="n">
        <v>45357</v>
      </c>
      <c r="C289" s="1" t="n">
        <v>46033</v>
      </c>
      <c r="D289" t="inlineStr">
        <is>
          <t>JÄMTLANDS LÄN</t>
        </is>
      </c>
      <c r="E289" t="inlineStr">
        <is>
          <t>STRÖMSUND</t>
        </is>
      </c>
      <c r="F289" t="inlineStr">
        <is>
          <t>Holmen skog AB</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8896-2024 artfynd.xlsx", "A 8896-2024")</f>
        <v/>
      </c>
      <c r="T289">
        <f>HYPERLINK("https://klasma.github.io/Logging_2313/kartor/A 8896-2024 karta.png", "A 8896-2024")</f>
        <v/>
      </c>
      <c r="V289">
        <f>HYPERLINK("https://klasma.github.io/Logging_2313/klagomål/A 8896-2024 FSC-klagomål.docx", "A 8896-2024")</f>
        <v/>
      </c>
      <c r="W289">
        <f>HYPERLINK("https://klasma.github.io/Logging_2313/klagomålsmail/A 8896-2024 FSC-klagomål mail.docx", "A 8896-2024")</f>
        <v/>
      </c>
      <c r="X289">
        <f>HYPERLINK("https://klasma.github.io/Logging_2313/tillsyn/A 8896-2024 tillsynsbegäran.docx", "A 8896-2024")</f>
        <v/>
      </c>
      <c r="Y289">
        <f>HYPERLINK("https://klasma.github.io/Logging_2313/tillsynsmail/A 8896-2024 tillsynsbegäran mail.docx", "A 8896-2024")</f>
        <v/>
      </c>
      <c r="Z289">
        <f>HYPERLINK("https://klasma.github.io/Logging_2313/fåglar/A 8896-2024 prioriterade fågelarter.docx", "A 8896-2024")</f>
        <v/>
      </c>
    </row>
    <row r="290" ht="15" customHeight="1">
      <c r="A290" t="inlineStr">
        <is>
          <t>A 55604-2021</t>
        </is>
      </c>
      <c r="B290" s="1" t="n">
        <v>44475</v>
      </c>
      <c r="C290" s="1" t="n">
        <v>46033</v>
      </c>
      <c r="D290" t="inlineStr">
        <is>
          <t>JÄMTLANDS LÄN</t>
        </is>
      </c>
      <c r="E290" t="inlineStr">
        <is>
          <t>STRÖMSUND</t>
        </is>
      </c>
      <c r="F290" t="inlineStr">
        <is>
          <t>SCA</t>
        </is>
      </c>
      <c r="G290" t="n">
        <v>4.9</v>
      </c>
      <c r="H290" t="n">
        <v>0</v>
      </c>
      <c r="I290" t="n">
        <v>1</v>
      </c>
      <c r="J290" t="n">
        <v>0</v>
      </c>
      <c r="K290" t="n">
        <v>0</v>
      </c>
      <c r="L290" t="n">
        <v>0</v>
      </c>
      <c r="M290" t="n">
        <v>0</v>
      </c>
      <c r="N290" t="n">
        <v>0</v>
      </c>
      <c r="O290" t="n">
        <v>0</v>
      </c>
      <c r="P290" t="n">
        <v>0</v>
      </c>
      <c r="Q290" t="n">
        <v>1</v>
      </c>
      <c r="R290" s="2" t="inlineStr">
        <is>
          <t>Stor aspticka</t>
        </is>
      </c>
      <c r="S290">
        <f>HYPERLINK("https://klasma.github.io/Logging_2313/artfynd/A 55604-2021 artfynd.xlsx", "A 55604-2021")</f>
        <v/>
      </c>
      <c r="T290">
        <f>HYPERLINK("https://klasma.github.io/Logging_2313/kartor/A 55604-2021 karta.png", "A 55604-2021")</f>
        <v/>
      </c>
      <c r="V290">
        <f>HYPERLINK("https://klasma.github.io/Logging_2313/klagomål/A 55604-2021 FSC-klagomål.docx", "A 55604-2021")</f>
        <v/>
      </c>
      <c r="W290">
        <f>HYPERLINK("https://klasma.github.io/Logging_2313/klagomålsmail/A 55604-2021 FSC-klagomål mail.docx", "A 55604-2021")</f>
        <v/>
      </c>
      <c r="X290">
        <f>HYPERLINK("https://klasma.github.io/Logging_2313/tillsyn/A 55604-2021 tillsynsbegäran.docx", "A 55604-2021")</f>
        <v/>
      </c>
      <c r="Y290">
        <f>HYPERLINK("https://klasma.github.io/Logging_2313/tillsynsmail/A 55604-2021 tillsynsbegäran mail.docx", "A 55604-2021")</f>
        <v/>
      </c>
    </row>
    <row r="291" ht="15" customHeight="1">
      <c r="A291" t="inlineStr">
        <is>
          <t>A 49374-2024</t>
        </is>
      </c>
      <c r="B291" s="1" t="n">
        <v>45595.64209490741</v>
      </c>
      <c r="C291" s="1" t="n">
        <v>46033</v>
      </c>
      <c r="D291" t="inlineStr">
        <is>
          <t>JÄMTLANDS LÄN</t>
        </is>
      </c>
      <c r="E291" t="inlineStr">
        <is>
          <t>STRÖMSUND</t>
        </is>
      </c>
      <c r="F291" t="inlineStr">
        <is>
          <t>SCA</t>
        </is>
      </c>
      <c r="G291" t="n">
        <v>1.5</v>
      </c>
      <c r="H291" t="n">
        <v>0</v>
      </c>
      <c r="I291" t="n">
        <v>0</v>
      </c>
      <c r="J291" t="n">
        <v>1</v>
      </c>
      <c r="K291" t="n">
        <v>0</v>
      </c>
      <c r="L291" t="n">
        <v>0</v>
      </c>
      <c r="M291" t="n">
        <v>0</v>
      </c>
      <c r="N291" t="n">
        <v>0</v>
      </c>
      <c r="O291" t="n">
        <v>1</v>
      </c>
      <c r="P291" t="n">
        <v>0</v>
      </c>
      <c r="Q291" t="n">
        <v>1</v>
      </c>
      <c r="R291" s="2" t="inlineStr">
        <is>
          <t>Veckticka</t>
        </is>
      </c>
      <c r="S291">
        <f>HYPERLINK("https://klasma.github.io/Logging_2313/artfynd/A 49374-2024 artfynd.xlsx", "A 49374-2024")</f>
        <v/>
      </c>
      <c r="T291">
        <f>HYPERLINK("https://klasma.github.io/Logging_2313/kartor/A 49374-2024 karta.png", "A 49374-2024")</f>
        <v/>
      </c>
      <c r="V291">
        <f>HYPERLINK("https://klasma.github.io/Logging_2313/klagomål/A 49374-2024 FSC-klagomål.docx", "A 49374-2024")</f>
        <v/>
      </c>
      <c r="W291">
        <f>HYPERLINK("https://klasma.github.io/Logging_2313/klagomålsmail/A 49374-2024 FSC-klagomål mail.docx", "A 49374-2024")</f>
        <v/>
      </c>
      <c r="X291">
        <f>HYPERLINK("https://klasma.github.io/Logging_2313/tillsyn/A 49374-2024 tillsynsbegäran.docx", "A 49374-2024")</f>
        <v/>
      </c>
      <c r="Y291">
        <f>HYPERLINK("https://klasma.github.io/Logging_2313/tillsynsmail/A 49374-2024 tillsynsbegäran mail.docx", "A 49374-2024")</f>
        <v/>
      </c>
    </row>
    <row r="292" ht="15" customHeight="1">
      <c r="A292" t="inlineStr">
        <is>
          <t>A 36890-2025</t>
        </is>
      </c>
      <c r="B292" s="1" t="n">
        <v>45874.46942129629</v>
      </c>
      <c r="C292" s="1" t="n">
        <v>46033</v>
      </c>
      <c r="D292" t="inlineStr">
        <is>
          <t>JÄMTLANDS LÄN</t>
        </is>
      </c>
      <c r="E292" t="inlineStr">
        <is>
          <t>STRÖMSUND</t>
        </is>
      </c>
      <c r="F292" t="inlineStr">
        <is>
          <t>SCA</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HYPERLINK("https://klasma.github.io/Logging_2313/artfynd/A 36890-2025 artfynd.xlsx", "A 36890-2025")</f>
        <v/>
      </c>
      <c r="T292">
        <f>HYPERLINK("https://klasma.github.io/Logging_2313/kartor/A 36890-2025 karta.png", "A 36890-2025")</f>
        <v/>
      </c>
      <c r="V292">
        <f>HYPERLINK("https://klasma.github.io/Logging_2313/klagomål/A 36890-2025 FSC-klagomål.docx", "A 36890-2025")</f>
        <v/>
      </c>
      <c r="W292">
        <f>HYPERLINK("https://klasma.github.io/Logging_2313/klagomålsmail/A 36890-2025 FSC-klagomål mail.docx", "A 36890-2025")</f>
        <v/>
      </c>
      <c r="X292">
        <f>HYPERLINK("https://klasma.github.io/Logging_2313/tillsyn/A 36890-2025 tillsynsbegäran.docx", "A 36890-2025")</f>
        <v/>
      </c>
      <c r="Y292">
        <f>HYPERLINK("https://klasma.github.io/Logging_2313/tillsynsmail/A 36890-2025 tillsynsbegäran mail.docx", "A 36890-2025")</f>
        <v/>
      </c>
    </row>
    <row r="293" ht="15" customHeight="1">
      <c r="A293" t="inlineStr">
        <is>
          <t>A 57619-2023</t>
        </is>
      </c>
      <c r="B293" s="1" t="n">
        <v>45243</v>
      </c>
      <c r="C293" s="1" t="n">
        <v>46033</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36874-2025</t>
        </is>
      </c>
      <c r="B294" s="1" t="n">
        <v>45874.42949074074</v>
      </c>
      <c r="C294" s="1" t="n">
        <v>46033</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53772-2025</t>
        </is>
      </c>
      <c r="B295" s="1" t="n">
        <v>45960.68502314815</v>
      </c>
      <c r="C295" s="1" t="n">
        <v>46033</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57664-2023</t>
        </is>
      </c>
      <c r="B296" s="1" t="n">
        <v>45243</v>
      </c>
      <c r="C296" s="1" t="n">
        <v>46033</v>
      </c>
      <c r="D296" t="inlineStr">
        <is>
          <t>JÄMTLANDS LÄN</t>
        </is>
      </c>
      <c r="E296" t="inlineStr">
        <is>
          <t>STRÖMSUND</t>
        </is>
      </c>
      <c r="F296" t="inlineStr">
        <is>
          <t>SCA</t>
        </is>
      </c>
      <c r="G296" t="n">
        <v>6.2</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57664-2023 artfynd.xlsx", "A 57664-2023")</f>
        <v/>
      </c>
      <c r="T296">
        <f>HYPERLINK("https://klasma.github.io/Logging_2313/kartor/A 57664-2023 karta.png", "A 57664-2023")</f>
        <v/>
      </c>
      <c r="V296">
        <f>HYPERLINK("https://klasma.github.io/Logging_2313/klagomål/A 57664-2023 FSC-klagomål.docx", "A 57664-2023")</f>
        <v/>
      </c>
      <c r="W296">
        <f>HYPERLINK("https://klasma.github.io/Logging_2313/klagomålsmail/A 57664-2023 FSC-klagomål mail.docx", "A 57664-2023")</f>
        <v/>
      </c>
      <c r="X296">
        <f>HYPERLINK("https://klasma.github.io/Logging_2313/tillsyn/A 57664-2023 tillsynsbegäran.docx", "A 57664-2023")</f>
        <v/>
      </c>
      <c r="Y296">
        <f>HYPERLINK("https://klasma.github.io/Logging_2313/tillsynsmail/A 57664-2023 tillsynsbegäran mail.docx", "A 57664-2023")</f>
        <v/>
      </c>
    </row>
    <row r="297" ht="15" customHeight="1">
      <c r="A297" t="inlineStr">
        <is>
          <t>A 38022-2025</t>
        </is>
      </c>
      <c r="B297" s="1" t="n">
        <v>45882.34482638889</v>
      </c>
      <c r="C297" s="1" t="n">
        <v>46033</v>
      </c>
      <c r="D297" t="inlineStr">
        <is>
          <t>JÄMTLANDS LÄN</t>
        </is>
      </c>
      <c r="E297" t="inlineStr">
        <is>
          <t>STRÖMSUND</t>
        </is>
      </c>
      <c r="F297" t="inlineStr">
        <is>
          <t>SCA</t>
        </is>
      </c>
      <c r="G297" t="n">
        <v>0.7</v>
      </c>
      <c r="H297" t="n">
        <v>0</v>
      </c>
      <c r="I297" t="n">
        <v>0</v>
      </c>
      <c r="J297" t="n">
        <v>1</v>
      </c>
      <c r="K297" t="n">
        <v>0</v>
      </c>
      <c r="L297" t="n">
        <v>0</v>
      </c>
      <c r="M297" t="n">
        <v>0</v>
      </c>
      <c r="N297" t="n">
        <v>0</v>
      </c>
      <c r="O297" t="n">
        <v>1</v>
      </c>
      <c r="P297" t="n">
        <v>0</v>
      </c>
      <c r="Q297" t="n">
        <v>1</v>
      </c>
      <c r="R297" s="2" t="inlineStr">
        <is>
          <t>Ullticka</t>
        </is>
      </c>
      <c r="S297">
        <f>HYPERLINK("https://klasma.github.io/Logging_2313/artfynd/A 38022-2025 artfynd.xlsx", "A 38022-2025")</f>
        <v/>
      </c>
      <c r="T297">
        <f>HYPERLINK("https://klasma.github.io/Logging_2313/kartor/A 38022-2025 karta.png", "A 38022-2025")</f>
        <v/>
      </c>
      <c r="V297">
        <f>HYPERLINK("https://klasma.github.io/Logging_2313/klagomål/A 38022-2025 FSC-klagomål.docx", "A 38022-2025")</f>
        <v/>
      </c>
      <c r="W297">
        <f>HYPERLINK("https://klasma.github.io/Logging_2313/klagomålsmail/A 38022-2025 FSC-klagomål mail.docx", "A 38022-2025")</f>
        <v/>
      </c>
      <c r="X297">
        <f>HYPERLINK("https://klasma.github.io/Logging_2313/tillsyn/A 38022-2025 tillsynsbegäran.docx", "A 38022-2025")</f>
        <v/>
      </c>
      <c r="Y297">
        <f>HYPERLINK("https://klasma.github.io/Logging_2313/tillsynsmail/A 38022-2025 tillsynsbegäran mail.docx", "A 38022-2025")</f>
        <v/>
      </c>
    </row>
    <row r="298" ht="15" customHeight="1">
      <c r="A298" t="inlineStr">
        <is>
          <t>A 54944-2024</t>
        </is>
      </c>
      <c r="B298" s="1" t="n">
        <v>45619</v>
      </c>
      <c r="C298" s="1" t="n">
        <v>46033</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54944-2024 artfynd.xlsx", "A 54944-2024")</f>
        <v/>
      </c>
      <c r="T298">
        <f>HYPERLINK("https://klasma.github.io/Logging_2313/kartor/A 54944-2024 karta.png", "A 54944-2024")</f>
        <v/>
      </c>
      <c r="V298">
        <f>HYPERLINK("https://klasma.github.io/Logging_2313/klagomål/A 54944-2024 FSC-klagomål.docx", "A 54944-2024")</f>
        <v/>
      </c>
      <c r="W298">
        <f>HYPERLINK("https://klasma.github.io/Logging_2313/klagomålsmail/A 54944-2024 FSC-klagomål mail.docx", "A 54944-2024")</f>
        <v/>
      </c>
      <c r="X298">
        <f>HYPERLINK("https://klasma.github.io/Logging_2313/tillsyn/A 54944-2024 tillsynsbegäran.docx", "A 54944-2024")</f>
        <v/>
      </c>
      <c r="Y298">
        <f>HYPERLINK("https://klasma.github.io/Logging_2313/tillsynsmail/A 54944-2024 tillsynsbegäran mail.docx", "A 54944-2024")</f>
        <v/>
      </c>
    </row>
    <row r="299" ht="15" customHeight="1">
      <c r="A299" t="inlineStr">
        <is>
          <t>A 42384-2024</t>
        </is>
      </c>
      <c r="B299" s="1" t="n">
        <v>45562</v>
      </c>
      <c r="C299" s="1" t="n">
        <v>46033</v>
      </c>
      <c r="D299" t="inlineStr">
        <is>
          <t>JÄMTLANDS LÄN</t>
        </is>
      </c>
      <c r="E299" t="inlineStr">
        <is>
          <t>STRÖMSUND</t>
        </is>
      </c>
      <c r="F299" t="inlineStr">
        <is>
          <t>Övriga statliga verk och myndigheter</t>
        </is>
      </c>
      <c r="G299" t="n">
        <v>6.1</v>
      </c>
      <c r="H299" t="n">
        <v>0</v>
      </c>
      <c r="I299" t="n">
        <v>0</v>
      </c>
      <c r="J299" t="n">
        <v>1</v>
      </c>
      <c r="K299" t="n">
        <v>0</v>
      </c>
      <c r="L299" t="n">
        <v>0</v>
      </c>
      <c r="M299" t="n">
        <v>0</v>
      </c>
      <c r="N299" t="n">
        <v>0</v>
      </c>
      <c r="O299" t="n">
        <v>1</v>
      </c>
      <c r="P299" t="n">
        <v>0</v>
      </c>
      <c r="Q299" t="n">
        <v>1</v>
      </c>
      <c r="R299" s="2" t="inlineStr">
        <is>
          <t>Granticka</t>
        </is>
      </c>
      <c r="S299">
        <f>HYPERLINK("https://klasma.github.io/Logging_2313/artfynd/A 42384-2024 artfynd.xlsx", "A 42384-2024")</f>
        <v/>
      </c>
      <c r="T299">
        <f>HYPERLINK("https://klasma.github.io/Logging_2313/kartor/A 42384-2024 karta.png", "A 42384-2024")</f>
        <v/>
      </c>
      <c r="V299">
        <f>HYPERLINK("https://klasma.github.io/Logging_2313/klagomål/A 42384-2024 FSC-klagomål.docx", "A 42384-2024")</f>
        <v/>
      </c>
      <c r="W299">
        <f>HYPERLINK("https://klasma.github.io/Logging_2313/klagomålsmail/A 42384-2024 FSC-klagomål mail.docx", "A 42384-2024")</f>
        <v/>
      </c>
      <c r="X299">
        <f>HYPERLINK("https://klasma.github.io/Logging_2313/tillsyn/A 42384-2024 tillsynsbegäran.docx", "A 42384-2024")</f>
        <v/>
      </c>
      <c r="Y299">
        <f>HYPERLINK("https://klasma.github.io/Logging_2313/tillsynsmail/A 42384-2024 tillsynsbegäran mail.docx", "A 42384-2024")</f>
        <v/>
      </c>
    </row>
    <row r="300" ht="15" customHeight="1">
      <c r="A300" t="inlineStr">
        <is>
          <t>A 54896-2025</t>
        </is>
      </c>
      <c r="B300" s="1" t="n">
        <v>45967.36540509259</v>
      </c>
      <c r="C300" s="1" t="n">
        <v>46033</v>
      </c>
      <c r="D300" t="inlineStr">
        <is>
          <t>JÄMTLANDS LÄN</t>
        </is>
      </c>
      <c r="E300" t="inlineStr">
        <is>
          <t>STRÖMSUND</t>
        </is>
      </c>
      <c r="F300" t="inlineStr">
        <is>
          <t>SCA</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HYPERLINK("https://klasma.github.io/Logging_2313/artfynd/A 54896-2025 artfynd.xlsx", "A 54896-2025")</f>
        <v/>
      </c>
      <c r="T300">
        <f>HYPERLINK("https://klasma.github.io/Logging_2313/kartor/A 54896-2025 karta.png", "A 54896-2025")</f>
        <v/>
      </c>
      <c r="U300">
        <f>HYPERLINK("https://klasma.github.io/Logging_2313/knärot/A 54896-2025 karta knärot.png", "A 54896-2025")</f>
        <v/>
      </c>
      <c r="V300">
        <f>HYPERLINK("https://klasma.github.io/Logging_2313/klagomål/A 54896-2025 FSC-klagomål.docx", "A 54896-2025")</f>
        <v/>
      </c>
      <c r="W300">
        <f>HYPERLINK("https://klasma.github.io/Logging_2313/klagomålsmail/A 54896-2025 FSC-klagomål mail.docx", "A 54896-2025")</f>
        <v/>
      </c>
      <c r="X300">
        <f>HYPERLINK("https://klasma.github.io/Logging_2313/tillsyn/A 54896-2025 tillsynsbegäran.docx", "A 54896-2025")</f>
        <v/>
      </c>
      <c r="Y300">
        <f>HYPERLINK("https://klasma.github.io/Logging_2313/tillsynsmail/A 54896-2025 tillsynsbegäran mail.docx", "A 54896-2025")</f>
        <v/>
      </c>
    </row>
    <row r="301" ht="15" customHeight="1">
      <c r="A301" t="inlineStr">
        <is>
          <t>A 43406-2023</t>
        </is>
      </c>
      <c r="B301" s="1" t="n">
        <v>45183</v>
      </c>
      <c r="C301" s="1" t="n">
        <v>46033</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Lunglav</t>
        </is>
      </c>
      <c r="S301">
        <f>HYPERLINK("https://klasma.github.io/Logging_2313/artfynd/A 43406-2023 artfynd.xlsx", "A 43406-2023")</f>
        <v/>
      </c>
      <c r="T301">
        <f>HYPERLINK("https://klasma.github.io/Logging_2313/kartor/A 43406-2023 karta.png", "A 43406-2023")</f>
        <v/>
      </c>
      <c r="V301">
        <f>HYPERLINK("https://klasma.github.io/Logging_2313/klagomål/A 43406-2023 FSC-klagomål.docx", "A 43406-2023")</f>
        <v/>
      </c>
      <c r="W301">
        <f>HYPERLINK("https://klasma.github.io/Logging_2313/klagomålsmail/A 43406-2023 FSC-klagomål mail.docx", "A 43406-2023")</f>
        <v/>
      </c>
      <c r="X301">
        <f>HYPERLINK("https://klasma.github.io/Logging_2313/tillsyn/A 43406-2023 tillsynsbegäran.docx", "A 43406-2023")</f>
        <v/>
      </c>
      <c r="Y301">
        <f>HYPERLINK("https://klasma.github.io/Logging_2313/tillsynsmail/A 43406-2023 tillsynsbegäran mail.docx", "A 43406-2023")</f>
        <v/>
      </c>
    </row>
    <row r="302" ht="15" customHeight="1">
      <c r="A302" t="inlineStr">
        <is>
          <t>A 36334-2024</t>
        </is>
      </c>
      <c r="B302" s="1" t="n">
        <v>45534.64203703704</v>
      </c>
      <c r="C302" s="1" t="n">
        <v>46033</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61482-2021</t>
        </is>
      </c>
      <c r="B303" s="1" t="n">
        <v>44500</v>
      </c>
      <c r="C303" s="1" t="n">
        <v>46033</v>
      </c>
      <c r="D303" t="inlineStr">
        <is>
          <t>JÄMTLANDS LÄN</t>
        </is>
      </c>
      <c r="E303" t="inlineStr">
        <is>
          <t>STRÖMSUND</t>
        </is>
      </c>
      <c r="F303" t="inlineStr">
        <is>
          <t>SCA</t>
        </is>
      </c>
      <c r="G303" t="n">
        <v>5.9</v>
      </c>
      <c r="H303" t="n">
        <v>0</v>
      </c>
      <c r="I303" t="n">
        <v>0</v>
      </c>
      <c r="J303" t="n">
        <v>1</v>
      </c>
      <c r="K303" t="n">
        <v>0</v>
      </c>
      <c r="L303" t="n">
        <v>0</v>
      </c>
      <c r="M303" t="n">
        <v>0</v>
      </c>
      <c r="N303" t="n">
        <v>0</v>
      </c>
      <c r="O303" t="n">
        <v>1</v>
      </c>
      <c r="P303" t="n">
        <v>0</v>
      </c>
      <c r="Q303" t="n">
        <v>1</v>
      </c>
      <c r="R303" s="2" t="inlineStr">
        <is>
          <t>Lunglav</t>
        </is>
      </c>
      <c r="S303">
        <f>HYPERLINK("https://klasma.github.io/Logging_2313/artfynd/A 61482-2021 artfynd.xlsx", "A 61482-2021")</f>
        <v/>
      </c>
      <c r="T303">
        <f>HYPERLINK("https://klasma.github.io/Logging_2313/kartor/A 61482-2021 karta.png", "A 61482-2021")</f>
        <v/>
      </c>
      <c r="V303">
        <f>HYPERLINK("https://klasma.github.io/Logging_2313/klagomål/A 61482-2021 FSC-klagomål.docx", "A 61482-2021")</f>
        <v/>
      </c>
      <c r="W303">
        <f>HYPERLINK("https://klasma.github.io/Logging_2313/klagomålsmail/A 61482-2021 FSC-klagomål mail.docx", "A 61482-2021")</f>
        <v/>
      </c>
      <c r="X303">
        <f>HYPERLINK("https://klasma.github.io/Logging_2313/tillsyn/A 61482-2021 tillsynsbegäran.docx", "A 61482-2021")</f>
        <v/>
      </c>
      <c r="Y303">
        <f>HYPERLINK("https://klasma.github.io/Logging_2313/tillsynsmail/A 61482-2021 tillsynsbegäran mail.docx", "A 61482-2021")</f>
        <v/>
      </c>
    </row>
    <row r="304" ht="15" customHeight="1">
      <c r="A304" t="inlineStr">
        <is>
          <t>A 32913-2021</t>
        </is>
      </c>
      <c r="B304" s="1" t="n">
        <v>44375</v>
      </c>
      <c r="C304" s="1" t="n">
        <v>46033</v>
      </c>
      <c r="D304" t="inlineStr">
        <is>
          <t>JÄMTLANDS LÄN</t>
        </is>
      </c>
      <c r="E304" t="inlineStr">
        <is>
          <t>STRÖMSUND</t>
        </is>
      </c>
      <c r="F304" t="inlineStr">
        <is>
          <t>SCA</t>
        </is>
      </c>
      <c r="G304" t="n">
        <v>22</v>
      </c>
      <c r="H304" t="n">
        <v>0</v>
      </c>
      <c r="I304" t="n">
        <v>1</v>
      </c>
      <c r="J304" t="n">
        <v>0</v>
      </c>
      <c r="K304" t="n">
        <v>0</v>
      </c>
      <c r="L304" t="n">
        <v>0</v>
      </c>
      <c r="M304" t="n">
        <v>0</v>
      </c>
      <c r="N304" t="n">
        <v>0</v>
      </c>
      <c r="O304" t="n">
        <v>0</v>
      </c>
      <c r="P304" t="n">
        <v>0</v>
      </c>
      <c r="Q304" t="n">
        <v>1</v>
      </c>
      <c r="R304" s="2" t="inlineStr">
        <is>
          <t>Korallblylav</t>
        </is>
      </c>
      <c r="S304">
        <f>HYPERLINK("https://klasma.github.io/Logging_2313/artfynd/A 32913-2021 artfynd.xlsx", "A 32913-2021")</f>
        <v/>
      </c>
      <c r="T304">
        <f>HYPERLINK("https://klasma.github.io/Logging_2313/kartor/A 32913-2021 karta.png", "A 32913-2021")</f>
        <v/>
      </c>
      <c r="V304">
        <f>HYPERLINK("https://klasma.github.io/Logging_2313/klagomål/A 32913-2021 FSC-klagomål.docx", "A 32913-2021")</f>
        <v/>
      </c>
      <c r="W304">
        <f>HYPERLINK("https://klasma.github.io/Logging_2313/klagomålsmail/A 32913-2021 FSC-klagomål mail.docx", "A 32913-2021")</f>
        <v/>
      </c>
      <c r="X304">
        <f>HYPERLINK("https://klasma.github.io/Logging_2313/tillsyn/A 32913-2021 tillsynsbegäran.docx", "A 32913-2021")</f>
        <v/>
      </c>
      <c r="Y304">
        <f>HYPERLINK("https://klasma.github.io/Logging_2313/tillsynsmail/A 32913-2021 tillsynsbegäran mail.docx", "A 32913-2021")</f>
        <v/>
      </c>
    </row>
    <row r="305" ht="15" customHeight="1">
      <c r="A305" t="inlineStr">
        <is>
          <t>A 53447-2023</t>
        </is>
      </c>
      <c r="B305" s="1" t="n">
        <v>45229</v>
      </c>
      <c r="C305" s="1" t="n">
        <v>46033</v>
      </c>
      <c r="D305" t="inlineStr">
        <is>
          <t>JÄMTLANDS LÄN</t>
        </is>
      </c>
      <c r="E305" t="inlineStr">
        <is>
          <t>STRÖMSUND</t>
        </is>
      </c>
      <c r="F305" t="inlineStr">
        <is>
          <t>SCA</t>
        </is>
      </c>
      <c r="G305" t="n">
        <v>3.4</v>
      </c>
      <c r="H305" t="n">
        <v>0</v>
      </c>
      <c r="I305" t="n">
        <v>0</v>
      </c>
      <c r="J305" t="n">
        <v>1</v>
      </c>
      <c r="K305" t="n">
        <v>0</v>
      </c>
      <c r="L305" t="n">
        <v>0</v>
      </c>
      <c r="M305" t="n">
        <v>0</v>
      </c>
      <c r="N305" t="n">
        <v>0</v>
      </c>
      <c r="O305" t="n">
        <v>1</v>
      </c>
      <c r="P305" t="n">
        <v>0</v>
      </c>
      <c r="Q305" t="n">
        <v>1</v>
      </c>
      <c r="R305" s="2" t="inlineStr">
        <is>
          <t>Harticka</t>
        </is>
      </c>
      <c r="S305">
        <f>HYPERLINK("https://klasma.github.io/Logging_2313/artfynd/A 53447-2023 artfynd.xlsx", "A 53447-2023")</f>
        <v/>
      </c>
      <c r="T305">
        <f>HYPERLINK("https://klasma.github.io/Logging_2313/kartor/A 53447-2023 karta.png", "A 53447-2023")</f>
        <v/>
      </c>
      <c r="V305">
        <f>HYPERLINK("https://klasma.github.io/Logging_2313/klagomål/A 53447-2023 FSC-klagomål.docx", "A 53447-2023")</f>
        <v/>
      </c>
      <c r="W305">
        <f>HYPERLINK("https://klasma.github.io/Logging_2313/klagomålsmail/A 53447-2023 FSC-klagomål mail.docx", "A 53447-2023")</f>
        <v/>
      </c>
      <c r="X305">
        <f>HYPERLINK("https://klasma.github.io/Logging_2313/tillsyn/A 53447-2023 tillsynsbegäran.docx", "A 53447-2023")</f>
        <v/>
      </c>
      <c r="Y305">
        <f>HYPERLINK("https://klasma.github.io/Logging_2313/tillsynsmail/A 53447-2023 tillsynsbegäran mail.docx", "A 53447-2023")</f>
        <v/>
      </c>
    </row>
    <row r="306" ht="15" customHeight="1">
      <c r="A306" t="inlineStr">
        <is>
          <t>A 24832-2023</t>
        </is>
      </c>
      <c r="B306" s="1" t="n">
        <v>45084</v>
      </c>
      <c r="C306" s="1" t="n">
        <v>46033</v>
      </c>
      <c r="D306" t="inlineStr">
        <is>
          <t>JÄMTLANDS LÄN</t>
        </is>
      </c>
      <c r="E306" t="inlineStr">
        <is>
          <t>STRÖMSUND</t>
        </is>
      </c>
      <c r="G306" t="n">
        <v>9.6</v>
      </c>
      <c r="H306" t="n">
        <v>0</v>
      </c>
      <c r="I306" t="n">
        <v>0</v>
      </c>
      <c r="J306" t="n">
        <v>1</v>
      </c>
      <c r="K306" t="n">
        <v>0</v>
      </c>
      <c r="L306" t="n">
        <v>0</v>
      </c>
      <c r="M306" t="n">
        <v>0</v>
      </c>
      <c r="N306" t="n">
        <v>0</v>
      </c>
      <c r="O306" t="n">
        <v>1</v>
      </c>
      <c r="P306" t="n">
        <v>0</v>
      </c>
      <c r="Q306" t="n">
        <v>1</v>
      </c>
      <c r="R306" s="2" t="inlineStr">
        <is>
          <t>Granticka</t>
        </is>
      </c>
      <c r="S306">
        <f>HYPERLINK("https://klasma.github.io/Logging_2313/artfynd/A 24832-2023 artfynd.xlsx", "A 24832-2023")</f>
        <v/>
      </c>
      <c r="T306">
        <f>HYPERLINK("https://klasma.github.io/Logging_2313/kartor/A 24832-2023 karta.png", "A 24832-2023")</f>
        <v/>
      </c>
      <c r="V306">
        <f>HYPERLINK("https://klasma.github.io/Logging_2313/klagomål/A 24832-2023 FSC-klagomål.docx", "A 24832-2023")</f>
        <v/>
      </c>
      <c r="W306">
        <f>HYPERLINK("https://klasma.github.io/Logging_2313/klagomålsmail/A 24832-2023 FSC-klagomål mail.docx", "A 24832-2023")</f>
        <v/>
      </c>
      <c r="X306">
        <f>HYPERLINK("https://klasma.github.io/Logging_2313/tillsyn/A 24832-2023 tillsynsbegäran.docx", "A 24832-2023")</f>
        <v/>
      </c>
      <c r="Y306">
        <f>HYPERLINK("https://klasma.github.io/Logging_2313/tillsynsmail/A 24832-2023 tillsynsbegäran mail.docx", "A 24832-2023")</f>
        <v/>
      </c>
    </row>
    <row r="307" ht="15" customHeight="1">
      <c r="A307" t="inlineStr">
        <is>
          <t>A 46969-2024</t>
        </is>
      </c>
      <c r="B307" s="1" t="n">
        <v>45586.32849537037</v>
      </c>
      <c r="C307" s="1" t="n">
        <v>46033</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57459-2025</t>
        </is>
      </c>
      <c r="B308" s="1" t="n">
        <v>45980.53189814815</v>
      </c>
      <c r="C308" s="1" t="n">
        <v>46033</v>
      </c>
      <c r="D308" t="inlineStr">
        <is>
          <t>JÄMTLANDS LÄN</t>
        </is>
      </c>
      <c r="E308" t="inlineStr">
        <is>
          <t>STRÖMSUND</t>
        </is>
      </c>
      <c r="F308" t="inlineStr">
        <is>
          <t>SCA</t>
        </is>
      </c>
      <c r="G308" t="n">
        <v>7.8</v>
      </c>
      <c r="H308" t="n">
        <v>0</v>
      </c>
      <c r="I308" t="n">
        <v>0</v>
      </c>
      <c r="J308" t="n">
        <v>1</v>
      </c>
      <c r="K308" t="n">
        <v>0</v>
      </c>
      <c r="L308" t="n">
        <v>0</v>
      </c>
      <c r="M308" t="n">
        <v>0</v>
      </c>
      <c r="N308" t="n">
        <v>0</v>
      </c>
      <c r="O308" t="n">
        <v>1</v>
      </c>
      <c r="P308" t="n">
        <v>0</v>
      </c>
      <c r="Q308" t="n">
        <v>1</v>
      </c>
      <c r="R308" s="2" t="inlineStr">
        <is>
          <t>Garnlav</t>
        </is>
      </c>
      <c r="S308">
        <f>HYPERLINK("https://klasma.github.io/Logging_2313/artfynd/A 57459-2025 artfynd.xlsx", "A 57459-2025")</f>
        <v/>
      </c>
      <c r="T308">
        <f>HYPERLINK("https://klasma.github.io/Logging_2313/kartor/A 57459-2025 karta.png", "A 57459-2025")</f>
        <v/>
      </c>
      <c r="V308">
        <f>HYPERLINK("https://klasma.github.io/Logging_2313/klagomål/A 57459-2025 FSC-klagomål.docx", "A 57459-2025")</f>
        <v/>
      </c>
      <c r="W308">
        <f>HYPERLINK("https://klasma.github.io/Logging_2313/klagomålsmail/A 57459-2025 FSC-klagomål mail.docx", "A 57459-2025")</f>
        <v/>
      </c>
      <c r="X308">
        <f>HYPERLINK("https://klasma.github.io/Logging_2313/tillsyn/A 57459-2025 tillsynsbegäran.docx", "A 57459-2025")</f>
        <v/>
      </c>
      <c r="Y308">
        <f>HYPERLINK("https://klasma.github.io/Logging_2313/tillsynsmail/A 57459-2025 tillsynsbegäran mail.docx", "A 57459-2025")</f>
        <v/>
      </c>
    </row>
    <row r="309" ht="15" customHeight="1">
      <c r="A309" t="inlineStr">
        <is>
          <t>A 49651-2023</t>
        </is>
      </c>
      <c r="B309" s="1" t="n">
        <v>45211</v>
      </c>
      <c r="C309" s="1" t="n">
        <v>46033</v>
      </c>
      <c r="D309" t="inlineStr">
        <is>
          <t>JÄMTLANDS LÄN</t>
        </is>
      </c>
      <c r="E309" t="inlineStr">
        <is>
          <t>STRÖMSUND</t>
        </is>
      </c>
      <c r="F309" t="inlineStr">
        <is>
          <t>SCA</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HYPERLINK("https://klasma.github.io/Logging_2313/artfynd/A 49651-2023 artfynd.xlsx", "A 49651-2023")</f>
        <v/>
      </c>
      <c r="T309">
        <f>HYPERLINK("https://klasma.github.io/Logging_2313/kartor/A 49651-2023 karta.png", "A 49651-2023")</f>
        <v/>
      </c>
      <c r="V309">
        <f>HYPERLINK("https://klasma.github.io/Logging_2313/klagomål/A 49651-2023 FSC-klagomål.docx", "A 49651-2023")</f>
        <v/>
      </c>
      <c r="W309">
        <f>HYPERLINK("https://klasma.github.io/Logging_2313/klagomålsmail/A 49651-2023 FSC-klagomål mail.docx", "A 49651-2023")</f>
        <v/>
      </c>
      <c r="X309">
        <f>HYPERLINK("https://klasma.github.io/Logging_2313/tillsyn/A 49651-2023 tillsynsbegäran.docx", "A 49651-2023")</f>
        <v/>
      </c>
      <c r="Y309">
        <f>HYPERLINK("https://klasma.github.io/Logging_2313/tillsynsmail/A 49651-2023 tillsynsbegäran mail.docx", "A 49651-2023")</f>
        <v/>
      </c>
      <c r="Z309">
        <f>HYPERLINK("https://klasma.github.io/Logging_2313/fåglar/A 49651-2023 prioriterade fågelarter.docx", "A 49651-2023")</f>
        <v/>
      </c>
    </row>
    <row r="310" ht="15" customHeight="1">
      <c r="A310" t="inlineStr">
        <is>
          <t>A 15625-2025</t>
        </is>
      </c>
      <c r="B310" s="1" t="n">
        <v>45748.36033564815</v>
      </c>
      <c r="C310" s="1" t="n">
        <v>46033</v>
      </c>
      <c r="D310" t="inlineStr">
        <is>
          <t>JÄMTLANDS LÄN</t>
        </is>
      </c>
      <c r="E310" t="inlineStr">
        <is>
          <t>STRÖMSUND</t>
        </is>
      </c>
      <c r="F310" t="inlineStr">
        <is>
          <t>SCA</t>
        </is>
      </c>
      <c r="G310" t="n">
        <v>1.5</v>
      </c>
      <c r="H310" t="n">
        <v>0</v>
      </c>
      <c r="I310" t="n">
        <v>0</v>
      </c>
      <c r="J310" t="n">
        <v>0</v>
      </c>
      <c r="K310" t="n">
        <v>1</v>
      </c>
      <c r="L310" t="n">
        <v>0</v>
      </c>
      <c r="M310" t="n">
        <v>0</v>
      </c>
      <c r="N310" t="n">
        <v>0</v>
      </c>
      <c r="O310" t="n">
        <v>1</v>
      </c>
      <c r="P310" t="n">
        <v>1</v>
      </c>
      <c r="Q310" t="n">
        <v>1</v>
      </c>
      <c r="R310" s="2" t="inlineStr">
        <is>
          <t>Fläckporing</t>
        </is>
      </c>
      <c r="S310">
        <f>HYPERLINK("https://klasma.github.io/Logging_2313/artfynd/A 15625-2025 artfynd.xlsx", "A 15625-2025")</f>
        <v/>
      </c>
      <c r="T310">
        <f>HYPERLINK("https://klasma.github.io/Logging_2313/kartor/A 15625-2025 karta.png", "A 15625-2025")</f>
        <v/>
      </c>
      <c r="V310">
        <f>HYPERLINK("https://klasma.github.io/Logging_2313/klagomål/A 15625-2025 FSC-klagomål.docx", "A 15625-2025")</f>
        <v/>
      </c>
      <c r="W310">
        <f>HYPERLINK("https://klasma.github.io/Logging_2313/klagomålsmail/A 15625-2025 FSC-klagomål mail.docx", "A 15625-2025")</f>
        <v/>
      </c>
      <c r="X310">
        <f>HYPERLINK("https://klasma.github.io/Logging_2313/tillsyn/A 15625-2025 tillsynsbegäran.docx", "A 15625-2025")</f>
        <v/>
      </c>
      <c r="Y310">
        <f>HYPERLINK("https://klasma.github.io/Logging_2313/tillsynsmail/A 15625-2025 tillsynsbegäran mail.docx", "A 15625-2025")</f>
        <v/>
      </c>
    </row>
    <row r="311" ht="15" customHeight="1">
      <c r="A311" t="inlineStr">
        <is>
          <t>A 27998-2025</t>
        </is>
      </c>
      <c r="B311" s="1" t="n">
        <v>45817.59481481482</v>
      </c>
      <c r="C311" s="1" t="n">
        <v>46033</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64658-2021</t>
        </is>
      </c>
      <c r="B312" s="1" t="n">
        <v>44511</v>
      </c>
      <c r="C312" s="1" t="n">
        <v>46033</v>
      </c>
      <c r="D312" t="inlineStr">
        <is>
          <t>JÄMTLANDS LÄN</t>
        </is>
      </c>
      <c r="E312" t="inlineStr">
        <is>
          <t>STRÖMSUND</t>
        </is>
      </c>
      <c r="F312" t="inlineStr">
        <is>
          <t>SCA</t>
        </is>
      </c>
      <c r="G312" t="n">
        <v>4.7</v>
      </c>
      <c r="H312" t="n">
        <v>0</v>
      </c>
      <c r="I312" t="n">
        <v>0</v>
      </c>
      <c r="J312" t="n">
        <v>1</v>
      </c>
      <c r="K312" t="n">
        <v>0</v>
      </c>
      <c r="L312" t="n">
        <v>0</v>
      </c>
      <c r="M312" t="n">
        <v>0</v>
      </c>
      <c r="N312" t="n">
        <v>0</v>
      </c>
      <c r="O312" t="n">
        <v>1</v>
      </c>
      <c r="P312" t="n">
        <v>0</v>
      </c>
      <c r="Q312" t="n">
        <v>1</v>
      </c>
      <c r="R312" s="2" t="inlineStr">
        <is>
          <t>Harticka</t>
        </is>
      </c>
      <c r="S312">
        <f>HYPERLINK("https://klasma.github.io/Logging_2313/artfynd/A 64658-2021 artfynd.xlsx", "A 64658-2021")</f>
        <v/>
      </c>
      <c r="T312">
        <f>HYPERLINK("https://klasma.github.io/Logging_2313/kartor/A 64658-2021 karta.png", "A 64658-2021")</f>
        <v/>
      </c>
      <c r="V312">
        <f>HYPERLINK("https://klasma.github.io/Logging_2313/klagomål/A 64658-2021 FSC-klagomål.docx", "A 64658-2021")</f>
        <v/>
      </c>
      <c r="W312">
        <f>HYPERLINK("https://klasma.github.io/Logging_2313/klagomålsmail/A 64658-2021 FSC-klagomål mail.docx", "A 64658-2021")</f>
        <v/>
      </c>
      <c r="X312">
        <f>HYPERLINK("https://klasma.github.io/Logging_2313/tillsyn/A 64658-2021 tillsynsbegäran.docx", "A 64658-2021")</f>
        <v/>
      </c>
      <c r="Y312">
        <f>HYPERLINK("https://klasma.github.io/Logging_2313/tillsynsmail/A 64658-2021 tillsynsbegäran mail.docx", "A 64658-2021")</f>
        <v/>
      </c>
    </row>
    <row r="313" ht="15" customHeight="1">
      <c r="A313" t="inlineStr">
        <is>
          <t>A 10401-2025</t>
        </is>
      </c>
      <c r="B313" s="1" t="n">
        <v>45720.615</v>
      </c>
      <c r="C313" s="1" t="n">
        <v>46033</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46033</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43105-2023</t>
        </is>
      </c>
      <c r="B315" s="1" t="n">
        <v>45182</v>
      </c>
      <c r="C315" s="1" t="n">
        <v>46033</v>
      </c>
      <c r="D315" t="inlineStr">
        <is>
          <t>JÄMTLANDS LÄN</t>
        </is>
      </c>
      <c r="E315" t="inlineStr">
        <is>
          <t>STRÖMSUND</t>
        </is>
      </c>
      <c r="F315" t="inlineStr">
        <is>
          <t>SCA</t>
        </is>
      </c>
      <c r="G315" t="n">
        <v>6.3</v>
      </c>
      <c r="H315" t="n">
        <v>0</v>
      </c>
      <c r="I315" t="n">
        <v>0</v>
      </c>
      <c r="J315" t="n">
        <v>1</v>
      </c>
      <c r="K315" t="n">
        <v>0</v>
      </c>
      <c r="L315" t="n">
        <v>0</v>
      </c>
      <c r="M315" t="n">
        <v>0</v>
      </c>
      <c r="N315" t="n">
        <v>0</v>
      </c>
      <c r="O315" t="n">
        <v>1</v>
      </c>
      <c r="P315" t="n">
        <v>0</v>
      </c>
      <c r="Q315" t="n">
        <v>1</v>
      </c>
      <c r="R315" s="2" t="inlineStr">
        <is>
          <t>Gammelgransskål</t>
        </is>
      </c>
      <c r="S315">
        <f>HYPERLINK("https://klasma.github.io/Logging_2313/artfynd/A 43105-2023 artfynd.xlsx", "A 43105-2023")</f>
        <v/>
      </c>
      <c r="T315">
        <f>HYPERLINK("https://klasma.github.io/Logging_2313/kartor/A 43105-2023 karta.png", "A 43105-2023")</f>
        <v/>
      </c>
      <c r="V315">
        <f>HYPERLINK("https://klasma.github.io/Logging_2313/klagomål/A 43105-2023 FSC-klagomål.docx", "A 43105-2023")</f>
        <v/>
      </c>
      <c r="W315">
        <f>HYPERLINK("https://klasma.github.io/Logging_2313/klagomålsmail/A 43105-2023 FSC-klagomål mail.docx", "A 43105-2023")</f>
        <v/>
      </c>
      <c r="X315">
        <f>HYPERLINK("https://klasma.github.io/Logging_2313/tillsyn/A 43105-2023 tillsynsbegäran.docx", "A 43105-2023")</f>
        <v/>
      </c>
      <c r="Y315">
        <f>HYPERLINK("https://klasma.github.io/Logging_2313/tillsynsmail/A 43105-2023 tillsynsbegäran mail.docx", "A 43105-2023")</f>
        <v/>
      </c>
    </row>
    <row r="316" ht="15" customHeight="1">
      <c r="A316" t="inlineStr">
        <is>
          <t>A 36754-2023</t>
        </is>
      </c>
      <c r="B316" s="1" t="n">
        <v>45153</v>
      </c>
      <c r="C316" s="1" t="n">
        <v>46033</v>
      </c>
      <c r="D316" t="inlineStr">
        <is>
          <t>JÄMTLANDS LÄN</t>
        </is>
      </c>
      <c r="E316" t="inlineStr">
        <is>
          <t>STRÖMSUND</t>
        </is>
      </c>
      <c r="F316" t="inlineStr">
        <is>
          <t>SCA</t>
        </is>
      </c>
      <c r="G316" t="n">
        <v>2.7</v>
      </c>
      <c r="H316" t="n">
        <v>1</v>
      </c>
      <c r="I316" t="n">
        <v>1</v>
      </c>
      <c r="J316" t="n">
        <v>0</v>
      </c>
      <c r="K316" t="n">
        <v>0</v>
      </c>
      <c r="L316" t="n">
        <v>0</v>
      </c>
      <c r="M316" t="n">
        <v>0</v>
      </c>
      <c r="N316" t="n">
        <v>0</v>
      </c>
      <c r="O316" t="n">
        <v>0</v>
      </c>
      <c r="P316" t="n">
        <v>0</v>
      </c>
      <c r="Q316" t="n">
        <v>1</v>
      </c>
      <c r="R316" s="2" t="inlineStr">
        <is>
          <t>Lappranunkel</t>
        </is>
      </c>
      <c r="S316">
        <f>HYPERLINK("https://klasma.github.io/Logging_2313/artfynd/A 36754-2023 artfynd.xlsx", "A 36754-2023")</f>
        <v/>
      </c>
      <c r="T316">
        <f>HYPERLINK("https://klasma.github.io/Logging_2313/kartor/A 36754-2023 karta.png", "A 36754-2023")</f>
        <v/>
      </c>
      <c r="V316">
        <f>HYPERLINK("https://klasma.github.io/Logging_2313/klagomål/A 36754-2023 FSC-klagomål.docx", "A 36754-2023")</f>
        <v/>
      </c>
      <c r="W316">
        <f>HYPERLINK("https://klasma.github.io/Logging_2313/klagomålsmail/A 36754-2023 FSC-klagomål mail.docx", "A 36754-2023")</f>
        <v/>
      </c>
      <c r="X316">
        <f>HYPERLINK("https://klasma.github.io/Logging_2313/tillsyn/A 36754-2023 tillsynsbegäran.docx", "A 36754-2023")</f>
        <v/>
      </c>
      <c r="Y316">
        <f>HYPERLINK("https://klasma.github.io/Logging_2313/tillsynsmail/A 36754-2023 tillsynsbegäran mail.docx", "A 36754-2023")</f>
        <v/>
      </c>
    </row>
    <row r="317" ht="15" customHeight="1">
      <c r="A317" t="inlineStr">
        <is>
          <t>A 15457-2023</t>
        </is>
      </c>
      <c r="B317" s="1" t="n">
        <v>45019</v>
      </c>
      <c r="C317" s="1" t="n">
        <v>46033</v>
      </c>
      <c r="D317" t="inlineStr">
        <is>
          <t>JÄMTLANDS LÄN</t>
        </is>
      </c>
      <c r="E317" t="inlineStr">
        <is>
          <t>STRÖMSUND</t>
        </is>
      </c>
      <c r="G317" t="n">
        <v>17.2</v>
      </c>
      <c r="H317" t="n">
        <v>0</v>
      </c>
      <c r="I317" t="n">
        <v>1</v>
      </c>
      <c r="J317" t="n">
        <v>0</v>
      </c>
      <c r="K317" t="n">
        <v>0</v>
      </c>
      <c r="L317" t="n">
        <v>0</v>
      </c>
      <c r="M317" t="n">
        <v>0</v>
      </c>
      <c r="N317" t="n">
        <v>0</v>
      </c>
      <c r="O317" t="n">
        <v>0</v>
      </c>
      <c r="P317" t="n">
        <v>0</v>
      </c>
      <c r="Q317" t="n">
        <v>1</v>
      </c>
      <c r="R317" s="2" t="inlineStr">
        <is>
          <t>Taggbräken</t>
        </is>
      </c>
      <c r="S317">
        <f>HYPERLINK("https://klasma.github.io/Logging_2313/artfynd/A 15457-2023 artfynd.xlsx", "A 15457-2023")</f>
        <v/>
      </c>
      <c r="T317">
        <f>HYPERLINK("https://klasma.github.io/Logging_2313/kartor/A 15457-2023 karta.png", "A 15457-2023")</f>
        <v/>
      </c>
      <c r="V317">
        <f>HYPERLINK("https://klasma.github.io/Logging_2313/klagomål/A 15457-2023 FSC-klagomål.docx", "A 15457-2023")</f>
        <v/>
      </c>
      <c r="W317">
        <f>HYPERLINK("https://klasma.github.io/Logging_2313/klagomålsmail/A 15457-2023 FSC-klagomål mail.docx", "A 15457-2023")</f>
        <v/>
      </c>
      <c r="X317">
        <f>HYPERLINK("https://klasma.github.io/Logging_2313/tillsyn/A 15457-2023 tillsynsbegäran.docx", "A 15457-2023")</f>
        <v/>
      </c>
      <c r="Y317">
        <f>HYPERLINK("https://klasma.github.io/Logging_2313/tillsynsmail/A 15457-2023 tillsynsbegäran mail.docx", "A 15457-2023")</f>
        <v/>
      </c>
    </row>
    <row r="318" ht="15" customHeight="1">
      <c r="A318" t="inlineStr">
        <is>
          <t>A 69134-2021</t>
        </is>
      </c>
      <c r="B318" s="1" t="n">
        <v>44530</v>
      </c>
      <c r="C318" s="1" t="n">
        <v>46033</v>
      </c>
      <c r="D318" t="inlineStr">
        <is>
          <t>JÄMTLANDS LÄN</t>
        </is>
      </c>
      <c r="E318" t="inlineStr">
        <is>
          <t>STRÖMSUND</t>
        </is>
      </c>
      <c r="G318" t="n">
        <v>9.4</v>
      </c>
      <c r="H318" t="n">
        <v>0</v>
      </c>
      <c r="I318" t="n">
        <v>0</v>
      </c>
      <c r="J318" t="n">
        <v>1</v>
      </c>
      <c r="K318" t="n">
        <v>0</v>
      </c>
      <c r="L318" t="n">
        <v>0</v>
      </c>
      <c r="M318" t="n">
        <v>0</v>
      </c>
      <c r="N318" t="n">
        <v>0</v>
      </c>
      <c r="O318" t="n">
        <v>1</v>
      </c>
      <c r="P318" t="n">
        <v>0</v>
      </c>
      <c r="Q318" t="n">
        <v>1</v>
      </c>
      <c r="R318" s="2" t="inlineStr">
        <is>
          <t>Garnlav</t>
        </is>
      </c>
      <c r="S318">
        <f>HYPERLINK("https://klasma.github.io/Logging_2313/artfynd/A 69134-2021 artfynd.xlsx", "A 69134-2021")</f>
        <v/>
      </c>
      <c r="T318">
        <f>HYPERLINK("https://klasma.github.io/Logging_2313/kartor/A 69134-2021 karta.png", "A 69134-2021")</f>
        <v/>
      </c>
      <c r="V318">
        <f>HYPERLINK("https://klasma.github.io/Logging_2313/klagomål/A 69134-2021 FSC-klagomål.docx", "A 69134-2021")</f>
        <v/>
      </c>
      <c r="W318">
        <f>HYPERLINK("https://klasma.github.io/Logging_2313/klagomålsmail/A 69134-2021 FSC-klagomål mail.docx", "A 69134-2021")</f>
        <v/>
      </c>
      <c r="X318">
        <f>HYPERLINK("https://klasma.github.io/Logging_2313/tillsyn/A 69134-2021 tillsynsbegäran.docx", "A 69134-2021")</f>
        <v/>
      </c>
      <c r="Y318">
        <f>HYPERLINK("https://klasma.github.io/Logging_2313/tillsynsmail/A 69134-2021 tillsynsbegäran mail.docx", "A 69134-2021")</f>
        <v/>
      </c>
    </row>
    <row r="319" ht="15" customHeight="1">
      <c r="A319" t="inlineStr">
        <is>
          <t>A 56-2024</t>
        </is>
      </c>
      <c r="B319" s="1" t="n">
        <v>45293</v>
      </c>
      <c r="C319" s="1" t="n">
        <v>46033</v>
      </c>
      <c r="D319" t="inlineStr">
        <is>
          <t>JÄMTLANDS LÄN</t>
        </is>
      </c>
      <c r="E319" t="inlineStr">
        <is>
          <t>STRÖMSUND</t>
        </is>
      </c>
      <c r="G319" t="n">
        <v>4.9</v>
      </c>
      <c r="H319" t="n">
        <v>0</v>
      </c>
      <c r="I319" t="n">
        <v>0</v>
      </c>
      <c r="J319" t="n">
        <v>0</v>
      </c>
      <c r="K319" t="n">
        <v>1</v>
      </c>
      <c r="L319" t="n">
        <v>0</v>
      </c>
      <c r="M319" t="n">
        <v>0</v>
      </c>
      <c r="N319" t="n">
        <v>0</v>
      </c>
      <c r="O319" t="n">
        <v>1</v>
      </c>
      <c r="P319" t="n">
        <v>1</v>
      </c>
      <c r="Q319" t="n">
        <v>1</v>
      </c>
      <c r="R319" s="2" t="inlineStr">
        <is>
          <t>Liten sotlav</t>
        </is>
      </c>
      <c r="S319">
        <f>HYPERLINK("https://klasma.github.io/Logging_2313/artfynd/A 56-2024 artfynd.xlsx", "A 56-2024")</f>
        <v/>
      </c>
      <c r="T319">
        <f>HYPERLINK("https://klasma.github.io/Logging_2313/kartor/A 56-2024 karta.png", "A 56-2024")</f>
        <v/>
      </c>
      <c r="V319">
        <f>HYPERLINK("https://klasma.github.io/Logging_2313/klagomål/A 56-2024 FSC-klagomål.docx", "A 56-2024")</f>
        <v/>
      </c>
      <c r="W319">
        <f>HYPERLINK("https://klasma.github.io/Logging_2313/klagomålsmail/A 56-2024 FSC-klagomål mail.docx", "A 56-2024")</f>
        <v/>
      </c>
      <c r="X319">
        <f>HYPERLINK("https://klasma.github.io/Logging_2313/tillsyn/A 56-2024 tillsynsbegäran.docx", "A 56-2024")</f>
        <v/>
      </c>
      <c r="Y319">
        <f>HYPERLINK("https://klasma.github.io/Logging_2313/tillsynsmail/A 56-2024 tillsynsbegäran mail.docx", "A 56-2024")</f>
        <v/>
      </c>
    </row>
    <row r="320" ht="15" customHeight="1">
      <c r="A320" t="inlineStr">
        <is>
          <t>A 30067-2024</t>
        </is>
      </c>
      <c r="B320" s="1" t="n">
        <v>45488.94876157407</v>
      </c>
      <c r="C320" s="1" t="n">
        <v>46033</v>
      </c>
      <c r="D320" t="inlineStr">
        <is>
          <t>JÄMTLANDS LÄN</t>
        </is>
      </c>
      <c r="E320" t="inlineStr">
        <is>
          <t>STRÖMSUND</t>
        </is>
      </c>
      <c r="F320" t="inlineStr">
        <is>
          <t>SCA</t>
        </is>
      </c>
      <c r="G320" t="n">
        <v>4.8</v>
      </c>
      <c r="H320" t="n">
        <v>0</v>
      </c>
      <c r="I320" t="n">
        <v>0</v>
      </c>
      <c r="J320" t="n">
        <v>1</v>
      </c>
      <c r="K320" t="n">
        <v>0</v>
      </c>
      <c r="L320" t="n">
        <v>0</v>
      </c>
      <c r="M320" t="n">
        <v>0</v>
      </c>
      <c r="N320" t="n">
        <v>0</v>
      </c>
      <c r="O320" t="n">
        <v>1</v>
      </c>
      <c r="P320" t="n">
        <v>0</v>
      </c>
      <c r="Q320" t="n">
        <v>1</v>
      </c>
      <c r="R320" s="2" t="inlineStr">
        <is>
          <t>Doftskinn</t>
        </is>
      </c>
      <c r="S320">
        <f>HYPERLINK("https://klasma.github.io/Logging_2313/artfynd/A 30067-2024 artfynd.xlsx", "A 30067-2024")</f>
        <v/>
      </c>
      <c r="T320">
        <f>HYPERLINK("https://klasma.github.io/Logging_2313/kartor/A 30067-2024 karta.png", "A 30067-2024")</f>
        <v/>
      </c>
      <c r="V320">
        <f>HYPERLINK("https://klasma.github.io/Logging_2313/klagomål/A 30067-2024 FSC-klagomål.docx", "A 30067-2024")</f>
        <v/>
      </c>
      <c r="W320">
        <f>HYPERLINK("https://klasma.github.io/Logging_2313/klagomålsmail/A 30067-2024 FSC-klagomål mail.docx", "A 30067-2024")</f>
        <v/>
      </c>
      <c r="X320">
        <f>HYPERLINK("https://klasma.github.io/Logging_2313/tillsyn/A 30067-2024 tillsynsbegäran.docx", "A 30067-2024")</f>
        <v/>
      </c>
      <c r="Y320">
        <f>HYPERLINK("https://klasma.github.io/Logging_2313/tillsynsmail/A 30067-2024 tillsynsbegäran mail.docx", "A 30067-2024")</f>
        <v/>
      </c>
    </row>
    <row r="321" ht="15" customHeight="1">
      <c r="A321" t="inlineStr">
        <is>
          <t>A 7929-2023</t>
        </is>
      </c>
      <c r="B321" s="1" t="n">
        <v>44970</v>
      </c>
      <c r="C321" s="1" t="n">
        <v>46033</v>
      </c>
      <c r="D321" t="inlineStr">
        <is>
          <t>JÄMTLANDS LÄN</t>
        </is>
      </c>
      <c r="E321" t="inlineStr">
        <is>
          <t>STRÖMSUND</t>
        </is>
      </c>
      <c r="F321" t="inlineStr">
        <is>
          <t>Kommuner</t>
        </is>
      </c>
      <c r="G321" t="n">
        <v>2.2</v>
      </c>
      <c r="H321" t="n">
        <v>0</v>
      </c>
      <c r="I321" t="n">
        <v>1</v>
      </c>
      <c r="J321" t="n">
        <v>0</v>
      </c>
      <c r="K321" t="n">
        <v>0</v>
      </c>
      <c r="L321" t="n">
        <v>0</v>
      </c>
      <c r="M321" t="n">
        <v>0</v>
      </c>
      <c r="N321" t="n">
        <v>0</v>
      </c>
      <c r="O321" t="n">
        <v>0</v>
      </c>
      <c r="P321" t="n">
        <v>0</v>
      </c>
      <c r="Q321" t="n">
        <v>1</v>
      </c>
      <c r="R321" s="2" t="inlineStr">
        <is>
          <t>Norrlandslav</t>
        </is>
      </c>
      <c r="S321">
        <f>HYPERLINK("https://klasma.github.io/Logging_2313/artfynd/A 7929-2023 artfynd.xlsx", "A 7929-2023")</f>
        <v/>
      </c>
      <c r="T321">
        <f>HYPERLINK("https://klasma.github.io/Logging_2313/kartor/A 7929-2023 karta.png", "A 7929-2023")</f>
        <v/>
      </c>
      <c r="V321">
        <f>HYPERLINK("https://klasma.github.io/Logging_2313/klagomål/A 7929-2023 FSC-klagomål.docx", "A 7929-2023")</f>
        <v/>
      </c>
      <c r="W321">
        <f>HYPERLINK("https://klasma.github.io/Logging_2313/klagomålsmail/A 7929-2023 FSC-klagomål mail.docx", "A 7929-2023")</f>
        <v/>
      </c>
      <c r="X321">
        <f>HYPERLINK("https://klasma.github.io/Logging_2313/tillsyn/A 7929-2023 tillsynsbegäran.docx", "A 7929-2023")</f>
        <v/>
      </c>
      <c r="Y321">
        <f>HYPERLINK("https://klasma.github.io/Logging_2313/tillsynsmail/A 7929-2023 tillsynsbegäran mail.docx", "A 7929-2023")</f>
        <v/>
      </c>
    </row>
    <row r="322" ht="15" customHeight="1">
      <c r="A322" t="inlineStr">
        <is>
          <t>A 44603-2024</t>
        </is>
      </c>
      <c r="B322" s="1" t="n">
        <v>45574.51158564815</v>
      </c>
      <c r="C322" s="1" t="n">
        <v>46033</v>
      </c>
      <c r="D322" t="inlineStr">
        <is>
          <t>JÄMTLANDS LÄN</t>
        </is>
      </c>
      <c r="E322" t="inlineStr">
        <is>
          <t>STRÖMSUND</t>
        </is>
      </c>
      <c r="F322" t="inlineStr">
        <is>
          <t>SCA</t>
        </is>
      </c>
      <c r="G322" t="n">
        <v>4.6</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44603-2024 artfynd.xlsx", "A 44603-2024")</f>
        <v/>
      </c>
      <c r="T322">
        <f>HYPERLINK("https://klasma.github.io/Logging_2313/kartor/A 44603-2024 karta.png", "A 44603-2024")</f>
        <v/>
      </c>
      <c r="V322">
        <f>HYPERLINK("https://klasma.github.io/Logging_2313/klagomål/A 44603-2024 FSC-klagomål.docx", "A 44603-2024")</f>
        <v/>
      </c>
      <c r="W322">
        <f>HYPERLINK("https://klasma.github.io/Logging_2313/klagomålsmail/A 44603-2024 FSC-klagomål mail.docx", "A 44603-2024")</f>
        <v/>
      </c>
      <c r="X322">
        <f>HYPERLINK("https://klasma.github.io/Logging_2313/tillsyn/A 44603-2024 tillsynsbegäran.docx", "A 44603-2024")</f>
        <v/>
      </c>
      <c r="Y322">
        <f>HYPERLINK("https://klasma.github.io/Logging_2313/tillsynsmail/A 44603-2024 tillsynsbegäran mail.docx", "A 44603-2024")</f>
        <v/>
      </c>
    </row>
    <row r="323" ht="15" customHeight="1">
      <c r="A323" t="inlineStr">
        <is>
          <t>A 44386-2023</t>
        </is>
      </c>
      <c r="B323" s="1" t="n">
        <v>45188</v>
      </c>
      <c r="C323" s="1" t="n">
        <v>46033</v>
      </c>
      <c r="D323" t="inlineStr">
        <is>
          <t>JÄMTLANDS LÄN</t>
        </is>
      </c>
      <c r="E323" t="inlineStr">
        <is>
          <t>STRÖMSUND</t>
        </is>
      </c>
      <c r="F323" t="inlineStr">
        <is>
          <t>SCA</t>
        </is>
      </c>
      <c r="G323" t="n">
        <v>2.5</v>
      </c>
      <c r="H323" t="n">
        <v>0</v>
      </c>
      <c r="I323" t="n">
        <v>0</v>
      </c>
      <c r="J323" t="n">
        <v>1</v>
      </c>
      <c r="K323" t="n">
        <v>0</v>
      </c>
      <c r="L323" t="n">
        <v>0</v>
      </c>
      <c r="M323" t="n">
        <v>0</v>
      </c>
      <c r="N323" t="n">
        <v>0</v>
      </c>
      <c r="O323" t="n">
        <v>1</v>
      </c>
      <c r="P323" t="n">
        <v>0</v>
      </c>
      <c r="Q323" t="n">
        <v>1</v>
      </c>
      <c r="R323" s="2" t="inlineStr">
        <is>
          <t>Stjärntagging</t>
        </is>
      </c>
      <c r="S323">
        <f>HYPERLINK("https://klasma.github.io/Logging_2313/artfynd/A 44386-2023 artfynd.xlsx", "A 44386-2023")</f>
        <v/>
      </c>
      <c r="T323">
        <f>HYPERLINK("https://klasma.github.io/Logging_2313/kartor/A 44386-2023 karta.png", "A 44386-2023")</f>
        <v/>
      </c>
      <c r="V323">
        <f>HYPERLINK("https://klasma.github.io/Logging_2313/klagomål/A 44386-2023 FSC-klagomål.docx", "A 44386-2023")</f>
        <v/>
      </c>
      <c r="W323">
        <f>HYPERLINK("https://klasma.github.io/Logging_2313/klagomålsmail/A 44386-2023 FSC-klagomål mail.docx", "A 44386-2023")</f>
        <v/>
      </c>
      <c r="X323">
        <f>HYPERLINK("https://klasma.github.io/Logging_2313/tillsyn/A 44386-2023 tillsynsbegäran.docx", "A 44386-2023")</f>
        <v/>
      </c>
      <c r="Y323">
        <f>HYPERLINK("https://klasma.github.io/Logging_2313/tillsynsmail/A 44386-2023 tillsynsbegäran mail.docx", "A 44386-2023")</f>
        <v/>
      </c>
    </row>
    <row r="324" ht="15" customHeight="1">
      <c r="A324" t="inlineStr">
        <is>
          <t>A 18767-2023</t>
        </is>
      </c>
      <c r="B324" s="1" t="n">
        <v>45043</v>
      </c>
      <c r="C324" s="1" t="n">
        <v>46033</v>
      </c>
      <c r="D324" t="inlineStr">
        <is>
          <t>JÄMTLANDS LÄN</t>
        </is>
      </c>
      <c r="E324" t="inlineStr">
        <is>
          <t>STRÖMSUND</t>
        </is>
      </c>
      <c r="F324" t="inlineStr">
        <is>
          <t>SCA</t>
        </is>
      </c>
      <c r="G324" t="n">
        <v>7.5</v>
      </c>
      <c r="H324" t="n">
        <v>0</v>
      </c>
      <c r="I324" t="n">
        <v>0</v>
      </c>
      <c r="J324" t="n">
        <v>1</v>
      </c>
      <c r="K324" t="n">
        <v>0</v>
      </c>
      <c r="L324" t="n">
        <v>0</v>
      </c>
      <c r="M324" t="n">
        <v>0</v>
      </c>
      <c r="N324" t="n">
        <v>0</v>
      </c>
      <c r="O324" t="n">
        <v>1</v>
      </c>
      <c r="P324" t="n">
        <v>0</v>
      </c>
      <c r="Q324" t="n">
        <v>1</v>
      </c>
      <c r="R324" s="2" t="inlineStr">
        <is>
          <t>Vedtrappmossa</t>
        </is>
      </c>
      <c r="S324">
        <f>HYPERLINK("https://klasma.github.io/Logging_2313/artfynd/A 18767-2023 artfynd.xlsx", "A 18767-2023")</f>
        <v/>
      </c>
      <c r="T324">
        <f>HYPERLINK("https://klasma.github.io/Logging_2313/kartor/A 18767-2023 karta.png", "A 18767-2023")</f>
        <v/>
      </c>
      <c r="V324">
        <f>HYPERLINK("https://klasma.github.io/Logging_2313/klagomål/A 18767-2023 FSC-klagomål.docx", "A 18767-2023")</f>
        <v/>
      </c>
      <c r="W324">
        <f>HYPERLINK("https://klasma.github.io/Logging_2313/klagomålsmail/A 18767-2023 FSC-klagomål mail.docx", "A 18767-2023")</f>
        <v/>
      </c>
      <c r="X324">
        <f>HYPERLINK("https://klasma.github.io/Logging_2313/tillsyn/A 18767-2023 tillsynsbegäran.docx", "A 18767-2023")</f>
        <v/>
      </c>
      <c r="Y324">
        <f>HYPERLINK("https://klasma.github.io/Logging_2313/tillsynsmail/A 18767-2023 tillsynsbegäran mail.docx", "A 18767-2023")</f>
        <v/>
      </c>
    </row>
    <row r="325" ht="15" customHeight="1">
      <c r="A325" t="inlineStr">
        <is>
          <t>A 41938-2024</t>
        </is>
      </c>
      <c r="B325" s="1" t="n">
        <v>45561.57325231482</v>
      </c>
      <c r="C325" s="1" t="n">
        <v>46033</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HYPERLINK("https://klasma.github.io/Logging_2313/artfynd/A 41938-2024 artfynd.xlsx", "A 41938-2024")</f>
        <v/>
      </c>
      <c r="T325">
        <f>HYPERLINK("https://klasma.github.io/Logging_2313/kartor/A 41938-2024 karta.png", "A 41938-2024")</f>
        <v/>
      </c>
      <c r="V325">
        <f>HYPERLINK("https://klasma.github.io/Logging_2313/klagomål/A 41938-2024 FSC-klagomål.docx", "A 41938-2024")</f>
        <v/>
      </c>
      <c r="W325">
        <f>HYPERLINK("https://klasma.github.io/Logging_2313/klagomålsmail/A 41938-2024 FSC-klagomål mail.docx", "A 41938-2024")</f>
        <v/>
      </c>
      <c r="X325">
        <f>HYPERLINK("https://klasma.github.io/Logging_2313/tillsyn/A 41938-2024 tillsynsbegäran.docx", "A 41938-2024")</f>
        <v/>
      </c>
      <c r="Y325">
        <f>HYPERLINK("https://klasma.github.io/Logging_2313/tillsynsmail/A 41938-2024 tillsynsbegäran mail.docx", "A 41938-2024")</f>
        <v/>
      </c>
    </row>
    <row r="326" ht="15" customHeight="1">
      <c r="A326" t="inlineStr">
        <is>
          <t>A 41811-2022</t>
        </is>
      </c>
      <c r="B326" s="1" t="n">
        <v>44827</v>
      </c>
      <c r="C326" s="1" t="n">
        <v>46033</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61159-2024</t>
        </is>
      </c>
      <c r="B327" s="1" t="n">
        <v>45645.5943287037</v>
      </c>
      <c r="C327" s="1" t="n">
        <v>46033</v>
      </c>
      <c r="D327" t="inlineStr">
        <is>
          <t>JÄMTLANDS LÄN</t>
        </is>
      </c>
      <c r="E327" t="inlineStr">
        <is>
          <t>STRÖMSUND</t>
        </is>
      </c>
      <c r="F327" t="inlineStr">
        <is>
          <t>SCA</t>
        </is>
      </c>
      <c r="G327" t="n">
        <v>5.3</v>
      </c>
      <c r="H327" t="n">
        <v>0</v>
      </c>
      <c r="I327" t="n">
        <v>1</v>
      </c>
      <c r="J327" t="n">
        <v>0</v>
      </c>
      <c r="K327" t="n">
        <v>0</v>
      </c>
      <c r="L327" t="n">
        <v>0</v>
      </c>
      <c r="M327" t="n">
        <v>0</v>
      </c>
      <c r="N327" t="n">
        <v>0</v>
      </c>
      <c r="O327" t="n">
        <v>0</v>
      </c>
      <c r="P327" t="n">
        <v>0</v>
      </c>
      <c r="Q327" t="n">
        <v>1</v>
      </c>
      <c r="R327" s="2" t="inlineStr">
        <is>
          <t>Bårdlav</t>
        </is>
      </c>
      <c r="S327">
        <f>HYPERLINK("https://klasma.github.io/Logging_2313/artfynd/A 61159-2024 artfynd.xlsx", "A 61159-2024")</f>
        <v/>
      </c>
      <c r="T327">
        <f>HYPERLINK("https://klasma.github.io/Logging_2313/kartor/A 61159-2024 karta.png", "A 61159-2024")</f>
        <v/>
      </c>
      <c r="V327">
        <f>HYPERLINK("https://klasma.github.io/Logging_2313/klagomål/A 61159-2024 FSC-klagomål.docx", "A 61159-2024")</f>
        <v/>
      </c>
      <c r="W327">
        <f>HYPERLINK("https://klasma.github.io/Logging_2313/klagomålsmail/A 61159-2024 FSC-klagomål mail.docx", "A 61159-2024")</f>
        <v/>
      </c>
      <c r="X327">
        <f>HYPERLINK("https://klasma.github.io/Logging_2313/tillsyn/A 61159-2024 tillsynsbegäran.docx", "A 61159-2024")</f>
        <v/>
      </c>
      <c r="Y327">
        <f>HYPERLINK("https://klasma.github.io/Logging_2313/tillsynsmail/A 61159-2024 tillsynsbegäran mail.docx", "A 61159-2024")</f>
        <v/>
      </c>
    </row>
    <row r="328" ht="15" customHeight="1">
      <c r="A328" t="inlineStr">
        <is>
          <t>A 46814-2023</t>
        </is>
      </c>
      <c r="B328" s="1" t="n">
        <v>45198</v>
      </c>
      <c r="C328" s="1" t="n">
        <v>46033</v>
      </c>
      <c r="D328" t="inlineStr">
        <is>
          <t>JÄMTLANDS LÄN</t>
        </is>
      </c>
      <c r="E328" t="inlineStr">
        <is>
          <t>STRÖMSUND</t>
        </is>
      </c>
      <c r="F328" t="inlineStr">
        <is>
          <t>SCA</t>
        </is>
      </c>
      <c r="G328" t="n">
        <v>9.5</v>
      </c>
      <c r="H328" t="n">
        <v>0</v>
      </c>
      <c r="I328" t="n">
        <v>0</v>
      </c>
      <c r="J328" t="n">
        <v>0</v>
      </c>
      <c r="K328" t="n">
        <v>0</v>
      </c>
      <c r="L328" t="n">
        <v>0</v>
      </c>
      <c r="M328" t="n">
        <v>0</v>
      </c>
      <c r="N328" t="n">
        <v>0</v>
      </c>
      <c r="O328" t="n">
        <v>1</v>
      </c>
      <c r="P328" t="n">
        <v>0</v>
      </c>
      <c r="Q328" t="n">
        <v>1</v>
      </c>
      <c r="R328" s="2" t="inlineStr">
        <is>
          <t>Liten klubbdyna</t>
        </is>
      </c>
      <c r="S328">
        <f>HYPERLINK("https://klasma.github.io/Logging_2313/artfynd/A 46814-2023 artfynd.xlsx", "A 46814-2023")</f>
        <v/>
      </c>
      <c r="T328">
        <f>HYPERLINK("https://klasma.github.io/Logging_2313/kartor/A 46814-2023 karta.png", "A 46814-2023")</f>
        <v/>
      </c>
      <c r="V328">
        <f>HYPERLINK("https://klasma.github.io/Logging_2313/klagomål/A 46814-2023 FSC-klagomål.docx", "A 46814-2023")</f>
        <v/>
      </c>
      <c r="W328">
        <f>HYPERLINK("https://klasma.github.io/Logging_2313/klagomålsmail/A 46814-2023 FSC-klagomål mail.docx", "A 46814-2023")</f>
        <v/>
      </c>
      <c r="X328">
        <f>HYPERLINK("https://klasma.github.io/Logging_2313/tillsyn/A 46814-2023 tillsynsbegäran.docx", "A 46814-2023")</f>
        <v/>
      </c>
      <c r="Y328">
        <f>HYPERLINK("https://klasma.github.io/Logging_2313/tillsynsmail/A 46814-2023 tillsynsbegäran mail.docx", "A 46814-2023")</f>
        <v/>
      </c>
    </row>
    <row r="329" ht="15" customHeight="1">
      <c r="A329" t="inlineStr">
        <is>
          <t>A 34006-2023</t>
        </is>
      </c>
      <c r="B329" s="1" t="n">
        <v>45134</v>
      </c>
      <c r="C329" s="1" t="n">
        <v>46033</v>
      </c>
      <c r="D329" t="inlineStr">
        <is>
          <t>JÄMTLANDS LÄN</t>
        </is>
      </c>
      <c r="E329" t="inlineStr">
        <is>
          <t>STRÖMSUND</t>
        </is>
      </c>
      <c r="F329" t="inlineStr">
        <is>
          <t>SCA</t>
        </is>
      </c>
      <c r="G329" t="n">
        <v>4</v>
      </c>
      <c r="H329" t="n">
        <v>1</v>
      </c>
      <c r="I329" t="n">
        <v>0</v>
      </c>
      <c r="J329" t="n">
        <v>1</v>
      </c>
      <c r="K329" t="n">
        <v>0</v>
      </c>
      <c r="L329" t="n">
        <v>0</v>
      </c>
      <c r="M329" t="n">
        <v>0</v>
      </c>
      <c r="N329" t="n">
        <v>0</v>
      </c>
      <c r="O329" t="n">
        <v>1</v>
      </c>
      <c r="P329" t="n">
        <v>0</v>
      </c>
      <c r="Q329" t="n">
        <v>1</v>
      </c>
      <c r="R329" s="2" t="inlineStr">
        <is>
          <t>Talltita</t>
        </is>
      </c>
      <c r="S329">
        <f>HYPERLINK("https://klasma.github.io/Logging_2313/artfynd/A 34006-2023 artfynd.xlsx", "A 34006-2023")</f>
        <v/>
      </c>
      <c r="T329">
        <f>HYPERLINK("https://klasma.github.io/Logging_2313/kartor/A 34006-2023 karta.png", "A 34006-2023")</f>
        <v/>
      </c>
      <c r="V329">
        <f>HYPERLINK("https://klasma.github.io/Logging_2313/klagomål/A 34006-2023 FSC-klagomål.docx", "A 34006-2023")</f>
        <v/>
      </c>
      <c r="W329">
        <f>HYPERLINK("https://klasma.github.io/Logging_2313/klagomålsmail/A 34006-2023 FSC-klagomål mail.docx", "A 34006-2023")</f>
        <v/>
      </c>
      <c r="X329">
        <f>HYPERLINK("https://klasma.github.io/Logging_2313/tillsyn/A 34006-2023 tillsynsbegäran.docx", "A 34006-2023")</f>
        <v/>
      </c>
      <c r="Y329">
        <f>HYPERLINK("https://klasma.github.io/Logging_2313/tillsynsmail/A 34006-2023 tillsynsbegäran mail.docx", "A 34006-2023")</f>
        <v/>
      </c>
      <c r="Z329">
        <f>HYPERLINK("https://klasma.github.io/Logging_2313/fåglar/A 34006-2023 prioriterade fågelarter.docx", "A 34006-2023")</f>
        <v/>
      </c>
    </row>
    <row r="330" ht="15" customHeight="1">
      <c r="A330" t="inlineStr">
        <is>
          <t>A 15149-2022</t>
        </is>
      </c>
      <c r="B330" s="1" t="n">
        <v>44658</v>
      </c>
      <c r="C330" s="1" t="n">
        <v>46033</v>
      </c>
      <c r="D330" t="inlineStr">
        <is>
          <t>JÄMTLANDS LÄN</t>
        </is>
      </c>
      <c r="E330" t="inlineStr">
        <is>
          <t>STRÖMSUND</t>
        </is>
      </c>
      <c r="G330" t="n">
        <v>10.6</v>
      </c>
      <c r="H330" t="n">
        <v>1</v>
      </c>
      <c r="I330" t="n">
        <v>0</v>
      </c>
      <c r="J330" t="n">
        <v>0</v>
      </c>
      <c r="K330" t="n">
        <v>0</v>
      </c>
      <c r="L330" t="n">
        <v>0</v>
      </c>
      <c r="M330" t="n">
        <v>0</v>
      </c>
      <c r="N330" t="n">
        <v>0</v>
      </c>
      <c r="O330" t="n">
        <v>0</v>
      </c>
      <c r="P330" t="n">
        <v>0</v>
      </c>
      <c r="Q330" t="n">
        <v>1</v>
      </c>
      <c r="R330" s="2" t="inlineStr">
        <is>
          <t>Lavskrika</t>
        </is>
      </c>
      <c r="S330">
        <f>HYPERLINK("https://klasma.github.io/Logging_2313/artfynd/A 15149-2022 artfynd.xlsx", "A 15149-2022")</f>
        <v/>
      </c>
      <c r="T330">
        <f>HYPERLINK("https://klasma.github.io/Logging_2313/kartor/A 15149-2022 karta.png", "A 15149-2022")</f>
        <v/>
      </c>
      <c r="V330">
        <f>HYPERLINK("https://klasma.github.io/Logging_2313/klagomål/A 15149-2022 FSC-klagomål.docx", "A 15149-2022")</f>
        <v/>
      </c>
      <c r="W330">
        <f>HYPERLINK("https://klasma.github.io/Logging_2313/klagomålsmail/A 15149-2022 FSC-klagomål mail.docx", "A 15149-2022")</f>
        <v/>
      </c>
      <c r="X330">
        <f>HYPERLINK("https://klasma.github.io/Logging_2313/tillsyn/A 15149-2022 tillsynsbegäran.docx", "A 15149-2022")</f>
        <v/>
      </c>
      <c r="Y330">
        <f>HYPERLINK("https://klasma.github.io/Logging_2313/tillsynsmail/A 15149-2022 tillsynsbegäran mail.docx", "A 15149-2022")</f>
        <v/>
      </c>
      <c r="Z330">
        <f>HYPERLINK("https://klasma.github.io/Logging_2313/fåglar/A 15149-2022 prioriterade fågelarter.docx", "A 15149-2022")</f>
        <v/>
      </c>
    </row>
    <row r="331" ht="15" customHeight="1">
      <c r="A331" t="inlineStr">
        <is>
          <t>A 14290-2022</t>
        </is>
      </c>
      <c r="B331" s="1" t="n">
        <v>44651</v>
      </c>
      <c r="C331" s="1" t="n">
        <v>46033</v>
      </c>
      <c r="D331" t="inlineStr">
        <is>
          <t>JÄMTLANDS LÄN</t>
        </is>
      </c>
      <c r="E331" t="inlineStr">
        <is>
          <t>STRÖMSUND</t>
        </is>
      </c>
      <c r="F331" t="inlineStr">
        <is>
          <t>SCA</t>
        </is>
      </c>
      <c r="G331" t="n">
        <v>0.3</v>
      </c>
      <c r="H331" t="n">
        <v>0</v>
      </c>
      <c r="I331" t="n">
        <v>0</v>
      </c>
      <c r="J331" t="n">
        <v>1</v>
      </c>
      <c r="K331" t="n">
        <v>0</v>
      </c>
      <c r="L331" t="n">
        <v>0</v>
      </c>
      <c r="M331" t="n">
        <v>0</v>
      </c>
      <c r="N331" t="n">
        <v>0</v>
      </c>
      <c r="O331" t="n">
        <v>1</v>
      </c>
      <c r="P331" t="n">
        <v>0</v>
      </c>
      <c r="Q331" t="n">
        <v>1</v>
      </c>
      <c r="R331" s="2" t="inlineStr">
        <is>
          <t>Garnlav</t>
        </is>
      </c>
      <c r="S331">
        <f>HYPERLINK("https://klasma.github.io/Logging_2313/artfynd/A 14290-2022 artfynd.xlsx", "A 14290-2022")</f>
        <v/>
      </c>
      <c r="T331">
        <f>HYPERLINK("https://klasma.github.io/Logging_2313/kartor/A 14290-2022 karta.png", "A 14290-2022")</f>
        <v/>
      </c>
      <c r="U331">
        <f>HYPERLINK("https://klasma.github.io/Logging_2313/knärot/A 14290-2022 karta knärot.png", "A 14290-2022")</f>
        <v/>
      </c>
      <c r="V331">
        <f>HYPERLINK("https://klasma.github.io/Logging_2313/klagomål/A 14290-2022 FSC-klagomål.docx", "A 14290-2022")</f>
        <v/>
      </c>
      <c r="W331">
        <f>HYPERLINK("https://klasma.github.io/Logging_2313/klagomålsmail/A 14290-2022 FSC-klagomål mail.docx", "A 14290-2022")</f>
        <v/>
      </c>
      <c r="X331">
        <f>HYPERLINK("https://klasma.github.io/Logging_2313/tillsyn/A 14290-2022 tillsynsbegäran.docx", "A 14290-2022")</f>
        <v/>
      </c>
      <c r="Y331">
        <f>HYPERLINK("https://klasma.github.io/Logging_2313/tillsynsmail/A 14290-2022 tillsynsbegäran mail.docx", "A 14290-2022")</f>
        <v/>
      </c>
    </row>
    <row r="332" ht="15" customHeight="1">
      <c r="A332" t="inlineStr">
        <is>
          <t>A 39511-2023</t>
        </is>
      </c>
      <c r="B332" s="1" t="n">
        <v>45166</v>
      </c>
      <c r="C332" s="1" t="n">
        <v>46033</v>
      </c>
      <c r="D332" t="inlineStr">
        <is>
          <t>JÄMTLANDS LÄN</t>
        </is>
      </c>
      <c r="E332" t="inlineStr">
        <is>
          <t>STRÖMSUND</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HYPERLINK("https://klasma.github.io/Logging_2313/artfynd/A 39511-2023 artfynd.xlsx", "A 39511-2023")</f>
        <v/>
      </c>
      <c r="T332">
        <f>HYPERLINK("https://klasma.github.io/Logging_2313/kartor/A 39511-2023 karta.png", "A 39511-2023")</f>
        <v/>
      </c>
      <c r="V332">
        <f>HYPERLINK("https://klasma.github.io/Logging_2313/klagomål/A 39511-2023 FSC-klagomål.docx", "A 39511-2023")</f>
        <v/>
      </c>
      <c r="W332">
        <f>HYPERLINK("https://klasma.github.io/Logging_2313/klagomålsmail/A 39511-2023 FSC-klagomål mail.docx", "A 39511-2023")</f>
        <v/>
      </c>
      <c r="X332">
        <f>HYPERLINK("https://klasma.github.io/Logging_2313/tillsyn/A 39511-2023 tillsynsbegäran.docx", "A 39511-2023")</f>
        <v/>
      </c>
      <c r="Y332">
        <f>HYPERLINK("https://klasma.github.io/Logging_2313/tillsynsmail/A 39511-2023 tillsynsbegäran mail.docx", "A 39511-2023")</f>
        <v/>
      </c>
    </row>
    <row r="333" ht="15" customHeight="1">
      <c r="A333" t="inlineStr">
        <is>
          <t>A 55530-2022</t>
        </is>
      </c>
      <c r="B333" s="1" t="n">
        <v>44887</v>
      </c>
      <c r="C333" s="1" t="n">
        <v>46033</v>
      </c>
      <c r="D333" t="inlineStr">
        <is>
          <t>JÄMTLANDS LÄN</t>
        </is>
      </c>
      <c r="E333" t="inlineStr">
        <is>
          <t>STRÖMSUND</t>
        </is>
      </c>
      <c r="F333" t="inlineStr">
        <is>
          <t>SCA</t>
        </is>
      </c>
      <c r="G333" t="n">
        <v>5.5</v>
      </c>
      <c r="H333" t="n">
        <v>0</v>
      </c>
      <c r="I333" t="n">
        <v>0</v>
      </c>
      <c r="J333" t="n">
        <v>1</v>
      </c>
      <c r="K333" t="n">
        <v>0</v>
      </c>
      <c r="L333" t="n">
        <v>0</v>
      </c>
      <c r="M333" t="n">
        <v>0</v>
      </c>
      <c r="N333" t="n">
        <v>0</v>
      </c>
      <c r="O333" t="n">
        <v>1</v>
      </c>
      <c r="P333" t="n">
        <v>0</v>
      </c>
      <c r="Q333" t="n">
        <v>1</v>
      </c>
      <c r="R333" s="2" t="inlineStr">
        <is>
          <t>Lunglav</t>
        </is>
      </c>
      <c r="S333">
        <f>HYPERLINK("https://klasma.github.io/Logging_2313/artfynd/A 55530-2022 artfynd.xlsx", "A 55530-2022")</f>
        <v/>
      </c>
      <c r="T333">
        <f>HYPERLINK("https://klasma.github.io/Logging_2313/kartor/A 55530-2022 karta.png", "A 55530-2022")</f>
        <v/>
      </c>
      <c r="V333">
        <f>HYPERLINK("https://klasma.github.io/Logging_2313/klagomål/A 55530-2022 FSC-klagomål.docx", "A 55530-2022")</f>
        <v/>
      </c>
      <c r="W333">
        <f>HYPERLINK("https://klasma.github.io/Logging_2313/klagomålsmail/A 55530-2022 FSC-klagomål mail.docx", "A 55530-2022")</f>
        <v/>
      </c>
      <c r="X333">
        <f>HYPERLINK("https://klasma.github.io/Logging_2313/tillsyn/A 55530-2022 tillsynsbegäran.docx", "A 55530-2022")</f>
        <v/>
      </c>
      <c r="Y333">
        <f>HYPERLINK("https://klasma.github.io/Logging_2313/tillsynsmail/A 55530-2022 tillsynsbegäran mail.docx", "A 55530-2022")</f>
        <v/>
      </c>
    </row>
    <row r="334" ht="15" customHeight="1">
      <c r="A334" t="inlineStr">
        <is>
          <t>A 57390-2023</t>
        </is>
      </c>
      <c r="B334" s="1" t="n">
        <v>45245</v>
      </c>
      <c r="C334" s="1" t="n">
        <v>46033</v>
      </c>
      <c r="D334" t="inlineStr">
        <is>
          <t>JÄMTLANDS LÄN</t>
        </is>
      </c>
      <c r="E334" t="inlineStr">
        <is>
          <t>STRÖMSUND</t>
        </is>
      </c>
      <c r="G334" t="n">
        <v>4.8</v>
      </c>
      <c r="H334" t="n">
        <v>0</v>
      </c>
      <c r="I334" t="n">
        <v>1</v>
      </c>
      <c r="J334" t="n">
        <v>0</v>
      </c>
      <c r="K334" t="n">
        <v>0</v>
      </c>
      <c r="L334" t="n">
        <v>0</v>
      </c>
      <c r="M334" t="n">
        <v>0</v>
      </c>
      <c r="N334" t="n">
        <v>0</v>
      </c>
      <c r="O334" t="n">
        <v>0</v>
      </c>
      <c r="P334" t="n">
        <v>0</v>
      </c>
      <c r="Q334" t="n">
        <v>1</v>
      </c>
      <c r="R334" s="2" t="inlineStr">
        <is>
          <t>Svart trolldruva</t>
        </is>
      </c>
      <c r="S334">
        <f>HYPERLINK("https://klasma.github.io/Logging_2313/artfynd/A 57390-2023 artfynd.xlsx", "A 57390-2023")</f>
        <v/>
      </c>
      <c r="T334">
        <f>HYPERLINK("https://klasma.github.io/Logging_2313/kartor/A 57390-2023 karta.png", "A 57390-2023")</f>
        <v/>
      </c>
      <c r="V334">
        <f>HYPERLINK("https://klasma.github.io/Logging_2313/klagomål/A 57390-2023 FSC-klagomål.docx", "A 57390-2023")</f>
        <v/>
      </c>
      <c r="W334">
        <f>HYPERLINK("https://klasma.github.io/Logging_2313/klagomålsmail/A 57390-2023 FSC-klagomål mail.docx", "A 57390-2023")</f>
        <v/>
      </c>
      <c r="X334">
        <f>HYPERLINK("https://klasma.github.io/Logging_2313/tillsyn/A 57390-2023 tillsynsbegäran.docx", "A 57390-2023")</f>
        <v/>
      </c>
      <c r="Y334">
        <f>HYPERLINK("https://klasma.github.io/Logging_2313/tillsynsmail/A 57390-2023 tillsynsbegäran mail.docx", "A 57390-2023")</f>
        <v/>
      </c>
    </row>
    <row r="335" ht="15" customHeight="1">
      <c r="A335" t="inlineStr">
        <is>
          <t>A 31684-2024</t>
        </is>
      </c>
      <c r="B335" s="1" t="n">
        <v>45506.94950231481</v>
      </c>
      <c r="C335" s="1" t="n">
        <v>46033</v>
      </c>
      <c r="D335" t="inlineStr">
        <is>
          <t>JÄMTLANDS LÄN</t>
        </is>
      </c>
      <c r="E335" t="inlineStr">
        <is>
          <t>STRÖMSUND</t>
        </is>
      </c>
      <c r="F335" t="inlineStr">
        <is>
          <t>SCA</t>
        </is>
      </c>
      <c r="G335" t="n">
        <v>5.4</v>
      </c>
      <c r="H335" t="n">
        <v>0</v>
      </c>
      <c r="I335" t="n">
        <v>0</v>
      </c>
      <c r="J335" t="n">
        <v>1</v>
      </c>
      <c r="K335" t="n">
        <v>0</v>
      </c>
      <c r="L335" t="n">
        <v>0</v>
      </c>
      <c r="M335" t="n">
        <v>0</v>
      </c>
      <c r="N335" t="n">
        <v>0</v>
      </c>
      <c r="O335" t="n">
        <v>1</v>
      </c>
      <c r="P335" t="n">
        <v>0</v>
      </c>
      <c r="Q335" t="n">
        <v>1</v>
      </c>
      <c r="R335" s="2" t="inlineStr">
        <is>
          <t>Skrovellav</t>
        </is>
      </c>
      <c r="S335">
        <f>HYPERLINK("https://klasma.github.io/Logging_2313/artfynd/A 31684-2024 artfynd.xlsx", "A 31684-2024")</f>
        <v/>
      </c>
      <c r="T335">
        <f>HYPERLINK("https://klasma.github.io/Logging_2313/kartor/A 31684-2024 karta.png", "A 31684-2024")</f>
        <v/>
      </c>
      <c r="V335">
        <f>HYPERLINK("https://klasma.github.io/Logging_2313/klagomål/A 31684-2024 FSC-klagomål.docx", "A 31684-2024")</f>
        <v/>
      </c>
      <c r="W335">
        <f>HYPERLINK("https://klasma.github.io/Logging_2313/klagomålsmail/A 31684-2024 FSC-klagomål mail.docx", "A 31684-2024")</f>
        <v/>
      </c>
      <c r="X335">
        <f>HYPERLINK("https://klasma.github.io/Logging_2313/tillsyn/A 31684-2024 tillsynsbegäran.docx", "A 31684-2024")</f>
        <v/>
      </c>
      <c r="Y335">
        <f>HYPERLINK("https://klasma.github.io/Logging_2313/tillsynsmail/A 31684-2024 tillsynsbegäran mail.docx", "A 31684-2024")</f>
        <v/>
      </c>
    </row>
    <row r="336" ht="15" customHeight="1">
      <c r="A336" t="inlineStr">
        <is>
          <t>A 23186-2022</t>
        </is>
      </c>
      <c r="B336" s="1" t="n">
        <v>44719</v>
      </c>
      <c r="C336" s="1" t="n">
        <v>46033</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60828-2023</t>
        </is>
      </c>
      <c r="B337" s="1" t="n">
        <v>45258</v>
      </c>
      <c r="C337" s="1" t="n">
        <v>46033</v>
      </c>
      <c r="D337" t="inlineStr">
        <is>
          <t>JÄMTLANDS LÄN</t>
        </is>
      </c>
      <c r="E337" t="inlineStr">
        <is>
          <t>STRÖMSUND</t>
        </is>
      </c>
      <c r="G337" t="n">
        <v>6.7</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60828-2023 artfynd.xlsx", "A 60828-2023")</f>
        <v/>
      </c>
      <c r="T337">
        <f>HYPERLINK("https://klasma.github.io/Logging_2313/kartor/A 60828-2023 karta.png", "A 60828-2023")</f>
        <v/>
      </c>
      <c r="V337">
        <f>HYPERLINK("https://klasma.github.io/Logging_2313/klagomål/A 60828-2023 FSC-klagomål.docx", "A 60828-2023")</f>
        <v/>
      </c>
      <c r="W337">
        <f>HYPERLINK("https://klasma.github.io/Logging_2313/klagomålsmail/A 60828-2023 FSC-klagomål mail.docx", "A 60828-2023")</f>
        <v/>
      </c>
      <c r="X337">
        <f>HYPERLINK("https://klasma.github.io/Logging_2313/tillsyn/A 60828-2023 tillsynsbegäran.docx", "A 60828-2023")</f>
        <v/>
      </c>
      <c r="Y337">
        <f>HYPERLINK("https://klasma.github.io/Logging_2313/tillsynsmail/A 60828-2023 tillsynsbegäran mail.docx", "A 60828-2023")</f>
        <v/>
      </c>
      <c r="Z337">
        <f>HYPERLINK("https://klasma.github.io/Logging_2313/fåglar/A 60828-2023 prioriterade fågelarter.docx", "A 60828-2023")</f>
        <v/>
      </c>
    </row>
    <row r="338" ht="15" customHeight="1">
      <c r="A338" t="inlineStr">
        <is>
          <t>A 20241-2025</t>
        </is>
      </c>
      <c r="B338" s="1" t="n">
        <v>45772.69840277778</v>
      </c>
      <c r="C338" s="1" t="n">
        <v>46033</v>
      </c>
      <c r="D338" t="inlineStr">
        <is>
          <t>JÄMTLANDS LÄN</t>
        </is>
      </c>
      <c r="E338" t="inlineStr">
        <is>
          <t>STRÖMSUND</t>
        </is>
      </c>
      <c r="F338" t="inlineStr">
        <is>
          <t>SCA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HYPERLINK("https://klasma.github.io/Logging_2313/artfynd/A 20241-2025 artfynd.xlsx", "A 20241-2025")</f>
        <v/>
      </c>
      <c r="T338">
        <f>HYPERLINK("https://klasma.github.io/Logging_2313/kartor/A 20241-2025 karta.png", "A 20241-2025")</f>
        <v/>
      </c>
      <c r="U338">
        <f>HYPERLINK("https://klasma.github.io/Logging_2313/knärot/A 20241-2025 karta knärot.png", "A 20241-2025")</f>
        <v/>
      </c>
      <c r="V338">
        <f>HYPERLINK("https://klasma.github.io/Logging_2313/klagomål/A 20241-2025 FSC-klagomål.docx", "A 20241-2025")</f>
        <v/>
      </c>
      <c r="W338">
        <f>HYPERLINK("https://klasma.github.io/Logging_2313/klagomålsmail/A 20241-2025 FSC-klagomål mail.docx", "A 20241-2025")</f>
        <v/>
      </c>
      <c r="X338">
        <f>HYPERLINK("https://klasma.github.io/Logging_2313/tillsyn/A 20241-2025 tillsynsbegäran.docx", "A 20241-2025")</f>
        <v/>
      </c>
      <c r="Y338">
        <f>HYPERLINK("https://klasma.github.io/Logging_2313/tillsynsmail/A 20241-2025 tillsynsbegäran mail.docx", "A 20241-2025")</f>
        <v/>
      </c>
    </row>
    <row r="339" ht="15" customHeight="1">
      <c r="A339" t="inlineStr">
        <is>
          <t>A 24807-2024</t>
        </is>
      </c>
      <c r="B339" s="1" t="n">
        <v>45460.95350694445</v>
      </c>
      <c r="C339" s="1" t="n">
        <v>46033</v>
      </c>
      <c r="D339" t="inlineStr">
        <is>
          <t>JÄMTLANDS LÄN</t>
        </is>
      </c>
      <c r="E339" t="inlineStr">
        <is>
          <t>STRÖMSUND</t>
        </is>
      </c>
      <c r="F339" t="inlineStr">
        <is>
          <t>SCA</t>
        </is>
      </c>
      <c r="G339" t="n">
        <v>2</v>
      </c>
      <c r="H339" t="n">
        <v>0</v>
      </c>
      <c r="I339" t="n">
        <v>0</v>
      </c>
      <c r="J339" t="n">
        <v>1</v>
      </c>
      <c r="K339" t="n">
        <v>0</v>
      </c>
      <c r="L339" t="n">
        <v>0</v>
      </c>
      <c r="M339" t="n">
        <v>0</v>
      </c>
      <c r="N339" t="n">
        <v>0</v>
      </c>
      <c r="O339" t="n">
        <v>1</v>
      </c>
      <c r="P339" t="n">
        <v>0</v>
      </c>
      <c r="Q339" t="n">
        <v>1</v>
      </c>
      <c r="R339" s="2" t="inlineStr">
        <is>
          <t>Ullticka</t>
        </is>
      </c>
      <c r="S339">
        <f>HYPERLINK("https://klasma.github.io/Logging_2313/artfynd/A 24807-2024 artfynd.xlsx", "A 24807-2024")</f>
        <v/>
      </c>
      <c r="T339">
        <f>HYPERLINK("https://klasma.github.io/Logging_2313/kartor/A 24807-2024 karta.png", "A 24807-2024")</f>
        <v/>
      </c>
      <c r="V339">
        <f>HYPERLINK("https://klasma.github.io/Logging_2313/klagomål/A 24807-2024 FSC-klagomål.docx", "A 24807-2024")</f>
        <v/>
      </c>
      <c r="W339">
        <f>HYPERLINK("https://klasma.github.io/Logging_2313/klagomålsmail/A 24807-2024 FSC-klagomål mail.docx", "A 24807-2024")</f>
        <v/>
      </c>
      <c r="X339">
        <f>HYPERLINK("https://klasma.github.io/Logging_2313/tillsyn/A 24807-2024 tillsynsbegäran.docx", "A 24807-2024")</f>
        <v/>
      </c>
      <c r="Y339">
        <f>HYPERLINK("https://klasma.github.io/Logging_2313/tillsynsmail/A 24807-2024 tillsynsbegäran mail.docx", "A 24807-2024")</f>
        <v/>
      </c>
    </row>
    <row r="340" ht="15" customHeight="1">
      <c r="A340" t="inlineStr">
        <is>
          <t>A 55383-2024</t>
        </is>
      </c>
      <c r="B340" s="1" t="n">
        <v>45622.3055787037</v>
      </c>
      <c r="C340" s="1" t="n">
        <v>46033</v>
      </c>
      <c r="D340" t="inlineStr">
        <is>
          <t>JÄMTLANDS LÄN</t>
        </is>
      </c>
      <c r="E340" t="inlineStr">
        <is>
          <t>STRÖMSUND</t>
        </is>
      </c>
      <c r="G340" t="n">
        <v>4.8</v>
      </c>
      <c r="H340" t="n">
        <v>1</v>
      </c>
      <c r="I340" t="n">
        <v>0</v>
      </c>
      <c r="J340" t="n">
        <v>1</v>
      </c>
      <c r="K340" t="n">
        <v>0</v>
      </c>
      <c r="L340" t="n">
        <v>0</v>
      </c>
      <c r="M340" t="n">
        <v>0</v>
      </c>
      <c r="N340" t="n">
        <v>0</v>
      </c>
      <c r="O340" t="n">
        <v>1</v>
      </c>
      <c r="P340" t="n">
        <v>0</v>
      </c>
      <c r="Q340" t="n">
        <v>1</v>
      </c>
      <c r="R340" s="2" t="inlineStr">
        <is>
          <t>Utter</t>
        </is>
      </c>
      <c r="S340">
        <f>HYPERLINK("https://klasma.github.io/Logging_2313/artfynd/A 55383-2024 artfynd.xlsx", "A 55383-2024")</f>
        <v/>
      </c>
      <c r="T340">
        <f>HYPERLINK("https://klasma.github.io/Logging_2313/kartor/A 55383-2024 karta.png", "A 55383-2024")</f>
        <v/>
      </c>
      <c r="V340">
        <f>HYPERLINK("https://klasma.github.io/Logging_2313/klagomål/A 55383-2024 FSC-klagomål.docx", "A 55383-2024")</f>
        <v/>
      </c>
      <c r="W340">
        <f>HYPERLINK("https://klasma.github.io/Logging_2313/klagomålsmail/A 55383-2024 FSC-klagomål mail.docx", "A 55383-2024")</f>
        <v/>
      </c>
      <c r="X340">
        <f>HYPERLINK("https://klasma.github.io/Logging_2313/tillsyn/A 55383-2024 tillsynsbegäran.docx", "A 55383-2024")</f>
        <v/>
      </c>
      <c r="Y340">
        <f>HYPERLINK("https://klasma.github.io/Logging_2313/tillsynsmail/A 55383-2024 tillsynsbegäran mail.docx", "A 55383-2024")</f>
        <v/>
      </c>
    </row>
    <row r="341" ht="15" customHeight="1">
      <c r="A341" t="inlineStr">
        <is>
          <t>A 14322-2025</t>
        </is>
      </c>
      <c r="B341" s="1" t="n">
        <v>45740.76611111111</v>
      </c>
      <c r="C341" s="1" t="n">
        <v>46033</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21789-2025</t>
        </is>
      </c>
      <c r="B342" s="1" t="n">
        <v>45783.67741898148</v>
      </c>
      <c r="C342" s="1" t="n">
        <v>46033</v>
      </c>
      <c r="D342" t="inlineStr">
        <is>
          <t>JÄMTLANDS LÄN</t>
        </is>
      </c>
      <c r="E342" t="inlineStr">
        <is>
          <t>STRÖMSUND</t>
        </is>
      </c>
      <c r="F342" t="inlineStr">
        <is>
          <t>SCA</t>
        </is>
      </c>
      <c r="G342" t="n">
        <v>4.5</v>
      </c>
      <c r="H342" t="n">
        <v>0</v>
      </c>
      <c r="I342" t="n">
        <v>0</v>
      </c>
      <c r="J342" t="n">
        <v>1</v>
      </c>
      <c r="K342" t="n">
        <v>0</v>
      </c>
      <c r="L342" t="n">
        <v>0</v>
      </c>
      <c r="M342" t="n">
        <v>0</v>
      </c>
      <c r="N342" t="n">
        <v>0</v>
      </c>
      <c r="O342" t="n">
        <v>1</v>
      </c>
      <c r="P342" t="n">
        <v>0</v>
      </c>
      <c r="Q342" t="n">
        <v>1</v>
      </c>
      <c r="R342" s="2" t="inlineStr">
        <is>
          <t>Lunglav</t>
        </is>
      </c>
      <c r="S342">
        <f>HYPERLINK("https://klasma.github.io/Logging_2313/artfynd/A 21789-2025 artfynd.xlsx", "A 21789-2025")</f>
        <v/>
      </c>
      <c r="T342">
        <f>HYPERLINK("https://klasma.github.io/Logging_2313/kartor/A 21789-2025 karta.png", "A 21789-2025")</f>
        <v/>
      </c>
      <c r="V342">
        <f>HYPERLINK("https://klasma.github.io/Logging_2313/klagomål/A 21789-2025 FSC-klagomål.docx", "A 21789-2025")</f>
        <v/>
      </c>
      <c r="W342">
        <f>HYPERLINK("https://klasma.github.io/Logging_2313/klagomålsmail/A 21789-2025 FSC-klagomål mail.docx", "A 21789-2025")</f>
        <v/>
      </c>
      <c r="X342">
        <f>HYPERLINK("https://klasma.github.io/Logging_2313/tillsyn/A 21789-2025 tillsynsbegäran.docx", "A 21789-2025")</f>
        <v/>
      </c>
      <c r="Y342">
        <f>HYPERLINK("https://klasma.github.io/Logging_2313/tillsynsmail/A 21789-2025 tillsynsbegäran mail.docx", "A 21789-2025")</f>
        <v/>
      </c>
    </row>
    <row r="343" ht="15" customHeight="1">
      <c r="A343" t="inlineStr">
        <is>
          <t>A 37097-2022</t>
        </is>
      </c>
      <c r="B343" s="1" t="n">
        <v>44806</v>
      </c>
      <c r="C343" s="1" t="n">
        <v>46033</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46033</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46033</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46033</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46033</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46033</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46033</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17368-2021</t>
        </is>
      </c>
      <c r="B350" s="1" t="n">
        <v>44298.91940972222</v>
      </c>
      <c r="C350" s="1" t="n">
        <v>46033</v>
      </c>
      <c r="D350" t="inlineStr">
        <is>
          <t>JÄMTLANDS LÄN</t>
        </is>
      </c>
      <c r="E350" t="inlineStr">
        <is>
          <t>STRÖMSUND</t>
        </is>
      </c>
      <c r="G350" t="n">
        <v>1</v>
      </c>
      <c r="H350" t="n">
        <v>0</v>
      </c>
      <c r="I350" t="n">
        <v>0</v>
      </c>
      <c r="J350" t="n">
        <v>0</v>
      </c>
      <c r="K350" t="n">
        <v>0</v>
      </c>
      <c r="L350" t="n">
        <v>0</v>
      </c>
      <c r="M350" t="n">
        <v>0</v>
      </c>
      <c r="N350" t="n">
        <v>0</v>
      </c>
      <c r="O350" t="n">
        <v>0</v>
      </c>
      <c r="P350" t="n">
        <v>0</v>
      </c>
      <c r="Q350" t="n">
        <v>0</v>
      </c>
      <c r="R350" s="2" t="inlineStr"/>
    </row>
    <row r="351" ht="15" customHeight="1">
      <c r="A351" t="inlineStr">
        <is>
          <t>A 39944-2021</t>
        </is>
      </c>
      <c r="B351" s="1" t="n">
        <v>44417</v>
      </c>
      <c r="C351" s="1" t="n">
        <v>46033</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46033</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46033</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4602-2022</t>
        </is>
      </c>
      <c r="B354" s="1" t="n">
        <v>44589</v>
      </c>
      <c r="C354" s="1" t="n">
        <v>46033</v>
      </c>
      <c r="D354" t="inlineStr">
        <is>
          <t>JÄMTLANDS LÄN</t>
        </is>
      </c>
      <c r="E354" t="inlineStr">
        <is>
          <t>STRÖMSUND</t>
        </is>
      </c>
      <c r="G354" t="n">
        <v>9.5</v>
      </c>
      <c r="H354" t="n">
        <v>0</v>
      </c>
      <c r="I354" t="n">
        <v>0</v>
      </c>
      <c r="J354" t="n">
        <v>0</v>
      </c>
      <c r="K354" t="n">
        <v>0</v>
      </c>
      <c r="L354" t="n">
        <v>0</v>
      </c>
      <c r="M354" t="n">
        <v>0</v>
      </c>
      <c r="N354" t="n">
        <v>0</v>
      </c>
      <c r="O354" t="n">
        <v>0</v>
      </c>
      <c r="P354" t="n">
        <v>0</v>
      </c>
      <c r="Q354" t="n">
        <v>0</v>
      </c>
      <c r="R354" s="2" t="inlineStr"/>
    </row>
    <row r="355" ht="15" customHeight="1">
      <c r="A355" t="inlineStr">
        <is>
          <t>A 45421-2022</t>
        </is>
      </c>
      <c r="B355" s="1" t="n">
        <v>44844.95244212963</v>
      </c>
      <c r="C355" s="1" t="n">
        <v>46033</v>
      </c>
      <c r="D355" t="inlineStr">
        <is>
          <t>JÄMTLANDS LÄN</t>
        </is>
      </c>
      <c r="E355" t="inlineStr">
        <is>
          <t>STRÖMSUND</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46033</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46033</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46033</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46033</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46033</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46033</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46033</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46033</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44451-2022</t>
        </is>
      </c>
      <c r="B364" s="1" t="n">
        <v>44839.95523148148</v>
      </c>
      <c r="C364" s="1" t="n">
        <v>46033</v>
      </c>
      <c r="D364" t="inlineStr">
        <is>
          <t>JÄMTLANDS LÄN</t>
        </is>
      </c>
      <c r="E364" t="inlineStr">
        <is>
          <t>STRÖMSUND</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42155-2022</t>
        </is>
      </c>
      <c r="B365" s="1" t="n">
        <v>44830.60405092593</v>
      </c>
      <c r="C365" s="1" t="n">
        <v>46033</v>
      </c>
      <c r="D365" t="inlineStr">
        <is>
          <t>JÄMTLANDS LÄN</t>
        </is>
      </c>
      <c r="E365" t="inlineStr">
        <is>
          <t>STRÖMSUND</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46033</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46033</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46033</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46033</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46033</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46033</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46033</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46033</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46033</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46033</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4135-2021</t>
        </is>
      </c>
      <c r="B376" s="1" t="n">
        <v>44223</v>
      </c>
      <c r="C376" s="1" t="n">
        <v>46033</v>
      </c>
      <c r="D376" t="inlineStr">
        <is>
          <t>JÄMTLANDS LÄN</t>
        </is>
      </c>
      <c r="E376" t="inlineStr">
        <is>
          <t>STRÖMSUND</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73289-2021</t>
        </is>
      </c>
      <c r="B377" s="1" t="n">
        <v>44550</v>
      </c>
      <c r="C377" s="1" t="n">
        <v>46033</v>
      </c>
      <c r="D377" t="inlineStr">
        <is>
          <t>JÄMTLANDS LÄN</t>
        </is>
      </c>
      <c r="E377" t="inlineStr">
        <is>
          <t>STRÖMSUND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46033</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22527-2021</t>
        </is>
      </c>
      <c r="B379" s="1" t="n">
        <v>44326</v>
      </c>
      <c r="C379" s="1" t="n">
        <v>46033</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46033</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46033</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72957-2021</t>
        </is>
      </c>
      <c r="B382" s="1" t="n">
        <v>44547.94171296297</v>
      </c>
      <c r="C382" s="1" t="n">
        <v>46033</v>
      </c>
      <c r="D382" t="inlineStr">
        <is>
          <t>JÄMTLANDS LÄN</t>
        </is>
      </c>
      <c r="E382" t="inlineStr">
        <is>
          <t>STRÖMSUND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46033</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46033</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57560-2021</t>
        </is>
      </c>
      <c r="B385" s="1" t="n">
        <v>44483</v>
      </c>
      <c r="C385" s="1" t="n">
        <v>46033</v>
      </c>
      <c r="D385" t="inlineStr">
        <is>
          <t>JÄMTLANDS LÄN</t>
        </is>
      </c>
      <c r="E385" t="inlineStr">
        <is>
          <t>STRÖMSUND</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46033</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4662-2021</t>
        </is>
      </c>
      <c r="B387" s="1" t="n">
        <v>44224</v>
      </c>
      <c r="C387" s="1" t="n">
        <v>46033</v>
      </c>
      <c r="D387" t="inlineStr">
        <is>
          <t>JÄMTLANDS LÄN</t>
        </is>
      </c>
      <c r="E387" t="inlineStr">
        <is>
          <t>STRÖMSUND</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46033</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16359-2022</t>
        </is>
      </c>
      <c r="B389" s="1" t="n">
        <v>44670.9254050926</v>
      </c>
      <c r="C389" s="1" t="n">
        <v>46033</v>
      </c>
      <c r="D389" t="inlineStr">
        <is>
          <t>JÄMTLANDS LÄN</t>
        </is>
      </c>
      <c r="E389" t="inlineStr">
        <is>
          <t>STRÖMSUND</t>
        </is>
      </c>
      <c r="G389" t="n">
        <v>0.2</v>
      </c>
      <c r="H389" t="n">
        <v>0</v>
      </c>
      <c r="I389" t="n">
        <v>0</v>
      </c>
      <c r="J389" t="n">
        <v>0</v>
      </c>
      <c r="K389" t="n">
        <v>0</v>
      </c>
      <c r="L389" t="n">
        <v>0</v>
      </c>
      <c r="M389" t="n">
        <v>0</v>
      </c>
      <c r="N389" t="n">
        <v>0</v>
      </c>
      <c r="O389" t="n">
        <v>0</v>
      </c>
      <c r="P389" t="n">
        <v>0</v>
      </c>
      <c r="Q389" t="n">
        <v>0</v>
      </c>
      <c r="R389" s="2" t="inlineStr"/>
    </row>
    <row r="390" ht="15" customHeight="1">
      <c r="A390" t="inlineStr">
        <is>
          <t>A 41822-2022</t>
        </is>
      </c>
      <c r="B390" s="1" t="n">
        <v>44827.94597222222</v>
      </c>
      <c r="C390" s="1" t="n">
        <v>46033</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13041-2021</t>
        </is>
      </c>
      <c r="B391" s="1" t="n">
        <v>44271</v>
      </c>
      <c r="C391" s="1" t="n">
        <v>46033</v>
      </c>
      <c r="D391" t="inlineStr">
        <is>
          <t>JÄMTLANDS LÄN</t>
        </is>
      </c>
      <c r="E391" t="inlineStr">
        <is>
          <t>STRÖMSUND</t>
        </is>
      </c>
      <c r="G391" t="n">
        <v>0.7</v>
      </c>
      <c r="H391" t="n">
        <v>0</v>
      </c>
      <c r="I391" t="n">
        <v>0</v>
      </c>
      <c r="J391" t="n">
        <v>0</v>
      </c>
      <c r="K391" t="n">
        <v>0</v>
      </c>
      <c r="L391" t="n">
        <v>0</v>
      </c>
      <c r="M391" t="n">
        <v>0</v>
      </c>
      <c r="N391" t="n">
        <v>0</v>
      </c>
      <c r="O391" t="n">
        <v>0</v>
      </c>
      <c r="P391" t="n">
        <v>0</v>
      </c>
      <c r="Q391" t="n">
        <v>0</v>
      </c>
      <c r="R391" s="2" t="inlineStr"/>
    </row>
    <row r="392" ht="15" customHeight="1">
      <c r="A392" t="inlineStr">
        <is>
          <t>A 45626-2021</t>
        </is>
      </c>
      <c r="B392" s="1" t="n">
        <v>44440.98006944444</v>
      </c>
      <c r="C392" s="1" t="n">
        <v>46033</v>
      </c>
      <c r="D392" t="inlineStr">
        <is>
          <t>JÄMTLANDS LÄN</t>
        </is>
      </c>
      <c r="E392" t="inlineStr">
        <is>
          <t>STRÖMSUND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45627-2021</t>
        </is>
      </c>
      <c r="B393" s="1" t="n">
        <v>44440.98012731481</v>
      </c>
      <c r="C393" s="1" t="n">
        <v>46033</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35352-2021</t>
        </is>
      </c>
      <c r="B394" s="1" t="n">
        <v>44384</v>
      </c>
      <c r="C394" s="1" t="n">
        <v>46033</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46033</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50661-2022</t>
        </is>
      </c>
      <c r="B396" s="1" t="n">
        <v>44866.95263888889</v>
      </c>
      <c r="C396" s="1" t="n">
        <v>46033</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43752-2021</t>
        </is>
      </c>
      <c r="B397" s="1" t="n">
        <v>44433.66100694444</v>
      </c>
      <c r="C397" s="1" t="n">
        <v>46033</v>
      </c>
      <c r="D397" t="inlineStr">
        <is>
          <t>JÄMTLANDS LÄN</t>
        </is>
      </c>
      <c r="E397" t="inlineStr">
        <is>
          <t>STRÖMSUND</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43754-2021</t>
        </is>
      </c>
      <c r="B398" s="1" t="n">
        <v>44433.66350694445</v>
      </c>
      <c r="C398" s="1" t="n">
        <v>46033</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46033</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47261-2021</t>
        </is>
      </c>
      <c r="B400" s="1" t="n">
        <v>44447</v>
      </c>
      <c r="C400" s="1" t="n">
        <v>46033</v>
      </c>
      <c r="D400" t="inlineStr">
        <is>
          <t>JÄMTLANDS LÄN</t>
        </is>
      </c>
      <c r="E400" t="inlineStr">
        <is>
          <t>STRÖMSUND</t>
        </is>
      </c>
      <c r="G400" t="n">
        <v>2.2</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46033</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35914-2021</t>
        </is>
      </c>
      <c r="B402" s="1" t="n">
        <v>44387.93270833333</v>
      </c>
      <c r="C402" s="1" t="n">
        <v>46033</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26104-2021</t>
        </is>
      </c>
      <c r="B403" s="1" t="n">
        <v>44344</v>
      </c>
      <c r="C403" s="1" t="n">
        <v>46033</v>
      </c>
      <c r="D403" t="inlineStr">
        <is>
          <t>JÄMTLANDS LÄN</t>
        </is>
      </c>
      <c r="E403" t="inlineStr">
        <is>
          <t>STRÖMSUND</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46033</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46033</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64291-2021</t>
        </is>
      </c>
      <c r="B406" s="1" t="n">
        <v>44510</v>
      </c>
      <c r="C406" s="1" t="n">
        <v>46033</v>
      </c>
      <c r="D406" t="inlineStr">
        <is>
          <t>JÄMTLANDS LÄN</t>
        </is>
      </c>
      <c r="E406" t="inlineStr">
        <is>
          <t>STRÖMSUND</t>
        </is>
      </c>
      <c r="G406" t="n">
        <v>3.2</v>
      </c>
      <c r="H406" t="n">
        <v>0</v>
      </c>
      <c r="I406" t="n">
        <v>0</v>
      </c>
      <c r="J406" t="n">
        <v>0</v>
      </c>
      <c r="K406" t="n">
        <v>0</v>
      </c>
      <c r="L406" t="n">
        <v>0</v>
      </c>
      <c r="M406" t="n">
        <v>0</v>
      </c>
      <c r="N406" t="n">
        <v>0</v>
      </c>
      <c r="O406" t="n">
        <v>0</v>
      </c>
      <c r="P406" t="n">
        <v>0</v>
      </c>
      <c r="Q406" t="n">
        <v>0</v>
      </c>
      <c r="R406" s="2" t="inlineStr"/>
    </row>
    <row r="407" ht="15" customHeight="1">
      <c r="A407" t="inlineStr">
        <is>
          <t>A 23501-2021</t>
        </is>
      </c>
      <c r="B407" s="1" t="n">
        <v>44333</v>
      </c>
      <c r="C407" s="1" t="n">
        <v>46033</v>
      </c>
      <c r="D407" t="inlineStr">
        <is>
          <t>JÄMTLANDS LÄN</t>
        </is>
      </c>
      <c r="E407" t="inlineStr">
        <is>
          <t>STRÖMSUND</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46033</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29296-2022</t>
        </is>
      </c>
      <c r="B409" s="1" t="n">
        <v>44750.94336805555</v>
      </c>
      <c r="C409" s="1" t="n">
        <v>46033</v>
      </c>
      <c r="D409" t="inlineStr">
        <is>
          <t>JÄMTLANDS LÄN</t>
        </is>
      </c>
      <c r="E409" t="inlineStr">
        <is>
          <t>STRÖMSUND</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48547-2022</t>
        </is>
      </c>
      <c r="B410" s="1" t="n">
        <v>44858</v>
      </c>
      <c r="C410" s="1" t="n">
        <v>46033</v>
      </c>
      <c r="D410" t="inlineStr">
        <is>
          <t>JÄMTLANDS LÄN</t>
        </is>
      </c>
      <c r="E410" t="inlineStr">
        <is>
          <t>STRÖMSUND</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31485-2022</t>
        </is>
      </c>
      <c r="B411" s="1" t="n">
        <v>44774.94420138889</v>
      </c>
      <c r="C411" s="1" t="n">
        <v>46033</v>
      </c>
      <c r="D411" t="inlineStr">
        <is>
          <t>JÄMTLANDS LÄN</t>
        </is>
      </c>
      <c r="E411" t="inlineStr">
        <is>
          <t>STRÖMSUND</t>
        </is>
      </c>
      <c r="F411" t="inlineStr">
        <is>
          <t>SCA</t>
        </is>
      </c>
      <c r="G411" t="n">
        <v>13.1</v>
      </c>
      <c r="H411" t="n">
        <v>0</v>
      </c>
      <c r="I411" t="n">
        <v>0</v>
      </c>
      <c r="J411" t="n">
        <v>0</v>
      </c>
      <c r="K411" t="n">
        <v>0</v>
      </c>
      <c r="L411" t="n">
        <v>0</v>
      </c>
      <c r="M411" t="n">
        <v>0</v>
      </c>
      <c r="N411" t="n">
        <v>0</v>
      </c>
      <c r="O411" t="n">
        <v>0</v>
      </c>
      <c r="P411" t="n">
        <v>0</v>
      </c>
      <c r="Q411" t="n">
        <v>0</v>
      </c>
      <c r="R411" s="2" t="inlineStr"/>
    </row>
    <row r="412" ht="15" customHeight="1">
      <c r="A412" t="inlineStr">
        <is>
          <t>A 22318-2021</t>
        </is>
      </c>
      <c r="B412" s="1" t="n">
        <v>44321</v>
      </c>
      <c r="C412" s="1" t="n">
        <v>46033</v>
      </c>
      <c r="D412" t="inlineStr">
        <is>
          <t>JÄMTLANDS LÄN</t>
        </is>
      </c>
      <c r="E412" t="inlineStr">
        <is>
          <t>STRÖMSUND</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34005-2022</t>
        </is>
      </c>
      <c r="B413" s="1" t="n">
        <v>44790.94476851852</v>
      </c>
      <c r="C413" s="1" t="n">
        <v>46033</v>
      </c>
      <c r="D413" t="inlineStr">
        <is>
          <t>JÄMTLANDS LÄN</t>
        </is>
      </c>
      <c r="E413" t="inlineStr">
        <is>
          <t>STRÖMSUND</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27233-2021</t>
        </is>
      </c>
      <c r="B414" s="1" t="n">
        <v>44350</v>
      </c>
      <c r="C414" s="1" t="n">
        <v>46033</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61612-2021</t>
        </is>
      </c>
      <c r="B415" s="1" t="n">
        <v>44498</v>
      </c>
      <c r="C415" s="1" t="n">
        <v>46033</v>
      </c>
      <c r="D415" t="inlineStr">
        <is>
          <t>JÄMTLANDS LÄN</t>
        </is>
      </c>
      <c r="E415" t="inlineStr">
        <is>
          <t>STRÖMSUND</t>
        </is>
      </c>
      <c r="G415" t="n">
        <v>1.9</v>
      </c>
      <c r="H415" t="n">
        <v>0</v>
      </c>
      <c r="I415" t="n">
        <v>0</v>
      </c>
      <c r="J415" t="n">
        <v>0</v>
      </c>
      <c r="K415" t="n">
        <v>0</v>
      </c>
      <c r="L415" t="n">
        <v>0</v>
      </c>
      <c r="M415" t="n">
        <v>0</v>
      </c>
      <c r="N415" t="n">
        <v>0</v>
      </c>
      <c r="O415" t="n">
        <v>0</v>
      </c>
      <c r="P415" t="n">
        <v>0</v>
      </c>
      <c r="Q415" t="n">
        <v>0</v>
      </c>
      <c r="R415" s="2" t="inlineStr"/>
    </row>
    <row r="416" ht="15" customHeight="1">
      <c r="A416" t="inlineStr">
        <is>
          <t>A 58973-2021</t>
        </is>
      </c>
      <c r="B416" s="1" t="n">
        <v>44489</v>
      </c>
      <c r="C416" s="1" t="n">
        <v>46033</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35240-2022</t>
        </is>
      </c>
      <c r="B417" s="1" t="n">
        <v>44797</v>
      </c>
      <c r="C417" s="1" t="n">
        <v>46033</v>
      </c>
      <c r="D417" t="inlineStr">
        <is>
          <t>JÄMTLANDS LÄN</t>
        </is>
      </c>
      <c r="E417" t="inlineStr">
        <is>
          <t>STRÖMSUND</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46033</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46033</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28734-2022</t>
        </is>
      </c>
      <c r="B420" s="1" t="n">
        <v>44748</v>
      </c>
      <c r="C420" s="1" t="n">
        <v>46033</v>
      </c>
      <c r="D420" t="inlineStr">
        <is>
          <t>JÄMTLANDS LÄN</t>
        </is>
      </c>
      <c r="E420" t="inlineStr">
        <is>
          <t>STRÖMSUND</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59139-2021</t>
        </is>
      </c>
      <c r="B421" s="1" t="n">
        <v>44490</v>
      </c>
      <c r="C421" s="1" t="n">
        <v>46033</v>
      </c>
      <c r="D421" t="inlineStr">
        <is>
          <t>JÄMTLANDS LÄN</t>
        </is>
      </c>
      <c r="E421" t="inlineStr">
        <is>
          <t>STRÖMSUND</t>
        </is>
      </c>
      <c r="G421" t="n">
        <v>3.7</v>
      </c>
      <c r="H421" t="n">
        <v>0</v>
      </c>
      <c r="I421" t="n">
        <v>0</v>
      </c>
      <c r="J421" t="n">
        <v>0</v>
      </c>
      <c r="K421" t="n">
        <v>0</v>
      </c>
      <c r="L421" t="n">
        <v>0</v>
      </c>
      <c r="M421" t="n">
        <v>0</v>
      </c>
      <c r="N421" t="n">
        <v>0</v>
      </c>
      <c r="O421" t="n">
        <v>0</v>
      </c>
      <c r="P421" t="n">
        <v>0</v>
      </c>
      <c r="Q421" t="n">
        <v>0</v>
      </c>
      <c r="R421" s="2" t="inlineStr"/>
    </row>
    <row r="422" ht="15" customHeight="1">
      <c r="A422" t="inlineStr">
        <is>
          <t>A 44641-2022</t>
        </is>
      </c>
      <c r="B422" s="1" t="n">
        <v>44839</v>
      </c>
      <c r="C422" s="1" t="n">
        <v>46033</v>
      </c>
      <c r="D422" t="inlineStr">
        <is>
          <t>JÄMTLANDS LÄN</t>
        </is>
      </c>
      <c r="E422" t="inlineStr">
        <is>
          <t>STRÖMSUND</t>
        </is>
      </c>
      <c r="F422" t="inlineStr">
        <is>
          <t>Kommuner</t>
        </is>
      </c>
      <c r="G422" t="n">
        <v>2</v>
      </c>
      <c r="H422" t="n">
        <v>0</v>
      </c>
      <c r="I422" t="n">
        <v>0</v>
      </c>
      <c r="J422" t="n">
        <v>0</v>
      </c>
      <c r="K422" t="n">
        <v>0</v>
      </c>
      <c r="L422" t="n">
        <v>0</v>
      </c>
      <c r="M422" t="n">
        <v>0</v>
      </c>
      <c r="N422" t="n">
        <v>0</v>
      </c>
      <c r="O422" t="n">
        <v>0</v>
      </c>
      <c r="P422" t="n">
        <v>0</v>
      </c>
      <c r="Q422" t="n">
        <v>0</v>
      </c>
      <c r="R422" s="2" t="inlineStr"/>
    </row>
    <row r="423" ht="15" customHeight="1">
      <c r="A423" t="inlineStr">
        <is>
          <t>A 47607-2021</t>
        </is>
      </c>
      <c r="B423" s="1" t="n">
        <v>44447</v>
      </c>
      <c r="C423" s="1" t="n">
        <v>46033</v>
      </c>
      <c r="D423" t="inlineStr">
        <is>
          <t>JÄMTLANDS LÄN</t>
        </is>
      </c>
      <c r="E423" t="inlineStr">
        <is>
          <t>STRÖMSUND</t>
        </is>
      </c>
      <c r="G423" t="n">
        <v>2.8</v>
      </c>
      <c r="H423" t="n">
        <v>0</v>
      </c>
      <c r="I423" t="n">
        <v>0</v>
      </c>
      <c r="J423" t="n">
        <v>0</v>
      </c>
      <c r="K423" t="n">
        <v>0</v>
      </c>
      <c r="L423" t="n">
        <v>0</v>
      </c>
      <c r="M423" t="n">
        <v>0</v>
      </c>
      <c r="N423" t="n">
        <v>0</v>
      </c>
      <c r="O423" t="n">
        <v>0</v>
      </c>
      <c r="P423" t="n">
        <v>0</v>
      </c>
      <c r="Q423" t="n">
        <v>0</v>
      </c>
      <c r="R423" s="2" t="inlineStr"/>
    </row>
    <row r="424" ht="15" customHeight="1">
      <c r="A424" t="inlineStr">
        <is>
          <t>A 14281-2022</t>
        </is>
      </c>
      <c r="B424" s="1" t="n">
        <v>44651</v>
      </c>
      <c r="C424" s="1" t="n">
        <v>46033</v>
      </c>
      <c r="D424" t="inlineStr">
        <is>
          <t>JÄMTLANDS LÄN</t>
        </is>
      </c>
      <c r="E424" t="inlineStr">
        <is>
          <t>STRÖMSUND</t>
        </is>
      </c>
      <c r="G424" t="n">
        <v>2.9</v>
      </c>
      <c r="H424" t="n">
        <v>0</v>
      </c>
      <c r="I424" t="n">
        <v>0</v>
      </c>
      <c r="J424" t="n">
        <v>0</v>
      </c>
      <c r="K424" t="n">
        <v>0</v>
      </c>
      <c r="L424" t="n">
        <v>0</v>
      </c>
      <c r="M424" t="n">
        <v>0</v>
      </c>
      <c r="N424" t="n">
        <v>0</v>
      </c>
      <c r="O424" t="n">
        <v>0</v>
      </c>
      <c r="P424" t="n">
        <v>0</v>
      </c>
      <c r="Q424" t="n">
        <v>0</v>
      </c>
      <c r="R424" s="2" t="inlineStr"/>
    </row>
    <row r="425" ht="15" customHeight="1">
      <c r="A425" t="inlineStr">
        <is>
          <t>A 2432-2021</t>
        </is>
      </c>
      <c r="B425" s="1" t="n">
        <v>44211</v>
      </c>
      <c r="C425" s="1" t="n">
        <v>46033</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31501-2022</t>
        </is>
      </c>
      <c r="B426" s="1" t="n">
        <v>44774.94633101852</v>
      </c>
      <c r="C426" s="1" t="n">
        <v>46033</v>
      </c>
      <c r="D426" t="inlineStr">
        <is>
          <t>JÄMTLANDS LÄN</t>
        </is>
      </c>
      <c r="E426" t="inlineStr">
        <is>
          <t>STRÖMSUND</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31506-2022</t>
        </is>
      </c>
      <c r="B427" s="1" t="n">
        <v>44774</v>
      </c>
      <c r="C427" s="1" t="n">
        <v>46033</v>
      </c>
      <c r="D427" t="inlineStr">
        <is>
          <t>JÄMTLANDS LÄN</t>
        </is>
      </c>
      <c r="E427" t="inlineStr">
        <is>
          <t>STRÖMSUND</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42549-2021</t>
        </is>
      </c>
      <c r="B428" s="1" t="n">
        <v>44427</v>
      </c>
      <c r="C428" s="1" t="n">
        <v>46033</v>
      </c>
      <c r="D428" t="inlineStr">
        <is>
          <t>JÄMTLANDS LÄN</t>
        </is>
      </c>
      <c r="E428" t="inlineStr">
        <is>
          <t>STRÖMSUND</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49929-2021</t>
        </is>
      </c>
      <c r="B429" s="1" t="n">
        <v>44455.92151620371</v>
      </c>
      <c r="C429" s="1" t="n">
        <v>46033</v>
      </c>
      <c r="D429" t="inlineStr">
        <is>
          <t>JÄMTLANDS LÄN</t>
        </is>
      </c>
      <c r="E429" t="inlineStr">
        <is>
          <t>STRÖMSUND</t>
        </is>
      </c>
      <c r="G429" t="n">
        <v>6.2</v>
      </c>
      <c r="H429" t="n">
        <v>0</v>
      </c>
      <c r="I429" t="n">
        <v>0</v>
      </c>
      <c r="J429" t="n">
        <v>0</v>
      </c>
      <c r="K429" t="n">
        <v>0</v>
      </c>
      <c r="L429" t="n">
        <v>0</v>
      </c>
      <c r="M429" t="n">
        <v>0</v>
      </c>
      <c r="N429" t="n">
        <v>0</v>
      </c>
      <c r="O429" t="n">
        <v>0</v>
      </c>
      <c r="P429" t="n">
        <v>0</v>
      </c>
      <c r="Q429" t="n">
        <v>0</v>
      </c>
      <c r="R429" s="2" t="inlineStr"/>
    </row>
    <row r="430" ht="15" customHeight="1">
      <c r="A430" t="inlineStr">
        <is>
          <t>A 43790-2022</t>
        </is>
      </c>
      <c r="B430" s="1" t="n">
        <v>44837</v>
      </c>
      <c r="C430" s="1" t="n">
        <v>46033</v>
      </c>
      <c r="D430" t="inlineStr">
        <is>
          <t>JÄMTLANDS LÄN</t>
        </is>
      </c>
      <c r="E430" t="inlineStr">
        <is>
          <t>STRÖMSUND</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36382-2022</t>
        </is>
      </c>
      <c r="B431" s="1" t="n">
        <v>44803</v>
      </c>
      <c r="C431" s="1" t="n">
        <v>46033</v>
      </c>
      <c r="D431" t="inlineStr">
        <is>
          <t>JÄMTLANDS LÄN</t>
        </is>
      </c>
      <c r="E431" t="inlineStr">
        <is>
          <t>STRÖMSUND</t>
        </is>
      </c>
      <c r="F431" t="inlineStr">
        <is>
          <t>SCA</t>
        </is>
      </c>
      <c r="G431" t="n">
        <v>12.6</v>
      </c>
      <c r="H431" t="n">
        <v>0</v>
      </c>
      <c r="I431" t="n">
        <v>0</v>
      </c>
      <c r="J431" t="n">
        <v>0</v>
      </c>
      <c r="K431" t="n">
        <v>0</v>
      </c>
      <c r="L431" t="n">
        <v>0</v>
      </c>
      <c r="M431" t="n">
        <v>0</v>
      </c>
      <c r="N431" t="n">
        <v>0</v>
      </c>
      <c r="O431" t="n">
        <v>0</v>
      </c>
      <c r="P431" t="n">
        <v>0</v>
      </c>
      <c r="Q431" t="n">
        <v>0</v>
      </c>
      <c r="R431" s="2" t="inlineStr"/>
    </row>
    <row r="432" ht="15" customHeight="1">
      <c r="A432" t="inlineStr">
        <is>
          <t>A 36383-2022</t>
        </is>
      </c>
      <c r="B432" s="1" t="n">
        <v>44803.94400462963</v>
      </c>
      <c r="C432" s="1" t="n">
        <v>46033</v>
      </c>
      <c r="D432" t="inlineStr">
        <is>
          <t>JÄMTLANDS LÄN</t>
        </is>
      </c>
      <c r="E432" t="inlineStr">
        <is>
          <t>STRÖMSUND</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46033</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46033</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46033</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41639-2021</t>
        </is>
      </c>
      <c r="B436" s="1" t="n">
        <v>44425</v>
      </c>
      <c r="C436" s="1" t="n">
        <v>46033</v>
      </c>
      <c r="D436" t="inlineStr">
        <is>
          <t>JÄMTLANDS LÄN</t>
        </is>
      </c>
      <c r="E436" t="inlineStr">
        <is>
          <t>STRÖMSUND</t>
        </is>
      </c>
      <c r="G436" t="n">
        <v>1</v>
      </c>
      <c r="H436" t="n">
        <v>0</v>
      </c>
      <c r="I436" t="n">
        <v>0</v>
      </c>
      <c r="J436" t="n">
        <v>0</v>
      </c>
      <c r="K436" t="n">
        <v>0</v>
      </c>
      <c r="L436" t="n">
        <v>0</v>
      </c>
      <c r="M436" t="n">
        <v>0</v>
      </c>
      <c r="N436" t="n">
        <v>0</v>
      </c>
      <c r="O436" t="n">
        <v>0</v>
      </c>
      <c r="P436" t="n">
        <v>0</v>
      </c>
      <c r="Q436" t="n">
        <v>0</v>
      </c>
      <c r="R436" s="2" t="inlineStr"/>
    </row>
    <row r="437" ht="15" customHeight="1">
      <c r="A437" t="inlineStr">
        <is>
          <t>A 60939-2021</t>
        </is>
      </c>
      <c r="B437" s="1" t="n">
        <v>44496</v>
      </c>
      <c r="C437" s="1" t="n">
        <v>46033</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68424-2021</t>
        </is>
      </c>
      <c r="B438" s="1" t="n">
        <v>44529.38925925926</v>
      </c>
      <c r="C438" s="1" t="n">
        <v>46033</v>
      </c>
      <c r="D438" t="inlineStr">
        <is>
          <t>JÄMTLANDS LÄN</t>
        </is>
      </c>
      <c r="E438" t="inlineStr">
        <is>
          <t>STRÖMSUND</t>
        </is>
      </c>
      <c r="G438" t="n">
        <v>0.6</v>
      </c>
      <c r="H438" t="n">
        <v>0</v>
      </c>
      <c r="I438" t="n">
        <v>0</v>
      </c>
      <c r="J438" t="n">
        <v>0</v>
      </c>
      <c r="K438" t="n">
        <v>0</v>
      </c>
      <c r="L438" t="n">
        <v>0</v>
      </c>
      <c r="M438" t="n">
        <v>0</v>
      </c>
      <c r="N438" t="n">
        <v>0</v>
      </c>
      <c r="O438" t="n">
        <v>0</v>
      </c>
      <c r="P438" t="n">
        <v>0</v>
      </c>
      <c r="Q438" t="n">
        <v>0</v>
      </c>
      <c r="R438" s="2" t="inlineStr"/>
    </row>
    <row r="439" ht="15" customHeight="1">
      <c r="A439" t="inlineStr">
        <is>
          <t>A 33728-2022</t>
        </is>
      </c>
      <c r="B439" s="1" t="n">
        <v>44789.94667824074</v>
      </c>
      <c r="C439" s="1" t="n">
        <v>46033</v>
      </c>
      <c r="D439" t="inlineStr">
        <is>
          <t>JÄMTLANDS LÄN</t>
        </is>
      </c>
      <c r="E439" t="inlineStr">
        <is>
          <t>STRÖMSUND</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19567-2021</t>
        </is>
      </c>
      <c r="B440" s="1" t="n">
        <v>44312</v>
      </c>
      <c r="C440" s="1" t="n">
        <v>46033</v>
      </c>
      <c r="D440" t="inlineStr">
        <is>
          <t>JÄMTLANDS LÄN</t>
        </is>
      </c>
      <c r="E440" t="inlineStr">
        <is>
          <t>STRÖMSUND</t>
        </is>
      </c>
      <c r="G440" t="n">
        <v>0.5</v>
      </c>
      <c r="H440" t="n">
        <v>0</v>
      </c>
      <c r="I440" t="n">
        <v>0</v>
      </c>
      <c r="J440" t="n">
        <v>0</v>
      </c>
      <c r="K440" t="n">
        <v>0</v>
      </c>
      <c r="L440" t="n">
        <v>0</v>
      </c>
      <c r="M440" t="n">
        <v>0</v>
      </c>
      <c r="N440" t="n">
        <v>0</v>
      </c>
      <c r="O440" t="n">
        <v>0</v>
      </c>
      <c r="P440" t="n">
        <v>0</v>
      </c>
      <c r="Q440" t="n">
        <v>0</v>
      </c>
      <c r="R440" s="2" t="inlineStr"/>
    </row>
    <row r="441" ht="15" customHeight="1">
      <c r="A441" t="inlineStr">
        <is>
          <t>A 24020-2022</t>
        </is>
      </c>
      <c r="B441" s="1" t="n">
        <v>44722.94193287037</v>
      </c>
      <c r="C441" s="1" t="n">
        <v>46033</v>
      </c>
      <c r="D441" t="inlineStr">
        <is>
          <t>JÄMTLANDS LÄN</t>
        </is>
      </c>
      <c r="E441" t="inlineStr">
        <is>
          <t>STRÖMSUND</t>
        </is>
      </c>
      <c r="F441" t="inlineStr">
        <is>
          <t>SCA</t>
        </is>
      </c>
      <c r="G441" t="n">
        <v>20.2</v>
      </c>
      <c r="H441" t="n">
        <v>0</v>
      </c>
      <c r="I441" t="n">
        <v>0</v>
      </c>
      <c r="J441" t="n">
        <v>0</v>
      </c>
      <c r="K441" t="n">
        <v>0</v>
      </c>
      <c r="L441" t="n">
        <v>0</v>
      </c>
      <c r="M441" t="n">
        <v>0</v>
      </c>
      <c r="N441" t="n">
        <v>0</v>
      </c>
      <c r="O441" t="n">
        <v>0</v>
      </c>
      <c r="P441" t="n">
        <v>0</v>
      </c>
      <c r="Q441" t="n">
        <v>0</v>
      </c>
      <c r="R441" s="2" t="inlineStr"/>
    </row>
    <row r="442" ht="15" customHeight="1">
      <c r="A442" t="inlineStr">
        <is>
          <t>A 20706-2022</t>
        </is>
      </c>
      <c r="B442" s="1" t="n">
        <v>44700.94395833334</v>
      </c>
      <c r="C442" s="1" t="n">
        <v>46033</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45435-2022</t>
        </is>
      </c>
      <c r="B443" s="1" t="n">
        <v>44844.95348379629</v>
      </c>
      <c r="C443" s="1" t="n">
        <v>46033</v>
      </c>
      <c r="D443" t="inlineStr">
        <is>
          <t>JÄMTLANDS LÄN</t>
        </is>
      </c>
      <c r="E443" t="inlineStr">
        <is>
          <t>STRÖMSUND</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23498-2021</t>
        </is>
      </c>
      <c r="B444" s="1" t="n">
        <v>44333.94412037037</v>
      </c>
      <c r="C444" s="1" t="n">
        <v>46033</v>
      </c>
      <c r="D444" t="inlineStr">
        <is>
          <t>JÄMTLANDS LÄN</t>
        </is>
      </c>
      <c r="E444" t="inlineStr">
        <is>
          <t>STRÖMSUND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17857-2021</t>
        </is>
      </c>
      <c r="B445" s="1" t="n">
        <v>44300</v>
      </c>
      <c r="C445" s="1" t="n">
        <v>46033</v>
      </c>
      <c r="D445" t="inlineStr">
        <is>
          <t>JÄMTLANDS LÄN</t>
        </is>
      </c>
      <c r="E445" t="inlineStr">
        <is>
          <t>STRÖMSUND</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16774-2021</t>
        </is>
      </c>
      <c r="B446" s="1" t="n">
        <v>44294</v>
      </c>
      <c r="C446" s="1" t="n">
        <v>46033</v>
      </c>
      <c r="D446" t="inlineStr">
        <is>
          <t>JÄMTLANDS LÄN</t>
        </is>
      </c>
      <c r="E446" t="inlineStr">
        <is>
          <t>STRÖMSUND</t>
        </is>
      </c>
      <c r="G446" t="n">
        <v>10.5</v>
      </c>
      <c r="H446" t="n">
        <v>0</v>
      </c>
      <c r="I446" t="n">
        <v>0</v>
      </c>
      <c r="J446" t="n">
        <v>0</v>
      </c>
      <c r="K446" t="n">
        <v>0</v>
      </c>
      <c r="L446" t="n">
        <v>0</v>
      </c>
      <c r="M446" t="n">
        <v>0</v>
      </c>
      <c r="N446" t="n">
        <v>0</v>
      </c>
      <c r="O446" t="n">
        <v>0</v>
      </c>
      <c r="P446" t="n">
        <v>0</v>
      </c>
      <c r="Q446" t="n">
        <v>0</v>
      </c>
      <c r="R446" s="2" t="inlineStr"/>
    </row>
    <row r="447" ht="15" customHeight="1">
      <c r="A447" t="inlineStr">
        <is>
          <t>A 10322-2022</t>
        </is>
      </c>
      <c r="B447" s="1" t="n">
        <v>44622</v>
      </c>
      <c r="C447" s="1" t="n">
        <v>46033</v>
      </c>
      <c r="D447" t="inlineStr">
        <is>
          <t>JÄMTLANDS LÄN</t>
        </is>
      </c>
      <c r="E447" t="inlineStr">
        <is>
          <t>STRÖMSUND</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44448-2022</t>
        </is>
      </c>
      <c r="B448" s="1" t="n">
        <v>44839.95502314815</v>
      </c>
      <c r="C448" s="1" t="n">
        <v>46033</v>
      </c>
      <c r="D448" t="inlineStr">
        <is>
          <t>JÄMTLANDS LÄN</t>
        </is>
      </c>
      <c r="E448" t="inlineStr">
        <is>
          <t>STRÖMSUND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12762-2022</t>
        </is>
      </c>
      <c r="B449" s="1" t="n">
        <v>44641.93427083334</v>
      </c>
      <c r="C449" s="1" t="n">
        <v>46033</v>
      </c>
      <c r="D449" t="inlineStr">
        <is>
          <t>JÄMTLANDS LÄN</t>
        </is>
      </c>
      <c r="E449" t="inlineStr">
        <is>
          <t>STRÖMSUND</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23217-2022</t>
        </is>
      </c>
      <c r="B450" s="1" t="n">
        <v>44719.94307870371</v>
      </c>
      <c r="C450" s="1" t="n">
        <v>46033</v>
      </c>
      <c r="D450" t="inlineStr">
        <is>
          <t>JÄMTLANDS LÄN</t>
        </is>
      </c>
      <c r="E450" t="inlineStr">
        <is>
          <t>STRÖMSUND</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28869-2022</t>
        </is>
      </c>
      <c r="B451" s="1" t="n">
        <v>44749</v>
      </c>
      <c r="C451" s="1" t="n">
        <v>46033</v>
      </c>
      <c r="D451" t="inlineStr">
        <is>
          <t>JÄMTLANDS LÄN</t>
        </is>
      </c>
      <c r="E451" t="inlineStr">
        <is>
          <t>STRÖMSUND</t>
        </is>
      </c>
      <c r="G451" t="n">
        <v>0.9</v>
      </c>
      <c r="H451" t="n">
        <v>0</v>
      </c>
      <c r="I451" t="n">
        <v>0</v>
      </c>
      <c r="J451" t="n">
        <v>0</v>
      </c>
      <c r="K451" t="n">
        <v>0</v>
      </c>
      <c r="L451" t="n">
        <v>0</v>
      </c>
      <c r="M451" t="n">
        <v>0</v>
      </c>
      <c r="N451" t="n">
        <v>0</v>
      </c>
      <c r="O451" t="n">
        <v>0</v>
      </c>
      <c r="P451" t="n">
        <v>0</v>
      </c>
      <c r="Q451" t="n">
        <v>0</v>
      </c>
      <c r="R451" s="2" t="inlineStr"/>
    </row>
    <row r="452" ht="15" customHeight="1">
      <c r="A452" t="inlineStr">
        <is>
          <t>A 14289-2022</t>
        </is>
      </c>
      <c r="B452" s="1" t="n">
        <v>44651</v>
      </c>
      <c r="C452" s="1" t="n">
        <v>46033</v>
      </c>
      <c r="D452" t="inlineStr">
        <is>
          <t>JÄMTLANDS LÄN</t>
        </is>
      </c>
      <c r="E452" t="inlineStr">
        <is>
          <t>STRÖMSUND</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52344-2022</t>
        </is>
      </c>
      <c r="B453" s="1" t="n">
        <v>44873</v>
      </c>
      <c r="C453" s="1" t="n">
        <v>46033</v>
      </c>
      <c r="D453" t="inlineStr">
        <is>
          <t>JÄMTLANDS LÄN</t>
        </is>
      </c>
      <c r="E453" t="inlineStr">
        <is>
          <t>STRÖMSUND</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24023-2022</t>
        </is>
      </c>
      <c r="B454" s="1" t="n">
        <v>44722.9420949074</v>
      </c>
      <c r="C454" s="1" t="n">
        <v>46033</v>
      </c>
      <c r="D454" t="inlineStr">
        <is>
          <t>JÄMTLANDS LÄN</t>
        </is>
      </c>
      <c r="E454" t="inlineStr">
        <is>
          <t>STRÖMSUND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3875-2022</t>
        </is>
      </c>
      <c r="B455" s="1" t="n">
        <v>44587.45596064815</v>
      </c>
      <c r="C455" s="1" t="n">
        <v>46033</v>
      </c>
      <c r="D455" t="inlineStr">
        <is>
          <t>JÄMTLANDS LÄN</t>
        </is>
      </c>
      <c r="E455" t="inlineStr">
        <is>
          <t>STRÖMSUND</t>
        </is>
      </c>
      <c r="G455" t="n">
        <v>1.8</v>
      </c>
      <c r="H455" t="n">
        <v>0</v>
      </c>
      <c r="I455" t="n">
        <v>0</v>
      </c>
      <c r="J455" t="n">
        <v>0</v>
      </c>
      <c r="K455" t="n">
        <v>0</v>
      </c>
      <c r="L455" t="n">
        <v>0</v>
      </c>
      <c r="M455" t="n">
        <v>0</v>
      </c>
      <c r="N455" t="n">
        <v>0</v>
      </c>
      <c r="O455" t="n">
        <v>0</v>
      </c>
      <c r="P455" t="n">
        <v>0</v>
      </c>
      <c r="Q455" t="n">
        <v>0</v>
      </c>
      <c r="R455" s="2" t="inlineStr"/>
    </row>
    <row r="456" ht="15" customHeight="1">
      <c r="A456" t="inlineStr">
        <is>
          <t>A 36372-2022</t>
        </is>
      </c>
      <c r="B456" s="1" t="n">
        <v>44803.9416087963</v>
      </c>
      <c r="C456" s="1" t="n">
        <v>46033</v>
      </c>
      <c r="D456" t="inlineStr">
        <is>
          <t>JÄMTLANDS LÄN</t>
        </is>
      </c>
      <c r="E456" t="inlineStr">
        <is>
          <t>STRÖMSUND</t>
        </is>
      </c>
      <c r="F456" t="inlineStr">
        <is>
          <t>SCA</t>
        </is>
      </c>
      <c r="G456" t="n">
        <v>8.4</v>
      </c>
      <c r="H456" t="n">
        <v>0</v>
      </c>
      <c r="I456" t="n">
        <v>0</v>
      </c>
      <c r="J456" t="n">
        <v>0</v>
      </c>
      <c r="K456" t="n">
        <v>0</v>
      </c>
      <c r="L456" t="n">
        <v>0</v>
      </c>
      <c r="M456" t="n">
        <v>0</v>
      </c>
      <c r="N456" t="n">
        <v>0</v>
      </c>
      <c r="O456" t="n">
        <v>0</v>
      </c>
      <c r="P456" t="n">
        <v>0</v>
      </c>
      <c r="Q456" t="n">
        <v>0</v>
      </c>
      <c r="R456" s="2" t="inlineStr"/>
    </row>
    <row r="457" ht="15" customHeight="1">
      <c r="A457" t="inlineStr">
        <is>
          <t>A 3719-2022</t>
        </is>
      </c>
      <c r="B457" s="1" t="n">
        <v>44586</v>
      </c>
      <c r="C457" s="1" t="n">
        <v>46033</v>
      </c>
      <c r="D457" t="inlineStr">
        <is>
          <t>JÄMTLANDS LÄN</t>
        </is>
      </c>
      <c r="E457" t="inlineStr">
        <is>
          <t>STRÖMSUND</t>
        </is>
      </c>
      <c r="G457" t="n">
        <v>1.1</v>
      </c>
      <c r="H457" t="n">
        <v>0</v>
      </c>
      <c r="I457" t="n">
        <v>0</v>
      </c>
      <c r="J457" t="n">
        <v>0</v>
      </c>
      <c r="K457" t="n">
        <v>0</v>
      </c>
      <c r="L457" t="n">
        <v>0</v>
      </c>
      <c r="M457" t="n">
        <v>0</v>
      </c>
      <c r="N457" t="n">
        <v>0</v>
      </c>
      <c r="O457" t="n">
        <v>0</v>
      </c>
      <c r="P457" t="n">
        <v>0</v>
      </c>
      <c r="Q457" t="n">
        <v>0</v>
      </c>
      <c r="R457" s="2" t="inlineStr"/>
    </row>
    <row r="458" ht="15" customHeight="1">
      <c r="A458" t="inlineStr">
        <is>
          <t>A 42806-2022</t>
        </is>
      </c>
      <c r="B458" s="1" t="n">
        <v>44832</v>
      </c>
      <c r="C458" s="1" t="n">
        <v>46033</v>
      </c>
      <c r="D458" t="inlineStr">
        <is>
          <t>JÄMTLANDS LÄN</t>
        </is>
      </c>
      <c r="E458" t="inlineStr">
        <is>
          <t>STRÖMSUND</t>
        </is>
      </c>
      <c r="G458" t="n">
        <v>4.9</v>
      </c>
      <c r="H458" t="n">
        <v>0</v>
      </c>
      <c r="I458" t="n">
        <v>0</v>
      </c>
      <c r="J458" t="n">
        <v>0</v>
      </c>
      <c r="K458" t="n">
        <v>0</v>
      </c>
      <c r="L458" t="n">
        <v>0</v>
      </c>
      <c r="M458" t="n">
        <v>0</v>
      </c>
      <c r="N458" t="n">
        <v>0</v>
      </c>
      <c r="O458" t="n">
        <v>0</v>
      </c>
      <c r="P458" t="n">
        <v>0</v>
      </c>
      <c r="Q458" t="n">
        <v>0</v>
      </c>
      <c r="R458" s="2" t="inlineStr"/>
    </row>
    <row r="459" ht="15" customHeight="1">
      <c r="A459" t="inlineStr">
        <is>
          <t>A 32533-2021</t>
        </is>
      </c>
      <c r="B459" s="1" t="n">
        <v>44374.93210648148</v>
      </c>
      <c r="C459" s="1" t="n">
        <v>46033</v>
      </c>
      <c r="D459" t="inlineStr">
        <is>
          <t>JÄMTLANDS LÄN</t>
        </is>
      </c>
      <c r="E459" t="inlineStr">
        <is>
          <t>STRÖMSUND</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32539-2021</t>
        </is>
      </c>
      <c r="B460" s="1" t="n">
        <v>44374.93653935185</v>
      </c>
      <c r="C460" s="1" t="n">
        <v>46033</v>
      </c>
      <c r="D460" t="inlineStr">
        <is>
          <t>JÄMTLANDS LÄN</t>
        </is>
      </c>
      <c r="E460" t="inlineStr">
        <is>
          <t>STRÖMSUND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48894-2022</t>
        </is>
      </c>
      <c r="B461" s="1" t="n">
        <v>44859.953125</v>
      </c>
      <c r="C461" s="1" t="n">
        <v>46033</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48933-2022</t>
        </is>
      </c>
      <c r="B462" s="1" t="n">
        <v>44859.95666666667</v>
      </c>
      <c r="C462" s="1" t="n">
        <v>46033</v>
      </c>
      <c r="D462" t="inlineStr">
        <is>
          <t>JÄMTLANDS LÄN</t>
        </is>
      </c>
      <c r="E462" t="inlineStr">
        <is>
          <t>STRÖMSUND</t>
        </is>
      </c>
      <c r="F462" t="inlineStr">
        <is>
          <t>SCA</t>
        </is>
      </c>
      <c r="G462" t="n">
        <v>10.8</v>
      </c>
      <c r="H462" t="n">
        <v>0</v>
      </c>
      <c r="I462" t="n">
        <v>0</v>
      </c>
      <c r="J462" t="n">
        <v>0</v>
      </c>
      <c r="K462" t="n">
        <v>0</v>
      </c>
      <c r="L462" t="n">
        <v>0</v>
      </c>
      <c r="M462" t="n">
        <v>0</v>
      </c>
      <c r="N462" t="n">
        <v>0</v>
      </c>
      <c r="O462" t="n">
        <v>0</v>
      </c>
      <c r="P462" t="n">
        <v>0</v>
      </c>
      <c r="Q462" t="n">
        <v>0</v>
      </c>
      <c r="R462" s="2" t="inlineStr"/>
    </row>
    <row r="463" ht="15" customHeight="1">
      <c r="A463" t="inlineStr">
        <is>
          <t>A 10319-2022</t>
        </is>
      </c>
      <c r="B463" s="1" t="n">
        <v>44622.9416087963</v>
      </c>
      <c r="C463" s="1" t="n">
        <v>46033</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24303-2022</t>
        </is>
      </c>
      <c r="B464" s="1" t="n">
        <v>44725.94363425926</v>
      </c>
      <c r="C464" s="1" t="n">
        <v>46033</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33225-2021</t>
        </is>
      </c>
      <c r="B465" s="1" t="n">
        <v>44376</v>
      </c>
      <c r="C465" s="1" t="n">
        <v>46033</v>
      </c>
      <c r="D465" t="inlineStr">
        <is>
          <t>JÄMTLANDS LÄN</t>
        </is>
      </c>
      <c r="E465" t="inlineStr">
        <is>
          <t>STRÖMSUND</t>
        </is>
      </c>
      <c r="G465" t="n">
        <v>1.7</v>
      </c>
      <c r="H465" t="n">
        <v>0</v>
      </c>
      <c r="I465" t="n">
        <v>0</v>
      </c>
      <c r="J465" t="n">
        <v>0</v>
      </c>
      <c r="K465" t="n">
        <v>0</v>
      </c>
      <c r="L465" t="n">
        <v>0</v>
      </c>
      <c r="M465" t="n">
        <v>0</v>
      </c>
      <c r="N465" t="n">
        <v>0</v>
      </c>
      <c r="O465" t="n">
        <v>0</v>
      </c>
      <c r="P465" t="n">
        <v>0</v>
      </c>
      <c r="Q465" t="n">
        <v>0</v>
      </c>
      <c r="R465" s="2" t="inlineStr"/>
    </row>
    <row r="466" ht="15" customHeight="1">
      <c r="A466" t="inlineStr">
        <is>
          <t>A 50028-2021</t>
        </is>
      </c>
      <c r="B466" s="1" t="n">
        <v>44456.49083333334</v>
      </c>
      <c r="C466" s="1" t="n">
        <v>46033</v>
      </c>
      <c r="D466" t="inlineStr">
        <is>
          <t>JÄMTLANDS LÄN</t>
        </is>
      </c>
      <c r="E466" t="inlineStr">
        <is>
          <t>STRÖMSUND</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46033</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46058-2022</t>
        </is>
      </c>
      <c r="B468" s="1" t="n">
        <v>44846.95311342592</v>
      </c>
      <c r="C468" s="1" t="n">
        <v>46033</v>
      </c>
      <c r="D468" t="inlineStr">
        <is>
          <t>JÄMTLANDS LÄN</t>
        </is>
      </c>
      <c r="E468" t="inlineStr">
        <is>
          <t>STRÖMSUND</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46033</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7268-2021</t>
        </is>
      </c>
      <c r="B470" s="1" t="n">
        <v>44238</v>
      </c>
      <c r="C470" s="1" t="n">
        <v>46033</v>
      </c>
      <c r="D470" t="inlineStr">
        <is>
          <t>JÄMTLANDS LÄN</t>
        </is>
      </c>
      <c r="E470" t="inlineStr">
        <is>
          <t>STRÖMSUND</t>
        </is>
      </c>
      <c r="G470" t="n">
        <v>5.2</v>
      </c>
      <c r="H470" t="n">
        <v>0</v>
      </c>
      <c r="I470" t="n">
        <v>0</v>
      </c>
      <c r="J470" t="n">
        <v>0</v>
      </c>
      <c r="K470" t="n">
        <v>0</v>
      </c>
      <c r="L470" t="n">
        <v>0</v>
      </c>
      <c r="M470" t="n">
        <v>0</v>
      </c>
      <c r="N470" t="n">
        <v>0</v>
      </c>
      <c r="O470" t="n">
        <v>0</v>
      </c>
      <c r="P470" t="n">
        <v>0</v>
      </c>
      <c r="Q470" t="n">
        <v>0</v>
      </c>
      <c r="R470" s="2" t="inlineStr"/>
    </row>
    <row r="471" ht="15" customHeight="1">
      <c r="A471" t="inlineStr">
        <is>
          <t>A 2549-2021</t>
        </is>
      </c>
      <c r="B471" s="1" t="n">
        <v>44214</v>
      </c>
      <c r="C471" s="1" t="n">
        <v>46033</v>
      </c>
      <c r="D471" t="inlineStr">
        <is>
          <t>JÄMTLANDS LÄN</t>
        </is>
      </c>
      <c r="E471" t="inlineStr">
        <is>
          <t>STRÖMSUND</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35522-2021</t>
        </is>
      </c>
      <c r="B472" s="1" t="n">
        <v>44385.65266203704</v>
      </c>
      <c r="C472" s="1" t="n">
        <v>46033</v>
      </c>
      <c r="D472" t="inlineStr">
        <is>
          <t>JÄMTLANDS LÄN</t>
        </is>
      </c>
      <c r="E472" t="inlineStr">
        <is>
          <t>STRÖMSUND</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30031-2022</t>
        </is>
      </c>
      <c r="B473" s="1" t="n">
        <v>44756.94519675926</v>
      </c>
      <c r="C473" s="1" t="n">
        <v>46033</v>
      </c>
      <c r="D473" t="inlineStr">
        <is>
          <t>JÄMTLANDS LÄN</t>
        </is>
      </c>
      <c r="E473" t="inlineStr">
        <is>
          <t>STRÖMSUND</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34550-2022</t>
        </is>
      </c>
      <c r="B474" s="1" t="n">
        <v>44793</v>
      </c>
      <c r="C474" s="1" t="n">
        <v>46033</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72827-2021</t>
        </is>
      </c>
      <c r="B475" s="1" t="n">
        <v>44547</v>
      </c>
      <c r="C475" s="1" t="n">
        <v>46033</v>
      </c>
      <c r="D475" t="inlineStr">
        <is>
          <t>JÄMTLANDS LÄN</t>
        </is>
      </c>
      <c r="E475" t="inlineStr">
        <is>
          <t>STRÖMSUND</t>
        </is>
      </c>
      <c r="G475" t="n">
        <v>1.2</v>
      </c>
      <c r="H475" t="n">
        <v>0</v>
      </c>
      <c r="I475" t="n">
        <v>0</v>
      </c>
      <c r="J475" t="n">
        <v>0</v>
      </c>
      <c r="K475" t="n">
        <v>0</v>
      </c>
      <c r="L475" t="n">
        <v>0</v>
      </c>
      <c r="M475" t="n">
        <v>0</v>
      </c>
      <c r="N475" t="n">
        <v>0</v>
      </c>
      <c r="O475" t="n">
        <v>0</v>
      </c>
      <c r="P475" t="n">
        <v>0</v>
      </c>
      <c r="Q475" t="n">
        <v>0</v>
      </c>
      <c r="R475" s="2" t="inlineStr"/>
    </row>
    <row r="476" ht="15" customHeight="1">
      <c r="A476" t="inlineStr">
        <is>
          <t>A 17373-2021</t>
        </is>
      </c>
      <c r="B476" s="1" t="n">
        <v>44298.91964120371</v>
      </c>
      <c r="C476" s="1" t="n">
        <v>46033</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61422-2021</t>
        </is>
      </c>
      <c r="B477" s="1" t="n">
        <v>44500.93625</v>
      </c>
      <c r="C477" s="1" t="n">
        <v>46033</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61450-2021</t>
        </is>
      </c>
      <c r="B478" s="1" t="n">
        <v>44500</v>
      </c>
      <c r="C478" s="1" t="n">
        <v>46033</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42794-2021</t>
        </is>
      </c>
      <c r="B479" s="1" t="n">
        <v>44428.93994212963</v>
      </c>
      <c r="C479" s="1" t="n">
        <v>46033</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48963-2022</t>
        </is>
      </c>
      <c r="B480" s="1" t="n">
        <v>44860.31708333334</v>
      </c>
      <c r="C480" s="1" t="n">
        <v>46033</v>
      </c>
      <c r="D480" t="inlineStr">
        <is>
          <t>JÄMTLANDS LÄN</t>
        </is>
      </c>
      <c r="E480" t="inlineStr">
        <is>
          <t>STRÖMSUND</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40271-2022</t>
        </is>
      </c>
      <c r="B481" s="1" t="n">
        <v>44820.94378472222</v>
      </c>
      <c r="C481" s="1" t="n">
        <v>46033</v>
      </c>
      <c r="D481" t="inlineStr">
        <is>
          <t>JÄMTLANDS LÄN</t>
        </is>
      </c>
      <c r="E481" t="inlineStr">
        <is>
          <t>STRÖMSUND</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9379-2022</t>
        </is>
      </c>
      <c r="B482" s="1" t="n">
        <v>44616.63193287037</v>
      </c>
      <c r="C482" s="1" t="n">
        <v>46033</v>
      </c>
      <c r="D482" t="inlineStr">
        <is>
          <t>JÄMTLANDS LÄN</t>
        </is>
      </c>
      <c r="E482" t="inlineStr">
        <is>
          <t>STRÖMSUND</t>
        </is>
      </c>
      <c r="G482" t="n">
        <v>3.8</v>
      </c>
      <c r="H482" t="n">
        <v>0</v>
      </c>
      <c r="I482" t="n">
        <v>0</v>
      </c>
      <c r="J482" t="n">
        <v>0</v>
      </c>
      <c r="K482" t="n">
        <v>0</v>
      </c>
      <c r="L482" t="n">
        <v>0</v>
      </c>
      <c r="M482" t="n">
        <v>0</v>
      </c>
      <c r="N482" t="n">
        <v>0</v>
      </c>
      <c r="O482" t="n">
        <v>0</v>
      </c>
      <c r="P482" t="n">
        <v>0</v>
      </c>
      <c r="Q482" t="n">
        <v>0</v>
      </c>
      <c r="R482" s="2" t="inlineStr"/>
    </row>
    <row r="483" ht="15" customHeight="1">
      <c r="A483" t="inlineStr">
        <is>
          <t>A 47248-2022</t>
        </is>
      </c>
      <c r="B483" s="1" t="n">
        <v>44852.92776620371</v>
      </c>
      <c r="C483" s="1" t="n">
        <v>46033</v>
      </c>
      <c r="D483" t="inlineStr">
        <is>
          <t>JÄMTLANDS LÄN</t>
        </is>
      </c>
      <c r="E483" t="inlineStr">
        <is>
          <t>STRÖMSUND</t>
        </is>
      </c>
      <c r="G483" t="n">
        <v>0.9</v>
      </c>
      <c r="H483" t="n">
        <v>0</v>
      </c>
      <c r="I483" t="n">
        <v>0</v>
      </c>
      <c r="J483" t="n">
        <v>0</v>
      </c>
      <c r="K483" t="n">
        <v>0</v>
      </c>
      <c r="L483" t="n">
        <v>0</v>
      </c>
      <c r="M483" t="n">
        <v>0</v>
      </c>
      <c r="N483" t="n">
        <v>0</v>
      </c>
      <c r="O483" t="n">
        <v>0</v>
      </c>
      <c r="P483" t="n">
        <v>0</v>
      </c>
      <c r="Q483" t="n">
        <v>0</v>
      </c>
      <c r="R483" s="2" t="inlineStr"/>
    </row>
    <row r="484" ht="15" customHeight="1">
      <c r="A484" t="inlineStr">
        <is>
          <t>A 28294-2022</t>
        </is>
      </c>
      <c r="B484" s="1" t="n">
        <v>44746.94328703704</v>
      </c>
      <c r="C484" s="1" t="n">
        <v>46033</v>
      </c>
      <c r="D484" t="inlineStr">
        <is>
          <t>JÄMTLANDS LÄN</t>
        </is>
      </c>
      <c r="E484" t="inlineStr">
        <is>
          <t>STRÖMSUND</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46327-2022</t>
        </is>
      </c>
      <c r="B485" s="1" t="n">
        <v>44847.94736111111</v>
      </c>
      <c r="C485" s="1" t="n">
        <v>46033</v>
      </c>
      <c r="D485" t="inlineStr">
        <is>
          <t>JÄMTLANDS LÄN</t>
        </is>
      </c>
      <c r="E485" t="inlineStr">
        <is>
          <t>STRÖMSUND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34011-2022</t>
        </is>
      </c>
      <c r="B486" s="1" t="n">
        <v>44790</v>
      </c>
      <c r="C486" s="1" t="n">
        <v>46033</v>
      </c>
      <c r="D486" t="inlineStr">
        <is>
          <t>JÄMTLANDS LÄN</t>
        </is>
      </c>
      <c r="E486" t="inlineStr">
        <is>
          <t>STRÖMSUND</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27979-2021</t>
        </is>
      </c>
      <c r="B487" s="1" t="n">
        <v>44354</v>
      </c>
      <c r="C487" s="1" t="n">
        <v>46033</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42902-2022</t>
        </is>
      </c>
      <c r="B488" s="1" t="n">
        <v>44832</v>
      </c>
      <c r="C488" s="1" t="n">
        <v>46033</v>
      </c>
      <c r="D488" t="inlineStr">
        <is>
          <t>JÄMTLANDS LÄN</t>
        </is>
      </c>
      <c r="E488" t="inlineStr">
        <is>
          <t>STRÖMSUND</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43455-2022</t>
        </is>
      </c>
      <c r="B489" s="1" t="n">
        <v>44835.95166666667</v>
      </c>
      <c r="C489" s="1" t="n">
        <v>46033</v>
      </c>
      <c r="D489" t="inlineStr">
        <is>
          <t>JÄMTLANDS LÄN</t>
        </is>
      </c>
      <c r="E489" t="inlineStr">
        <is>
          <t>STRÖMSUND</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29628-2021</t>
        </is>
      </c>
      <c r="B490" s="1" t="n">
        <v>44361</v>
      </c>
      <c r="C490" s="1" t="n">
        <v>46033</v>
      </c>
      <c r="D490" t="inlineStr">
        <is>
          <t>JÄMTLANDS LÄN</t>
        </is>
      </c>
      <c r="E490" t="inlineStr">
        <is>
          <t>STRÖMSUND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8020-2021</t>
        </is>
      </c>
      <c r="B491" s="1" t="n">
        <v>44243</v>
      </c>
      <c r="C491" s="1" t="n">
        <v>46033</v>
      </c>
      <c r="D491" t="inlineStr">
        <is>
          <t>JÄMTLANDS LÄN</t>
        </is>
      </c>
      <c r="E491" t="inlineStr">
        <is>
          <t>STRÖMSUND</t>
        </is>
      </c>
      <c r="G491" t="n">
        <v>2.7</v>
      </c>
      <c r="H491" t="n">
        <v>0</v>
      </c>
      <c r="I491" t="n">
        <v>0</v>
      </c>
      <c r="J491" t="n">
        <v>0</v>
      </c>
      <c r="K491" t="n">
        <v>0</v>
      </c>
      <c r="L491" t="n">
        <v>0</v>
      </c>
      <c r="M491" t="n">
        <v>0</v>
      </c>
      <c r="N491" t="n">
        <v>0</v>
      </c>
      <c r="O491" t="n">
        <v>0</v>
      </c>
      <c r="P491" t="n">
        <v>0</v>
      </c>
      <c r="Q491" t="n">
        <v>0</v>
      </c>
      <c r="R491" s="2" t="inlineStr"/>
    </row>
    <row r="492" ht="15" customHeight="1">
      <c r="A492" t="inlineStr">
        <is>
          <t>A 4004-2021</t>
        </is>
      </c>
      <c r="B492" s="1" t="n">
        <v>44222</v>
      </c>
      <c r="C492" s="1" t="n">
        <v>46033</v>
      </c>
      <c r="D492" t="inlineStr">
        <is>
          <t>JÄMTLANDS LÄN</t>
        </is>
      </c>
      <c r="E492" t="inlineStr">
        <is>
          <t>STRÖMSUND</t>
        </is>
      </c>
      <c r="F492" t="inlineStr">
        <is>
          <t>Kyrkan</t>
        </is>
      </c>
      <c r="G492" t="n">
        <v>5.9</v>
      </c>
      <c r="H492" t="n">
        <v>0</v>
      </c>
      <c r="I492" t="n">
        <v>0</v>
      </c>
      <c r="J492" t="n">
        <v>0</v>
      </c>
      <c r="K492" t="n">
        <v>0</v>
      </c>
      <c r="L492" t="n">
        <v>0</v>
      </c>
      <c r="M492" t="n">
        <v>0</v>
      </c>
      <c r="N492" t="n">
        <v>0</v>
      </c>
      <c r="O492" t="n">
        <v>0</v>
      </c>
      <c r="P492" t="n">
        <v>0</v>
      </c>
      <c r="Q492" t="n">
        <v>0</v>
      </c>
      <c r="R492" s="2" t="inlineStr"/>
    </row>
    <row r="493" ht="15" customHeight="1">
      <c r="A493" t="inlineStr">
        <is>
          <t>A 20708-2022</t>
        </is>
      </c>
      <c r="B493" s="1" t="n">
        <v>44700</v>
      </c>
      <c r="C493" s="1" t="n">
        <v>46033</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26142-2021</t>
        </is>
      </c>
      <c r="B494" s="1" t="n">
        <v>44346.79850694445</v>
      </c>
      <c r="C494" s="1" t="n">
        <v>46033</v>
      </c>
      <c r="D494" t="inlineStr">
        <is>
          <t>JÄMTLANDS LÄN</t>
        </is>
      </c>
      <c r="E494" t="inlineStr">
        <is>
          <t>STRÖMSUND</t>
        </is>
      </c>
      <c r="G494" t="n">
        <v>2.1</v>
      </c>
      <c r="H494" t="n">
        <v>0</v>
      </c>
      <c r="I494" t="n">
        <v>0</v>
      </c>
      <c r="J494" t="n">
        <v>0</v>
      </c>
      <c r="K494" t="n">
        <v>0</v>
      </c>
      <c r="L494" t="n">
        <v>0</v>
      </c>
      <c r="M494" t="n">
        <v>0</v>
      </c>
      <c r="N494" t="n">
        <v>0</v>
      </c>
      <c r="O494" t="n">
        <v>0</v>
      </c>
      <c r="P494" t="n">
        <v>0</v>
      </c>
      <c r="Q494" t="n">
        <v>0</v>
      </c>
      <c r="R494" s="2" t="inlineStr"/>
    </row>
    <row r="495" ht="15" customHeight="1">
      <c r="A495" t="inlineStr">
        <is>
          <t>A 3721-2022</t>
        </is>
      </c>
      <c r="B495" s="1" t="n">
        <v>44586</v>
      </c>
      <c r="C495" s="1" t="n">
        <v>46033</v>
      </c>
      <c r="D495" t="inlineStr">
        <is>
          <t>JÄMTLANDS LÄN</t>
        </is>
      </c>
      <c r="E495" t="inlineStr">
        <is>
          <t>STRÖMSUND</t>
        </is>
      </c>
      <c r="G495" t="n">
        <v>0.6</v>
      </c>
      <c r="H495" t="n">
        <v>0</v>
      </c>
      <c r="I495" t="n">
        <v>0</v>
      </c>
      <c r="J495" t="n">
        <v>0</v>
      </c>
      <c r="K495" t="n">
        <v>0</v>
      </c>
      <c r="L495" t="n">
        <v>0</v>
      </c>
      <c r="M495" t="n">
        <v>0</v>
      </c>
      <c r="N495" t="n">
        <v>0</v>
      </c>
      <c r="O495" t="n">
        <v>0</v>
      </c>
      <c r="P495" t="n">
        <v>0</v>
      </c>
      <c r="Q495" t="n">
        <v>0</v>
      </c>
      <c r="R495" s="2" t="inlineStr"/>
    </row>
    <row r="496" ht="15" customHeight="1">
      <c r="A496" t="inlineStr">
        <is>
          <t>A 5034-2021</t>
        </is>
      </c>
      <c r="B496" s="1" t="n">
        <v>44228</v>
      </c>
      <c r="C496" s="1" t="n">
        <v>46033</v>
      </c>
      <c r="D496" t="inlineStr">
        <is>
          <t>JÄMTLANDS LÄN</t>
        </is>
      </c>
      <c r="E496" t="inlineStr">
        <is>
          <t>STRÖMSUND</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30219-2022</t>
        </is>
      </c>
      <c r="B497" s="1" t="n">
        <v>44757.94258101852</v>
      </c>
      <c r="C497" s="1" t="n">
        <v>46033</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30227-2022</t>
        </is>
      </c>
      <c r="B498" s="1" t="n">
        <v>44757.94329861111</v>
      </c>
      <c r="C498" s="1" t="n">
        <v>46033</v>
      </c>
      <c r="D498" t="inlineStr">
        <is>
          <t>JÄMTLANDS LÄN</t>
        </is>
      </c>
      <c r="E498" t="inlineStr">
        <is>
          <t>STRÖMSUND</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30232-2022</t>
        </is>
      </c>
      <c r="B499" s="1" t="n">
        <v>44757.94375</v>
      </c>
      <c r="C499" s="1" t="n">
        <v>46033</v>
      </c>
      <c r="D499" t="inlineStr">
        <is>
          <t>JÄMTLANDS LÄN</t>
        </is>
      </c>
      <c r="E499" t="inlineStr">
        <is>
          <t>STRÖMSUND</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27942-2022</t>
        </is>
      </c>
      <c r="B500" s="1" t="n">
        <v>44743.94326388889</v>
      </c>
      <c r="C500" s="1" t="n">
        <v>46033</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61434-2021</t>
        </is>
      </c>
      <c r="B501" s="1" t="n">
        <v>44500</v>
      </c>
      <c r="C501" s="1" t="n">
        <v>46033</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27946-2022</t>
        </is>
      </c>
      <c r="B502" s="1" t="n">
        <v>44743.94369212963</v>
      </c>
      <c r="C502" s="1" t="n">
        <v>46033</v>
      </c>
      <c r="D502" t="inlineStr">
        <is>
          <t>JÄMTLANDS LÄN</t>
        </is>
      </c>
      <c r="E502" t="inlineStr">
        <is>
          <t>STRÖMSUND</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29552-2021</t>
        </is>
      </c>
      <c r="B503" s="1" t="n">
        <v>44361</v>
      </c>
      <c r="C503" s="1" t="n">
        <v>46033</v>
      </c>
      <c r="D503" t="inlineStr">
        <is>
          <t>JÄMTLANDS LÄN</t>
        </is>
      </c>
      <c r="E503" t="inlineStr">
        <is>
          <t>STRÖMSUND</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43140-2022</t>
        </is>
      </c>
      <c r="B504" s="1" t="n">
        <v>44833.95140046296</v>
      </c>
      <c r="C504" s="1" t="n">
        <v>46033</v>
      </c>
      <c r="D504" t="inlineStr">
        <is>
          <t>JÄMTLANDS LÄN</t>
        </is>
      </c>
      <c r="E504" t="inlineStr">
        <is>
          <t>STRÖMSUND</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35918-2021</t>
        </is>
      </c>
      <c r="B505" s="1" t="n">
        <v>44387.93637731481</v>
      </c>
      <c r="C505" s="1" t="n">
        <v>46033</v>
      </c>
      <c r="D505" t="inlineStr">
        <is>
          <t>JÄMTLANDS LÄN</t>
        </is>
      </c>
      <c r="E505" t="inlineStr">
        <is>
          <t>STRÖMSUND</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62203-2021</t>
        </is>
      </c>
      <c r="B506" s="1" t="n">
        <v>44502</v>
      </c>
      <c r="C506" s="1" t="n">
        <v>46033</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37102-2022</t>
        </is>
      </c>
      <c r="B507" s="1" t="n">
        <v>44806</v>
      </c>
      <c r="C507" s="1" t="n">
        <v>46033</v>
      </c>
      <c r="D507" t="inlineStr">
        <is>
          <t>JÄMTLANDS LÄN</t>
        </is>
      </c>
      <c r="E507" t="inlineStr">
        <is>
          <t>STRÖMSUND</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38415-2022</t>
        </is>
      </c>
      <c r="B508" s="1" t="n">
        <v>44812</v>
      </c>
      <c r="C508" s="1" t="n">
        <v>46033</v>
      </c>
      <c r="D508" t="inlineStr">
        <is>
          <t>JÄMTLANDS LÄN</t>
        </is>
      </c>
      <c r="E508" t="inlineStr">
        <is>
          <t>STRÖMSUND</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32349-2022</t>
        </is>
      </c>
      <c r="B509" s="1" t="n">
        <v>44781.9250462963</v>
      </c>
      <c r="C509" s="1" t="n">
        <v>46033</v>
      </c>
      <c r="D509" t="inlineStr">
        <is>
          <t>JÄMTLANDS LÄN</t>
        </is>
      </c>
      <c r="E509" t="inlineStr">
        <is>
          <t>STRÖMSUND</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36699-2022</t>
        </is>
      </c>
      <c r="B510" s="1" t="n">
        <v>44804.94813657407</v>
      </c>
      <c r="C510" s="1" t="n">
        <v>46033</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58972-2021</t>
        </is>
      </c>
      <c r="B511" s="1" t="n">
        <v>44489.94628472222</v>
      </c>
      <c r="C511" s="1" t="n">
        <v>46033</v>
      </c>
      <c r="D511" t="inlineStr">
        <is>
          <t>JÄMTLANDS LÄN</t>
        </is>
      </c>
      <c r="E511" t="inlineStr">
        <is>
          <t>STRÖMSUND</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42790-2022</t>
        </is>
      </c>
      <c r="B512" s="1" t="n">
        <v>44832</v>
      </c>
      <c r="C512" s="1" t="n">
        <v>46033</v>
      </c>
      <c r="D512" t="inlineStr">
        <is>
          <t>JÄMTLANDS LÄN</t>
        </is>
      </c>
      <c r="E512" t="inlineStr">
        <is>
          <t>STRÖMSUND</t>
        </is>
      </c>
      <c r="G512" t="n">
        <v>2.5</v>
      </c>
      <c r="H512" t="n">
        <v>0</v>
      </c>
      <c r="I512" t="n">
        <v>0</v>
      </c>
      <c r="J512" t="n">
        <v>0</v>
      </c>
      <c r="K512" t="n">
        <v>0</v>
      </c>
      <c r="L512" t="n">
        <v>0</v>
      </c>
      <c r="M512" t="n">
        <v>0</v>
      </c>
      <c r="N512" t="n">
        <v>0</v>
      </c>
      <c r="O512" t="n">
        <v>0</v>
      </c>
      <c r="P512" t="n">
        <v>0</v>
      </c>
      <c r="Q512" t="n">
        <v>0</v>
      </c>
      <c r="R512" s="2" t="inlineStr"/>
    </row>
    <row r="513" ht="15" customHeight="1">
      <c r="A513" t="inlineStr">
        <is>
          <t>A 29594-2021</t>
        </is>
      </c>
      <c r="B513" s="1" t="n">
        <v>44361</v>
      </c>
      <c r="C513" s="1" t="n">
        <v>46033</v>
      </c>
      <c r="D513" t="inlineStr">
        <is>
          <t>JÄMTLANDS LÄN</t>
        </is>
      </c>
      <c r="E513" t="inlineStr">
        <is>
          <t>STRÖMSUND</t>
        </is>
      </c>
      <c r="G513" t="n">
        <v>10.8</v>
      </c>
      <c r="H513" t="n">
        <v>0</v>
      </c>
      <c r="I513" t="n">
        <v>0</v>
      </c>
      <c r="J513" t="n">
        <v>0</v>
      </c>
      <c r="K513" t="n">
        <v>0</v>
      </c>
      <c r="L513" t="n">
        <v>0</v>
      </c>
      <c r="M513" t="n">
        <v>0</v>
      </c>
      <c r="N513" t="n">
        <v>0</v>
      </c>
      <c r="O513" t="n">
        <v>0</v>
      </c>
      <c r="P513" t="n">
        <v>0</v>
      </c>
      <c r="Q513" t="n">
        <v>0</v>
      </c>
      <c r="R513" s="2" t="inlineStr"/>
    </row>
    <row r="514" ht="15" customHeight="1">
      <c r="A514" t="inlineStr">
        <is>
          <t>A 31446-2022</t>
        </is>
      </c>
      <c r="B514" s="1" t="n">
        <v>44774.94104166667</v>
      </c>
      <c r="C514" s="1" t="n">
        <v>46033</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43160-2022</t>
        </is>
      </c>
      <c r="B515" s="1" t="n">
        <v>44833.95378472222</v>
      </c>
      <c r="C515" s="1" t="n">
        <v>46033</v>
      </c>
      <c r="D515" t="inlineStr">
        <is>
          <t>JÄMTLANDS LÄN</t>
        </is>
      </c>
      <c r="E515" t="inlineStr">
        <is>
          <t>STRÖMSUND</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43165-2022</t>
        </is>
      </c>
      <c r="B516" s="1" t="n">
        <v>44833</v>
      </c>
      <c r="C516" s="1" t="n">
        <v>46033</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39388-2022</t>
        </is>
      </c>
      <c r="B517" s="1" t="n">
        <v>44817</v>
      </c>
      <c r="C517" s="1" t="n">
        <v>46033</v>
      </c>
      <c r="D517" t="inlineStr">
        <is>
          <t>JÄMTLANDS LÄN</t>
        </is>
      </c>
      <c r="E517" t="inlineStr">
        <is>
          <t>STRÖMSUND</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44387.9327662037</v>
      </c>
      <c r="C518" s="1" t="n">
        <v>46033</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44410-2021</t>
        </is>
      </c>
      <c r="B519" s="1" t="n">
        <v>44435</v>
      </c>
      <c r="C519" s="1" t="n">
        <v>46033</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72753-2021</t>
        </is>
      </c>
      <c r="B520" s="1" t="n">
        <v>44546.92266203704</v>
      </c>
      <c r="C520" s="1" t="n">
        <v>46033</v>
      </c>
      <c r="D520" t="inlineStr">
        <is>
          <t>JÄMTLANDS LÄN</t>
        </is>
      </c>
      <c r="E520" t="inlineStr">
        <is>
          <t>STRÖMSUND</t>
        </is>
      </c>
      <c r="G520" t="n">
        <v>0.4</v>
      </c>
      <c r="H520" t="n">
        <v>0</v>
      </c>
      <c r="I520" t="n">
        <v>0</v>
      </c>
      <c r="J520" t="n">
        <v>0</v>
      </c>
      <c r="K520" t="n">
        <v>0</v>
      </c>
      <c r="L520" t="n">
        <v>0</v>
      </c>
      <c r="M520" t="n">
        <v>0</v>
      </c>
      <c r="N520" t="n">
        <v>0</v>
      </c>
      <c r="O520" t="n">
        <v>0</v>
      </c>
      <c r="P520" t="n">
        <v>0</v>
      </c>
      <c r="Q520" t="n">
        <v>0</v>
      </c>
      <c r="R520" s="2" t="inlineStr"/>
    </row>
    <row r="521" ht="15" customHeight="1">
      <c r="A521" t="inlineStr">
        <is>
          <t>A 44606-2021</t>
        </is>
      </c>
      <c r="B521" s="1" t="n">
        <v>44435.9415162037</v>
      </c>
      <c r="C521" s="1" t="n">
        <v>46033</v>
      </c>
      <c r="D521" t="inlineStr">
        <is>
          <t>JÄMTLANDS LÄN</t>
        </is>
      </c>
      <c r="E521" t="inlineStr">
        <is>
          <t>STRÖMSUND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46056-2022</t>
        </is>
      </c>
      <c r="B522" s="1" t="n">
        <v>44846.95290509259</v>
      </c>
      <c r="C522" s="1" t="n">
        <v>46033</v>
      </c>
      <c r="D522" t="inlineStr">
        <is>
          <t>JÄMTLANDS LÄN</t>
        </is>
      </c>
      <c r="E522" t="inlineStr">
        <is>
          <t>STRÖMSUND</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71352-2021</t>
        </is>
      </c>
      <c r="B523" s="1" t="n">
        <v>44539</v>
      </c>
      <c r="C523" s="1" t="n">
        <v>46033</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c r="U523">
        <f>HYPERLINK("https://klasma.github.io/Logging_2313/knärot/A 71352-2021 karta knärot.png", "A 71352-2021")</f>
        <v/>
      </c>
      <c r="V523">
        <f>HYPERLINK("https://klasma.github.io/Logging_2313/klagomål/A 71352-2021 FSC-klagomål.docx", "A 71352-2021")</f>
        <v/>
      </c>
      <c r="W523">
        <f>HYPERLINK("https://klasma.github.io/Logging_2313/klagomålsmail/A 71352-2021 FSC-klagomål mail.docx", "A 71352-2021")</f>
        <v/>
      </c>
      <c r="X523">
        <f>HYPERLINK("https://klasma.github.io/Logging_2313/tillsyn/A 71352-2021 tillsynsbegäran.docx", "A 71352-2021")</f>
        <v/>
      </c>
      <c r="Y523">
        <f>HYPERLINK("https://klasma.github.io/Logging_2313/tillsynsmail/A 71352-2021 tillsynsbegäran mail.docx", "A 71352-2021")</f>
        <v/>
      </c>
    </row>
    <row r="524" ht="15" customHeight="1">
      <c r="A524" t="inlineStr">
        <is>
          <t>A 71353-2021</t>
        </is>
      </c>
      <c r="B524" s="1" t="n">
        <v>44539</v>
      </c>
      <c r="C524" s="1" t="n">
        <v>46033</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12250-2021</t>
        </is>
      </c>
      <c r="B525" s="1" t="n">
        <v>44266</v>
      </c>
      <c r="C525" s="1" t="n">
        <v>46033</v>
      </c>
      <c r="D525" t="inlineStr">
        <is>
          <t>JÄMTLANDS LÄN</t>
        </is>
      </c>
      <c r="E525" t="inlineStr">
        <is>
          <t>STRÖMSUND</t>
        </is>
      </c>
      <c r="G525" t="n">
        <v>5</v>
      </c>
      <c r="H525" t="n">
        <v>0</v>
      </c>
      <c r="I525" t="n">
        <v>0</v>
      </c>
      <c r="J525" t="n">
        <v>0</v>
      </c>
      <c r="K525" t="n">
        <v>0</v>
      </c>
      <c r="L525" t="n">
        <v>0</v>
      </c>
      <c r="M525" t="n">
        <v>0</v>
      </c>
      <c r="N525" t="n">
        <v>0</v>
      </c>
      <c r="O525" t="n">
        <v>0</v>
      </c>
      <c r="P525" t="n">
        <v>0</v>
      </c>
      <c r="Q525" t="n">
        <v>0</v>
      </c>
      <c r="R525" s="2" t="inlineStr"/>
    </row>
    <row r="526" ht="15" customHeight="1">
      <c r="A526" t="inlineStr">
        <is>
          <t>A 36176-2021</t>
        </is>
      </c>
      <c r="B526" s="1" t="n">
        <v>44389.63510416666</v>
      </c>
      <c r="C526" s="1" t="n">
        <v>46033</v>
      </c>
      <c r="D526" t="inlineStr">
        <is>
          <t>JÄMTLANDS LÄN</t>
        </is>
      </c>
      <c r="E526" t="inlineStr">
        <is>
          <t>STRÖMSUND</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40827-2021</t>
        </is>
      </c>
      <c r="B527" s="1" t="n">
        <v>44421.39092592592</v>
      </c>
      <c r="C527" s="1" t="n">
        <v>46033</v>
      </c>
      <c r="D527" t="inlineStr">
        <is>
          <t>JÄMTLANDS LÄN</t>
        </is>
      </c>
      <c r="E527" t="inlineStr">
        <is>
          <t>STRÖMSUND</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13098-2022</t>
        </is>
      </c>
      <c r="B528" s="1" t="n">
        <v>44643</v>
      </c>
      <c r="C528" s="1" t="n">
        <v>46033</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12404-2022</t>
        </is>
      </c>
      <c r="B529" s="1" t="n">
        <v>44637.94065972222</v>
      </c>
      <c r="C529" s="1" t="n">
        <v>46033</v>
      </c>
      <c r="D529" t="inlineStr">
        <is>
          <t>JÄMTLANDS LÄN</t>
        </is>
      </c>
      <c r="E529" t="inlineStr">
        <is>
          <t>STRÖMSUND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15355-2021</t>
        </is>
      </c>
      <c r="B530" s="1" t="n">
        <v>44284</v>
      </c>
      <c r="C530" s="1" t="n">
        <v>46033</v>
      </c>
      <c r="D530" t="inlineStr">
        <is>
          <t>JÄMTLANDS LÄN</t>
        </is>
      </c>
      <c r="E530" t="inlineStr">
        <is>
          <t>STRÖMSUND</t>
        </is>
      </c>
      <c r="G530" t="n">
        <v>0.9</v>
      </c>
      <c r="H530" t="n">
        <v>0</v>
      </c>
      <c r="I530" t="n">
        <v>0</v>
      </c>
      <c r="J530" t="n">
        <v>0</v>
      </c>
      <c r="K530" t="n">
        <v>0</v>
      </c>
      <c r="L530" t="n">
        <v>0</v>
      </c>
      <c r="M530" t="n">
        <v>0</v>
      </c>
      <c r="N530" t="n">
        <v>0</v>
      </c>
      <c r="O530" t="n">
        <v>0</v>
      </c>
      <c r="P530" t="n">
        <v>0</v>
      </c>
      <c r="Q530" t="n">
        <v>0</v>
      </c>
      <c r="R530" s="2" t="inlineStr"/>
    </row>
    <row r="531" ht="15" customHeight="1">
      <c r="A531" t="inlineStr">
        <is>
          <t>A 64310-2021</t>
        </is>
      </c>
      <c r="B531" s="1" t="n">
        <v>44510.94982638889</v>
      </c>
      <c r="C531" s="1" t="n">
        <v>46033</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66166-2021</t>
        </is>
      </c>
      <c r="B532" s="1" t="n">
        <v>44517.9390625</v>
      </c>
      <c r="C532" s="1" t="n">
        <v>46033</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58022-2021</t>
        </is>
      </c>
      <c r="B533" s="1" t="n">
        <v>44487</v>
      </c>
      <c r="C533" s="1" t="n">
        <v>46033</v>
      </c>
      <c r="D533" t="inlineStr">
        <is>
          <t>JÄMTLANDS LÄN</t>
        </is>
      </c>
      <c r="E533" t="inlineStr">
        <is>
          <t>STRÖMSUND</t>
        </is>
      </c>
      <c r="G533" t="n">
        <v>0.4</v>
      </c>
      <c r="H533" t="n">
        <v>0</v>
      </c>
      <c r="I533" t="n">
        <v>0</v>
      </c>
      <c r="J533" t="n">
        <v>0</v>
      </c>
      <c r="K533" t="n">
        <v>0</v>
      </c>
      <c r="L533" t="n">
        <v>0</v>
      </c>
      <c r="M533" t="n">
        <v>0</v>
      </c>
      <c r="N533" t="n">
        <v>0</v>
      </c>
      <c r="O533" t="n">
        <v>0</v>
      </c>
      <c r="P533" t="n">
        <v>0</v>
      </c>
      <c r="Q533" t="n">
        <v>0</v>
      </c>
      <c r="R533" s="2" t="inlineStr"/>
    </row>
    <row r="534" ht="15" customHeight="1">
      <c r="A534" t="inlineStr">
        <is>
          <t>A 23486-2021</t>
        </is>
      </c>
      <c r="B534" s="1" t="n">
        <v>44333</v>
      </c>
      <c r="C534" s="1" t="n">
        <v>46033</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65442-2021</t>
        </is>
      </c>
      <c r="B535" s="1" t="n">
        <v>44515.93943287037</v>
      </c>
      <c r="C535" s="1" t="n">
        <v>46033</v>
      </c>
      <c r="D535" t="inlineStr">
        <is>
          <t>JÄMTLANDS LÄN</t>
        </is>
      </c>
      <c r="E535" t="inlineStr">
        <is>
          <t>STRÖMSUND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50023-2021</t>
        </is>
      </c>
      <c r="B536" s="1" t="n">
        <v>44456.48688657407</v>
      </c>
      <c r="C536" s="1" t="n">
        <v>46033</v>
      </c>
      <c r="D536" t="inlineStr">
        <is>
          <t>JÄMTLANDS LÄN</t>
        </is>
      </c>
      <c r="E536" t="inlineStr">
        <is>
          <t>STRÖMSUND</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50037-2021</t>
        </is>
      </c>
      <c r="B537" s="1" t="n">
        <v>44456.49731481481</v>
      </c>
      <c r="C537" s="1" t="n">
        <v>46033</v>
      </c>
      <c r="D537" t="inlineStr">
        <is>
          <t>JÄMTLANDS LÄN</t>
        </is>
      </c>
      <c r="E537" t="inlineStr">
        <is>
          <t>STRÖMSUND</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61420-2021</t>
        </is>
      </c>
      <c r="B538" s="1" t="n">
        <v>44500</v>
      </c>
      <c r="C538" s="1" t="n">
        <v>46033</v>
      </c>
      <c r="D538" t="inlineStr">
        <is>
          <t>JÄMTLANDS LÄN</t>
        </is>
      </c>
      <c r="E538" t="inlineStr">
        <is>
          <t>STRÖMSUND</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61433-2021</t>
        </is>
      </c>
      <c r="B539" s="1" t="n">
        <v>44500</v>
      </c>
      <c r="C539" s="1" t="n">
        <v>46033</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64655-2021</t>
        </is>
      </c>
      <c r="B540" s="1" t="n">
        <v>44511</v>
      </c>
      <c r="C540" s="1" t="n">
        <v>46033</v>
      </c>
      <c r="D540" t="inlineStr">
        <is>
          <t>JÄMTLANDS LÄN</t>
        </is>
      </c>
      <c r="E540" t="inlineStr">
        <is>
          <t>STRÖMSUND</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64660-2021</t>
        </is>
      </c>
      <c r="B541" s="1" t="n">
        <v>44511</v>
      </c>
      <c r="C541" s="1" t="n">
        <v>46033</v>
      </c>
      <c r="D541" t="inlineStr">
        <is>
          <t>JÄMTLANDS LÄN</t>
        </is>
      </c>
      <c r="E541" t="inlineStr">
        <is>
          <t>STRÖMSUND</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50029-2021</t>
        </is>
      </c>
      <c r="B542" s="1" t="n">
        <v>44456.4916087963</v>
      </c>
      <c r="C542" s="1" t="n">
        <v>46033</v>
      </c>
      <c r="D542" t="inlineStr">
        <is>
          <t>JÄMTLANDS LÄN</t>
        </is>
      </c>
      <c r="E542" t="inlineStr">
        <is>
          <t>STRÖMSUND</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71377-2021</t>
        </is>
      </c>
      <c r="B543" s="1" t="n">
        <v>44539.94553240741</v>
      </c>
      <c r="C543" s="1" t="n">
        <v>46033</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73291-2021</t>
        </is>
      </c>
      <c r="B544" s="1" t="n">
        <v>44550</v>
      </c>
      <c r="C544" s="1" t="n">
        <v>46033</v>
      </c>
      <c r="D544" t="inlineStr">
        <is>
          <t>JÄMTLANDS LÄN</t>
        </is>
      </c>
      <c r="E544" t="inlineStr">
        <is>
          <t>STRÖMSUND</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38219-2021</t>
        </is>
      </c>
      <c r="B545" s="1" t="n">
        <v>44405</v>
      </c>
      <c r="C545" s="1" t="n">
        <v>46033</v>
      </c>
      <c r="D545" t="inlineStr">
        <is>
          <t>JÄMTLANDS LÄN</t>
        </is>
      </c>
      <c r="E545" t="inlineStr">
        <is>
          <t>STRÖMSUND</t>
        </is>
      </c>
      <c r="G545" t="n">
        <v>3.1</v>
      </c>
      <c r="H545" t="n">
        <v>0</v>
      </c>
      <c r="I545" t="n">
        <v>0</v>
      </c>
      <c r="J545" t="n">
        <v>0</v>
      </c>
      <c r="K545" t="n">
        <v>0</v>
      </c>
      <c r="L545" t="n">
        <v>0</v>
      </c>
      <c r="M545" t="n">
        <v>0</v>
      </c>
      <c r="N545" t="n">
        <v>0</v>
      </c>
      <c r="O545" t="n">
        <v>0</v>
      </c>
      <c r="P545" t="n">
        <v>0</v>
      </c>
      <c r="Q545" t="n">
        <v>0</v>
      </c>
      <c r="R545" s="2" t="inlineStr"/>
    </row>
    <row r="546" ht="15" customHeight="1">
      <c r="A546" t="inlineStr">
        <is>
          <t>A 30037-2022</t>
        </is>
      </c>
      <c r="B546" s="1" t="n">
        <v>44756.94559027778</v>
      </c>
      <c r="C546" s="1" t="n">
        <v>46033</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68646-2021</t>
        </is>
      </c>
      <c r="B547" s="1" t="n">
        <v>44529.60631944444</v>
      </c>
      <c r="C547" s="1" t="n">
        <v>46033</v>
      </c>
      <c r="D547" t="inlineStr">
        <is>
          <t>JÄMTLANDS LÄN</t>
        </is>
      </c>
      <c r="E547" t="inlineStr">
        <is>
          <t>STRÖMSUND</t>
        </is>
      </c>
      <c r="G547" t="n">
        <v>2.4</v>
      </c>
      <c r="H547" t="n">
        <v>0</v>
      </c>
      <c r="I547" t="n">
        <v>0</v>
      </c>
      <c r="J547" t="n">
        <v>0</v>
      </c>
      <c r="K547" t="n">
        <v>0</v>
      </c>
      <c r="L547" t="n">
        <v>0</v>
      </c>
      <c r="M547" t="n">
        <v>0</v>
      </c>
      <c r="N547" t="n">
        <v>0</v>
      </c>
      <c r="O547" t="n">
        <v>0</v>
      </c>
      <c r="P547" t="n">
        <v>0</v>
      </c>
      <c r="Q547" t="n">
        <v>0</v>
      </c>
      <c r="R547" s="2" t="inlineStr"/>
    </row>
    <row r="548" ht="15" customHeight="1">
      <c r="A548" t="inlineStr">
        <is>
          <t>A 35241-2022</t>
        </is>
      </c>
      <c r="B548" s="1" t="n">
        <v>44797</v>
      </c>
      <c r="C548" s="1" t="n">
        <v>46033</v>
      </c>
      <c r="D548" t="inlineStr">
        <is>
          <t>JÄMTLANDS LÄN</t>
        </is>
      </c>
      <c r="E548" t="inlineStr">
        <is>
          <t>STRÖMSUND</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35321-2022</t>
        </is>
      </c>
      <c r="B549" s="1" t="n">
        <v>44798</v>
      </c>
      <c r="C549" s="1" t="n">
        <v>46033</v>
      </c>
      <c r="D549" t="inlineStr">
        <is>
          <t>JÄMTLANDS LÄN</t>
        </is>
      </c>
      <c r="E549" t="inlineStr">
        <is>
          <t>STRÖMSUND</t>
        </is>
      </c>
      <c r="F549" t="inlineStr">
        <is>
          <t>Kommuner</t>
        </is>
      </c>
      <c r="G549" t="n">
        <v>1.2</v>
      </c>
      <c r="H549" t="n">
        <v>0</v>
      </c>
      <c r="I549" t="n">
        <v>0</v>
      </c>
      <c r="J549" t="n">
        <v>0</v>
      </c>
      <c r="K549" t="n">
        <v>0</v>
      </c>
      <c r="L549" t="n">
        <v>0</v>
      </c>
      <c r="M549" t="n">
        <v>0</v>
      </c>
      <c r="N549" t="n">
        <v>0</v>
      </c>
      <c r="O549" t="n">
        <v>0</v>
      </c>
      <c r="P549" t="n">
        <v>0</v>
      </c>
      <c r="Q549" t="n">
        <v>0</v>
      </c>
      <c r="R549" s="2" t="inlineStr"/>
    </row>
    <row r="550" ht="15" customHeight="1">
      <c r="A550" t="inlineStr">
        <is>
          <t>A 35064-2021</t>
        </is>
      </c>
      <c r="B550" s="1" t="n">
        <v>44383</v>
      </c>
      <c r="C550" s="1" t="n">
        <v>46033</v>
      </c>
      <c r="D550" t="inlineStr">
        <is>
          <t>JÄMTLANDS LÄN</t>
        </is>
      </c>
      <c r="E550" t="inlineStr">
        <is>
          <t>STRÖMSUND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29540-2022</t>
        </is>
      </c>
      <c r="B551" s="1" t="n">
        <v>44753.94357638889</v>
      </c>
      <c r="C551" s="1" t="n">
        <v>46033</v>
      </c>
      <c r="D551" t="inlineStr">
        <is>
          <t>JÄMTLANDS LÄN</t>
        </is>
      </c>
      <c r="E551" t="inlineStr">
        <is>
          <t>STRÖMSUND</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39000-2022</t>
        </is>
      </c>
      <c r="B552" s="1" t="n">
        <v>44816.94270833334</v>
      </c>
      <c r="C552" s="1" t="n">
        <v>46033</v>
      </c>
      <c r="D552" t="inlineStr">
        <is>
          <t>JÄMTLANDS LÄN</t>
        </is>
      </c>
      <c r="E552" t="inlineStr">
        <is>
          <t>STRÖMSUND</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4931-2022</t>
        </is>
      </c>
      <c r="B553" s="1" t="n">
        <v>44593</v>
      </c>
      <c r="C553" s="1" t="n">
        <v>46033</v>
      </c>
      <c r="D553" t="inlineStr">
        <is>
          <t>JÄMTLANDS LÄN</t>
        </is>
      </c>
      <c r="E553" t="inlineStr">
        <is>
          <t>STRÖMSUND</t>
        </is>
      </c>
      <c r="G553" t="n">
        <v>41.9</v>
      </c>
      <c r="H553" t="n">
        <v>0</v>
      </c>
      <c r="I553" t="n">
        <v>0</v>
      </c>
      <c r="J553" t="n">
        <v>0</v>
      </c>
      <c r="K553" t="n">
        <v>0</v>
      </c>
      <c r="L553" t="n">
        <v>0</v>
      </c>
      <c r="M553" t="n">
        <v>0</v>
      </c>
      <c r="N553" t="n">
        <v>0</v>
      </c>
      <c r="O553" t="n">
        <v>0</v>
      </c>
      <c r="P553" t="n">
        <v>0</v>
      </c>
      <c r="Q553" t="n">
        <v>0</v>
      </c>
      <c r="R553" s="2" t="inlineStr"/>
    </row>
    <row r="554" ht="15" customHeight="1">
      <c r="A554" t="inlineStr">
        <is>
          <t>A 71911-2021</t>
        </is>
      </c>
      <c r="B554" s="1" t="n">
        <v>44543.92153935185</v>
      </c>
      <c r="C554" s="1" t="n">
        <v>46033</v>
      </c>
      <c r="D554" t="inlineStr">
        <is>
          <t>JÄMTLANDS LÄN</t>
        </is>
      </c>
      <c r="E554" t="inlineStr">
        <is>
          <t>STRÖMSUND</t>
        </is>
      </c>
      <c r="G554" t="n">
        <v>1.1</v>
      </c>
      <c r="H554" t="n">
        <v>0</v>
      </c>
      <c r="I554" t="n">
        <v>0</v>
      </c>
      <c r="J554" t="n">
        <v>0</v>
      </c>
      <c r="K554" t="n">
        <v>0</v>
      </c>
      <c r="L554" t="n">
        <v>0</v>
      </c>
      <c r="M554" t="n">
        <v>0</v>
      </c>
      <c r="N554" t="n">
        <v>0</v>
      </c>
      <c r="O554" t="n">
        <v>0</v>
      </c>
      <c r="P554" t="n">
        <v>0</v>
      </c>
      <c r="Q554" t="n">
        <v>0</v>
      </c>
      <c r="R554" s="2" t="inlineStr"/>
    </row>
    <row r="555" ht="15" customHeight="1">
      <c r="A555" t="inlineStr">
        <is>
          <t>A 71912-2021</t>
        </is>
      </c>
      <c r="B555" s="1" t="n">
        <v>44543</v>
      </c>
      <c r="C555" s="1" t="n">
        <v>46033</v>
      </c>
      <c r="D555" t="inlineStr">
        <is>
          <t>JÄMTLANDS LÄN</t>
        </is>
      </c>
      <c r="E555" t="inlineStr">
        <is>
          <t>STRÖMSUND</t>
        </is>
      </c>
      <c r="G555" t="n">
        <v>3.2</v>
      </c>
      <c r="H555" t="n">
        <v>0</v>
      </c>
      <c r="I555" t="n">
        <v>0</v>
      </c>
      <c r="J555" t="n">
        <v>0</v>
      </c>
      <c r="K555" t="n">
        <v>0</v>
      </c>
      <c r="L555" t="n">
        <v>0</v>
      </c>
      <c r="M555" t="n">
        <v>0</v>
      </c>
      <c r="N555" t="n">
        <v>0</v>
      </c>
      <c r="O555" t="n">
        <v>0</v>
      </c>
      <c r="P555" t="n">
        <v>0</v>
      </c>
      <c r="Q555" t="n">
        <v>0</v>
      </c>
      <c r="R555" s="2" t="inlineStr"/>
    </row>
    <row r="556" ht="15" customHeight="1">
      <c r="A556" t="inlineStr">
        <is>
          <t>A 14288-2022</t>
        </is>
      </c>
      <c r="B556" s="1" t="n">
        <v>44651</v>
      </c>
      <c r="C556" s="1" t="n">
        <v>46033</v>
      </c>
      <c r="D556" t="inlineStr">
        <is>
          <t>JÄMTLANDS LÄN</t>
        </is>
      </c>
      <c r="E556" t="inlineStr">
        <is>
          <t>STRÖMSUND</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46969-2021</t>
        </is>
      </c>
      <c r="B557" s="1" t="n">
        <v>44446</v>
      </c>
      <c r="C557" s="1" t="n">
        <v>46033</v>
      </c>
      <c r="D557" t="inlineStr">
        <is>
          <t>JÄMTLANDS LÄN</t>
        </is>
      </c>
      <c r="E557" t="inlineStr">
        <is>
          <t>STRÖMSUND</t>
        </is>
      </c>
      <c r="G557" t="n">
        <v>7.4</v>
      </c>
      <c r="H557" t="n">
        <v>0</v>
      </c>
      <c r="I557" t="n">
        <v>0</v>
      </c>
      <c r="J557" t="n">
        <v>0</v>
      </c>
      <c r="K557" t="n">
        <v>0</v>
      </c>
      <c r="L557" t="n">
        <v>0</v>
      </c>
      <c r="M557" t="n">
        <v>0</v>
      </c>
      <c r="N557" t="n">
        <v>0</v>
      </c>
      <c r="O557" t="n">
        <v>0</v>
      </c>
      <c r="P557" t="n">
        <v>0</v>
      </c>
      <c r="Q557" t="n">
        <v>0</v>
      </c>
      <c r="R557" s="2" t="inlineStr"/>
    </row>
    <row r="558" ht="15" customHeight="1">
      <c r="A558" t="inlineStr">
        <is>
          <t>A 23208-2022</t>
        </is>
      </c>
      <c r="B558" s="1" t="n">
        <v>44719</v>
      </c>
      <c r="C558" s="1" t="n">
        <v>46033</v>
      </c>
      <c r="D558" t="inlineStr">
        <is>
          <t>JÄMTLANDS LÄN</t>
        </is>
      </c>
      <c r="E558" t="inlineStr">
        <is>
          <t>STRÖMSUND</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23209-2022</t>
        </is>
      </c>
      <c r="B559" s="1" t="n">
        <v>44719</v>
      </c>
      <c r="C559" s="1" t="n">
        <v>46033</v>
      </c>
      <c r="D559" t="inlineStr">
        <is>
          <t>JÄMTLANDS LÄN</t>
        </is>
      </c>
      <c r="E559" t="inlineStr">
        <is>
          <t>STRÖMSUND</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15118-2021</t>
        </is>
      </c>
      <c r="B560" s="1" t="n">
        <v>44282</v>
      </c>
      <c r="C560" s="1" t="n">
        <v>46033</v>
      </c>
      <c r="D560" t="inlineStr">
        <is>
          <t>JÄMTLANDS LÄN</t>
        </is>
      </c>
      <c r="E560" t="inlineStr">
        <is>
          <t>STRÖMSUND</t>
        </is>
      </c>
      <c r="G560" t="n">
        <v>0.8</v>
      </c>
      <c r="H560" t="n">
        <v>0</v>
      </c>
      <c r="I560" t="n">
        <v>0</v>
      </c>
      <c r="J560" t="n">
        <v>0</v>
      </c>
      <c r="K560" t="n">
        <v>0</v>
      </c>
      <c r="L560" t="n">
        <v>0</v>
      </c>
      <c r="M560" t="n">
        <v>0</v>
      </c>
      <c r="N560" t="n">
        <v>0</v>
      </c>
      <c r="O560" t="n">
        <v>0</v>
      </c>
      <c r="P560" t="n">
        <v>0</v>
      </c>
      <c r="Q560" t="n">
        <v>0</v>
      </c>
      <c r="R560" s="2" t="inlineStr"/>
    </row>
    <row r="561" ht="15" customHeight="1">
      <c r="A561" t="inlineStr">
        <is>
          <t>A 31445-2022</t>
        </is>
      </c>
      <c r="B561" s="1" t="n">
        <v>44774.9409837963</v>
      </c>
      <c r="C561" s="1" t="n">
        <v>46033</v>
      </c>
      <c r="D561" t="inlineStr">
        <is>
          <t>JÄMTLANDS LÄN</t>
        </is>
      </c>
      <c r="E561" t="inlineStr">
        <is>
          <t>STRÖMSUND</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31449-2022</t>
        </is>
      </c>
      <c r="B562" s="1" t="n">
        <v>44774.94123842593</v>
      </c>
      <c r="C562" s="1" t="n">
        <v>46033</v>
      </c>
      <c r="D562" t="inlineStr">
        <is>
          <t>JÄMTLANDS LÄN</t>
        </is>
      </c>
      <c r="E562" t="inlineStr">
        <is>
          <t>STRÖMSUND</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64200-2021</t>
        </is>
      </c>
      <c r="B563" s="1" t="n">
        <v>44510</v>
      </c>
      <c r="C563" s="1" t="n">
        <v>46033</v>
      </c>
      <c r="D563" t="inlineStr">
        <is>
          <t>JÄMTLANDS LÄN</t>
        </is>
      </c>
      <c r="E563" t="inlineStr">
        <is>
          <t>STRÖMSUND</t>
        </is>
      </c>
      <c r="G563" t="n">
        <v>2.1</v>
      </c>
      <c r="H563" t="n">
        <v>0</v>
      </c>
      <c r="I563" t="n">
        <v>0</v>
      </c>
      <c r="J563" t="n">
        <v>0</v>
      </c>
      <c r="K563" t="n">
        <v>0</v>
      </c>
      <c r="L563" t="n">
        <v>0</v>
      </c>
      <c r="M563" t="n">
        <v>0</v>
      </c>
      <c r="N563" t="n">
        <v>0</v>
      </c>
      <c r="O563" t="n">
        <v>0</v>
      </c>
      <c r="P563" t="n">
        <v>0</v>
      </c>
      <c r="Q563" t="n">
        <v>0</v>
      </c>
      <c r="R563" s="2" t="inlineStr"/>
    </row>
    <row r="564" ht="15" customHeight="1">
      <c r="A564" t="inlineStr">
        <is>
          <t>A 51563-2022</t>
        </is>
      </c>
      <c r="B564" s="1" t="n">
        <v>44869</v>
      </c>
      <c r="C564" s="1" t="n">
        <v>46033</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15360-2021</t>
        </is>
      </c>
      <c r="B565" s="1" t="n">
        <v>44284</v>
      </c>
      <c r="C565" s="1" t="n">
        <v>46033</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61449-2021</t>
        </is>
      </c>
      <c r="B566" s="1" t="n">
        <v>44500.93988425926</v>
      </c>
      <c r="C566" s="1" t="n">
        <v>46033</v>
      </c>
      <c r="D566" t="inlineStr">
        <is>
          <t>JÄMTLANDS LÄN</t>
        </is>
      </c>
      <c r="E566" t="inlineStr">
        <is>
          <t>STRÖMSUND</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39700-2022</t>
        </is>
      </c>
      <c r="B567" s="1" t="n">
        <v>44818.94979166667</v>
      </c>
      <c r="C567" s="1" t="n">
        <v>46033</v>
      </c>
      <c r="D567" t="inlineStr">
        <is>
          <t>JÄMTLANDS LÄN</t>
        </is>
      </c>
      <c r="E567" t="inlineStr">
        <is>
          <t>STRÖMSUND</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24021-2022</t>
        </is>
      </c>
      <c r="B568" s="1" t="n">
        <v>44722.94199074074</v>
      </c>
      <c r="C568" s="1" t="n">
        <v>46033</v>
      </c>
      <c r="D568" t="inlineStr">
        <is>
          <t>JÄMTLANDS LÄN</t>
        </is>
      </c>
      <c r="E568" t="inlineStr">
        <is>
          <t>STRÖMSUND</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36079-2022</t>
        </is>
      </c>
      <c r="B569" s="1" t="n">
        <v>44802.94603009259</v>
      </c>
      <c r="C569" s="1" t="n">
        <v>46033</v>
      </c>
      <c r="D569" t="inlineStr">
        <is>
          <t>JÄMTLANDS LÄN</t>
        </is>
      </c>
      <c r="E569" t="inlineStr">
        <is>
          <t>STRÖMSUND</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10656-2022</t>
        </is>
      </c>
      <c r="B570" s="1" t="n">
        <v>44624</v>
      </c>
      <c r="C570" s="1" t="n">
        <v>46033</v>
      </c>
      <c r="D570" t="inlineStr">
        <is>
          <t>JÄMTLANDS LÄN</t>
        </is>
      </c>
      <c r="E570" t="inlineStr">
        <is>
          <t>STRÖMSUND</t>
        </is>
      </c>
      <c r="G570" t="n">
        <v>2.5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46033</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28498-2022</t>
        </is>
      </c>
      <c r="B572" s="1" t="n">
        <v>44747.94269675926</v>
      </c>
      <c r="C572" s="1" t="n">
        <v>46033</v>
      </c>
      <c r="D572" t="inlineStr">
        <is>
          <t>JÄMTLANDS LÄN</t>
        </is>
      </c>
      <c r="E572" t="inlineStr">
        <is>
          <t>STRÖMSUND</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23206-2022</t>
        </is>
      </c>
      <c r="B573" s="1" t="n">
        <v>44719</v>
      </c>
      <c r="C573" s="1" t="n">
        <v>46033</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42294-2022</t>
        </is>
      </c>
      <c r="B574" s="1" t="n">
        <v>44830.95416666667</v>
      </c>
      <c r="C574" s="1" t="n">
        <v>46033</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30036-2022</t>
        </is>
      </c>
      <c r="B575" s="1" t="n">
        <v>44756</v>
      </c>
      <c r="C575" s="1" t="n">
        <v>46033</v>
      </c>
      <c r="D575" t="inlineStr">
        <is>
          <t>JÄMTLANDS LÄN</t>
        </is>
      </c>
      <c r="E575" t="inlineStr">
        <is>
          <t>STRÖMSUND</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41821-2022</t>
        </is>
      </c>
      <c r="B576" s="1" t="n">
        <v>44827</v>
      </c>
      <c r="C576" s="1" t="n">
        <v>46033</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31849-2022</t>
        </is>
      </c>
      <c r="B577" s="1" t="n">
        <v>44776.9419212963</v>
      </c>
      <c r="C577" s="1" t="n">
        <v>46033</v>
      </c>
      <c r="D577" t="inlineStr">
        <is>
          <t>JÄMTLANDS LÄN</t>
        </is>
      </c>
      <c r="E577" t="inlineStr">
        <is>
          <t>STRÖMSUND</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42280-2022</t>
        </is>
      </c>
      <c r="B578" s="1" t="n">
        <v>44830.953125</v>
      </c>
      <c r="C578" s="1" t="n">
        <v>46033</v>
      </c>
      <c r="D578" t="inlineStr">
        <is>
          <t>JÄMTLANDS LÄN</t>
        </is>
      </c>
      <c r="E578" t="inlineStr">
        <is>
          <t>STRÖMSUND</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41828-2022</t>
        </is>
      </c>
      <c r="B579" s="1" t="n">
        <v>44827.94636574074</v>
      </c>
      <c r="C579" s="1" t="n">
        <v>46033</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33054-2022</t>
        </is>
      </c>
      <c r="B580" s="1" t="n">
        <v>44785</v>
      </c>
      <c r="C580" s="1" t="n">
        <v>46033</v>
      </c>
      <c r="D580" t="inlineStr">
        <is>
          <t>JÄMTLANDS LÄN</t>
        </is>
      </c>
      <c r="E580" t="inlineStr">
        <is>
          <t>STRÖMSUND</t>
        </is>
      </c>
      <c r="G580" t="n">
        <v>5</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46033</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46033</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50647-2022</t>
        </is>
      </c>
      <c r="B583" s="1" t="n">
        <v>44866.95054398148</v>
      </c>
      <c r="C583" s="1" t="n">
        <v>46033</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50663-2022</t>
        </is>
      </c>
      <c r="B584" s="1" t="n">
        <v>44866.95289351852</v>
      </c>
      <c r="C584" s="1" t="n">
        <v>46033</v>
      </c>
      <c r="D584" t="inlineStr">
        <is>
          <t>JÄMTLANDS LÄN</t>
        </is>
      </c>
      <c r="E584" t="inlineStr">
        <is>
          <t>STRÖMSUND</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37370-2021</t>
        </is>
      </c>
      <c r="B585" s="1" t="n">
        <v>44397</v>
      </c>
      <c r="C585" s="1" t="n">
        <v>46033</v>
      </c>
      <c r="D585" t="inlineStr">
        <is>
          <t>JÄMTLANDS LÄN</t>
        </is>
      </c>
      <c r="E585" t="inlineStr">
        <is>
          <t>STRÖMSUND</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37371-2021</t>
        </is>
      </c>
      <c r="B586" s="1" t="n">
        <v>44397.93497685185</v>
      </c>
      <c r="C586" s="1" t="n">
        <v>46033</v>
      </c>
      <c r="D586" t="inlineStr">
        <is>
          <t>JÄMTLANDS LÄN</t>
        </is>
      </c>
      <c r="E586" t="inlineStr">
        <is>
          <t>STRÖMSUND</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43844-2021</t>
        </is>
      </c>
      <c r="B587" s="1" t="n">
        <v>44433</v>
      </c>
      <c r="C587" s="1" t="n">
        <v>46033</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44600-2021</t>
        </is>
      </c>
      <c r="B588" s="1" t="n">
        <v>44435.94118055556</v>
      </c>
      <c r="C588" s="1" t="n">
        <v>46033</v>
      </c>
      <c r="D588" t="inlineStr">
        <is>
          <t>JÄMTLANDS LÄN</t>
        </is>
      </c>
      <c r="E588" t="inlineStr">
        <is>
          <t>STRÖMSUND</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47156-2022</t>
        </is>
      </c>
      <c r="B589" s="1" t="n">
        <v>44852.59005787037</v>
      </c>
      <c r="C589" s="1" t="n">
        <v>46033</v>
      </c>
      <c r="D589" t="inlineStr">
        <is>
          <t>JÄMTLANDS LÄN</t>
        </is>
      </c>
      <c r="E589" t="inlineStr">
        <is>
          <t>STRÖMSUND</t>
        </is>
      </c>
      <c r="F589" t="inlineStr">
        <is>
          <t>Holmen skog AB</t>
        </is>
      </c>
      <c r="G589" t="n">
        <v>15.1</v>
      </c>
      <c r="H589" t="n">
        <v>0</v>
      </c>
      <c r="I589" t="n">
        <v>0</v>
      </c>
      <c r="J589" t="n">
        <v>0</v>
      </c>
      <c r="K589" t="n">
        <v>0</v>
      </c>
      <c r="L589" t="n">
        <v>0</v>
      </c>
      <c r="M589" t="n">
        <v>0</v>
      </c>
      <c r="N589" t="n">
        <v>0</v>
      </c>
      <c r="O589" t="n">
        <v>0</v>
      </c>
      <c r="P589" t="n">
        <v>0</v>
      </c>
      <c r="Q589" t="n">
        <v>0</v>
      </c>
      <c r="R589" s="2" t="inlineStr"/>
    </row>
    <row r="590" ht="15" customHeight="1">
      <c r="A590" t="inlineStr">
        <is>
          <t>A 32531-2021</t>
        </is>
      </c>
      <c r="B590" s="1" t="n">
        <v>44374.93197916666</v>
      </c>
      <c r="C590" s="1" t="n">
        <v>46033</v>
      </c>
      <c r="D590" t="inlineStr">
        <is>
          <t>JÄMTLANDS LÄN</t>
        </is>
      </c>
      <c r="E590" t="inlineStr">
        <is>
          <t>STRÖMSUND</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40657-2021</t>
        </is>
      </c>
      <c r="B591" s="1" t="n">
        <v>44420.56561342593</v>
      </c>
      <c r="C591" s="1" t="n">
        <v>46033</v>
      </c>
      <c r="D591" t="inlineStr">
        <is>
          <t>JÄMTLANDS LÄN</t>
        </is>
      </c>
      <c r="E591" t="inlineStr">
        <is>
          <t>STRÖMSUND</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44453-2022</t>
        </is>
      </c>
      <c r="B592" s="1" t="n">
        <v>44839.95537037037</v>
      </c>
      <c r="C592" s="1" t="n">
        <v>46033</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48546-2022</t>
        </is>
      </c>
      <c r="B593" s="1" t="n">
        <v>44858</v>
      </c>
      <c r="C593" s="1" t="n">
        <v>46033</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54844-2022</t>
        </is>
      </c>
      <c r="B594" s="1" t="n">
        <v>44883.95006944444</v>
      </c>
      <c r="C594" s="1" t="n">
        <v>46033</v>
      </c>
      <c r="D594" t="inlineStr">
        <is>
          <t>JÄMTLANDS LÄN</t>
        </is>
      </c>
      <c r="E594" t="inlineStr">
        <is>
          <t>STRÖMSUND</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40287-2022</t>
        </is>
      </c>
      <c r="B595" s="1" t="n">
        <v>44820.94685185186</v>
      </c>
      <c r="C595" s="1" t="n">
        <v>46033</v>
      </c>
      <c r="D595" t="inlineStr">
        <is>
          <t>JÄMTLANDS LÄN</t>
        </is>
      </c>
      <c r="E595" t="inlineStr">
        <is>
          <t>STRÖMSUND</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41491-2021</t>
        </is>
      </c>
      <c r="B596" s="1" t="n">
        <v>44424</v>
      </c>
      <c r="C596" s="1" t="n">
        <v>46033</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3165-2022</t>
        </is>
      </c>
      <c r="B597" s="1" t="n">
        <v>44582</v>
      </c>
      <c r="C597" s="1" t="n">
        <v>46033</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10249-2022</t>
        </is>
      </c>
      <c r="B598" s="1" t="n">
        <v>44622.59777777778</v>
      </c>
      <c r="C598" s="1" t="n">
        <v>46033</v>
      </c>
      <c r="D598" t="inlineStr">
        <is>
          <t>JÄMTLANDS LÄN</t>
        </is>
      </c>
      <c r="E598" t="inlineStr">
        <is>
          <t>STRÖMSUND</t>
        </is>
      </c>
      <c r="G598" t="n">
        <v>5</v>
      </c>
      <c r="H598" t="n">
        <v>0</v>
      </c>
      <c r="I598" t="n">
        <v>0</v>
      </c>
      <c r="J598" t="n">
        <v>0</v>
      </c>
      <c r="K598" t="n">
        <v>0</v>
      </c>
      <c r="L598" t="n">
        <v>0</v>
      </c>
      <c r="M598" t="n">
        <v>0</v>
      </c>
      <c r="N598" t="n">
        <v>0</v>
      </c>
      <c r="O598" t="n">
        <v>0</v>
      </c>
      <c r="P598" t="n">
        <v>0</v>
      </c>
      <c r="Q598" t="n">
        <v>0</v>
      </c>
      <c r="R598" s="2" t="inlineStr"/>
    </row>
    <row r="599" ht="15" customHeight="1">
      <c r="A599" t="inlineStr">
        <is>
          <t>A 4455-2022</t>
        </is>
      </c>
      <c r="B599" s="1" t="n">
        <v>44589</v>
      </c>
      <c r="C599" s="1" t="n">
        <v>46033</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20334-2022</t>
        </is>
      </c>
      <c r="B600" s="1" t="n">
        <v>44699</v>
      </c>
      <c r="C600" s="1" t="n">
        <v>46033</v>
      </c>
      <c r="D600" t="inlineStr">
        <is>
          <t>JÄMTLANDS LÄN</t>
        </is>
      </c>
      <c r="E600" t="inlineStr">
        <is>
          <t>STRÖMSUND</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10136-2022</t>
        </is>
      </c>
      <c r="B601" s="1" t="n">
        <v>44621</v>
      </c>
      <c r="C601" s="1" t="n">
        <v>46033</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9957-2022</t>
        </is>
      </c>
      <c r="B602" s="1" t="n">
        <v>44620</v>
      </c>
      <c r="C602" s="1" t="n">
        <v>46033</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56091-2022</t>
        </is>
      </c>
      <c r="B603" s="1" t="n">
        <v>44889.63935185185</v>
      </c>
      <c r="C603" s="1" t="n">
        <v>46033</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57547-2021</t>
        </is>
      </c>
      <c r="B604" s="1" t="n">
        <v>44483.94194444444</v>
      </c>
      <c r="C604" s="1" t="n">
        <v>46033</v>
      </c>
      <c r="D604" t="inlineStr">
        <is>
          <t>JÄMTLANDS LÄN</t>
        </is>
      </c>
      <c r="E604" t="inlineStr">
        <is>
          <t>STRÖMSUND</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52806-2022</t>
        </is>
      </c>
      <c r="B605" s="1" t="n">
        <v>44872</v>
      </c>
      <c r="C605" s="1" t="n">
        <v>46033</v>
      </c>
      <c r="D605" t="inlineStr">
        <is>
          <t>JÄMTLANDS LÄN</t>
        </is>
      </c>
      <c r="E605" t="inlineStr">
        <is>
          <t>STRÖMSUND</t>
        </is>
      </c>
      <c r="G605" t="n">
        <v>0.8</v>
      </c>
      <c r="H605" t="n">
        <v>0</v>
      </c>
      <c r="I605" t="n">
        <v>0</v>
      </c>
      <c r="J605" t="n">
        <v>0</v>
      </c>
      <c r="K605" t="n">
        <v>0</v>
      </c>
      <c r="L605" t="n">
        <v>0</v>
      </c>
      <c r="M605" t="n">
        <v>0</v>
      </c>
      <c r="N605" t="n">
        <v>0</v>
      </c>
      <c r="O605" t="n">
        <v>0</v>
      </c>
      <c r="P605" t="n">
        <v>0</v>
      </c>
      <c r="Q605" t="n">
        <v>0</v>
      </c>
      <c r="R605" s="2" t="inlineStr"/>
    </row>
    <row r="606" ht="15" customHeight="1">
      <c r="A606" t="inlineStr">
        <is>
          <t>A 73288-2021</t>
        </is>
      </c>
      <c r="B606" s="1" t="n">
        <v>44550</v>
      </c>
      <c r="C606" s="1" t="n">
        <v>46033</v>
      </c>
      <c r="D606" t="inlineStr">
        <is>
          <t>JÄMTLANDS LÄN</t>
        </is>
      </c>
      <c r="E606" t="inlineStr">
        <is>
          <t>STRÖMSUND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43459-2022</t>
        </is>
      </c>
      <c r="B607" s="1" t="n">
        <v>44835.95378472222</v>
      </c>
      <c r="C607" s="1" t="n">
        <v>46033</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25018-2022</t>
        </is>
      </c>
      <c r="B608" s="1" t="n">
        <v>44728</v>
      </c>
      <c r="C608" s="1" t="n">
        <v>46033</v>
      </c>
      <c r="D608" t="inlineStr">
        <is>
          <t>JÄMTLANDS LÄN</t>
        </is>
      </c>
      <c r="E608" t="inlineStr">
        <is>
          <t>STRÖMSUND</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34890-2022</t>
        </is>
      </c>
      <c r="B609" s="1" t="n">
        <v>44796.53650462963</v>
      </c>
      <c r="C609" s="1" t="n">
        <v>46033</v>
      </c>
      <c r="D609" t="inlineStr">
        <is>
          <t>JÄMTLANDS LÄN</t>
        </is>
      </c>
      <c r="E609" t="inlineStr">
        <is>
          <t>STRÖMSUND</t>
        </is>
      </c>
      <c r="G609" t="n">
        <v>2.2</v>
      </c>
      <c r="H609" t="n">
        <v>0</v>
      </c>
      <c r="I609" t="n">
        <v>0</v>
      </c>
      <c r="J609" t="n">
        <v>0</v>
      </c>
      <c r="K609" t="n">
        <v>0</v>
      </c>
      <c r="L609" t="n">
        <v>0</v>
      </c>
      <c r="M609" t="n">
        <v>0</v>
      </c>
      <c r="N609" t="n">
        <v>0</v>
      </c>
      <c r="O609" t="n">
        <v>0</v>
      </c>
      <c r="P609" t="n">
        <v>0</v>
      </c>
      <c r="Q609" t="n">
        <v>0</v>
      </c>
      <c r="R609" s="2" t="inlineStr"/>
    </row>
    <row r="610" ht="15" customHeight="1">
      <c r="A610" t="inlineStr">
        <is>
          <t>A 35971-2022</t>
        </is>
      </c>
      <c r="B610" s="1" t="n">
        <v>44802</v>
      </c>
      <c r="C610" s="1" t="n">
        <v>46033</v>
      </c>
      <c r="D610" t="inlineStr">
        <is>
          <t>JÄMTLANDS LÄN</t>
        </is>
      </c>
      <c r="E610" t="inlineStr">
        <is>
          <t>STRÖMSUND</t>
        </is>
      </c>
      <c r="F610" t="inlineStr">
        <is>
          <t>Sveaskog</t>
        </is>
      </c>
      <c r="G610" t="n">
        <v>17.2</v>
      </c>
      <c r="H610" t="n">
        <v>0</v>
      </c>
      <c r="I610" t="n">
        <v>0</v>
      </c>
      <c r="J610" t="n">
        <v>0</v>
      </c>
      <c r="K610" t="n">
        <v>0</v>
      </c>
      <c r="L610" t="n">
        <v>0</v>
      </c>
      <c r="M610" t="n">
        <v>0</v>
      </c>
      <c r="N610" t="n">
        <v>0</v>
      </c>
      <c r="O610" t="n">
        <v>0</v>
      </c>
      <c r="P610" t="n">
        <v>0</v>
      </c>
      <c r="Q610" t="n">
        <v>0</v>
      </c>
      <c r="R610" s="2" t="inlineStr"/>
    </row>
    <row r="611" ht="15" customHeight="1">
      <c r="A611" t="inlineStr">
        <is>
          <t>A 47290-2022</t>
        </is>
      </c>
      <c r="B611" s="1" t="n">
        <v>44852</v>
      </c>
      <c r="C611" s="1" t="n">
        <v>46033</v>
      </c>
      <c r="D611" t="inlineStr">
        <is>
          <t>JÄMTLANDS LÄN</t>
        </is>
      </c>
      <c r="E611" t="inlineStr">
        <is>
          <t>STRÖMSUND</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46033</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46033</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40290-2022</t>
        </is>
      </c>
      <c r="B614" s="1" t="n">
        <v>44820.94702546296</v>
      </c>
      <c r="C614" s="1" t="n">
        <v>46033</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47291-2022</t>
        </is>
      </c>
      <c r="B615" s="1" t="n">
        <v>44852</v>
      </c>
      <c r="C615" s="1" t="n">
        <v>46033</v>
      </c>
      <c r="D615" t="inlineStr">
        <is>
          <t>JÄMTLANDS LÄN</t>
        </is>
      </c>
      <c r="E615" t="inlineStr">
        <is>
          <t>STRÖMSUND</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47566-2022</t>
        </is>
      </c>
      <c r="B616" s="1" t="n">
        <v>44853.94927083333</v>
      </c>
      <c r="C616" s="1" t="n">
        <v>46033</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22814-2022</t>
        </is>
      </c>
      <c r="B617" s="1" t="n">
        <v>44715</v>
      </c>
      <c r="C617" s="1" t="n">
        <v>46033</v>
      </c>
      <c r="D617" t="inlineStr">
        <is>
          <t>JÄMTLANDS LÄN</t>
        </is>
      </c>
      <c r="E617" t="inlineStr">
        <is>
          <t>STRÖMSUND</t>
        </is>
      </c>
      <c r="G617" t="n">
        <v>6.5</v>
      </c>
      <c r="H617" t="n">
        <v>0</v>
      </c>
      <c r="I617" t="n">
        <v>0</v>
      </c>
      <c r="J617" t="n">
        <v>0</v>
      </c>
      <c r="K617" t="n">
        <v>0</v>
      </c>
      <c r="L617" t="n">
        <v>0</v>
      </c>
      <c r="M617" t="n">
        <v>0</v>
      </c>
      <c r="N617" t="n">
        <v>0</v>
      </c>
      <c r="O617" t="n">
        <v>0</v>
      </c>
      <c r="P617" t="n">
        <v>0</v>
      </c>
      <c r="Q617" t="n">
        <v>0</v>
      </c>
      <c r="R617" s="2" t="inlineStr"/>
    </row>
    <row r="618" ht="15" customHeight="1">
      <c r="A618" t="inlineStr">
        <is>
          <t>A 48545-2022</t>
        </is>
      </c>
      <c r="B618" s="1" t="n">
        <v>44858</v>
      </c>
      <c r="C618" s="1" t="n">
        <v>46033</v>
      </c>
      <c r="D618" t="inlineStr">
        <is>
          <t>JÄMTLANDS LÄN</t>
        </is>
      </c>
      <c r="E618" t="inlineStr">
        <is>
          <t>STRÖMSUND</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64309-2021</t>
        </is>
      </c>
      <c r="B619" s="1" t="n">
        <v>44510</v>
      </c>
      <c r="C619" s="1" t="n">
        <v>46033</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25963-2021</t>
        </is>
      </c>
      <c r="B620" s="1" t="n">
        <v>44344.52491898148</v>
      </c>
      <c r="C620" s="1" t="n">
        <v>46033</v>
      </c>
      <c r="D620" t="inlineStr">
        <is>
          <t>JÄMTLANDS LÄN</t>
        </is>
      </c>
      <c r="E620" t="inlineStr">
        <is>
          <t>STRÖMSUND</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27031-2022</t>
        </is>
      </c>
      <c r="B621" s="1" t="n">
        <v>44740.94326388889</v>
      </c>
      <c r="C621" s="1" t="n">
        <v>46033</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46033</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30220-2022</t>
        </is>
      </c>
      <c r="B623" s="1" t="n">
        <v>44757.94265046297</v>
      </c>
      <c r="C623" s="1" t="n">
        <v>46033</v>
      </c>
      <c r="D623" t="inlineStr">
        <is>
          <t>JÄMTLANDS LÄN</t>
        </is>
      </c>
      <c r="E623" t="inlineStr">
        <is>
          <t>STRÖMSUND</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35342-2021</t>
        </is>
      </c>
      <c r="B624" s="1" t="n">
        <v>44384.9189699074</v>
      </c>
      <c r="C624" s="1" t="n">
        <v>46033</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69143-2021</t>
        </is>
      </c>
      <c r="B625" s="1" t="n">
        <v>44530</v>
      </c>
      <c r="C625" s="1" t="n">
        <v>46033</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31740-2021</t>
        </is>
      </c>
      <c r="B626" s="1" t="n">
        <v>44369.93760416667</v>
      </c>
      <c r="C626" s="1" t="n">
        <v>46033</v>
      </c>
      <c r="D626" t="inlineStr">
        <is>
          <t>JÄMTLANDS LÄN</t>
        </is>
      </c>
      <c r="E626" t="inlineStr">
        <is>
          <t>STRÖMSUND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1107-2022</t>
        </is>
      </c>
      <c r="B627" s="1" t="n">
        <v>44571</v>
      </c>
      <c r="C627" s="1" t="n">
        <v>46033</v>
      </c>
      <c r="D627" t="inlineStr">
        <is>
          <t>JÄMTLANDS LÄN</t>
        </is>
      </c>
      <c r="E627" t="inlineStr">
        <is>
          <t>STRÖMSUND</t>
        </is>
      </c>
      <c r="G627" t="n">
        <v>5.2</v>
      </c>
      <c r="H627" t="n">
        <v>0</v>
      </c>
      <c r="I627" t="n">
        <v>0</v>
      </c>
      <c r="J627" t="n">
        <v>0</v>
      </c>
      <c r="K627" t="n">
        <v>0</v>
      </c>
      <c r="L627" t="n">
        <v>0</v>
      </c>
      <c r="M627" t="n">
        <v>0</v>
      </c>
      <c r="N627" t="n">
        <v>0</v>
      </c>
      <c r="O627" t="n">
        <v>0</v>
      </c>
      <c r="P627" t="n">
        <v>0</v>
      </c>
      <c r="Q627" t="n">
        <v>0</v>
      </c>
      <c r="R627" s="2" t="inlineStr"/>
    </row>
    <row r="628" ht="15" customHeight="1">
      <c r="A628" t="inlineStr">
        <is>
          <t>A 34521-2022</t>
        </is>
      </c>
      <c r="B628" s="1" t="n">
        <v>44792.94493055555</v>
      </c>
      <c r="C628" s="1" t="n">
        <v>46033</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69139-2021</t>
        </is>
      </c>
      <c r="B629" s="1" t="n">
        <v>44530.94604166667</v>
      </c>
      <c r="C629" s="1" t="n">
        <v>46033</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46033</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46033</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46033</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50313-2022</t>
        </is>
      </c>
      <c r="B633" s="1" t="n">
        <v>44865</v>
      </c>
      <c r="C633" s="1" t="n">
        <v>46033</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50315-2022</t>
        </is>
      </c>
      <c r="B634" s="1" t="n">
        <v>44865</v>
      </c>
      <c r="C634" s="1" t="n">
        <v>46033</v>
      </c>
      <c r="D634" t="inlineStr">
        <is>
          <t>JÄMTLANDS LÄN</t>
        </is>
      </c>
      <c r="E634" t="inlineStr">
        <is>
          <t>STRÖMSUND</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33231-2022</t>
        </is>
      </c>
      <c r="B635" s="1" t="n">
        <v>44785.9421875</v>
      </c>
      <c r="C635" s="1" t="n">
        <v>46033</v>
      </c>
      <c r="D635" t="inlineStr">
        <is>
          <t>JÄMTLANDS LÄN</t>
        </is>
      </c>
      <c r="E635" t="inlineStr">
        <is>
          <t>STRÖMSUND</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5384-2021</t>
        </is>
      </c>
      <c r="B636" s="1" t="n">
        <v>44228</v>
      </c>
      <c r="C636" s="1" t="n">
        <v>46033</v>
      </c>
      <c r="D636" t="inlineStr">
        <is>
          <t>JÄMTLANDS LÄN</t>
        </is>
      </c>
      <c r="E636" t="inlineStr">
        <is>
          <t>STRÖMSUND</t>
        </is>
      </c>
      <c r="G636" t="n">
        <v>18.3</v>
      </c>
      <c r="H636" t="n">
        <v>0</v>
      </c>
      <c r="I636" t="n">
        <v>0</v>
      </c>
      <c r="J636" t="n">
        <v>0</v>
      </c>
      <c r="K636" t="n">
        <v>0</v>
      </c>
      <c r="L636" t="n">
        <v>0</v>
      </c>
      <c r="M636" t="n">
        <v>0</v>
      </c>
      <c r="N636" t="n">
        <v>0</v>
      </c>
      <c r="O636" t="n">
        <v>0</v>
      </c>
      <c r="P636" t="n">
        <v>0</v>
      </c>
      <c r="Q636" t="n">
        <v>0</v>
      </c>
      <c r="R636" s="2" t="inlineStr"/>
    </row>
    <row r="637" ht="15" customHeight="1">
      <c r="A637" t="inlineStr">
        <is>
          <t>A 10698-2022</t>
        </is>
      </c>
      <c r="B637" s="1" t="n">
        <v>44624</v>
      </c>
      <c r="C637" s="1" t="n">
        <v>46033</v>
      </c>
      <c r="D637" t="inlineStr">
        <is>
          <t>JÄMTLANDS LÄN</t>
        </is>
      </c>
      <c r="E637" t="inlineStr">
        <is>
          <t>STRÖMSUND</t>
        </is>
      </c>
      <c r="F637" t="inlineStr">
        <is>
          <t>SCA</t>
        </is>
      </c>
      <c r="G637" t="n">
        <v>0.3</v>
      </c>
      <c r="H637" t="n">
        <v>0</v>
      </c>
      <c r="I637" t="n">
        <v>0</v>
      </c>
      <c r="J637" t="n">
        <v>0</v>
      </c>
      <c r="K637" t="n">
        <v>0</v>
      </c>
      <c r="L637" t="n">
        <v>0</v>
      </c>
      <c r="M637" t="n">
        <v>0</v>
      </c>
      <c r="N637" t="n">
        <v>0</v>
      </c>
      <c r="O637" t="n">
        <v>0</v>
      </c>
      <c r="P637" t="n">
        <v>0</v>
      </c>
      <c r="Q637" t="n">
        <v>0</v>
      </c>
      <c r="R637" s="2" t="inlineStr"/>
    </row>
    <row r="638" ht="15" customHeight="1">
      <c r="A638" t="inlineStr">
        <is>
          <t>A 44429-2022</t>
        </is>
      </c>
      <c r="B638" s="1" t="n">
        <v>44839</v>
      </c>
      <c r="C638" s="1" t="n">
        <v>46033</v>
      </c>
      <c r="D638" t="inlineStr">
        <is>
          <t>JÄMTLANDS LÄN</t>
        </is>
      </c>
      <c r="E638" t="inlineStr">
        <is>
          <t>STRÖMSUND</t>
        </is>
      </c>
      <c r="F638" t="inlineStr">
        <is>
          <t>SCA</t>
        </is>
      </c>
      <c r="G638" t="n">
        <v>52.1</v>
      </c>
      <c r="H638" t="n">
        <v>0</v>
      </c>
      <c r="I638" t="n">
        <v>0</v>
      </c>
      <c r="J638" t="n">
        <v>0</v>
      </c>
      <c r="K638" t="n">
        <v>0</v>
      </c>
      <c r="L638" t="n">
        <v>0</v>
      </c>
      <c r="M638" t="n">
        <v>0</v>
      </c>
      <c r="N638" t="n">
        <v>0</v>
      </c>
      <c r="O638" t="n">
        <v>0</v>
      </c>
      <c r="P638" t="n">
        <v>0</v>
      </c>
      <c r="Q638" t="n">
        <v>0</v>
      </c>
      <c r="R638" s="2" t="inlineStr"/>
    </row>
    <row r="639" ht="15" customHeight="1">
      <c r="A639" t="inlineStr">
        <is>
          <t>A 22338-2022</t>
        </is>
      </c>
      <c r="B639" s="1" t="n">
        <v>44712</v>
      </c>
      <c r="C639" s="1" t="n">
        <v>46033</v>
      </c>
      <c r="D639" t="inlineStr">
        <is>
          <t>JÄMTLANDS LÄN</t>
        </is>
      </c>
      <c r="E639" t="inlineStr">
        <is>
          <t>STRÖMSUND</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46033</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46033</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46033</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30230-2022</t>
        </is>
      </c>
      <c r="B643" s="1" t="n">
        <v>44757</v>
      </c>
      <c r="C643" s="1" t="n">
        <v>46033</v>
      </c>
      <c r="D643" t="inlineStr">
        <is>
          <t>JÄMTLANDS LÄN</t>
        </is>
      </c>
      <c r="E643" t="inlineStr">
        <is>
          <t>STRÖMSUND</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30030-2022</t>
        </is>
      </c>
      <c r="B644" s="1" t="n">
        <v>44756.94512731482</v>
      </c>
      <c r="C644" s="1" t="n">
        <v>46033</v>
      </c>
      <c r="D644" t="inlineStr">
        <is>
          <t>JÄMTLANDS LÄN</t>
        </is>
      </c>
      <c r="E644" t="inlineStr">
        <is>
          <t>STRÖMSUND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7157-2022</t>
        </is>
      </c>
      <c r="B645" s="1" t="n">
        <v>44603.96527777778</v>
      </c>
      <c r="C645" s="1" t="n">
        <v>46033</v>
      </c>
      <c r="D645" t="inlineStr">
        <is>
          <t>JÄMTLANDS LÄN</t>
        </is>
      </c>
      <c r="E645" t="inlineStr">
        <is>
          <t>STRÖMSUND</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31089-2021</t>
        </is>
      </c>
      <c r="B646" s="1" t="n">
        <v>44368</v>
      </c>
      <c r="C646" s="1" t="n">
        <v>46033</v>
      </c>
      <c r="D646" t="inlineStr">
        <is>
          <t>JÄMTLANDS LÄN</t>
        </is>
      </c>
      <c r="E646" t="inlineStr">
        <is>
          <t>STRÖMSUND</t>
        </is>
      </c>
      <c r="G646" t="n">
        <v>1.4</v>
      </c>
      <c r="H646" t="n">
        <v>0</v>
      </c>
      <c r="I646" t="n">
        <v>0</v>
      </c>
      <c r="J646" t="n">
        <v>0</v>
      </c>
      <c r="K646" t="n">
        <v>0</v>
      </c>
      <c r="L646" t="n">
        <v>0</v>
      </c>
      <c r="M646" t="n">
        <v>0</v>
      </c>
      <c r="N646" t="n">
        <v>0</v>
      </c>
      <c r="O646" t="n">
        <v>0</v>
      </c>
      <c r="P646" t="n">
        <v>0</v>
      </c>
      <c r="Q646" t="n">
        <v>0</v>
      </c>
      <c r="R646" s="2" t="inlineStr"/>
    </row>
    <row r="647" ht="15" customHeight="1">
      <c r="A647" t="inlineStr">
        <is>
          <t>A 23103-2021</t>
        </is>
      </c>
      <c r="B647" s="1" t="n">
        <v>44330</v>
      </c>
      <c r="C647" s="1" t="n">
        <v>46033</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28290-2022</t>
        </is>
      </c>
      <c r="B648" s="1" t="n">
        <v>44746.94305555556</v>
      </c>
      <c r="C648" s="1" t="n">
        <v>46033</v>
      </c>
      <c r="D648" t="inlineStr">
        <is>
          <t>JÄMTLANDS LÄN</t>
        </is>
      </c>
      <c r="E648" t="inlineStr">
        <is>
          <t>STRÖMSUND</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32465-2021</t>
        </is>
      </c>
      <c r="B649" s="1" t="n">
        <v>44371</v>
      </c>
      <c r="C649" s="1" t="n">
        <v>46033</v>
      </c>
      <c r="D649" t="inlineStr">
        <is>
          <t>JÄMTLANDS LÄN</t>
        </is>
      </c>
      <c r="E649" t="inlineStr">
        <is>
          <t>STRÖMSUND</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24918-2022</t>
        </is>
      </c>
      <c r="B650" s="1" t="n">
        <v>44728</v>
      </c>
      <c r="C650" s="1" t="n">
        <v>46033</v>
      </c>
      <c r="D650" t="inlineStr">
        <is>
          <t>JÄMTLANDS LÄN</t>
        </is>
      </c>
      <c r="E650" t="inlineStr">
        <is>
          <t>STRÖMSUND</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32359-2021</t>
        </is>
      </c>
      <c r="B651" s="1" t="n">
        <v>44371</v>
      </c>
      <c r="C651" s="1" t="n">
        <v>46033</v>
      </c>
      <c r="D651" t="inlineStr">
        <is>
          <t>JÄMTLANDS LÄN</t>
        </is>
      </c>
      <c r="E651" t="inlineStr">
        <is>
          <t>STRÖMSUND</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52038-2022</t>
        </is>
      </c>
      <c r="B652" s="1" t="n">
        <v>44872.95784722222</v>
      </c>
      <c r="C652" s="1" t="n">
        <v>46033</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55524-2022</t>
        </is>
      </c>
      <c r="B653" s="1" t="n">
        <v>44887.94931712963</v>
      </c>
      <c r="C653" s="1" t="n">
        <v>46033</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43839-2021</t>
        </is>
      </c>
      <c r="B654" s="1" t="n">
        <v>44433.94148148148</v>
      </c>
      <c r="C654" s="1" t="n">
        <v>46033</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44229-2021</t>
        </is>
      </c>
      <c r="B655" s="1" t="n">
        <v>44434</v>
      </c>
      <c r="C655" s="1" t="n">
        <v>46033</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46033</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49212-2021</t>
        </is>
      </c>
      <c r="B657" s="1" t="n">
        <v>44454</v>
      </c>
      <c r="C657" s="1" t="n">
        <v>46033</v>
      </c>
      <c r="D657" t="inlineStr">
        <is>
          <t>JÄMTLANDS LÄN</t>
        </is>
      </c>
      <c r="E657" t="inlineStr">
        <is>
          <t>STRÖMSUND</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27037-2022</t>
        </is>
      </c>
      <c r="B658" s="1" t="n">
        <v>44740.94364583334</v>
      </c>
      <c r="C658" s="1" t="n">
        <v>46033</v>
      </c>
      <c r="D658" t="inlineStr">
        <is>
          <t>JÄMTLANDS LÄN</t>
        </is>
      </c>
      <c r="E658" t="inlineStr">
        <is>
          <t>STRÖMSUND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40841-2022</t>
        </is>
      </c>
      <c r="B659" s="1" t="n">
        <v>44824.94743055556</v>
      </c>
      <c r="C659" s="1" t="n">
        <v>46033</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37093-2022</t>
        </is>
      </c>
      <c r="B660" s="1" t="n">
        <v>44806</v>
      </c>
      <c r="C660" s="1" t="n">
        <v>46033</v>
      </c>
      <c r="D660" t="inlineStr">
        <is>
          <t>JÄMTLANDS LÄN</t>
        </is>
      </c>
      <c r="E660" t="inlineStr">
        <is>
          <t>STRÖMSUND</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46033</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70079-2021</t>
        </is>
      </c>
      <c r="B662" s="1" t="n">
        <v>44533.53759259259</v>
      </c>
      <c r="C662" s="1" t="n">
        <v>46033</v>
      </c>
      <c r="D662" t="inlineStr">
        <is>
          <t>JÄMTLANDS LÄN</t>
        </is>
      </c>
      <c r="E662" t="inlineStr">
        <is>
          <t>STRÖMSUND</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59126-2021</t>
        </is>
      </c>
      <c r="B663" s="1" t="n">
        <v>44487</v>
      </c>
      <c r="C663" s="1" t="n">
        <v>46033</v>
      </c>
      <c r="D663" t="inlineStr">
        <is>
          <t>JÄMTLANDS LÄN</t>
        </is>
      </c>
      <c r="E663" t="inlineStr">
        <is>
          <t>STRÖMSUND</t>
        </is>
      </c>
      <c r="G663" t="n">
        <v>1.3</v>
      </c>
      <c r="H663" t="n">
        <v>0</v>
      </c>
      <c r="I663" t="n">
        <v>0</v>
      </c>
      <c r="J663" t="n">
        <v>0</v>
      </c>
      <c r="K663" t="n">
        <v>0</v>
      </c>
      <c r="L663" t="n">
        <v>0</v>
      </c>
      <c r="M663" t="n">
        <v>0</v>
      </c>
      <c r="N663" t="n">
        <v>0</v>
      </c>
      <c r="O663" t="n">
        <v>0</v>
      </c>
      <c r="P663" t="n">
        <v>0</v>
      </c>
      <c r="Q663" t="n">
        <v>0</v>
      </c>
      <c r="R663" s="2" t="inlineStr"/>
    </row>
    <row r="664" ht="15" customHeight="1">
      <c r="A664" t="inlineStr">
        <is>
          <t>A 59313-2021</t>
        </is>
      </c>
      <c r="B664" s="1" t="n">
        <v>44490.94037037037</v>
      </c>
      <c r="C664" s="1" t="n">
        <v>46033</v>
      </c>
      <c r="D664" t="inlineStr">
        <is>
          <t>JÄMTLANDS LÄN</t>
        </is>
      </c>
      <c r="E664" t="inlineStr">
        <is>
          <t>STRÖMSUND</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27148-2021</t>
        </is>
      </c>
      <c r="B665" s="1" t="n">
        <v>44350</v>
      </c>
      <c r="C665" s="1" t="n">
        <v>46033</v>
      </c>
      <c r="D665" t="inlineStr">
        <is>
          <t>JÄMTLANDS LÄN</t>
        </is>
      </c>
      <c r="E665" t="inlineStr">
        <is>
          <t>STRÖMSUND</t>
        </is>
      </c>
      <c r="G665" t="n">
        <v>10.9</v>
      </c>
      <c r="H665" t="n">
        <v>0</v>
      </c>
      <c r="I665" t="n">
        <v>0</v>
      </c>
      <c r="J665" t="n">
        <v>0</v>
      </c>
      <c r="K665" t="n">
        <v>0</v>
      </c>
      <c r="L665" t="n">
        <v>0</v>
      </c>
      <c r="M665" t="n">
        <v>0</v>
      </c>
      <c r="N665" t="n">
        <v>0</v>
      </c>
      <c r="O665" t="n">
        <v>0</v>
      </c>
      <c r="P665" t="n">
        <v>0</v>
      </c>
      <c r="Q665" t="n">
        <v>0</v>
      </c>
      <c r="R665" s="2" t="inlineStr"/>
    </row>
    <row r="666" ht="15" customHeight="1">
      <c r="A666" t="inlineStr">
        <is>
          <t>A 27232-2021</t>
        </is>
      </c>
      <c r="B666" s="1" t="n">
        <v>44350</v>
      </c>
      <c r="C666" s="1" t="n">
        <v>46033</v>
      </c>
      <c r="D666" t="inlineStr">
        <is>
          <t>JÄMTLANDS LÄN</t>
        </is>
      </c>
      <c r="E666" t="inlineStr">
        <is>
          <t>STRÖMSUND</t>
        </is>
      </c>
      <c r="G666" t="n">
        <v>3.3</v>
      </c>
      <c r="H666" t="n">
        <v>0</v>
      </c>
      <c r="I666" t="n">
        <v>0</v>
      </c>
      <c r="J666" t="n">
        <v>0</v>
      </c>
      <c r="K666" t="n">
        <v>0</v>
      </c>
      <c r="L666" t="n">
        <v>0</v>
      </c>
      <c r="M666" t="n">
        <v>0</v>
      </c>
      <c r="N666" t="n">
        <v>0</v>
      </c>
      <c r="O666" t="n">
        <v>0</v>
      </c>
      <c r="P666" t="n">
        <v>0</v>
      </c>
      <c r="Q666" t="n">
        <v>0</v>
      </c>
      <c r="R666" s="2" t="inlineStr"/>
    </row>
    <row r="667" ht="15" customHeight="1">
      <c r="A667" t="inlineStr">
        <is>
          <t>A 59969-2021</t>
        </is>
      </c>
      <c r="B667" s="1" t="n">
        <v>44494.93578703704</v>
      </c>
      <c r="C667" s="1" t="n">
        <v>46033</v>
      </c>
      <c r="D667" t="inlineStr">
        <is>
          <t>JÄMTLANDS LÄN</t>
        </is>
      </c>
      <c r="E667" t="inlineStr">
        <is>
          <t>STRÖMSUND</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64723-2021</t>
        </is>
      </c>
      <c r="B668" s="1" t="n">
        <v>44512</v>
      </c>
      <c r="C668" s="1" t="n">
        <v>46033</v>
      </c>
      <c r="D668" t="inlineStr">
        <is>
          <t>JÄMTLANDS LÄN</t>
        </is>
      </c>
      <c r="E668" t="inlineStr">
        <is>
          <t>STRÖMSUND</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364-2022</t>
        </is>
      </c>
      <c r="B669" s="1" t="n">
        <v>44565</v>
      </c>
      <c r="C669" s="1" t="n">
        <v>46033</v>
      </c>
      <c r="D669" t="inlineStr">
        <is>
          <t>JÄMTLANDS LÄN</t>
        </is>
      </c>
      <c r="E669" t="inlineStr">
        <is>
          <t>STRÖMSUND</t>
        </is>
      </c>
      <c r="G669" t="n">
        <v>9</v>
      </c>
      <c r="H669" t="n">
        <v>0</v>
      </c>
      <c r="I669" t="n">
        <v>0</v>
      </c>
      <c r="J669" t="n">
        <v>0</v>
      </c>
      <c r="K669" t="n">
        <v>0</v>
      </c>
      <c r="L669" t="n">
        <v>0</v>
      </c>
      <c r="M669" t="n">
        <v>0</v>
      </c>
      <c r="N669" t="n">
        <v>0</v>
      </c>
      <c r="O669" t="n">
        <v>0</v>
      </c>
      <c r="P669" t="n">
        <v>0</v>
      </c>
      <c r="Q669" t="n">
        <v>0</v>
      </c>
      <c r="R669" s="2" t="inlineStr"/>
    </row>
    <row r="670" ht="15" customHeight="1">
      <c r="A670" t="inlineStr">
        <is>
          <t>A 45641-2021</t>
        </is>
      </c>
      <c r="B670" s="1" t="n">
        <v>44440</v>
      </c>
      <c r="C670" s="1" t="n">
        <v>46033</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12428-2021</t>
        </is>
      </c>
      <c r="B671" s="1" t="n">
        <v>44267</v>
      </c>
      <c r="C671" s="1" t="n">
        <v>46033</v>
      </c>
      <c r="D671" t="inlineStr">
        <is>
          <t>JÄMTLANDS LÄN</t>
        </is>
      </c>
      <c r="E671" t="inlineStr">
        <is>
          <t>STRÖMSUND</t>
        </is>
      </c>
      <c r="G671" t="n">
        <v>19.6</v>
      </c>
      <c r="H671" t="n">
        <v>0</v>
      </c>
      <c r="I671" t="n">
        <v>0</v>
      </c>
      <c r="J671" t="n">
        <v>0</v>
      </c>
      <c r="K671" t="n">
        <v>0</v>
      </c>
      <c r="L671" t="n">
        <v>0</v>
      </c>
      <c r="M671" t="n">
        <v>0</v>
      </c>
      <c r="N671" t="n">
        <v>0</v>
      </c>
      <c r="O671" t="n">
        <v>0</v>
      </c>
      <c r="P671" t="n">
        <v>0</v>
      </c>
      <c r="Q671" t="n">
        <v>0</v>
      </c>
      <c r="R671" s="2" t="inlineStr"/>
    </row>
    <row r="672" ht="15" customHeight="1">
      <c r="A672" t="inlineStr">
        <is>
          <t>A 14703-2022</t>
        </is>
      </c>
      <c r="B672" s="1" t="n">
        <v>44655</v>
      </c>
      <c r="C672" s="1" t="n">
        <v>46033</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35044-2021</t>
        </is>
      </c>
      <c r="B673" s="1" t="n">
        <v>44383.92197916667</v>
      </c>
      <c r="C673" s="1" t="n">
        <v>46033</v>
      </c>
      <c r="D673" t="inlineStr">
        <is>
          <t>JÄMTLANDS LÄN</t>
        </is>
      </c>
      <c r="E673" t="inlineStr">
        <is>
          <t>STRÖMSUND</t>
        </is>
      </c>
      <c r="G673" t="n">
        <v>14.3</v>
      </c>
      <c r="H673" t="n">
        <v>0</v>
      </c>
      <c r="I673" t="n">
        <v>0</v>
      </c>
      <c r="J673" t="n">
        <v>0</v>
      </c>
      <c r="K673" t="n">
        <v>0</v>
      </c>
      <c r="L673" t="n">
        <v>0</v>
      </c>
      <c r="M673" t="n">
        <v>0</v>
      </c>
      <c r="N673" t="n">
        <v>0</v>
      </c>
      <c r="O673" t="n">
        <v>0</v>
      </c>
      <c r="P673" t="n">
        <v>0</v>
      </c>
      <c r="Q673" t="n">
        <v>0</v>
      </c>
      <c r="R673" s="2" t="inlineStr"/>
    </row>
    <row r="674" ht="15" customHeight="1">
      <c r="A674" t="inlineStr">
        <is>
          <t>A 49210-2021</t>
        </is>
      </c>
      <c r="B674" s="1" t="n">
        <v>44454.3434375</v>
      </c>
      <c r="C674" s="1" t="n">
        <v>46033</v>
      </c>
      <c r="D674" t="inlineStr">
        <is>
          <t>JÄMTLANDS LÄN</t>
        </is>
      </c>
      <c r="E674" t="inlineStr">
        <is>
          <t>STRÖMSUND</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25847-2022</t>
        </is>
      </c>
      <c r="B675" s="1" t="n">
        <v>44733.60694444444</v>
      </c>
      <c r="C675" s="1" t="n">
        <v>46033</v>
      </c>
      <c r="D675" t="inlineStr">
        <is>
          <t>JÄMTLANDS LÄN</t>
        </is>
      </c>
      <c r="E675" t="inlineStr">
        <is>
          <t>STRÖMSUND</t>
        </is>
      </c>
      <c r="F675" t="inlineStr">
        <is>
          <t>Kyrkan</t>
        </is>
      </c>
      <c r="G675" t="n">
        <v>5.3</v>
      </c>
      <c r="H675" t="n">
        <v>0</v>
      </c>
      <c r="I675" t="n">
        <v>0</v>
      </c>
      <c r="J675" t="n">
        <v>0</v>
      </c>
      <c r="K675" t="n">
        <v>0</v>
      </c>
      <c r="L675" t="n">
        <v>0</v>
      </c>
      <c r="M675" t="n">
        <v>0</v>
      </c>
      <c r="N675" t="n">
        <v>0</v>
      </c>
      <c r="O675" t="n">
        <v>0</v>
      </c>
      <c r="P675" t="n">
        <v>0</v>
      </c>
      <c r="Q675" t="n">
        <v>0</v>
      </c>
      <c r="R675" s="2" t="inlineStr"/>
    </row>
    <row r="676" ht="15" customHeight="1">
      <c r="A676" t="inlineStr">
        <is>
          <t>A 45630-2021</t>
        </is>
      </c>
      <c r="B676" s="1" t="n">
        <v>44440</v>
      </c>
      <c r="C676" s="1" t="n">
        <v>46033</v>
      </c>
      <c r="D676" t="inlineStr">
        <is>
          <t>JÄMTLANDS LÄN</t>
        </is>
      </c>
      <c r="E676" t="inlineStr">
        <is>
          <t>STRÖMSUND</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45074-2022</t>
        </is>
      </c>
      <c r="B677" s="1" t="n">
        <v>44841.939375</v>
      </c>
      <c r="C677" s="1" t="n">
        <v>46033</v>
      </c>
      <c r="D677" t="inlineStr">
        <is>
          <t>JÄMTLANDS LÄN</t>
        </is>
      </c>
      <c r="E677" t="inlineStr">
        <is>
          <t>STRÖMSUND</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15865-2022</t>
        </is>
      </c>
      <c r="B678" s="1" t="n">
        <v>44664</v>
      </c>
      <c r="C678" s="1" t="n">
        <v>46033</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48531-2022</t>
        </is>
      </c>
      <c r="B679" s="1" t="n">
        <v>44858</v>
      </c>
      <c r="C679" s="1" t="n">
        <v>46033</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45398-2022</t>
        </is>
      </c>
      <c r="B680" s="1" t="n">
        <v>44841</v>
      </c>
      <c r="C680" s="1" t="n">
        <v>46033</v>
      </c>
      <c r="D680" t="inlineStr">
        <is>
          <t>JÄMTLANDS LÄN</t>
        </is>
      </c>
      <c r="E680" t="inlineStr">
        <is>
          <t>STRÖMSUND</t>
        </is>
      </c>
      <c r="G680" t="n">
        <v>11.6</v>
      </c>
      <c r="H680" t="n">
        <v>0</v>
      </c>
      <c r="I680" t="n">
        <v>0</v>
      </c>
      <c r="J680" t="n">
        <v>0</v>
      </c>
      <c r="K680" t="n">
        <v>0</v>
      </c>
      <c r="L680" t="n">
        <v>0</v>
      </c>
      <c r="M680" t="n">
        <v>0</v>
      </c>
      <c r="N680" t="n">
        <v>0</v>
      </c>
      <c r="O680" t="n">
        <v>0</v>
      </c>
      <c r="P680" t="n">
        <v>0</v>
      </c>
      <c r="Q680" t="n">
        <v>0</v>
      </c>
      <c r="R680" s="2" t="inlineStr"/>
    </row>
    <row r="681" ht="15" customHeight="1">
      <c r="A681" t="inlineStr">
        <is>
          <t>A 24302-2022</t>
        </is>
      </c>
      <c r="B681" s="1" t="n">
        <v>44725.94356481481</v>
      </c>
      <c r="C681" s="1" t="n">
        <v>46033</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54050-2021</t>
        </is>
      </c>
      <c r="B682" s="1" t="n">
        <v>44470</v>
      </c>
      <c r="C682" s="1" t="n">
        <v>46033</v>
      </c>
      <c r="D682" t="inlineStr">
        <is>
          <t>JÄMTLANDS LÄN</t>
        </is>
      </c>
      <c r="E682" t="inlineStr">
        <is>
          <t>STRÖMSUND</t>
        </is>
      </c>
      <c r="G682" t="n">
        <v>2</v>
      </c>
      <c r="H682" t="n">
        <v>0</v>
      </c>
      <c r="I682" t="n">
        <v>0</v>
      </c>
      <c r="J682" t="n">
        <v>0</v>
      </c>
      <c r="K682" t="n">
        <v>0</v>
      </c>
      <c r="L682" t="n">
        <v>0</v>
      </c>
      <c r="M682" t="n">
        <v>0</v>
      </c>
      <c r="N682" t="n">
        <v>0</v>
      </c>
      <c r="O682" t="n">
        <v>0</v>
      </c>
      <c r="P682" t="n">
        <v>0</v>
      </c>
      <c r="Q682" t="n">
        <v>0</v>
      </c>
      <c r="R682" s="2" t="inlineStr"/>
    </row>
    <row r="683" ht="15" customHeight="1">
      <c r="A683" t="inlineStr">
        <is>
          <t>A 27978-2021</t>
        </is>
      </c>
      <c r="B683" s="1" t="n">
        <v>44354</v>
      </c>
      <c r="C683" s="1" t="n">
        <v>46033</v>
      </c>
      <c r="D683" t="inlineStr">
        <is>
          <t>JÄMTLANDS LÄN</t>
        </is>
      </c>
      <c r="E683" t="inlineStr">
        <is>
          <t>STRÖMSUND</t>
        </is>
      </c>
      <c r="F683" t="inlineStr">
        <is>
          <t>SCA</t>
        </is>
      </c>
      <c r="G683" t="n">
        <v>7.1</v>
      </c>
      <c r="H683" t="n">
        <v>0</v>
      </c>
      <c r="I683" t="n">
        <v>0</v>
      </c>
      <c r="J683" t="n">
        <v>0</v>
      </c>
      <c r="K683" t="n">
        <v>0</v>
      </c>
      <c r="L683" t="n">
        <v>0</v>
      </c>
      <c r="M683" t="n">
        <v>0</v>
      </c>
      <c r="N683" t="n">
        <v>0</v>
      </c>
      <c r="O683" t="n">
        <v>0</v>
      </c>
      <c r="P683" t="n">
        <v>0</v>
      </c>
      <c r="Q683" t="n">
        <v>0</v>
      </c>
      <c r="R683" s="2" t="inlineStr"/>
    </row>
    <row r="684" ht="15" customHeight="1">
      <c r="A684" t="inlineStr">
        <is>
          <t>A 27980-2021</t>
        </is>
      </c>
      <c r="B684" s="1" t="n">
        <v>44354</v>
      </c>
      <c r="C684" s="1" t="n">
        <v>46033</v>
      </c>
      <c r="D684" t="inlineStr">
        <is>
          <t>JÄMTLANDS LÄN</t>
        </is>
      </c>
      <c r="E684" t="inlineStr">
        <is>
          <t>STRÖMSUND</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55608-2021</t>
        </is>
      </c>
      <c r="B685" s="1" t="n">
        <v>44475</v>
      </c>
      <c r="C685" s="1" t="n">
        <v>46033</v>
      </c>
      <c r="D685" t="inlineStr">
        <is>
          <t>JÄMTLANDS LÄN</t>
        </is>
      </c>
      <c r="E685" t="inlineStr">
        <is>
          <t>STRÖMSUND</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20339-2022</t>
        </is>
      </c>
      <c r="B686" s="1" t="n">
        <v>44699</v>
      </c>
      <c r="C686" s="1" t="n">
        <v>46033</v>
      </c>
      <c r="D686" t="inlineStr">
        <is>
          <t>JÄMTLANDS LÄN</t>
        </is>
      </c>
      <c r="E686" t="inlineStr">
        <is>
          <t>STRÖMSUND</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49204-2021</t>
        </is>
      </c>
      <c r="B687" s="1" t="n">
        <v>44454</v>
      </c>
      <c r="C687" s="1" t="n">
        <v>46033</v>
      </c>
      <c r="D687" t="inlineStr">
        <is>
          <t>JÄMTLANDS LÄN</t>
        </is>
      </c>
      <c r="E687" t="inlineStr">
        <is>
          <t>STRÖMSUND</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49206-2021</t>
        </is>
      </c>
      <c r="B688" s="1" t="n">
        <v>44454</v>
      </c>
      <c r="C688" s="1" t="n">
        <v>46033</v>
      </c>
      <c r="D688" t="inlineStr">
        <is>
          <t>JÄMTLANDS LÄN</t>
        </is>
      </c>
      <c r="E688" t="inlineStr">
        <is>
          <t>STRÖMSUND</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46033</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22616-2022</t>
        </is>
      </c>
      <c r="B690" s="1" t="n">
        <v>44714</v>
      </c>
      <c r="C690" s="1" t="n">
        <v>46033</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33230-2022</t>
        </is>
      </c>
      <c r="B691" s="1" t="n">
        <v>44785.9421412037</v>
      </c>
      <c r="C691" s="1" t="n">
        <v>46033</v>
      </c>
      <c r="D691" t="inlineStr">
        <is>
          <t>JÄMTLANDS LÄN</t>
        </is>
      </c>
      <c r="E691" t="inlineStr">
        <is>
          <t>STRÖMSUND</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50645-2022</t>
        </is>
      </c>
      <c r="B692" s="1" t="n">
        <v>44866.94913194444</v>
      </c>
      <c r="C692" s="1" t="n">
        <v>46033</v>
      </c>
      <c r="D692" t="inlineStr">
        <is>
          <t>JÄMTLANDS LÄN</t>
        </is>
      </c>
      <c r="E692" t="inlineStr">
        <is>
          <t>STRÖMSUND</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55939-2021</t>
        </is>
      </c>
      <c r="B693" s="1" t="n">
        <v>44476</v>
      </c>
      <c r="C693" s="1" t="n">
        <v>46033</v>
      </c>
      <c r="D693" t="inlineStr">
        <is>
          <t>JÄMTLANDS LÄN</t>
        </is>
      </c>
      <c r="E693" t="inlineStr">
        <is>
          <t>STRÖMSUND</t>
        </is>
      </c>
      <c r="F693" t="inlineStr">
        <is>
          <t>SCA</t>
        </is>
      </c>
      <c r="G693" t="n">
        <v>19.3</v>
      </c>
      <c r="H693" t="n">
        <v>0</v>
      </c>
      <c r="I693" t="n">
        <v>0</v>
      </c>
      <c r="J693" t="n">
        <v>0</v>
      </c>
      <c r="K693" t="n">
        <v>0</v>
      </c>
      <c r="L693" t="n">
        <v>0</v>
      </c>
      <c r="M693" t="n">
        <v>0</v>
      </c>
      <c r="N693" t="n">
        <v>0</v>
      </c>
      <c r="O693" t="n">
        <v>0</v>
      </c>
      <c r="P693" t="n">
        <v>0</v>
      </c>
      <c r="Q693" t="n">
        <v>0</v>
      </c>
      <c r="R693" s="2" t="inlineStr"/>
    </row>
    <row r="694" ht="15" customHeight="1">
      <c r="A694" t="inlineStr">
        <is>
          <t>A 50657-2022</t>
        </is>
      </c>
      <c r="B694" s="1" t="n">
        <v>44866.95130787037</v>
      </c>
      <c r="C694" s="1" t="n">
        <v>46033</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50659-2022</t>
        </is>
      </c>
      <c r="B695" s="1" t="n">
        <v>44866.95142361111</v>
      </c>
      <c r="C695" s="1" t="n">
        <v>46033</v>
      </c>
      <c r="D695" t="inlineStr">
        <is>
          <t>JÄMTLANDS LÄN</t>
        </is>
      </c>
      <c r="E695" t="inlineStr">
        <is>
          <t>STRÖMSUND</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46033</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46033</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52728-2022</t>
        </is>
      </c>
      <c r="B698" s="1" t="n">
        <v>44874.95616898148</v>
      </c>
      <c r="C698" s="1" t="n">
        <v>46033</v>
      </c>
      <c r="D698" t="inlineStr">
        <is>
          <t>JÄMTLANDS LÄN</t>
        </is>
      </c>
      <c r="E698" t="inlineStr">
        <is>
          <t>STRÖMSUND</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72543-2021</t>
        </is>
      </c>
      <c r="B699" s="1" t="n">
        <v>44546</v>
      </c>
      <c r="C699" s="1" t="n">
        <v>46033</v>
      </c>
      <c r="D699" t="inlineStr">
        <is>
          <t>JÄMTLANDS LÄN</t>
        </is>
      </c>
      <c r="E699" t="inlineStr">
        <is>
          <t>STRÖMSUND</t>
        </is>
      </c>
      <c r="G699" t="n">
        <v>3.7</v>
      </c>
      <c r="H699" t="n">
        <v>0</v>
      </c>
      <c r="I699" t="n">
        <v>0</v>
      </c>
      <c r="J699" t="n">
        <v>0</v>
      </c>
      <c r="K699" t="n">
        <v>0</v>
      </c>
      <c r="L699" t="n">
        <v>0</v>
      </c>
      <c r="M699" t="n">
        <v>0</v>
      </c>
      <c r="N699" t="n">
        <v>0</v>
      </c>
      <c r="O699" t="n">
        <v>0</v>
      </c>
      <c r="P699" t="n">
        <v>0</v>
      </c>
      <c r="Q699" t="n">
        <v>0</v>
      </c>
      <c r="R699" s="2" t="inlineStr"/>
    </row>
    <row r="700" ht="15" customHeight="1">
      <c r="A700" t="inlineStr">
        <is>
          <t>A 12198-2022</t>
        </is>
      </c>
      <c r="B700" s="1" t="n">
        <v>44636.94222222222</v>
      </c>
      <c r="C700" s="1" t="n">
        <v>46033</v>
      </c>
      <c r="D700" t="inlineStr">
        <is>
          <t>JÄMTLANDS LÄN</t>
        </is>
      </c>
      <c r="E700" t="inlineStr">
        <is>
          <t>STRÖMSUND</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9370-2022</t>
        </is>
      </c>
      <c r="B701" s="1" t="n">
        <v>44616.61001157408</v>
      </c>
      <c r="C701" s="1" t="n">
        <v>46033</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14442-2022</t>
        </is>
      </c>
      <c r="B702" s="1" t="n">
        <v>44652.94479166667</v>
      </c>
      <c r="C702" s="1" t="n">
        <v>46033</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52399-2021</t>
        </is>
      </c>
      <c r="B703" s="1" t="n">
        <v>44466.28903935185</v>
      </c>
      <c r="C703" s="1" t="n">
        <v>46033</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10904-2022</t>
        </is>
      </c>
      <c r="B704" s="1" t="n">
        <v>44627</v>
      </c>
      <c r="C704" s="1" t="n">
        <v>46033</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46033</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49166-2021</t>
        </is>
      </c>
      <c r="B706" s="1" t="n">
        <v>44453.94054398148</v>
      </c>
      <c r="C706" s="1" t="n">
        <v>46033</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c r="U706">
        <f>HYPERLINK("https://klasma.github.io/Logging_2313/knärot/A 49166-2021 karta knärot.png", "A 49166-2021")</f>
        <v/>
      </c>
      <c r="V706">
        <f>HYPERLINK("https://klasma.github.io/Logging_2313/klagomål/A 49166-2021 FSC-klagomål.docx", "A 49166-2021")</f>
        <v/>
      </c>
      <c r="W706">
        <f>HYPERLINK("https://klasma.github.io/Logging_2313/klagomålsmail/A 49166-2021 FSC-klagomål mail.docx", "A 49166-2021")</f>
        <v/>
      </c>
      <c r="X706">
        <f>HYPERLINK("https://klasma.github.io/Logging_2313/tillsyn/A 49166-2021 tillsynsbegäran.docx", "A 49166-2021")</f>
        <v/>
      </c>
      <c r="Y706">
        <f>HYPERLINK("https://klasma.github.io/Logging_2313/tillsynsmail/A 49166-2021 tillsynsbegäran mail.docx", "A 49166-2021")</f>
        <v/>
      </c>
    </row>
    <row r="707" ht="15" customHeight="1">
      <c r="A707" t="inlineStr">
        <is>
          <t>A 62666-2021</t>
        </is>
      </c>
      <c r="B707" s="1" t="n">
        <v>44503.94432870371</v>
      </c>
      <c r="C707" s="1" t="n">
        <v>46033</v>
      </c>
      <c r="D707" t="inlineStr">
        <is>
          <t>JÄMTLANDS LÄN</t>
        </is>
      </c>
      <c r="E707" t="inlineStr">
        <is>
          <t>STRÖMSUND</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21399-2022</t>
        </is>
      </c>
      <c r="B708" s="1" t="n">
        <v>44705.94010416666</v>
      </c>
      <c r="C708" s="1" t="n">
        <v>46033</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27917-2022</t>
        </is>
      </c>
      <c r="B709" s="1" t="n">
        <v>44743.94123842593</v>
      </c>
      <c r="C709" s="1" t="n">
        <v>46033</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34805-2022</t>
        </is>
      </c>
      <c r="B710" s="1" t="n">
        <v>44795.94767361111</v>
      </c>
      <c r="C710" s="1" t="n">
        <v>46033</v>
      </c>
      <c r="D710" t="inlineStr">
        <is>
          <t>JÄMTLANDS LÄN</t>
        </is>
      </c>
      <c r="E710" t="inlineStr">
        <is>
          <t>STRÖMSUND</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36689-2022</t>
        </is>
      </c>
      <c r="B711" s="1" t="n">
        <v>44804</v>
      </c>
      <c r="C711" s="1" t="n">
        <v>46033</v>
      </c>
      <c r="D711" t="inlineStr">
        <is>
          <t>JÄMTLANDS LÄN</t>
        </is>
      </c>
      <c r="E711" t="inlineStr">
        <is>
          <t>STRÖMSUND</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29624-2021</t>
        </is>
      </c>
      <c r="B712" s="1" t="n">
        <v>44361.93820601852</v>
      </c>
      <c r="C712" s="1" t="n">
        <v>46033</v>
      </c>
      <c r="D712" t="inlineStr">
        <is>
          <t>JÄMTLANDS LÄN</t>
        </is>
      </c>
      <c r="E712" t="inlineStr">
        <is>
          <t>STRÖMSUND</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14894-2022</t>
        </is>
      </c>
      <c r="B713" s="1" t="n">
        <v>44656.94644675926</v>
      </c>
      <c r="C713" s="1" t="n">
        <v>46033</v>
      </c>
      <c r="D713" t="inlineStr">
        <is>
          <t>JÄMTLANDS LÄN</t>
        </is>
      </c>
      <c r="E713" t="inlineStr">
        <is>
          <t>STRÖMSUND</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14070-2025</t>
        </is>
      </c>
      <c r="B714" s="1" t="n">
        <v>45740.42642361111</v>
      </c>
      <c r="C714" s="1" t="n">
        <v>46033</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20551-2025</t>
        </is>
      </c>
      <c r="B715" s="1" t="n">
        <v>45775.63619212963</v>
      </c>
      <c r="C715" s="1" t="n">
        <v>46033</v>
      </c>
      <c r="D715" t="inlineStr">
        <is>
          <t>JÄMTLANDS LÄN</t>
        </is>
      </c>
      <c r="E715" t="inlineStr">
        <is>
          <t>STRÖMSUND</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35178-2024</t>
        </is>
      </c>
      <c r="B716" s="1" t="n">
        <v>45530.43956018519</v>
      </c>
      <c r="C716" s="1" t="n">
        <v>46033</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35244-2024</t>
        </is>
      </c>
      <c r="B717" s="1" t="n">
        <v>45530.55811342593</v>
      </c>
      <c r="C717" s="1" t="n">
        <v>46033</v>
      </c>
      <c r="D717" t="inlineStr">
        <is>
          <t>JÄMTLANDS LÄN</t>
        </is>
      </c>
      <c r="E717" t="inlineStr">
        <is>
          <t>STRÖMSUND</t>
        </is>
      </c>
      <c r="G717" t="n">
        <v>1.4</v>
      </c>
      <c r="H717" t="n">
        <v>0</v>
      </c>
      <c r="I717" t="n">
        <v>0</v>
      </c>
      <c r="J717" t="n">
        <v>0</v>
      </c>
      <c r="K717" t="n">
        <v>0</v>
      </c>
      <c r="L717" t="n">
        <v>0</v>
      </c>
      <c r="M717" t="n">
        <v>0</v>
      </c>
      <c r="N717" t="n">
        <v>0</v>
      </c>
      <c r="O717" t="n">
        <v>0</v>
      </c>
      <c r="P717" t="n">
        <v>0</v>
      </c>
      <c r="Q717" t="n">
        <v>0</v>
      </c>
      <c r="R717" s="2" t="inlineStr"/>
    </row>
    <row r="718" ht="15" customHeight="1">
      <c r="A718" t="inlineStr">
        <is>
          <t>A 58905-2022</t>
        </is>
      </c>
      <c r="B718" s="1" t="n">
        <v>44903</v>
      </c>
      <c r="C718" s="1" t="n">
        <v>46033</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39870-2023</t>
        </is>
      </c>
      <c r="B719" s="1" t="n">
        <v>45168</v>
      </c>
      <c r="C719" s="1" t="n">
        <v>46033</v>
      </c>
      <c r="D719" t="inlineStr">
        <is>
          <t>JÄMTLANDS LÄN</t>
        </is>
      </c>
      <c r="E719" t="inlineStr">
        <is>
          <t>STRÖMSUND</t>
        </is>
      </c>
      <c r="G719" t="n">
        <v>34</v>
      </c>
      <c r="H719" t="n">
        <v>0</v>
      </c>
      <c r="I719" t="n">
        <v>0</v>
      </c>
      <c r="J719" t="n">
        <v>0</v>
      </c>
      <c r="K719" t="n">
        <v>0</v>
      </c>
      <c r="L719" t="n">
        <v>0</v>
      </c>
      <c r="M719" t="n">
        <v>0</v>
      </c>
      <c r="N719" t="n">
        <v>0</v>
      </c>
      <c r="O719" t="n">
        <v>0</v>
      </c>
      <c r="P719" t="n">
        <v>0</v>
      </c>
      <c r="Q719" t="n">
        <v>0</v>
      </c>
      <c r="R719" s="2" t="inlineStr"/>
    </row>
    <row r="720" ht="15" customHeight="1">
      <c r="A720" t="inlineStr">
        <is>
          <t>A 47098-2022</t>
        </is>
      </c>
      <c r="B720" s="1" t="n">
        <v>44852.47255787037</v>
      </c>
      <c r="C720" s="1" t="n">
        <v>46033</v>
      </c>
      <c r="D720" t="inlineStr">
        <is>
          <t>JÄMTLANDS LÄN</t>
        </is>
      </c>
      <c r="E720" t="inlineStr">
        <is>
          <t>STRÖMSUND</t>
        </is>
      </c>
      <c r="G720" t="n">
        <v>1.9</v>
      </c>
      <c r="H720" t="n">
        <v>0</v>
      </c>
      <c r="I720" t="n">
        <v>0</v>
      </c>
      <c r="J720" t="n">
        <v>0</v>
      </c>
      <c r="K720" t="n">
        <v>0</v>
      </c>
      <c r="L720" t="n">
        <v>0</v>
      </c>
      <c r="M720" t="n">
        <v>0</v>
      </c>
      <c r="N720" t="n">
        <v>0</v>
      </c>
      <c r="O720" t="n">
        <v>0</v>
      </c>
      <c r="P720" t="n">
        <v>0</v>
      </c>
      <c r="Q720" t="n">
        <v>0</v>
      </c>
      <c r="R720" s="2" t="inlineStr"/>
    </row>
    <row r="721" ht="15" customHeight="1">
      <c r="A721" t="inlineStr">
        <is>
          <t>A 53149-2022</t>
        </is>
      </c>
      <c r="B721" s="1" t="n">
        <v>44876</v>
      </c>
      <c r="C721" s="1" t="n">
        <v>46033</v>
      </c>
      <c r="D721" t="inlineStr">
        <is>
          <t>JÄMTLANDS LÄN</t>
        </is>
      </c>
      <c r="E721" t="inlineStr">
        <is>
          <t>STRÖMSUND</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55655-2023</t>
        </is>
      </c>
      <c r="B722" s="1" t="n">
        <v>45238.96651620371</v>
      </c>
      <c r="C722" s="1" t="n">
        <v>46033</v>
      </c>
      <c r="D722" t="inlineStr">
        <is>
          <t>JÄMTLANDS LÄN</t>
        </is>
      </c>
      <c r="E722" t="inlineStr">
        <is>
          <t>STRÖMSUND</t>
        </is>
      </c>
      <c r="G722" t="n">
        <v>1.4</v>
      </c>
      <c r="H722" t="n">
        <v>0</v>
      </c>
      <c r="I722" t="n">
        <v>0</v>
      </c>
      <c r="J722" t="n">
        <v>0</v>
      </c>
      <c r="K722" t="n">
        <v>0</v>
      </c>
      <c r="L722" t="n">
        <v>0</v>
      </c>
      <c r="M722" t="n">
        <v>0</v>
      </c>
      <c r="N722" t="n">
        <v>0</v>
      </c>
      <c r="O722" t="n">
        <v>0</v>
      </c>
      <c r="P722" t="n">
        <v>0</v>
      </c>
      <c r="Q722" t="n">
        <v>0</v>
      </c>
      <c r="R722" s="2" t="inlineStr"/>
    </row>
    <row r="723" ht="15" customHeight="1">
      <c r="A723" t="inlineStr">
        <is>
          <t>A 7542-2025</t>
        </is>
      </c>
      <c r="B723" s="1" t="n">
        <v>45705.57324074074</v>
      </c>
      <c r="C723" s="1" t="n">
        <v>46033</v>
      </c>
      <c r="D723" t="inlineStr">
        <is>
          <t>JÄMTLANDS LÄN</t>
        </is>
      </c>
      <c r="E723" t="inlineStr">
        <is>
          <t>STRÖMSUND</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7546-2025</t>
        </is>
      </c>
      <c r="B724" s="1" t="n">
        <v>45705.57405092593</v>
      </c>
      <c r="C724" s="1" t="n">
        <v>46033</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42237-2022</t>
        </is>
      </c>
      <c r="B725" s="1" t="n">
        <v>44830</v>
      </c>
      <c r="C725" s="1" t="n">
        <v>46033</v>
      </c>
      <c r="D725" t="inlineStr">
        <is>
          <t>JÄMTLANDS LÄN</t>
        </is>
      </c>
      <c r="E725" t="inlineStr">
        <is>
          <t>STRÖMSUND</t>
        </is>
      </c>
      <c r="G725" t="n">
        <v>3.7</v>
      </c>
      <c r="H725" t="n">
        <v>0</v>
      </c>
      <c r="I725" t="n">
        <v>0</v>
      </c>
      <c r="J725" t="n">
        <v>0</v>
      </c>
      <c r="K725" t="n">
        <v>0</v>
      </c>
      <c r="L725" t="n">
        <v>0</v>
      </c>
      <c r="M725" t="n">
        <v>0</v>
      </c>
      <c r="N725" t="n">
        <v>0</v>
      </c>
      <c r="O725" t="n">
        <v>0</v>
      </c>
      <c r="P725" t="n">
        <v>0</v>
      </c>
      <c r="Q725" t="n">
        <v>0</v>
      </c>
      <c r="R725" s="2" t="inlineStr"/>
    </row>
    <row r="726" ht="15" customHeight="1">
      <c r="A726" t="inlineStr">
        <is>
          <t>A 5277-2023</t>
        </is>
      </c>
      <c r="B726" s="1" t="n">
        <v>44959</v>
      </c>
      <c r="C726" s="1" t="n">
        <v>46033</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5278-2023</t>
        </is>
      </c>
      <c r="B727" s="1" t="n">
        <v>44959.4874537037</v>
      </c>
      <c r="C727" s="1" t="n">
        <v>46033</v>
      </c>
      <c r="D727" t="inlineStr">
        <is>
          <t>JÄMTLANDS LÄN</t>
        </is>
      </c>
      <c r="E727" t="inlineStr">
        <is>
          <t>STRÖMSUND</t>
        </is>
      </c>
      <c r="G727" t="n">
        <v>2.2</v>
      </c>
      <c r="H727" t="n">
        <v>0</v>
      </c>
      <c r="I727" t="n">
        <v>0</v>
      </c>
      <c r="J727" t="n">
        <v>0</v>
      </c>
      <c r="K727" t="n">
        <v>0</v>
      </c>
      <c r="L727" t="n">
        <v>0</v>
      </c>
      <c r="M727" t="n">
        <v>0</v>
      </c>
      <c r="N727" t="n">
        <v>0</v>
      </c>
      <c r="O727" t="n">
        <v>0</v>
      </c>
      <c r="P727" t="n">
        <v>0</v>
      </c>
      <c r="Q727" t="n">
        <v>0</v>
      </c>
      <c r="R727" s="2" t="inlineStr"/>
    </row>
    <row r="728" ht="15" customHeight="1">
      <c r="A728" t="inlineStr">
        <is>
          <t>A 4988-2023</t>
        </is>
      </c>
      <c r="B728" s="1" t="n">
        <v>44956</v>
      </c>
      <c r="C728" s="1" t="n">
        <v>46033</v>
      </c>
      <c r="D728" t="inlineStr">
        <is>
          <t>JÄMTLANDS LÄN</t>
        </is>
      </c>
      <c r="E728" t="inlineStr">
        <is>
          <t>STRÖMSUND</t>
        </is>
      </c>
      <c r="G728" t="n">
        <v>4.7</v>
      </c>
      <c r="H728" t="n">
        <v>0</v>
      </c>
      <c r="I728" t="n">
        <v>0</v>
      </c>
      <c r="J728" t="n">
        <v>0</v>
      </c>
      <c r="K728" t="n">
        <v>0</v>
      </c>
      <c r="L728" t="n">
        <v>0</v>
      </c>
      <c r="M728" t="n">
        <v>0</v>
      </c>
      <c r="N728" t="n">
        <v>0</v>
      </c>
      <c r="O728" t="n">
        <v>0</v>
      </c>
      <c r="P728" t="n">
        <v>0</v>
      </c>
      <c r="Q728" t="n">
        <v>0</v>
      </c>
      <c r="R728" s="2" t="inlineStr"/>
    </row>
    <row r="729" ht="15" customHeight="1">
      <c r="A729" t="inlineStr">
        <is>
          <t>A 62356-2023</t>
        </is>
      </c>
      <c r="B729" s="1" t="n">
        <v>45267</v>
      </c>
      <c r="C729" s="1" t="n">
        <v>46033</v>
      </c>
      <c r="D729" t="inlineStr">
        <is>
          <t>JÄMTLANDS LÄN</t>
        </is>
      </c>
      <c r="E729" t="inlineStr">
        <is>
          <t>STRÖMSUND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64760-2021</t>
        </is>
      </c>
      <c r="B730" s="1" t="n">
        <v>44503</v>
      </c>
      <c r="C730" s="1" t="n">
        <v>46033</v>
      </c>
      <c r="D730" t="inlineStr">
        <is>
          <t>JÄMTLANDS LÄN</t>
        </is>
      </c>
      <c r="E730" t="inlineStr">
        <is>
          <t>STRÖMSUND</t>
        </is>
      </c>
      <c r="G730" t="n">
        <v>1.8</v>
      </c>
      <c r="H730" t="n">
        <v>0</v>
      </c>
      <c r="I730" t="n">
        <v>0</v>
      </c>
      <c r="J730" t="n">
        <v>0</v>
      </c>
      <c r="K730" t="n">
        <v>0</v>
      </c>
      <c r="L730" t="n">
        <v>0</v>
      </c>
      <c r="M730" t="n">
        <v>0</v>
      </c>
      <c r="N730" t="n">
        <v>0</v>
      </c>
      <c r="O730" t="n">
        <v>0</v>
      </c>
      <c r="P730" t="n">
        <v>0</v>
      </c>
      <c r="Q730" t="n">
        <v>0</v>
      </c>
      <c r="R730" s="2" t="inlineStr"/>
    </row>
    <row r="731" ht="15" customHeight="1">
      <c r="A731" t="inlineStr">
        <is>
          <t>A 57012-2022</t>
        </is>
      </c>
      <c r="B731" s="1" t="n">
        <v>44894.9581712963</v>
      </c>
      <c r="C731" s="1" t="n">
        <v>46033</v>
      </c>
      <c r="D731" t="inlineStr">
        <is>
          <t>JÄMTLANDS LÄN</t>
        </is>
      </c>
      <c r="E731" t="inlineStr">
        <is>
          <t>STRÖMSUND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57016-2022</t>
        </is>
      </c>
      <c r="B732" s="1" t="n">
        <v>44894</v>
      </c>
      <c r="C732" s="1" t="n">
        <v>46033</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54077-2023</t>
        </is>
      </c>
      <c r="B733" s="1" t="n">
        <v>45231</v>
      </c>
      <c r="C733" s="1" t="n">
        <v>46033</v>
      </c>
      <c r="D733" t="inlineStr">
        <is>
          <t>JÄMTLANDS LÄN</t>
        </is>
      </c>
      <c r="E733" t="inlineStr">
        <is>
          <t>STRÖMSUND</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24214-2024</t>
        </is>
      </c>
      <c r="B734" s="1" t="n">
        <v>45457</v>
      </c>
      <c r="C734" s="1" t="n">
        <v>46033</v>
      </c>
      <c r="D734" t="inlineStr">
        <is>
          <t>JÄMTLANDS LÄN</t>
        </is>
      </c>
      <c r="E734" t="inlineStr">
        <is>
          <t>STRÖMSUND</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40602-2022</t>
        </is>
      </c>
      <c r="B735" s="1" t="n">
        <v>44823</v>
      </c>
      <c r="C735" s="1" t="n">
        <v>46033</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21358-2023</t>
        </is>
      </c>
      <c r="B736" s="1" t="n">
        <v>45062.93969907407</v>
      </c>
      <c r="C736" s="1" t="n">
        <v>46033</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13584-2024</t>
        </is>
      </c>
      <c r="B737" s="1" t="n">
        <v>45389</v>
      </c>
      <c r="C737" s="1" t="n">
        <v>46033</v>
      </c>
      <c r="D737" t="inlineStr">
        <is>
          <t>JÄMTLANDS LÄN</t>
        </is>
      </c>
      <c r="E737" t="inlineStr">
        <is>
          <t>STRÖMSUND</t>
        </is>
      </c>
      <c r="G737" t="n">
        <v>47.8</v>
      </c>
      <c r="H737" t="n">
        <v>0</v>
      </c>
      <c r="I737" t="n">
        <v>0</v>
      </c>
      <c r="J737" t="n">
        <v>0</v>
      </c>
      <c r="K737" t="n">
        <v>0</v>
      </c>
      <c r="L737" t="n">
        <v>0</v>
      </c>
      <c r="M737" t="n">
        <v>0</v>
      </c>
      <c r="N737" t="n">
        <v>0</v>
      </c>
      <c r="O737" t="n">
        <v>0</v>
      </c>
      <c r="P737" t="n">
        <v>0</v>
      </c>
      <c r="Q737" t="n">
        <v>0</v>
      </c>
      <c r="R737" s="2" t="inlineStr"/>
    </row>
    <row r="738" ht="15" customHeight="1">
      <c r="A738" t="inlineStr">
        <is>
          <t>A 58031-2022</t>
        </is>
      </c>
      <c r="B738" s="1" t="n">
        <v>44893</v>
      </c>
      <c r="C738" s="1" t="n">
        <v>46033</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52147-2024</t>
        </is>
      </c>
      <c r="B739" s="1" t="n">
        <v>45608.52340277778</v>
      </c>
      <c r="C739" s="1" t="n">
        <v>46033</v>
      </c>
      <c r="D739" t="inlineStr">
        <is>
          <t>JÄMTLANDS LÄN</t>
        </is>
      </c>
      <c r="E739" t="inlineStr">
        <is>
          <t>STRÖMSUND</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21616-2024</t>
        </is>
      </c>
      <c r="B740" s="1" t="n">
        <v>45441.95365740741</v>
      </c>
      <c r="C740" s="1" t="n">
        <v>46033</v>
      </c>
      <c r="D740" t="inlineStr">
        <is>
          <t>JÄMTLANDS LÄN</t>
        </is>
      </c>
      <c r="E740" t="inlineStr">
        <is>
          <t>STRÖMSUND</t>
        </is>
      </c>
      <c r="F740" t="inlineStr">
        <is>
          <t>SCA</t>
        </is>
      </c>
      <c r="G740" t="n">
        <v>9</v>
      </c>
      <c r="H740" t="n">
        <v>0</v>
      </c>
      <c r="I740" t="n">
        <v>0</v>
      </c>
      <c r="J740" t="n">
        <v>0</v>
      </c>
      <c r="K740" t="n">
        <v>0</v>
      </c>
      <c r="L740" t="n">
        <v>0</v>
      </c>
      <c r="M740" t="n">
        <v>0</v>
      </c>
      <c r="N740" t="n">
        <v>0</v>
      </c>
      <c r="O740" t="n">
        <v>0</v>
      </c>
      <c r="P740" t="n">
        <v>0</v>
      </c>
      <c r="Q740" t="n">
        <v>0</v>
      </c>
      <c r="R740" s="2" t="inlineStr"/>
    </row>
    <row r="741" ht="15" customHeight="1">
      <c r="A741" t="inlineStr">
        <is>
          <t>A 1642-2023</t>
        </is>
      </c>
      <c r="B741" s="1" t="n">
        <v>44937.92461805556</v>
      </c>
      <c r="C741" s="1" t="n">
        <v>46033</v>
      </c>
      <c r="D741" t="inlineStr">
        <is>
          <t>JÄMTLANDS LÄN</t>
        </is>
      </c>
      <c r="E741" t="inlineStr">
        <is>
          <t>STRÖMSUND</t>
        </is>
      </c>
      <c r="G741" t="n">
        <v>0.7</v>
      </c>
      <c r="H741" t="n">
        <v>0</v>
      </c>
      <c r="I741" t="n">
        <v>0</v>
      </c>
      <c r="J741" t="n">
        <v>0</v>
      </c>
      <c r="K741" t="n">
        <v>0</v>
      </c>
      <c r="L741" t="n">
        <v>0</v>
      </c>
      <c r="M741" t="n">
        <v>0</v>
      </c>
      <c r="N741" t="n">
        <v>0</v>
      </c>
      <c r="O741" t="n">
        <v>0</v>
      </c>
      <c r="P741" t="n">
        <v>0</v>
      </c>
      <c r="Q741" t="n">
        <v>0</v>
      </c>
      <c r="R741" s="2" t="inlineStr"/>
    </row>
    <row r="742" ht="15" customHeight="1">
      <c r="A742" t="inlineStr">
        <is>
          <t>A 19261-2023</t>
        </is>
      </c>
      <c r="B742" s="1" t="n">
        <v>45048</v>
      </c>
      <c r="C742" s="1" t="n">
        <v>46033</v>
      </c>
      <c r="D742" t="inlineStr">
        <is>
          <t>JÄMTLANDS LÄN</t>
        </is>
      </c>
      <c r="E742" t="inlineStr">
        <is>
          <t>STRÖMSUND</t>
        </is>
      </c>
      <c r="G742" t="n">
        <v>17.2</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46033</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21557-2025</t>
        </is>
      </c>
      <c r="B744" s="1" t="n">
        <v>45782.67844907408</v>
      </c>
      <c r="C744" s="1" t="n">
        <v>46033</v>
      </c>
      <c r="D744" t="inlineStr">
        <is>
          <t>JÄMTLANDS LÄN</t>
        </is>
      </c>
      <c r="E744" t="inlineStr">
        <is>
          <t>STRÖMSUND</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21633-2025</t>
        </is>
      </c>
      <c r="B745" s="1" t="n">
        <v>45783.42767361111</v>
      </c>
      <c r="C745" s="1" t="n">
        <v>46033</v>
      </c>
      <c r="D745" t="inlineStr">
        <is>
          <t>JÄMTLANDS LÄN</t>
        </is>
      </c>
      <c r="E745" t="inlineStr">
        <is>
          <t>STRÖMSUND</t>
        </is>
      </c>
      <c r="G745" t="n">
        <v>2.6</v>
      </c>
      <c r="H745" t="n">
        <v>0</v>
      </c>
      <c r="I745" t="n">
        <v>0</v>
      </c>
      <c r="J745" t="n">
        <v>0</v>
      </c>
      <c r="K745" t="n">
        <v>0</v>
      </c>
      <c r="L745" t="n">
        <v>0</v>
      </c>
      <c r="M745" t="n">
        <v>0</v>
      </c>
      <c r="N745" t="n">
        <v>0</v>
      </c>
      <c r="O745" t="n">
        <v>0</v>
      </c>
      <c r="P745" t="n">
        <v>0</v>
      </c>
      <c r="Q745" t="n">
        <v>0</v>
      </c>
      <c r="R745" s="2" t="inlineStr"/>
    </row>
    <row r="746" ht="15" customHeight="1">
      <c r="A746" t="inlineStr">
        <is>
          <t>A 21338-2023</t>
        </is>
      </c>
      <c r="B746" s="1" t="n">
        <v>45062</v>
      </c>
      <c r="C746" s="1" t="n">
        <v>46033</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22071-2025</t>
        </is>
      </c>
      <c r="B747" s="1" t="n">
        <v>45785.40689814815</v>
      </c>
      <c r="C747" s="1" t="n">
        <v>46033</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22093-2025</t>
        </is>
      </c>
      <c r="B748" s="1" t="n">
        <v>45784</v>
      </c>
      <c r="C748" s="1" t="n">
        <v>46033</v>
      </c>
      <c r="D748" t="inlineStr">
        <is>
          <t>JÄMTLANDS LÄN</t>
        </is>
      </c>
      <c r="E748" t="inlineStr">
        <is>
          <t>STRÖMSUND</t>
        </is>
      </c>
      <c r="G748" t="n">
        <v>13.7</v>
      </c>
      <c r="H748" t="n">
        <v>0</v>
      </c>
      <c r="I748" t="n">
        <v>0</v>
      </c>
      <c r="J748" t="n">
        <v>0</v>
      </c>
      <c r="K748" t="n">
        <v>0</v>
      </c>
      <c r="L748" t="n">
        <v>0</v>
      </c>
      <c r="M748" t="n">
        <v>0</v>
      </c>
      <c r="N748" t="n">
        <v>0</v>
      </c>
      <c r="O748" t="n">
        <v>0</v>
      </c>
      <c r="P748" t="n">
        <v>0</v>
      </c>
      <c r="Q748" t="n">
        <v>0</v>
      </c>
      <c r="R748" s="2" t="inlineStr"/>
    </row>
    <row r="749" ht="15" customHeight="1">
      <c r="A749" t="inlineStr">
        <is>
          <t>A 53396-2022</t>
        </is>
      </c>
      <c r="B749" s="1" t="n">
        <v>44879.43427083334</v>
      </c>
      <c r="C749" s="1" t="n">
        <v>46033</v>
      </c>
      <c r="D749" t="inlineStr">
        <is>
          <t>JÄMTLANDS LÄN</t>
        </is>
      </c>
      <c r="E749" t="inlineStr">
        <is>
          <t>STRÖMSUND</t>
        </is>
      </c>
      <c r="G749" t="n">
        <v>3.3</v>
      </c>
      <c r="H749" t="n">
        <v>0</v>
      </c>
      <c r="I749" t="n">
        <v>0</v>
      </c>
      <c r="J749" t="n">
        <v>0</v>
      </c>
      <c r="K749" t="n">
        <v>0</v>
      </c>
      <c r="L749" t="n">
        <v>0</v>
      </c>
      <c r="M749" t="n">
        <v>0</v>
      </c>
      <c r="N749" t="n">
        <v>0</v>
      </c>
      <c r="O749" t="n">
        <v>0</v>
      </c>
      <c r="P749" t="n">
        <v>0</v>
      </c>
      <c r="Q749" t="n">
        <v>0</v>
      </c>
      <c r="R749" s="2" t="inlineStr"/>
    </row>
    <row r="750" ht="15" customHeight="1">
      <c r="A750" t="inlineStr">
        <is>
          <t>A 22070-2025</t>
        </is>
      </c>
      <c r="B750" s="1" t="n">
        <v>45785.40671296296</v>
      </c>
      <c r="C750" s="1" t="n">
        <v>46033</v>
      </c>
      <c r="D750" t="inlineStr">
        <is>
          <t>JÄMTLANDS LÄN</t>
        </is>
      </c>
      <c r="E750" t="inlineStr">
        <is>
          <t>STRÖMSUND</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21971-2025</t>
        </is>
      </c>
      <c r="B751" s="1" t="n">
        <v>45784.63574074074</v>
      </c>
      <c r="C751" s="1" t="n">
        <v>46033</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22001-2025</t>
        </is>
      </c>
      <c r="B752" s="1" t="n">
        <v>45784.69862268519</v>
      </c>
      <c r="C752" s="1" t="n">
        <v>46033</v>
      </c>
      <c r="D752" t="inlineStr">
        <is>
          <t>JÄMTLANDS LÄN</t>
        </is>
      </c>
      <c r="E752" t="inlineStr">
        <is>
          <t>STRÖMSUND</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50887-2025</t>
        </is>
      </c>
      <c r="B753" s="1" t="n">
        <v>45946.63635416667</v>
      </c>
      <c r="C753" s="1" t="n">
        <v>46033</v>
      </c>
      <c r="D753" t="inlineStr">
        <is>
          <t>JÄMTLANDS LÄN</t>
        </is>
      </c>
      <c r="E753" t="inlineStr">
        <is>
          <t>STRÖMSUND</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22238-2025</t>
        </is>
      </c>
      <c r="B754" s="1" t="n">
        <v>45785.67763888889</v>
      </c>
      <c r="C754" s="1" t="n">
        <v>46033</v>
      </c>
      <c r="D754" t="inlineStr">
        <is>
          <t>JÄMTLANDS LÄN</t>
        </is>
      </c>
      <c r="E754" t="inlineStr">
        <is>
          <t>STRÖMSUND</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56426-2024</t>
        </is>
      </c>
      <c r="B755" s="1" t="n">
        <v>45624</v>
      </c>
      <c r="C755" s="1" t="n">
        <v>46033</v>
      </c>
      <c r="D755" t="inlineStr">
        <is>
          <t>JÄMTLANDS LÄN</t>
        </is>
      </c>
      <c r="E755" t="inlineStr">
        <is>
          <t>STRÖMSUND</t>
        </is>
      </c>
      <c r="G755" t="n">
        <v>16.2</v>
      </c>
      <c r="H755" t="n">
        <v>0</v>
      </c>
      <c r="I755" t="n">
        <v>0</v>
      </c>
      <c r="J755" t="n">
        <v>0</v>
      </c>
      <c r="K755" t="n">
        <v>0</v>
      </c>
      <c r="L755" t="n">
        <v>0</v>
      </c>
      <c r="M755" t="n">
        <v>0</v>
      </c>
      <c r="N755" t="n">
        <v>0</v>
      </c>
      <c r="O755" t="n">
        <v>0</v>
      </c>
      <c r="P755" t="n">
        <v>0</v>
      </c>
      <c r="Q755" t="n">
        <v>0</v>
      </c>
      <c r="R755" s="2" t="inlineStr"/>
    </row>
    <row r="756" ht="15" customHeight="1">
      <c r="A756" t="inlineStr">
        <is>
          <t>A 13687-2023</t>
        </is>
      </c>
      <c r="B756" s="1" t="n">
        <v>45006</v>
      </c>
      <c r="C756" s="1" t="n">
        <v>46033</v>
      </c>
      <c r="D756" t="inlineStr">
        <is>
          <t>JÄMTLANDS LÄN</t>
        </is>
      </c>
      <c r="E756" t="inlineStr">
        <is>
          <t>STRÖMSUND</t>
        </is>
      </c>
      <c r="G756" t="n">
        <v>7.1</v>
      </c>
      <c r="H756" t="n">
        <v>0</v>
      </c>
      <c r="I756" t="n">
        <v>0</v>
      </c>
      <c r="J756" t="n">
        <v>0</v>
      </c>
      <c r="K756" t="n">
        <v>0</v>
      </c>
      <c r="L756" t="n">
        <v>0</v>
      </c>
      <c r="M756" t="n">
        <v>0</v>
      </c>
      <c r="N756" t="n">
        <v>0</v>
      </c>
      <c r="O756" t="n">
        <v>0</v>
      </c>
      <c r="P756" t="n">
        <v>0</v>
      </c>
      <c r="Q756" t="n">
        <v>0</v>
      </c>
      <c r="R756" s="2" t="inlineStr"/>
    </row>
    <row r="757" ht="15" customHeight="1">
      <c r="A757" t="inlineStr">
        <is>
          <t>A 48936-2024</t>
        </is>
      </c>
      <c r="B757" s="1" t="n">
        <v>45594</v>
      </c>
      <c r="C757" s="1" t="n">
        <v>46033</v>
      </c>
      <c r="D757" t="inlineStr">
        <is>
          <t>JÄMTLANDS LÄN</t>
        </is>
      </c>
      <c r="E757" t="inlineStr">
        <is>
          <t>STRÖMSUND</t>
        </is>
      </c>
      <c r="G757" t="n">
        <v>1.1</v>
      </c>
      <c r="H757" t="n">
        <v>0</v>
      </c>
      <c r="I757" t="n">
        <v>0</v>
      </c>
      <c r="J757" t="n">
        <v>0</v>
      </c>
      <c r="K757" t="n">
        <v>0</v>
      </c>
      <c r="L757" t="n">
        <v>0</v>
      </c>
      <c r="M757" t="n">
        <v>0</v>
      </c>
      <c r="N757" t="n">
        <v>0</v>
      </c>
      <c r="O757" t="n">
        <v>0</v>
      </c>
      <c r="P757" t="n">
        <v>0</v>
      </c>
      <c r="Q757" t="n">
        <v>0</v>
      </c>
      <c r="R757" s="2" t="inlineStr"/>
    </row>
    <row r="758" ht="15" customHeight="1">
      <c r="A758" t="inlineStr">
        <is>
          <t>A 22239-2025</t>
        </is>
      </c>
      <c r="B758" s="1" t="n">
        <v>45785.67766203704</v>
      </c>
      <c r="C758" s="1" t="n">
        <v>46033</v>
      </c>
      <c r="D758" t="inlineStr">
        <is>
          <t>JÄMTLANDS LÄN</t>
        </is>
      </c>
      <c r="E758" t="inlineStr">
        <is>
          <t>STRÖMSUND</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11856-2022</t>
        </is>
      </c>
      <c r="B759" s="1" t="n">
        <v>44635</v>
      </c>
      <c r="C759" s="1" t="n">
        <v>46033</v>
      </c>
      <c r="D759" t="inlineStr">
        <is>
          <t>JÄMTLANDS LÄN</t>
        </is>
      </c>
      <c r="E759" t="inlineStr">
        <is>
          <t>STRÖMSUND</t>
        </is>
      </c>
      <c r="G759" t="n">
        <v>7.4</v>
      </c>
      <c r="H759" t="n">
        <v>0</v>
      </c>
      <c r="I759" t="n">
        <v>0</v>
      </c>
      <c r="J759" t="n">
        <v>0</v>
      </c>
      <c r="K759" t="n">
        <v>0</v>
      </c>
      <c r="L759" t="n">
        <v>0</v>
      </c>
      <c r="M759" t="n">
        <v>0</v>
      </c>
      <c r="N759" t="n">
        <v>0</v>
      </c>
      <c r="O759" t="n">
        <v>0</v>
      </c>
      <c r="P759" t="n">
        <v>0</v>
      </c>
      <c r="Q759" t="n">
        <v>0</v>
      </c>
      <c r="R759" s="2" t="inlineStr"/>
    </row>
    <row r="760" ht="15" customHeight="1">
      <c r="A760" t="inlineStr">
        <is>
          <t>A 22256-2025</t>
        </is>
      </c>
      <c r="B760" s="1" t="n">
        <v>45785.71936342592</v>
      </c>
      <c r="C760" s="1" t="n">
        <v>46033</v>
      </c>
      <c r="D760" t="inlineStr">
        <is>
          <t>JÄMTLANDS LÄN</t>
        </is>
      </c>
      <c r="E760" t="inlineStr">
        <is>
          <t>STRÖMSUND</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22073-2025</t>
        </is>
      </c>
      <c r="B761" s="1" t="n">
        <v>45785.40710648148</v>
      </c>
      <c r="C761" s="1" t="n">
        <v>46033</v>
      </c>
      <c r="D761" t="inlineStr">
        <is>
          <t>JÄMTLANDS LÄN</t>
        </is>
      </c>
      <c r="E761" t="inlineStr">
        <is>
          <t>STRÖMSUND</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17031-2025</t>
        </is>
      </c>
      <c r="B762" s="1" t="n">
        <v>45755.57349537037</v>
      </c>
      <c r="C762" s="1" t="n">
        <v>46033</v>
      </c>
      <c r="D762" t="inlineStr">
        <is>
          <t>JÄMTLANDS LÄN</t>
        </is>
      </c>
      <c r="E762" t="inlineStr">
        <is>
          <t>STRÖMSUND</t>
        </is>
      </c>
      <c r="F762" t="inlineStr">
        <is>
          <t>SCA</t>
        </is>
      </c>
      <c r="G762" t="n">
        <v>10.8</v>
      </c>
      <c r="H762" t="n">
        <v>0</v>
      </c>
      <c r="I762" t="n">
        <v>0</v>
      </c>
      <c r="J762" t="n">
        <v>0</v>
      </c>
      <c r="K762" t="n">
        <v>0</v>
      </c>
      <c r="L762" t="n">
        <v>0</v>
      </c>
      <c r="M762" t="n">
        <v>0</v>
      </c>
      <c r="N762" t="n">
        <v>0</v>
      </c>
      <c r="O762" t="n">
        <v>0</v>
      </c>
      <c r="P762" t="n">
        <v>0</v>
      </c>
      <c r="Q762" t="n">
        <v>0</v>
      </c>
      <c r="R762" s="2" t="inlineStr"/>
    </row>
    <row r="763" ht="15" customHeight="1">
      <c r="A763" t="inlineStr">
        <is>
          <t>A 22005-2025</t>
        </is>
      </c>
      <c r="B763" s="1" t="n">
        <v>45784</v>
      </c>
      <c r="C763" s="1" t="n">
        <v>46033</v>
      </c>
      <c r="D763" t="inlineStr">
        <is>
          <t>JÄMTLANDS LÄN</t>
        </is>
      </c>
      <c r="E763" t="inlineStr">
        <is>
          <t>STRÖMSUND</t>
        </is>
      </c>
      <c r="G763" t="n">
        <v>5.2</v>
      </c>
      <c r="H763" t="n">
        <v>0</v>
      </c>
      <c r="I763" t="n">
        <v>0</v>
      </c>
      <c r="J763" t="n">
        <v>0</v>
      </c>
      <c r="K763" t="n">
        <v>0</v>
      </c>
      <c r="L763" t="n">
        <v>0</v>
      </c>
      <c r="M763" t="n">
        <v>0</v>
      </c>
      <c r="N763" t="n">
        <v>0</v>
      </c>
      <c r="O763" t="n">
        <v>0</v>
      </c>
      <c r="P763" t="n">
        <v>0</v>
      </c>
      <c r="Q763" t="n">
        <v>0</v>
      </c>
      <c r="R763" s="2" t="inlineStr"/>
    </row>
    <row r="764" ht="15" customHeight="1">
      <c r="A764" t="inlineStr">
        <is>
          <t>A 51346-2025</t>
        </is>
      </c>
      <c r="B764" s="1" t="n">
        <v>45947</v>
      </c>
      <c r="C764" s="1" t="n">
        <v>46033</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50718-2025</t>
        </is>
      </c>
      <c r="B765" s="1" t="n">
        <v>45946.34625</v>
      </c>
      <c r="C765" s="1" t="n">
        <v>46033</v>
      </c>
      <c r="D765" t="inlineStr">
        <is>
          <t>JÄMTLANDS LÄN</t>
        </is>
      </c>
      <c r="E765" t="inlineStr">
        <is>
          <t>STRÖMSUND</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22519-2025</t>
        </is>
      </c>
      <c r="B766" s="1" t="n">
        <v>45786.67841435185</v>
      </c>
      <c r="C766" s="1" t="n">
        <v>46033</v>
      </c>
      <c r="D766" t="inlineStr">
        <is>
          <t>JÄMTLANDS LÄN</t>
        </is>
      </c>
      <c r="E766" t="inlineStr">
        <is>
          <t>STRÖMSUND</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22741-2025</t>
        </is>
      </c>
      <c r="B767" s="1" t="n">
        <v>45789.59423611111</v>
      </c>
      <c r="C767" s="1" t="n">
        <v>46033</v>
      </c>
      <c r="D767" t="inlineStr">
        <is>
          <t>JÄMTLANDS LÄN</t>
        </is>
      </c>
      <c r="E767" t="inlineStr">
        <is>
          <t>STRÖMSUND</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50724-2025</t>
        </is>
      </c>
      <c r="B768" s="1" t="n">
        <v>45946.34708333333</v>
      </c>
      <c r="C768" s="1" t="n">
        <v>46033</v>
      </c>
      <c r="D768" t="inlineStr">
        <is>
          <t>JÄMTLANDS LÄN</t>
        </is>
      </c>
      <c r="E768" t="inlineStr">
        <is>
          <t>STRÖMSUND</t>
        </is>
      </c>
      <c r="F768" t="inlineStr">
        <is>
          <t>SCA</t>
        </is>
      </c>
      <c r="G768" t="n">
        <v>10</v>
      </c>
      <c r="H768" t="n">
        <v>0</v>
      </c>
      <c r="I768" t="n">
        <v>0</v>
      </c>
      <c r="J768" t="n">
        <v>0</v>
      </c>
      <c r="K768" t="n">
        <v>0</v>
      </c>
      <c r="L768" t="n">
        <v>0</v>
      </c>
      <c r="M768" t="n">
        <v>0</v>
      </c>
      <c r="N768" t="n">
        <v>0</v>
      </c>
      <c r="O768" t="n">
        <v>0</v>
      </c>
      <c r="P768" t="n">
        <v>0</v>
      </c>
      <c r="Q768" t="n">
        <v>0</v>
      </c>
      <c r="R768" s="2" t="inlineStr"/>
    </row>
    <row r="769" ht="15" customHeight="1">
      <c r="A769" t="inlineStr">
        <is>
          <t>A 51005-2025</t>
        </is>
      </c>
      <c r="B769" s="1" t="n">
        <v>45947.36519675926</v>
      </c>
      <c r="C769" s="1" t="n">
        <v>46033</v>
      </c>
      <c r="D769" t="inlineStr">
        <is>
          <t>JÄMTLANDS LÄN</t>
        </is>
      </c>
      <c r="E769" t="inlineStr">
        <is>
          <t>STRÖMSUND</t>
        </is>
      </c>
      <c r="G769" t="n">
        <v>2.3</v>
      </c>
      <c r="H769" t="n">
        <v>0</v>
      </c>
      <c r="I769" t="n">
        <v>0</v>
      </c>
      <c r="J769" t="n">
        <v>0</v>
      </c>
      <c r="K769" t="n">
        <v>0</v>
      </c>
      <c r="L769" t="n">
        <v>0</v>
      </c>
      <c r="M769" t="n">
        <v>0</v>
      </c>
      <c r="N769" t="n">
        <v>0</v>
      </c>
      <c r="O769" t="n">
        <v>0</v>
      </c>
      <c r="P769" t="n">
        <v>0</v>
      </c>
      <c r="Q769" t="n">
        <v>0</v>
      </c>
      <c r="R769" s="2" t="inlineStr"/>
    </row>
    <row r="770" ht="15" customHeight="1">
      <c r="A770" t="inlineStr">
        <is>
          <t>A 59003-2022</t>
        </is>
      </c>
      <c r="B770" s="1" t="n">
        <v>44903.79608796296</v>
      </c>
      <c r="C770" s="1" t="n">
        <v>46033</v>
      </c>
      <c r="D770" t="inlineStr">
        <is>
          <t>JÄMTLANDS LÄN</t>
        </is>
      </c>
      <c r="E770" t="inlineStr">
        <is>
          <t>STRÖMSUND</t>
        </is>
      </c>
      <c r="G770" t="n">
        <v>0.9</v>
      </c>
      <c r="H770" t="n">
        <v>0</v>
      </c>
      <c r="I770" t="n">
        <v>0</v>
      </c>
      <c r="J770" t="n">
        <v>0</v>
      </c>
      <c r="K770" t="n">
        <v>0</v>
      </c>
      <c r="L770" t="n">
        <v>0</v>
      </c>
      <c r="M770" t="n">
        <v>0</v>
      </c>
      <c r="N770" t="n">
        <v>0</v>
      </c>
      <c r="O770" t="n">
        <v>0</v>
      </c>
      <c r="P770" t="n">
        <v>0</v>
      </c>
      <c r="Q770" t="n">
        <v>0</v>
      </c>
      <c r="R770" s="2" t="inlineStr"/>
    </row>
    <row r="771" ht="15" customHeight="1">
      <c r="A771" t="inlineStr">
        <is>
          <t>A 50994-2025</t>
        </is>
      </c>
      <c r="B771" s="1" t="n">
        <v>45947.34699074074</v>
      </c>
      <c r="C771" s="1" t="n">
        <v>46033</v>
      </c>
      <c r="D771" t="inlineStr">
        <is>
          <t>JÄMTLANDS LÄN</t>
        </is>
      </c>
      <c r="E771" t="inlineStr">
        <is>
          <t>STRÖMSUND</t>
        </is>
      </c>
      <c r="G771" t="n">
        <v>3.3</v>
      </c>
      <c r="H771" t="n">
        <v>0</v>
      </c>
      <c r="I771" t="n">
        <v>0</v>
      </c>
      <c r="J771" t="n">
        <v>0</v>
      </c>
      <c r="K771" t="n">
        <v>0</v>
      </c>
      <c r="L771" t="n">
        <v>0</v>
      </c>
      <c r="M771" t="n">
        <v>0</v>
      </c>
      <c r="N771" t="n">
        <v>0</v>
      </c>
      <c r="O771" t="n">
        <v>0</v>
      </c>
      <c r="P771" t="n">
        <v>0</v>
      </c>
      <c r="Q771" t="n">
        <v>0</v>
      </c>
      <c r="R771" s="2" t="inlineStr"/>
    </row>
    <row r="772" ht="15" customHeight="1">
      <c r="A772" t="inlineStr">
        <is>
          <t>A 48747-2025</t>
        </is>
      </c>
      <c r="B772" s="1" t="n">
        <v>45936.67894675926</v>
      </c>
      <c r="C772" s="1" t="n">
        <v>46033</v>
      </c>
      <c r="D772" t="inlineStr">
        <is>
          <t>JÄMTLANDS LÄN</t>
        </is>
      </c>
      <c r="E772" t="inlineStr">
        <is>
          <t>STRÖMSUND</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51478-2024</t>
        </is>
      </c>
      <c r="B773" s="1" t="n">
        <v>45604.51259259259</v>
      </c>
      <c r="C773" s="1" t="n">
        <v>46033</v>
      </c>
      <c r="D773" t="inlineStr">
        <is>
          <t>JÄMTLANDS LÄN</t>
        </is>
      </c>
      <c r="E773" t="inlineStr">
        <is>
          <t>STRÖMSUND</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51357-2025</t>
        </is>
      </c>
      <c r="B774" s="1" t="n">
        <v>45947</v>
      </c>
      <c r="C774" s="1" t="n">
        <v>46033</v>
      </c>
      <c r="D774" t="inlineStr">
        <is>
          <t>JÄMTLANDS LÄN</t>
        </is>
      </c>
      <c r="E774" t="inlineStr">
        <is>
          <t>STRÖMSUND</t>
        </is>
      </c>
      <c r="G774" t="n">
        <v>2.1</v>
      </c>
      <c r="H774" t="n">
        <v>0</v>
      </c>
      <c r="I774" t="n">
        <v>0</v>
      </c>
      <c r="J774" t="n">
        <v>0</v>
      </c>
      <c r="K774" t="n">
        <v>0</v>
      </c>
      <c r="L774" t="n">
        <v>0</v>
      </c>
      <c r="M774" t="n">
        <v>0</v>
      </c>
      <c r="N774" t="n">
        <v>0</v>
      </c>
      <c r="O774" t="n">
        <v>0</v>
      </c>
      <c r="P774" t="n">
        <v>0</v>
      </c>
      <c r="Q774" t="n">
        <v>0</v>
      </c>
      <c r="R774" s="2" t="inlineStr"/>
    </row>
    <row r="775" ht="15" customHeight="1">
      <c r="A775" t="inlineStr">
        <is>
          <t>A 50941-2025</t>
        </is>
      </c>
      <c r="B775" s="1" t="n">
        <v>45946.71487268519</v>
      </c>
      <c r="C775" s="1" t="n">
        <v>46033</v>
      </c>
      <c r="D775" t="inlineStr">
        <is>
          <t>JÄMTLANDS LÄN</t>
        </is>
      </c>
      <c r="E775" t="inlineStr">
        <is>
          <t>STRÖMSUND</t>
        </is>
      </c>
      <c r="G775" t="n">
        <v>0.7</v>
      </c>
      <c r="H775" t="n">
        <v>0</v>
      </c>
      <c r="I775" t="n">
        <v>0</v>
      </c>
      <c r="J775" t="n">
        <v>0</v>
      </c>
      <c r="K775" t="n">
        <v>0</v>
      </c>
      <c r="L775" t="n">
        <v>0</v>
      </c>
      <c r="M775" t="n">
        <v>0</v>
      </c>
      <c r="N775" t="n">
        <v>0</v>
      </c>
      <c r="O775" t="n">
        <v>0</v>
      </c>
      <c r="P775" t="n">
        <v>0</v>
      </c>
      <c r="Q775" t="n">
        <v>0</v>
      </c>
      <c r="R775" s="2" t="inlineStr"/>
    </row>
    <row r="776" ht="15" customHeight="1">
      <c r="A776" t="inlineStr">
        <is>
          <t>A 38787-2025</t>
        </is>
      </c>
      <c r="B776" s="1" t="n">
        <v>45887.44873842593</v>
      </c>
      <c r="C776" s="1" t="n">
        <v>46033</v>
      </c>
      <c r="D776" t="inlineStr">
        <is>
          <t>JÄMTLANDS LÄN</t>
        </is>
      </c>
      <c r="E776" t="inlineStr">
        <is>
          <t>STRÖMSUND</t>
        </is>
      </c>
      <c r="G776" t="n">
        <v>2.4</v>
      </c>
      <c r="H776" t="n">
        <v>0</v>
      </c>
      <c r="I776" t="n">
        <v>0</v>
      </c>
      <c r="J776" t="n">
        <v>0</v>
      </c>
      <c r="K776" t="n">
        <v>0</v>
      </c>
      <c r="L776" t="n">
        <v>0</v>
      </c>
      <c r="M776" t="n">
        <v>0</v>
      </c>
      <c r="N776" t="n">
        <v>0</v>
      </c>
      <c r="O776" t="n">
        <v>0</v>
      </c>
      <c r="P776" t="n">
        <v>0</v>
      </c>
      <c r="Q776" t="n">
        <v>0</v>
      </c>
      <c r="R776" s="2" t="inlineStr"/>
    </row>
    <row r="777" ht="15" customHeight="1">
      <c r="A777" t="inlineStr">
        <is>
          <t>A 22723-2025</t>
        </is>
      </c>
      <c r="B777" s="1" t="n">
        <v>45789.5733912037</v>
      </c>
      <c r="C777" s="1" t="n">
        <v>46033</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23942-2024</t>
        </is>
      </c>
      <c r="B778" s="1" t="n">
        <v>45455.96350694444</v>
      </c>
      <c r="C778" s="1" t="n">
        <v>46033</v>
      </c>
      <c r="D778" t="inlineStr">
        <is>
          <t>JÄMTLANDS LÄN</t>
        </is>
      </c>
      <c r="E778" t="inlineStr">
        <is>
          <t>STRÖMSUND</t>
        </is>
      </c>
      <c r="F778" t="inlineStr">
        <is>
          <t>SCA</t>
        </is>
      </c>
      <c r="G778" t="n">
        <v>10.1</v>
      </c>
      <c r="H778" t="n">
        <v>0</v>
      </c>
      <c r="I778" t="n">
        <v>0</v>
      </c>
      <c r="J778" t="n">
        <v>0</v>
      </c>
      <c r="K778" t="n">
        <v>0</v>
      </c>
      <c r="L778" t="n">
        <v>0</v>
      </c>
      <c r="M778" t="n">
        <v>0</v>
      </c>
      <c r="N778" t="n">
        <v>0</v>
      </c>
      <c r="O778" t="n">
        <v>0</v>
      </c>
      <c r="P778" t="n">
        <v>0</v>
      </c>
      <c r="Q778" t="n">
        <v>0</v>
      </c>
      <c r="R778" s="2" t="inlineStr"/>
    </row>
    <row r="779" ht="15" customHeight="1">
      <c r="A779" t="inlineStr">
        <is>
          <t>A 51006-2025</t>
        </is>
      </c>
      <c r="B779" s="1" t="n">
        <v>45947.36521990741</v>
      </c>
      <c r="C779" s="1" t="n">
        <v>46033</v>
      </c>
      <c r="D779" t="inlineStr">
        <is>
          <t>JÄMTLANDS LÄN</t>
        </is>
      </c>
      <c r="E779" t="inlineStr">
        <is>
          <t>STRÖMSUND</t>
        </is>
      </c>
      <c r="G779" t="n">
        <v>4.4</v>
      </c>
      <c r="H779" t="n">
        <v>0</v>
      </c>
      <c r="I779" t="n">
        <v>0</v>
      </c>
      <c r="J779" t="n">
        <v>0</v>
      </c>
      <c r="K779" t="n">
        <v>0</v>
      </c>
      <c r="L779" t="n">
        <v>0</v>
      </c>
      <c r="M779" t="n">
        <v>0</v>
      </c>
      <c r="N779" t="n">
        <v>0</v>
      </c>
      <c r="O779" t="n">
        <v>0</v>
      </c>
      <c r="P779" t="n">
        <v>0</v>
      </c>
      <c r="Q779" t="n">
        <v>0</v>
      </c>
      <c r="R779" s="2" t="inlineStr"/>
    </row>
    <row r="780" ht="15" customHeight="1">
      <c r="A780" t="inlineStr">
        <is>
          <t>A 38786-2025</t>
        </is>
      </c>
      <c r="B780" s="1" t="n">
        <v>45887.44864583333</v>
      </c>
      <c r="C780" s="1" t="n">
        <v>46033</v>
      </c>
      <c r="D780" t="inlineStr">
        <is>
          <t>JÄMTLANDS LÄN</t>
        </is>
      </c>
      <c r="E780" t="inlineStr">
        <is>
          <t>STRÖMSUND</t>
        </is>
      </c>
      <c r="G780" t="n">
        <v>2.8</v>
      </c>
      <c r="H780" t="n">
        <v>0</v>
      </c>
      <c r="I780" t="n">
        <v>0</v>
      </c>
      <c r="J780" t="n">
        <v>0</v>
      </c>
      <c r="K780" t="n">
        <v>0</v>
      </c>
      <c r="L780" t="n">
        <v>0</v>
      </c>
      <c r="M780" t="n">
        <v>0</v>
      </c>
      <c r="N780" t="n">
        <v>0</v>
      </c>
      <c r="O780" t="n">
        <v>0</v>
      </c>
      <c r="P780" t="n">
        <v>0</v>
      </c>
      <c r="Q780" t="n">
        <v>0</v>
      </c>
      <c r="R780" s="2" t="inlineStr"/>
    </row>
    <row r="781" ht="15" customHeight="1">
      <c r="A781" t="inlineStr">
        <is>
          <t>A 22288-2025</t>
        </is>
      </c>
      <c r="B781" s="1" t="n">
        <v>45786.34425925926</v>
      </c>
      <c r="C781" s="1" t="n">
        <v>46033</v>
      </c>
      <c r="D781" t="inlineStr">
        <is>
          <t>JÄMTLANDS LÄN</t>
        </is>
      </c>
      <c r="E781" t="inlineStr">
        <is>
          <t>STRÖMSUND</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66088-2021</t>
        </is>
      </c>
      <c r="B782" s="1" t="n">
        <v>44517.67090277778</v>
      </c>
      <c r="C782" s="1" t="n">
        <v>46033</v>
      </c>
      <c r="D782" t="inlineStr">
        <is>
          <t>JÄMTLANDS LÄN</t>
        </is>
      </c>
      <c r="E782" t="inlineStr">
        <is>
          <t>STRÖMSUND</t>
        </is>
      </c>
      <c r="G782" t="n">
        <v>2.1</v>
      </c>
      <c r="H782" t="n">
        <v>0</v>
      </c>
      <c r="I782" t="n">
        <v>0</v>
      </c>
      <c r="J782" t="n">
        <v>0</v>
      </c>
      <c r="K782" t="n">
        <v>0</v>
      </c>
      <c r="L782" t="n">
        <v>0</v>
      </c>
      <c r="M782" t="n">
        <v>0</v>
      </c>
      <c r="N782" t="n">
        <v>0</v>
      </c>
      <c r="O782" t="n">
        <v>0</v>
      </c>
      <c r="P782" t="n">
        <v>0</v>
      </c>
      <c r="Q782" t="n">
        <v>0</v>
      </c>
      <c r="R782" s="2" t="inlineStr"/>
    </row>
    <row r="783" ht="15" customHeight="1">
      <c r="A783" t="inlineStr">
        <is>
          <t>A 8133-2024</t>
        </is>
      </c>
      <c r="B783" s="1" t="n">
        <v>45349</v>
      </c>
      <c r="C783" s="1" t="n">
        <v>46033</v>
      </c>
      <c r="D783" t="inlineStr">
        <is>
          <t>JÄMTLANDS LÄN</t>
        </is>
      </c>
      <c r="E783" t="inlineStr">
        <is>
          <t>STRÖMSUND</t>
        </is>
      </c>
      <c r="G783" t="n">
        <v>1.8</v>
      </c>
      <c r="H783" t="n">
        <v>0</v>
      </c>
      <c r="I783" t="n">
        <v>0</v>
      </c>
      <c r="J783" t="n">
        <v>0</v>
      </c>
      <c r="K783" t="n">
        <v>0</v>
      </c>
      <c r="L783" t="n">
        <v>0</v>
      </c>
      <c r="M783" t="n">
        <v>0</v>
      </c>
      <c r="N783" t="n">
        <v>0</v>
      </c>
      <c r="O783" t="n">
        <v>0</v>
      </c>
      <c r="P783" t="n">
        <v>0</v>
      </c>
      <c r="Q783" t="n">
        <v>0</v>
      </c>
      <c r="R783" s="2" t="inlineStr"/>
    </row>
    <row r="784" ht="15" customHeight="1">
      <c r="A784" t="inlineStr">
        <is>
          <t>A 38939-2025</t>
        </is>
      </c>
      <c r="B784" s="1" t="n">
        <v>45885</v>
      </c>
      <c r="C784" s="1" t="n">
        <v>46033</v>
      </c>
      <c r="D784" t="inlineStr">
        <is>
          <t>JÄMTLANDS LÄN</t>
        </is>
      </c>
      <c r="E784" t="inlineStr">
        <is>
          <t>STRÖMSUND</t>
        </is>
      </c>
      <c r="G784" t="n">
        <v>0.2</v>
      </c>
      <c r="H784" t="n">
        <v>0</v>
      </c>
      <c r="I784" t="n">
        <v>0</v>
      </c>
      <c r="J784" t="n">
        <v>0</v>
      </c>
      <c r="K784" t="n">
        <v>0</v>
      </c>
      <c r="L784" t="n">
        <v>0</v>
      </c>
      <c r="M784" t="n">
        <v>0</v>
      </c>
      <c r="N784" t="n">
        <v>0</v>
      </c>
      <c r="O784" t="n">
        <v>0</v>
      </c>
      <c r="P784" t="n">
        <v>0</v>
      </c>
      <c r="Q784" t="n">
        <v>0</v>
      </c>
      <c r="R784" s="2" t="inlineStr"/>
    </row>
    <row r="785" ht="15" customHeight="1">
      <c r="A785" t="inlineStr">
        <is>
          <t>A 39058-2025</t>
        </is>
      </c>
      <c r="B785" s="1" t="n">
        <v>45887</v>
      </c>
      <c r="C785" s="1" t="n">
        <v>46033</v>
      </c>
      <c r="D785" t="inlineStr">
        <is>
          <t>JÄMTLANDS LÄN</t>
        </is>
      </c>
      <c r="E785" t="inlineStr">
        <is>
          <t>STRÖMSUND</t>
        </is>
      </c>
      <c r="G785" t="n">
        <v>2.9</v>
      </c>
      <c r="H785" t="n">
        <v>0</v>
      </c>
      <c r="I785" t="n">
        <v>0</v>
      </c>
      <c r="J785" t="n">
        <v>0</v>
      </c>
      <c r="K785" t="n">
        <v>0</v>
      </c>
      <c r="L785" t="n">
        <v>0</v>
      </c>
      <c r="M785" t="n">
        <v>0</v>
      </c>
      <c r="N785" t="n">
        <v>0</v>
      </c>
      <c r="O785" t="n">
        <v>0</v>
      </c>
      <c r="P785" t="n">
        <v>0</v>
      </c>
      <c r="Q785" t="n">
        <v>0</v>
      </c>
      <c r="R785" s="2" t="inlineStr"/>
    </row>
    <row r="786" ht="15" customHeight="1">
      <c r="A786" t="inlineStr">
        <is>
          <t>A 47877-2024</t>
        </is>
      </c>
      <c r="B786" s="1" t="n">
        <v>45588</v>
      </c>
      <c r="C786" s="1" t="n">
        <v>46033</v>
      </c>
      <c r="D786" t="inlineStr">
        <is>
          <t>JÄMTLANDS LÄN</t>
        </is>
      </c>
      <c r="E786" t="inlineStr">
        <is>
          <t>STRÖMSUND</t>
        </is>
      </c>
      <c r="G786" t="n">
        <v>1.3</v>
      </c>
      <c r="H786" t="n">
        <v>0</v>
      </c>
      <c r="I786" t="n">
        <v>0</v>
      </c>
      <c r="J786" t="n">
        <v>0</v>
      </c>
      <c r="K786" t="n">
        <v>0</v>
      </c>
      <c r="L786" t="n">
        <v>0</v>
      </c>
      <c r="M786" t="n">
        <v>0</v>
      </c>
      <c r="N786" t="n">
        <v>0</v>
      </c>
      <c r="O786" t="n">
        <v>0</v>
      </c>
      <c r="P786" t="n">
        <v>0</v>
      </c>
      <c r="Q786" t="n">
        <v>0</v>
      </c>
      <c r="R786" s="2" t="inlineStr"/>
    </row>
    <row r="787" ht="15" customHeight="1">
      <c r="A787" t="inlineStr">
        <is>
          <t>A 51498-2024</t>
        </is>
      </c>
      <c r="B787" s="1" t="n">
        <v>45604</v>
      </c>
      <c r="C787" s="1" t="n">
        <v>46033</v>
      </c>
      <c r="D787" t="inlineStr">
        <is>
          <t>JÄMTLANDS LÄN</t>
        </is>
      </c>
      <c r="E787" t="inlineStr">
        <is>
          <t>STRÖMSUND</t>
        </is>
      </c>
      <c r="F787" t="inlineStr">
        <is>
          <t>Kommuner</t>
        </is>
      </c>
      <c r="G787" t="n">
        <v>1.8</v>
      </c>
      <c r="H787" t="n">
        <v>0</v>
      </c>
      <c r="I787" t="n">
        <v>0</v>
      </c>
      <c r="J787" t="n">
        <v>0</v>
      </c>
      <c r="K787" t="n">
        <v>0</v>
      </c>
      <c r="L787" t="n">
        <v>0</v>
      </c>
      <c r="M787" t="n">
        <v>0</v>
      </c>
      <c r="N787" t="n">
        <v>0</v>
      </c>
      <c r="O787" t="n">
        <v>0</v>
      </c>
      <c r="P787" t="n">
        <v>0</v>
      </c>
      <c r="Q787" t="n">
        <v>0</v>
      </c>
      <c r="R787" s="2" t="inlineStr"/>
    </row>
    <row r="788" ht="15" customHeight="1">
      <c r="A788" t="inlineStr">
        <is>
          <t>A 38622-2025</t>
        </is>
      </c>
      <c r="B788" s="1" t="n">
        <v>45884.55321759259</v>
      </c>
      <c r="C788" s="1" t="n">
        <v>46033</v>
      </c>
      <c r="D788" t="inlineStr">
        <is>
          <t>JÄMTLANDS LÄN</t>
        </is>
      </c>
      <c r="E788" t="inlineStr">
        <is>
          <t>STRÖMSUND</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22497-2025</t>
        </is>
      </c>
      <c r="B789" s="1" t="n">
        <v>45786.6568287037</v>
      </c>
      <c r="C789" s="1" t="n">
        <v>46033</v>
      </c>
      <c r="D789" t="inlineStr">
        <is>
          <t>JÄMTLANDS LÄN</t>
        </is>
      </c>
      <c r="E789" t="inlineStr">
        <is>
          <t>STRÖMSUND</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34007-2023</t>
        </is>
      </c>
      <c r="B790" s="1" t="n">
        <v>45134.95141203704</v>
      </c>
      <c r="C790" s="1" t="n">
        <v>46033</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34008-2023</t>
        </is>
      </c>
      <c r="B791" s="1" t="n">
        <v>45134</v>
      </c>
      <c r="C791" s="1" t="n">
        <v>46033</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59218-2025</t>
        </is>
      </c>
      <c r="B792" s="1" t="n">
        <v>45988.6171875</v>
      </c>
      <c r="C792" s="1" t="n">
        <v>46033</v>
      </c>
      <c r="D792" t="inlineStr">
        <is>
          <t>JÄMTLANDS LÄN</t>
        </is>
      </c>
      <c r="E792" t="inlineStr">
        <is>
          <t>STRÖMSUND</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41194-2022</t>
        </is>
      </c>
      <c r="B793" s="1" t="n">
        <v>44825.94982638889</v>
      </c>
      <c r="C793" s="1" t="n">
        <v>46033</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23362-2025</t>
        </is>
      </c>
      <c r="B794" s="1" t="n">
        <v>45791.67763888889</v>
      </c>
      <c r="C794" s="1" t="n">
        <v>46033</v>
      </c>
      <c r="D794" t="inlineStr">
        <is>
          <t>JÄMTLANDS LÄN</t>
        </is>
      </c>
      <c r="E794" t="inlineStr">
        <is>
          <t>STRÖMSUND</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51338-2025</t>
        </is>
      </c>
      <c r="B795" s="1" t="n">
        <v>45947</v>
      </c>
      <c r="C795" s="1" t="n">
        <v>46033</v>
      </c>
      <c r="D795" t="inlineStr">
        <is>
          <t>JÄMTLANDS LÄN</t>
        </is>
      </c>
      <c r="E795" t="inlineStr">
        <is>
          <t>STRÖMSUND</t>
        </is>
      </c>
      <c r="G795" t="n">
        <v>2.5</v>
      </c>
      <c r="H795" t="n">
        <v>0</v>
      </c>
      <c r="I795" t="n">
        <v>0</v>
      </c>
      <c r="J795" t="n">
        <v>0</v>
      </c>
      <c r="K795" t="n">
        <v>0</v>
      </c>
      <c r="L795" t="n">
        <v>0</v>
      </c>
      <c r="M795" t="n">
        <v>0</v>
      </c>
      <c r="N795" t="n">
        <v>0</v>
      </c>
      <c r="O795" t="n">
        <v>0</v>
      </c>
      <c r="P795" t="n">
        <v>0</v>
      </c>
      <c r="Q795" t="n">
        <v>0</v>
      </c>
      <c r="R795" s="2" t="inlineStr"/>
    </row>
    <row r="796" ht="15" customHeight="1">
      <c r="A796" t="inlineStr">
        <is>
          <t>A 50953-2025</t>
        </is>
      </c>
      <c r="B796" s="1" t="n">
        <v>45946.77162037037</v>
      </c>
      <c r="C796" s="1" t="n">
        <v>46033</v>
      </c>
      <c r="D796" t="inlineStr">
        <is>
          <t>JÄMTLANDS LÄN</t>
        </is>
      </c>
      <c r="E796" t="inlineStr">
        <is>
          <t>STRÖMSUND</t>
        </is>
      </c>
      <c r="G796" t="n">
        <v>4.9</v>
      </c>
      <c r="H796" t="n">
        <v>0</v>
      </c>
      <c r="I796" t="n">
        <v>0</v>
      </c>
      <c r="J796" t="n">
        <v>0</v>
      </c>
      <c r="K796" t="n">
        <v>0</v>
      </c>
      <c r="L796" t="n">
        <v>0</v>
      </c>
      <c r="M796" t="n">
        <v>0</v>
      </c>
      <c r="N796" t="n">
        <v>0</v>
      </c>
      <c r="O796" t="n">
        <v>0</v>
      </c>
      <c r="P796" t="n">
        <v>0</v>
      </c>
      <c r="Q796" t="n">
        <v>0</v>
      </c>
      <c r="R796" s="2" t="inlineStr"/>
    </row>
    <row r="797" ht="15" customHeight="1">
      <c r="A797" t="inlineStr">
        <is>
          <t>A 21701-2022</t>
        </is>
      </c>
      <c r="B797" s="1" t="n">
        <v>44707.93929398148</v>
      </c>
      <c r="C797" s="1" t="n">
        <v>46033</v>
      </c>
      <c r="D797" t="inlineStr">
        <is>
          <t>JÄMTLANDS LÄN</t>
        </is>
      </c>
      <c r="E797" t="inlineStr">
        <is>
          <t>STRÖMSUND</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51035-2025</t>
        </is>
      </c>
      <c r="B798" s="1" t="n">
        <v>45947.40688657408</v>
      </c>
      <c r="C798" s="1" t="n">
        <v>46033</v>
      </c>
      <c r="D798" t="inlineStr">
        <is>
          <t>JÄMTLANDS LÄN</t>
        </is>
      </c>
      <c r="E798" t="inlineStr">
        <is>
          <t>STRÖMSUND</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27642-2024</t>
        </is>
      </c>
      <c r="B799" s="1" t="n">
        <v>45474.94703703704</v>
      </c>
      <c r="C799" s="1" t="n">
        <v>46033</v>
      </c>
      <c r="D799" t="inlineStr">
        <is>
          <t>JÄMTLANDS LÄN</t>
        </is>
      </c>
      <c r="E799" t="inlineStr">
        <is>
          <t>STRÖMSUND</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28766-2023</t>
        </is>
      </c>
      <c r="B800" s="1" t="n">
        <v>45103.94268518518</v>
      </c>
      <c r="C800" s="1" t="n">
        <v>46033</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22865-2025</t>
        </is>
      </c>
      <c r="B801" s="1" t="n">
        <v>45790.3650462963</v>
      </c>
      <c r="C801" s="1" t="n">
        <v>46033</v>
      </c>
      <c r="D801" t="inlineStr">
        <is>
          <t>JÄMTLANDS LÄN</t>
        </is>
      </c>
      <c r="E801" t="inlineStr">
        <is>
          <t>STRÖMSUND</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23093-2025</t>
        </is>
      </c>
      <c r="B802" s="1" t="n">
        <v>45791.34475694445</v>
      </c>
      <c r="C802" s="1" t="n">
        <v>46033</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13685-2023</t>
        </is>
      </c>
      <c r="B803" s="1" t="n">
        <v>45006</v>
      </c>
      <c r="C803" s="1" t="n">
        <v>46033</v>
      </c>
      <c r="D803" t="inlineStr">
        <is>
          <t>JÄMTLANDS LÄN</t>
        </is>
      </c>
      <c r="E803" t="inlineStr">
        <is>
          <t>STRÖMSUND</t>
        </is>
      </c>
      <c r="G803" t="n">
        <v>11.4</v>
      </c>
      <c r="H803" t="n">
        <v>0</v>
      </c>
      <c r="I803" t="n">
        <v>0</v>
      </c>
      <c r="J803" t="n">
        <v>0</v>
      </c>
      <c r="K803" t="n">
        <v>0</v>
      </c>
      <c r="L803" t="n">
        <v>0</v>
      </c>
      <c r="M803" t="n">
        <v>0</v>
      </c>
      <c r="N803" t="n">
        <v>0</v>
      </c>
      <c r="O803" t="n">
        <v>0</v>
      </c>
      <c r="P803" t="n">
        <v>0</v>
      </c>
      <c r="Q803" t="n">
        <v>0</v>
      </c>
      <c r="R803" s="2" t="inlineStr"/>
    </row>
    <row r="804" ht="15" customHeight="1">
      <c r="A804" t="inlineStr">
        <is>
          <t>A 12869-2024</t>
        </is>
      </c>
      <c r="B804" s="1" t="n">
        <v>45384.9421412037</v>
      </c>
      <c r="C804" s="1" t="n">
        <v>46033</v>
      </c>
      <c r="D804" t="inlineStr">
        <is>
          <t>JÄMTLANDS LÄN</t>
        </is>
      </c>
      <c r="E804" t="inlineStr">
        <is>
          <t>STRÖMSUND</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51260-2025</t>
        </is>
      </c>
      <c r="B805" s="1" t="n">
        <v>45949.4590625</v>
      </c>
      <c r="C805" s="1" t="n">
        <v>46033</v>
      </c>
      <c r="D805" t="inlineStr">
        <is>
          <t>JÄMTLANDS LÄN</t>
        </is>
      </c>
      <c r="E805" t="inlineStr">
        <is>
          <t>STRÖMSUND</t>
        </is>
      </c>
      <c r="F805" t="inlineStr">
        <is>
          <t>Holmen skog AB</t>
        </is>
      </c>
      <c r="G805" t="n">
        <v>6.4</v>
      </c>
      <c r="H805" t="n">
        <v>0</v>
      </c>
      <c r="I805" t="n">
        <v>0</v>
      </c>
      <c r="J805" t="n">
        <v>0</v>
      </c>
      <c r="K805" t="n">
        <v>0</v>
      </c>
      <c r="L805" t="n">
        <v>0</v>
      </c>
      <c r="M805" t="n">
        <v>0</v>
      </c>
      <c r="N805" t="n">
        <v>0</v>
      </c>
      <c r="O805" t="n">
        <v>0</v>
      </c>
      <c r="P805" t="n">
        <v>0</v>
      </c>
      <c r="Q805" t="n">
        <v>0</v>
      </c>
      <c r="R805" s="2" t="inlineStr"/>
    </row>
    <row r="806" ht="15" customHeight="1">
      <c r="A806" t="inlineStr">
        <is>
          <t>A 37104-2022</t>
        </is>
      </c>
      <c r="B806" s="1" t="n">
        <v>44806</v>
      </c>
      <c r="C806" s="1" t="n">
        <v>46033</v>
      </c>
      <c r="D806" t="inlineStr">
        <is>
          <t>JÄMTLANDS LÄN</t>
        </is>
      </c>
      <c r="E806" t="inlineStr">
        <is>
          <t>STRÖMSUND</t>
        </is>
      </c>
      <c r="F806" t="inlineStr">
        <is>
          <t>Kommuner</t>
        </is>
      </c>
      <c r="G806" t="n">
        <v>1.8</v>
      </c>
      <c r="H806" t="n">
        <v>0</v>
      </c>
      <c r="I806" t="n">
        <v>0</v>
      </c>
      <c r="J806" t="n">
        <v>0</v>
      </c>
      <c r="K806" t="n">
        <v>0</v>
      </c>
      <c r="L806" t="n">
        <v>0</v>
      </c>
      <c r="M806" t="n">
        <v>0</v>
      </c>
      <c r="N806" t="n">
        <v>0</v>
      </c>
      <c r="O806" t="n">
        <v>0</v>
      </c>
      <c r="P806" t="n">
        <v>0</v>
      </c>
      <c r="Q806" t="n">
        <v>0</v>
      </c>
      <c r="R806" s="2" t="inlineStr"/>
    </row>
    <row r="807" ht="15" customHeight="1">
      <c r="A807" t="inlineStr">
        <is>
          <t>A 59334-2023</t>
        </is>
      </c>
      <c r="B807" s="1" t="n">
        <v>45252</v>
      </c>
      <c r="C807" s="1" t="n">
        <v>46033</v>
      </c>
      <c r="D807" t="inlineStr">
        <is>
          <t>JÄMTLANDS LÄN</t>
        </is>
      </c>
      <c r="E807" t="inlineStr">
        <is>
          <t>STRÖMSUND</t>
        </is>
      </c>
      <c r="G807" t="n">
        <v>8.4</v>
      </c>
      <c r="H807" t="n">
        <v>0</v>
      </c>
      <c r="I807" t="n">
        <v>0</v>
      </c>
      <c r="J807" t="n">
        <v>0</v>
      </c>
      <c r="K807" t="n">
        <v>0</v>
      </c>
      <c r="L807" t="n">
        <v>0</v>
      </c>
      <c r="M807" t="n">
        <v>0</v>
      </c>
      <c r="N807" t="n">
        <v>0</v>
      </c>
      <c r="O807" t="n">
        <v>0</v>
      </c>
      <c r="P807" t="n">
        <v>0</v>
      </c>
      <c r="Q807" t="n">
        <v>0</v>
      </c>
      <c r="R807" s="2" t="inlineStr"/>
    </row>
    <row r="808" ht="15" customHeight="1">
      <c r="A808" t="inlineStr">
        <is>
          <t>A 60026-2025</t>
        </is>
      </c>
      <c r="B808" s="1" t="n">
        <v>45993.60280092592</v>
      </c>
      <c r="C808" s="1" t="n">
        <v>46033</v>
      </c>
      <c r="D808" t="inlineStr">
        <is>
          <t>JÄMTLANDS LÄN</t>
        </is>
      </c>
      <c r="E808" t="inlineStr">
        <is>
          <t>STRÖMSUND</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1226-2024</t>
        </is>
      </c>
      <c r="B809" s="1" t="n">
        <v>45302</v>
      </c>
      <c r="C809" s="1" t="n">
        <v>46033</v>
      </c>
      <c r="D809" t="inlineStr">
        <is>
          <t>JÄMTLANDS LÄN</t>
        </is>
      </c>
      <c r="E809" t="inlineStr">
        <is>
          <t>STRÖMSUND</t>
        </is>
      </c>
      <c r="G809" t="n">
        <v>5.5</v>
      </c>
      <c r="H809" t="n">
        <v>0</v>
      </c>
      <c r="I809" t="n">
        <v>0</v>
      </c>
      <c r="J809" t="n">
        <v>0</v>
      </c>
      <c r="K809" t="n">
        <v>0</v>
      </c>
      <c r="L809" t="n">
        <v>0</v>
      </c>
      <c r="M809" t="n">
        <v>0</v>
      </c>
      <c r="N809" t="n">
        <v>0</v>
      </c>
      <c r="O809" t="n">
        <v>0</v>
      </c>
      <c r="P809" t="n">
        <v>0</v>
      </c>
      <c r="Q809" t="n">
        <v>0</v>
      </c>
      <c r="R809" s="2" t="inlineStr"/>
    </row>
    <row r="810" ht="15" customHeight="1">
      <c r="A810" t="inlineStr">
        <is>
          <t>A 23155-2025</t>
        </is>
      </c>
      <c r="B810" s="1" t="n">
        <v>45791.40679398148</v>
      </c>
      <c r="C810" s="1" t="n">
        <v>46033</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51373-2025</t>
        </is>
      </c>
      <c r="B811" s="1" t="n">
        <v>45950.44868055556</v>
      </c>
      <c r="C811" s="1" t="n">
        <v>46033</v>
      </c>
      <c r="D811" t="inlineStr">
        <is>
          <t>JÄMTLANDS LÄN</t>
        </is>
      </c>
      <c r="E811" t="inlineStr">
        <is>
          <t>STRÖMSUND</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22864-2025</t>
        </is>
      </c>
      <c r="B812" s="1" t="n">
        <v>45790.36502314815</v>
      </c>
      <c r="C812" s="1" t="n">
        <v>46033</v>
      </c>
      <c r="D812" t="inlineStr">
        <is>
          <t>JÄMTLANDS LÄN</t>
        </is>
      </c>
      <c r="E812" t="inlineStr">
        <is>
          <t>STRÖMSUND</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1641-2023</t>
        </is>
      </c>
      <c r="B813" s="1" t="n">
        <v>44937.92457175926</v>
      </c>
      <c r="C813" s="1" t="n">
        <v>46033</v>
      </c>
      <c r="D813" t="inlineStr">
        <is>
          <t>JÄMTLANDS LÄN</t>
        </is>
      </c>
      <c r="E813" t="inlineStr">
        <is>
          <t>STRÖMSUND</t>
        </is>
      </c>
      <c r="G813" t="n">
        <v>3.2</v>
      </c>
      <c r="H813" t="n">
        <v>0</v>
      </c>
      <c r="I813" t="n">
        <v>0</v>
      </c>
      <c r="J813" t="n">
        <v>0</v>
      </c>
      <c r="K813" t="n">
        <v>0</v>
      </c>
      <c r="L813" t="n">
        <v>0</v>
      </c>
      <c r="M813" t="n">
        <v>0</v>
      </c>
      <c r="N813" t="n">
        <v>0</v>
      </c>
      <c r="O813" t="n">
        <v>0</v>
      </c>
      <c r="P813" t="n">
        <v>0</v>
      </c>
      <c r="Q813" t="n">
        <v>0</v>
      </c>
      <c r="R813" s="2" t="inlineStr"/>
    </row>
    <row r="814" ht="15" customHeight="1">
      <c r="A814" t="inlineStr">
        <is>
          <t>A 39285-2025</t>
        </is>
      </c>
      <c r="B814" s="1" t="n">
        <v>45889.40671296296</v>
      </c>
      <c r="C814" s="1" t="n">
        <v>46033</v>
      </c>
      <c r="D814" t="inlineStr">
        <is>
          <t>JÄMTLANDS LÄN</t>
        </is>
      </c>
      <c r="E814" t="inlineStr">
        <is>
          <t>STRÖMSUND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23635-2025</t>
        </is>
      </c>
      <c r="B815" s="1" t="n">
        <v>45792.67891203704</v>
      </c>
      <c r="C815" s="1" t="n">
        <v>46033</v>
      </c>
      <c r="D815" t="inlineStr">
        <is>
          <t>JÄMTLANDS LÄN</t>
        </is>
      </c>
      <c r="E815" t="inlineStr">
        <is>
          <t>STRÖMSUND</t>
        </is>
      </c>
      <c r="F815" t="inlineStr">
        <is>
          <t>Holmen skog AB</t>
        </is>
      </c>
      <c r="G815" t="n">
        <v>8.1</v>
      </c>
      <c r="H815" t="n">
        <v>0</v>
      </c>
      <c r="I815" t="n">
        <v>0</v>
      </c>
      <c r="J815" t="n">
        <v>0</v>
      </c>
      <c r="K815" t="n">
        <v>0</v>
      </c>
      <c r="L815" t="n">
        <v>0</v>
      </c>
      <c r="M815" t="n">
        <v>0</v>
      </c>
      <c r="N815" t="n">
        <v>0</v>
      </c>
      <c r="O815" t="n">
        <v>0</v>
      </c>
      <c r="P815" t="n">
        <v>0</v>
      </c>
      <c r="Q815" t="n">
        <v>0</v>
      </c>
      <c r="R815" s="2" t="inlineStr"/>
    </row>
    <row r="816" ht="15" customHeight="1">
      <c r="A816" t="inlineStr">
        <is>
          <t>A 1801-2024</t>
        </is>
      </c>
      <c r="B816" s="1" t="n">
        <v>45307</v>
      </c>
      <c r="C816" s="1" t="n">
        <v>46033</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6693-2024</t>
        </is>
      </c>
      <c r="B817" s="1" t="n">
        <v>45341.95372685185</v>
      </c>
      <c r="C817" s="1" t="n">
        <v>46033</v>
      </c>
      <c r="D817" t="inlineStr">
        <is>
          <t>JÄMTLANDS LÄN</t>
        </is>
      </c>
      <c r="E817" t="inlineStr">
        <is>
          <t>STRÖMSUND</t>
        </is>
      </c>
      <c r="F817" t="inlineStr">
        <is>
          <t>SCA</t>
        </is>
      </c>
      <c r="G817" t="n">
        <v>14.2</v>
      </c>
      <c r="H817" t="n">
        <v>0</v>
      </c>
      <c r="I817" t="n">
        <v>0</v>
      </c>
      <c r="J817" t="n">
        <v>0</v>
      </c>
      <c r="K817" t="n">
        <v>0</v>
      </c>
      <c r="L817" t="n">
        <v>0</v>
      </c>
      <c r="M817" t="n">
        <v>0</v>
      </c>
      <c r="N817" t="n">
        <v>0</v>
      </c>
      <c r="O817" t="n">
        <v>0</v>
      </c>
      <c r="P817" t="n">
        <v>0</v>
      </c>
      <c r="Q817" t="n">
        <v>0</v>
      </c>
      <c r="R817" s="2" t="inlineStr"/>
    </row>
    <row r="818" ht="15" customHeight="1">
      <c r="A818" t="inlineStr">
        <is>
          <t>A 17975-2025</t>
        </is>
      </c>
      <c r="B818" s="1" t="n">
        <v>45761.36520833334</v>
      </c>
      <c r="C818" s="1" t="n">
        <v>46033</v>
      </c>
      <c r="D818" t="inlineStr">
        <is>
          <t>JÄMTLANDS LÄN</t>
        </is>
      </c>
      <c r="E818" t="inlineStr">
        <is>
          <t>STRÖMSUND</t>
        </is>
      </c>
      <c r="G818" t="n">
        <v>0.8</v>
      </c>
      <c r="H818" t="n">
        <v>0</v>
      </c>
      <c r="I818" t="n">
        <v>0</v>
      </c>
      <c r="J818" t="n">
        <v>0</v>
      </c>
      <c r="K818" t="n">
        <v>0</v>
      </c>
      <c r="L818" t="n">
        <v>0</v>
      </c>
      <c r="M818" t="n">
        <v>0</v>
      </c>
      <c r="N818" t="n">
        <v>0</v>
      </c>
      <c r="O818" t="n">
        <v>0</v>
      </c>
      <c r="P818" t="n">
        <v>0</v>
      </c>
      <c r="Q818" t="n">
        <v>0</v>
      </c>
      <c r="R818" s="2" t="inlineStr"/>
    </row>
    <row r="819" ht="15" customHeight="1">
      <c r="A819" t="inlineStr">
        <is>
          <t>A 39040-2025</t>
        </is>
      </c>
      <c r="B819" s="1" t="n">
        <v>45888.42753472222</v>
      </c>
      <c r="C819" s="1" t="n">
        <v>46033</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28003-2023</t>
        </is>
      </c>
      <c r="B820" s="1" t="n">
        <v>45098.93894675926</v>
      </c>
      <c r="C820" s="1" t="n">
        <v>46033</v>
      </c>
      <c r="D820" t="inlineStr">
        <is>
          <t>JÄMTLANDS LÄN</t>
        </is>
      </c>
      <c r="E820" t="inlineStr">
        <is>
          <t>STRÖMSUND</t>
        </is>
      </c>
      <c r="F820" t="inlineStr">
        <is>
          <t>SCA</t>
        </is>
      </c>
      <c r="G820" t="n">
        <v>5</v>
      </c>
      <c r="H820" t="n">
        <v>0</v>
      </c>
      <c r="I820" t="n">
        <v>0</v>
      </c>
      <c r="J820" t="n">
        <v>0</v>
      </c>
      <c r="K820" t="n">
        <v>0</v>
      </c>
      <c r="L820" t="n">
        <v>0</v>
      </c>
      <c r="M820" t="n">
        <v>0</v>
      </c>
      <c r="N820" t="n">
        <v>0</v>
      </c>
      <c r="O820" t="n">
        <v>0</v>
      </c>
      <c r="P820" t="n">
        <v>0</v>
      </c>
      <c r="Q820" t="n">
        <v>0</v>
      </c>
      <c r="R820" s="2" t="inlineStr"/>
    </row>
    <row r="821" ht="15" customHeight="1">
      <c r="A821" t="inlineStr">
        <is>
          <t>A 14147-2021</t>
        </is>
      </c>
      <c r="B821" s="1" t="n">
        <v>44278</v>
      </c>
      <c r="C821" s="1" t="n">
        <v>46033</v>
      </c>
      <c r="D821" t="inlineStr">
        <is>
          <t>JÄMTLANDS LÄN</t>
        </is>
      </c>
      <c r="E821" t="inlineStr">
        <is>
          <t>STRÖMSUND</t>
        </is>
      </c>
      <c r="G821" t="n">
        <v>3.9</v>
      </c>
      <c r="H821" t="n">
        <v>0</v>
      </c>
      <c r="I821" t="n">
        <v>0</v>
      </c>
      <c r="J821" t="n">
        <v>0</v>
      </c>
      <c r="K821" t="n">
        <v>0</v>
      </c>
      <c r="L821" t="n">
        <v>0</v>
      </c>
      <c r="M821" t="n">
        <v>0</v>
      </c>
      <c r="N821" t="n">
        <v>0</v>
      </c>
      <c r="O821" t="n">
        <v>0</v>
      </c>
      <c r="P821" t="n">
        <v>0</v>
      </c>
      <c r="Q821" t="n">
        <v>0</v>
      </c>
      <c r="R821" s="2" t="inlineStr"/>
    </row>
    <row r="822" ht="15" customHeight="1">
      <c r="A822" t="inlineStr">
        <is>
          <t>A 1421-2025</t>
        </is>
      </c>
      <c r="B822" s="1" t="n">
        <v>45668.59413194445</v>
      </c>
      <c r="C822" s="1" t="n">
        <v>46033</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46394-2024</t>
        </is>
      </c>
      <c r="B823" s="1" t="n">
        <v>45582.4071875</v>
      </c>
      <c r="C823" s="1" t="n">
        <v>46033</v>
      </c>
      <c r="D823" t="inlineStr">
        <is>
          <t>JÄMTLANDS LÄN</t>
        </is>
      </c>
      <c r="E823" t="inlineStr">
        <is>
          <t>STRÖMSUND</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21552-2025</t>
        </is>
      </c>
      <c r="B824" s="1" t="n">
        <v>45782.67795138889</v>
      </c>
      <c r="C824" s="1" t="n">
        <v>46033</v>
      </c>
      <c r="D824" t="inlineStr">
        <is>
          <t>JÄMTLANDS LÄN</t>
        </is>
      </c>
      <c r="E824" t="inlineStr">
        <is>
          <t>STRÖMSUND</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26789-2025</t>
        </is>
      </c>
      <c r="B825" s="1" t="n">
        <v>45810.58775462963</v>
      </c>
      <c r="C825" s="1" t="n">
        <v>46033</v>
      </c>
      <c r="D825" t="inlineStr">
        <is>
          <t>JÄMTLANDS LÄN</t>
        </is>
      </c>
      <c r="E825" t="inlineStr">
        <is>
          <t>STRÖMSUND</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4050-2023</t>
        </is>
      </c>
      <c r="B826" s="1" t="n">
        <v>44952.60730324074</v>
      </c>
      <c r="C826" s="1" t="n">
        <v>46033</v>
      </c>
      <c r="D826" t="inlineStr">
        <is>
          <t>JÄMTLANDS LÄN</t>
        </is>
      </c>
      <c r="E826" t="inlineStr">
        <is>
          <t>STRÖMSUND</t>
        </is>
      </c>
      <c r="G826" t="n">
        <v>2.9</v>
      </c>
      <c r="H826" t="n">
        <v>0</v>
      </c>
      <c r="I826" t="n">
        <v>0</v>
      </c>
      <c r="J826" t="n">
        <v>0</v>
      </c>
      <c r="K826" t="n">
        <v>0</v>
      </c>
      <c r="L826" t="n">
        <v>0</v>
      </c>
      <c r="M826" t="n">
        <v>0</v>
      </c>
      <c r="N826" t="n">
        <v>0</v>
      </c>
      <c r="O826" t="n">
        <v>0</v>
      </c>
      <c r="P826" t="n">
        <v>0</v>
      </c>
      <c r="Q826" t="n">
        <v>0</v>
      </c>
      <c r="R826" s="2" t="inlineStr"/>
    </row>
    <row r="827" ht="15" customHeight="1">
      <c r="A827" t="inlineStr">
        <is>
          <t>A 14072-2023</t>
        </is>
      </c>
      <c r="B827" s="1" t="n">
        <v>45009.08899305556</v>
      </c>
      <c r="C827" s="1" t="n">
        <v>46033</v>
      </c>
      <c r="D827" t="inlineStr">
        <is>
          <t>JÄMTLANDS LÄN</t>
        </is>
      </c>
      <c r="E827" t="inlineStr">
        <is>
          <t>STRÖMSUND</t>
        </is>
      </c>
      <c r="F827" t="inlineStr">
        <is>
          <t>SCA</t>
        </is>
      </c>
      <c r="G827" t="n">
        <v>24.8</v>
      </c>
      <c r="H827" t="n">
        <v>0</v>
      </c>
      <c r="I827" t="n">
        <v>0</v>
      </c>
      <c r="J827" t="n">
        <v>0</v>
      </c>
      <c r="K827" t="n">
        <v>0</v>
      </c>
      <c r="L827" t="n">
        <v>0</v>
      </c>
      <c r="M827" t="n">
        <v>0</v>
      </c>
      <c r="N827" t="n">
        <v>0</v>
      </c>
      <c r="O827" t="n">
        <v>0</v>
      </c>
      <c r="P827" t="n">
        <v>0</v>
      </c>
      <c r="Q827" t="n">
        <v>0</v>
      </c>
      <c r="R827" s="2" t="inlineStr"/>
    </row>
    <row r="828" ht="15" customHeight="1">
      <c r="A828" t="inlineStr">
        <is>
          <t>A 39357-2025</t>
        </is>
      </c>
      <c r="B828" s="1" t="n">
        <v>45889.55276620371</v>
      </c>
      <c r="C828" s="1" t="n">
        <v>46033</v>
      </c>
      <c r="D828" t="inlineStr">
        <is>
          <t>JÄMTLANDS LÄN</t>
        </is>
      </c>
      <c r="E828" t="inlineStr">
        <is>
          <t>STRÖMSUND</t>
        </is>
      </c>
      <c r="G828" t="n">
        <v>24.6</v>
      </c>
      <c r="H828" t="n">
        <v>0</v>
      </c>
      <c r="I828" t="n">
        <v>0</v>
      </c>
      <c r="J828" t="n">
        <v>0</v>
      </c>
      <c r="K828" t="n">
        <v>0</v>
      </c>
      <c r="L828" t="n">
        <v>0</v>
      </c>
      <c r="M828" t="n">
        <v>0</v>
      </c>
      <c r="N828" t="n">
        <v>0</v>
      </c>
      <c r="O828" t="n">
        <v>0</v>
      </c>
      <c r="P828" t="n">
        <v>0</v>
      </c>
      <c r="Q828" t="n">
        <v>0</v>
      </c>
      <c r="R828" s="2" t="inlineStr"/>
    </row>
    <row r="829" ht="15" customHeight="1">
      <c r="A829" t="inlineStr">
        <is>
          <t>A 21781-2025</t>
        </is>
      </c>
      <c r="B829" s="1" t="n">
        <v>45783.66841435185</v>
      </c>
      <c r="C829" s="1" t="n">
        <v>46033</v>
      </c>
      <c r="D829" t="inlineStr">
        <is>
          <t>JÄMTLANDS LÄN</t>
        </is>
      </c>
      <c r="E829" t="inlineStr">
        <is>
          <t>STRÖMSUND</t>
        </is>
      </c>
      <c r="G829" t="n">
        <v>2.2</v>
      </c>
      <c r="H829" t="n">
        <v>0</v>
      </c>
      <c r="I829" t="n">
        <v>0</v>
      </c>
      <c r="J829" t="n">
        <v>0</v>
      </c>
      <c r="K829" t="n">
        <v>0</v>
      </c>
      <c r="L829" t="n">
        <v>0</v>
      </c>
      <c r="M829" t="n">
        <v>0</v>
      </c>
      <c r="N829" t="n">
        <v>0</v>
      </c>
      <c r="O829" t="n">
        <v>0</v>
      </c>
      <c r="P829" t="n">
        <v>0</v>
      </c>
      <c r="Q829" t="n">
        <v>0</v>
      </c>
      <c r="R829" s="2" t="inlineStr"/>
    </row>
    <row r="830" ht="15" customHeight="1">
      <c r="A830" t="inlineStr">
        <is>
          <t>A 13522-2025</t>
        </is>
      </c>
      <c r="B830" s="1" t="n">
        <v>45736.48995370371</v>
      </c>
      <c r="C830" s="1" t="n">
        <v>46033</v>
      </c>
      <c r="D830" t="inlineStr">
        <is>
          <t>JÄMTLANDS LÄN</t>
        </is>
      </c>
      <c r="E830" t="inlineStr">
        <is>
          <t>STRÖMSUND</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23689-2025</t>
        </is>
      </c>
      <c r="B831" s="1" t="n">
        <v>45793.34449074074</v>
      </c>
      <c r="C831" s="1" t="n">
        <v>46033</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39005-2025</t>
        </is>
      </c>
      <c r="B832" s="1" t="n">
        <v>45888.34487268519</v>
      </c>
      <c r="C832" s="1" t="n">
        <v>46033</v>
      </c>
      <c r="D832" t="inlineStr">
        <is>
          <t>JÄMTLANDS LÄN</t>
        </is>
      </c>
      <c r="E832" t="inlineStr">
        <is>
          <t>STRÖMSUND</t>
        </is>
      </c>
      <c r="F832" t="inlineStr">
        <is>
          <t>SCA</t>
        </is>
      </c>
      <c r="G832" t="n">
        <v>30.9</v>
      </c>
      <c r="H832" t="n">
        <v>0</v>
      </c>
      <c r="I832" t="n">
        <v>0</v>
      </c>
      <c r="J832" t="n">
        <v>0</v>
      </c>
      <c r="K832" t="n">
        <v>0</v>
      </c>
      <c r="L832" t="n">
        <v>0</v>
      </c>
      <c r="M832" t="n">
        <v>0</v>
      </c>
      <c r="N832" t="n">
        <v>0</v>
      </c>
      <c r="O832" t="n">
        <v>0</v>
      </c>
      <c r="P832" t="n">
        <v>0</v>
      </c>
      <c r="Q832" t="n">
        <v>0</v>
      </c>
      <c r="R832" s="2" t="inlineStr"/>
    </row>
    <row r="833" ht="15" customHeight="1">
      <c r="A833" t="inlineStr">
        <is>
          <t>A 59949-2025</t>
        </is>
      </c>
      <c r="B833" s="1" t="n">
        <v>45993.45402777778</v>
      </c>
      <c r="C833" s="1" t="n">
        <v>46033</v>
      </c>
      <c r="D833" t="inlineStr">
        <is>
          <t>JÄMTLANDS LÄN</t>
        </is>
      </c>
      <c r="E833" t="inlineStr">
        <is>
          <t>STRÖMSUND</t>
        </is>
      </c>
      <c r="G833" t="n">
        <v>0.7</v>
      </c>
      <c r="H833" t="n">
        <v>0</v>
      </c>
      <c r="I833" t="n">
        <v>0</v>
      </c>
      <c r="J833" t="n">
        <v>0</v>
      </c>
      <c r="K833" t="n">
        <v>0</v>
      </c>
      <c r="L833" t="n">
        <v>0</v>
      </c>
      <c r="M833" t="n">
        <v>0</v>
      </c>
      <c r="N833" t="n">
        <v>0</v>
      </c>
      <c r="O833" t="n">
        <v>0</v>
      </c>
      <c r="P833" t="n">
        <v>0</v>
      </c>
      <c r="Q833" t="n">
        <v>0</v>
      </c>
      <c r="R833" s="2" t="inlineStr"/>
    </row>
    <row r="834" ht="15" customHeight="1">
      <c r="A834" t="inlineStr">
        <is>
          <t>A 59987-2025</t>
        </is>
      </c>
      <c r="B834" s="1" t="n">
        <v>45993.55253472222</v>
      </c>
      <c r="C834" s="1" t="n">
        <v>46033</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59704-2025</t>
        </is>
      </c>
      <c r="B835" s="1" t="n">
        <v>45992.50162037037</v>
      </c>
      <c r="C835" s="1" t="n">
        <v>46033</v>
      </c>
      <c r="D835" t="inlineStr">
        <is>
          <t>JÄMTLANDS LÄN</t>
        </is>
      </c>
      <c r="E835" t="inlineStr">
        <is>
          <t>STRÖMSUND</t>
        </is>
      </c>
      <c r="G835" t="n">
        <v>2.1</v>
      </c>
      <c r="H835" t="n">
        <v>0</v>
      </c>
      <c r="I835" t="n">
        <v>0</v>
      </c>
      <c r="J835" t="n">
        <v>0</v>
      </c>
      <c r="K835" t="n">
        <v>0</v>
      </c>
      <c r="L835" t="n">
        <v>0</v>
      </c>
      <c r="M835" t="n">
        <v>0</v>
      </c>
      <c r="N835" t="n">
        <v>0</v>
      </c>
      <c r="O835" t="n">
        <v>0</v>
      </c>
      <c r="P835" t="n">
        <v>0</v>
      </c>
      <c r="Q835" t="n">
        <v>0</v>
      </c>
      <c r="R835" s="2" t="inlineStr"/>
    </row>
    <row r="836" ht="15" customHeight="1">
      <c r="A836" t="inlineStr">
        <is>
          <t>A 30284-2023</t>
        </is>
      </c>
      <c r="B836" s="1" t="n">
        <v>45110</v>
      </c>
      <c r="C836" s="1" t="n">
        <v>46033</v>
      </c>
      <c r="D836" t="inlineStr">
        <is>
          <t>JÄMTLANDS LÄN</t>
        </is>
      </c>
      <c r="E836" t="inlineStr">
        <is>
          <t>STRÖMSUND</t>
        </is>
      </c>
      <c r="G836" t="n">
        <v>4</v>
      </c>
      <c r="H836" t="n">
        <v>0</v>
      </c>
      <c r="I836" t="n">
        <v>0</v>
      </c>
      <c r="J836" t="n">
        <v>0</v>
      </c>
      <c r="K836" t="n">
        <v>0</v>
      </c>
      <c r="L836" t="n">
        <v>0</v>
      </c>
      <c r="M836" t="n">
        <v>0</v>
      </c>
      <c r="N836" t="n">
        <v>0</v>
      </c>
      <c r="O836" t="n">
        <v>0</v>
      </c>
      <c r="P836" t="n">
        <v>0</v>
      </c>
      <c r="Q836" t="n">
        <v>0</v>
      </c>
      <c r="R836" s="2" t="inlineStr"/>
    </row>
    <row r="837" ht="15" customHeight="1">
      <c r="A837" t="inlineStr">
        <is>
          <t>A 23628-2025</t>
        </is>
      </c>
      <c r="B837" s="1" t="n">
        <v>45792.67740740741</v>
      </c>
      <c r="C837" s="1" t="n">
        <v>46033</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59742-2023</t>
        </is>
      </c>
      <c r="B838" s="1" t="n">
        <v>45257.3837037037</v>
      </c>
      <c r="C838" s="1" t="n">
        <v>46033</v>
      </c>
      <c r="D838" t="inlineStr">
        <is>
          <t>JÄMTLANDS LÄN</t>
        </is>
      </c>
      <c r="E838" t="inlineStr">
        <is>
          <t>STRÖMSUND</t>
        </is>
      </c>
      <c r="F838" t="inlineStr">
        <is>
          <t>Sveaskog</t>
        </is>
      </c>
      <c r="G838" t="n">
        <v>7.6</v>
      </c>
      <c r="H838" t="n">
        <v>0</v>
      </c>
      <c r="I838" t="n">
        <v>0</v>
      </c>
      <c r="J838" t="n">
        <v>0</v>
      </c>
      <c r="K838" t="n">
        <v>0</v>
      </c>
      <c r="L838" t="n">
        <v>0</v>
      </c>
      <c r="M838" t="n">
        <v>0</v>
      </c>
      <c r="N838" t="n">
        <v>0</v>
      </c>
      <c r="O838" t="n">
        <v>0</v>
      </c>
      <c r="P838" t="n">
        <v>0</v>
      </c>
      <c r="Q838" t="n">
        <v>0</v>
      </c>
      <c r="R838" s="2" t="inlineStr"/>
    </row>
    <row r="839" ht="15" customHeight="1">
      <c r="A839" t="inlineStr">
        <is>
          <t>A 39314-2025</t>
        </is>
      </c>
      <c r="B839" s="1" t="n">
        <v>45889</v>
      </c>
      <c r="C839" s="1" t="n">
        <v>46033</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18750-2022</t>
        </is>
      </c>
      <c r="B840" s="1" t="n">
        <v>44687.94185185185</v>
      </c>
      <c r="C840" s="1" t="n">
        <v>46033</v>
      </c>
      <c r="D840" t="inlineStr">
        <is>
          <t>JÄMTLANDS LÄN</t>
        </is>
      </c>
      <c r="E840" t="inlineStr">
        <is>
          <t>STRÖMSUND</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39860-2025</t>
        </is>
      </c>
      <c r="B841" s="1" t="n">
        <v>45891.59409722222</v>
      </c>
      <c r="C841" s="1" t="n">
        <v>46033</v>
      </c>
      <c r="D841" t="inlineStr">
        <is>
          <t>JÄMTLANDS LÄN</t>
        </is>
      </c>
      <c r="E841" t="inlineStr">
        <is>
          <t>STRÖMSUND</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51734-2025</t>
        </is>
      </c>
      <c r="B842" s="1" t="n">
        <v>45951.59497685185</v>
      </c>
      <c r="C842" s="1" t="n">
        <v>46033</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7260-2022</t>
        </is>
      </c>
      <c r="B843" s="1" t="n">
        <v>44606</v>
      </c>
      <c r="C843" s="1" t="n">
        <v>46033</v>
      </c>
      <c r="D843" t="inlineStr">
        <is>
          <t>JÄMTLANDS LÄN</t>
        </is>
      </c>
      <c r="E843" t="inlineStr">
        <is>
          <t>STRÖMSUND</t>
        </is>
      </c>
      <c r="F843" t="inlineStr">
        <is>
          <t>SCA</t>
        </is>
      </c>
      <c r="G843" t="n">
        <v>76.40000000000001</v>
      </c>
      <c r="H843" t="n">
        <v>0</v>
      </c>
      <c r="I843" t="n">
        <v>0</v>
      </c>
      <c r="J843" t="n">
        <v>0</v>
      </c>
      <c r="K843" t="n">
        <v>0</v>
      </c>
      <c r="L843" t="n">
        <v>0</v>
      </c>
      <c r="M843" t="n">
        <v>0</v>
      </c>
      <c r="N843" t="n">
        <v>0</v>
      </c>
      <c r="O843" t="n">
        <v>0</v>
      </c>
      <c r="P843" t="n">
        <v>0</v>
      </c>
      <c r="Q843" t="n">
        <v>0</v>
      </c>
      <c r="R843" s="2" t="inlineStr"/>
    </row>
    <row r="844" ht="15" customHeight="1">
      <c r="A844" t="inlineStr">
        <is>
          <t>A 29299-2025</t>
        </is>
      </c>
      <c r="B844" s="1" t="n">
        <v>45824.4528125</v>
      </c>
      <c r="C844" s="1" t="n">
        <v>46033</v>
      </c>
      <c r="D844" t="inlineStr">
        <is>
          <t>JÄMTLANDS LÄN</t>
        </is>
      </c>
      <c r="E844" t="inlineStr">
        <is>
          <t>STRÖMSUND</t>
        </is>
      </c>
      <c r="G844" t="n">
        <v>4.6</v>
      </c>
      <c r="H844" t="n">
        <v>0</v>
      </c>
      <c r="I844" t="n">
        <v>0</v>
      </c>
      <c r="J844" t="n">
        <v>0</v>
      </c>
      <c r="K844" t="n">
        <v>0</v>
      </c>
      <c r="L844" t="n">
        <v>0</v>
      </c>
      <c r="M844" t="n">
        <v>0</v>
      </c>
      <c r="N844" t="n">
        <v>0</v>
      </c>
      <c r="O844" t="n">
        <v>0</v>
      </c>
      <c r="P844" t="n">
        <v>0</v>
      </c>
      <c r="Q844" t="n">
        <v>0</v>
      </c>
      <c r="R844" s="2" t="inlineStr"/>
    </row>
    <row r="845" ht="15" customHeight="1">
      <c r="A845" t="inlineStr">
        <is>
          <t>A 39559-2025</t>
        </is>
      </c>
      <c r="B845" s="1" t="n">
        <v>45890.46996527778</v>
      </c>
      <c r="C845" s="1" t="n">
        <v>46033</v>
      </c>
      <c r="D845" t="inlineStr">
        <is>
          <t>JÄMTLANDS LÄN</t>
        </is>
      </c>
      <c r="E845" t="inlineStr">
        <is>
          <t>STRÖMSUND</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39560-2025</t>
        </is>
      </c>
      <c r="B846" s="1" t="n">
        <v>45890.47173611111</v>
      </c>
      <c r="C846" s="1" t="n">
        <v>46033</v>
      </c>
      <c r="D846" t="inlineStr">
        <is>
          <t>JÄMTLANDS LÄN</t>
        </is>
      </c>
      <c r="E846" t="inlineStr">
        <is>
          <t>STRÖMSUND</t>
        </is>
      </c>
      <c r="F846" t="inlineStr">
        <is>
          <t>Holmen skog AB</t>
        </is>
      </c>
      <c r="G846" t="n">
        <v>8.9</v>
      </c>
      <c r="H846" t="n">
        <v>0</v>
      </c>
      <c r="I846" t="n">
        <v>0</v>
      </c>
      <c r="J846" t="n">
        <v>0</v>
      </c>
      <c r="K846" t="n">
        <v>0</v>
      </c>
      <c r="L846" t="n">
        <v>0</v>
      </c>
      <c r="M846" t="n">
        <v>0</v>
      </c>
      <c r="N846" t="n">
        <v>0</v>
      </c>
      <c r="O846" t="n">
        <v>0</v>
      </c>
      <c r="P846" t="n">
        <v>0</v>
      </c>
      <c r="Q846" t="n">
        <v>0</v>
      </c>
      <c r="R846" s="2" t="inlineStr"/>
    </row>
    <row r="847" ht="15" customHeight="1">
      <c r="A847" t="inlineStr">
        <is>
          <t>A 59741-2025</t>
        </is>
      </c>
      <c r="B847" s="1" t="n">
        <v>45992.57445601852</v>
      </c>
      <c r="C847" s="1" t="n">
        <v>46033</v>
      </c>
      <c r="D847" t="inlineStr">
        <is>
          <t>JÄMTLANDS LÄN</t>
        </is>
      </c>
      <c r="E847" t="inlineStr">
        <is>
          <t>STRÖMSUND</t>
        </is>
      </c>
      <c r="G847" t="n">
        <v>3.5</v>
      </c>
      <c r="H847" t="n">
        <v>0</v>
      </c>
      <c r="I847" t="n">
        <v>0</v>
      </c>
      <c r="J847" t="n">
        <v>0</v>
      </c>
      <c r="K847" t="n">
        <v>0</v>
      </c>
      <c r="L847" t="n">
        <v>0</v>
      </c>
      <c r="M847" t="n">
        <v>0</v>
      </c>
      <c r="N847" t="n">
        <v>0</v>
      </c>
      <c r="O847" t="n">
        <v>0</v>
      </c>
      <c r="P847" t="n">
        <v>0</v>
      </c>
      <c r="Q847" t="n">
        <v>0</v>
      </c>
      <c r="R847" s="2" t="inlineStr"/>
    </row>
    <row r="848" ht="15" customHeight="1">
      <c r="A848" t="inlineStr">
        <is>
          <t>A 14043-2022</t>
        </is>
      </c>
      <c r="B848" s="1" t="n">
        <v>44650</v>
      </c>
      <c r="C848" s="1" t="n">
        <v>46033</v>
      </c>
      <c r="D848" t="inlineStr">
        <is>
          <t>JÄMTLANDS LÄN</t>
        </is>
      </c>
      <c r="E848" t="inlineStr">
        <is>
          <t>STRÖMSUND</t>
        </is>
      </c>
      <c r="G848" t="n">
        <v>11.6</v>
      </c>
      <c r="H848" t="n">
        <v>0</v>
      </c>
      <c r="I848" t="n">
        <v>0</v>
      </c>
      <c r="J848" t="n">
        <v>0</v>
      </c>
      <c r="K848" t="n">
        <v>0</v>
      </c>
      <c r="L848" t="n">
        <v>0</v>
      </c>
      <c r="M848" t="n">
        <v>0</v>
      </c>
      <c r="N848" t="n">
        <v>0</v>
      </c>
      <c r="O848" t="n">
        <v>0</v>
      </c>
      <c r="P848" t="n">
        <v>0</v>
      </c>
      <c r="Q848" t="n">
        <v>0</v>
      </c>
      <c r="R848" s="2" t="inlineStr"/>
    </row>
    <row r="849" ht="15" customHeight="1">
      <c r="A849" t="inlineStr">
        <is>
          <t>A 18192-2025</t>
        </is>
      </c>
      <c r="B849" s="1" t="n">
        <v>45761</v>
      </c>
      <c r="C849" s="1" t="n">
        <v>46033</v>
      </c>
      <c r="D849" t="inlineStr">
        <is>
          <t>JÄMTLANDS LÄN</t>
        </is>
      </c>
      <c r="E849" t="inlineStr">
        <is>
          <t>STRÖMSUND</t>
        </is>
      </c>
      <c r="G849" t="n">
        <v>1.8</v>
      </c>
      <c r="H849" t="n">
        <v>0</v>
      </c>
      <c r="I849" t="n">
        <v>0</v>
      </c>
      <c r="J849" t="n">
        <v>0</v>
      </c>
      <c r="K849" t="n">
        <v>0</v>
      </c>
      <c r="L849" t="n">
        <v>0</v>
      </c>
      <c r="M849" t="n">
        <v>0</v>
      </c>
      <c r="N849" t="n">
        <v>0</v>
      </c>
      <c r="O849" t="n">
        <v>0</v>
      </c>
      <c r="P849" t="n">
        <v>0</v>
      </c>
      <c r="Q849" t="n">
        <v>0</v>
      </c>
      <c r="R849" s="2" t="inlineStr"/>
    </row>
    <row r="850" ht="15" customHeight="1">
      <c r="A850" t="inlineStr">
        <is>
          <t>A 24419-2025</t>
        </is>
      </c>
      <c r="B850" s="1" t="n">
        <v>45797.67760416667</v>
      </c>
      <c r="C850" s="1" t="n">
        <v>46033</v>
      </c>
      <c r="D850" t="inlineStr">
        <is>
          <t>JÄMTLANDS LÄN</t>
        </is>
      </c>
      <c r="E850" t="inlineStr">
        <is>
          <t>STRÖMSUND</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22026-2022</t>
        </is>
      </c>
      <c r="B851" s="1" t="n">
        <v>44711</v>
      </c>
      <c r="C851" s="1" t="n">
        <v>46033</v>
      </c>
      <c r="D851" t="inlineStr">
        <is>
          <t>JÄMTLANDS LÄN</t>
        </is>
      </c>
      <c r="E851" t="inlineStr">
        <is>
          <t>STRÖMSUND</t>
        </is>
      </c>
      <c r="G851" t="n">
        <v>5.8</v>
      </c>
      <c r="H851" t="n">
        <v>0</v>
      </c>
      <c r="I851" t="n">
        <v>0</v>
      </c>
      <c r="J851" t="n">
        <v>0</v>
      </c>
      <c r="K851" t="n">
        <v>0</v>
      </c>
      <c r="L851" t="n">
        <v>0</v>
      </c>
      <c r="M851" t="n">
        <v>0</v>
      </c>
      <c r="N851" t="n">
        <v>0</v>
      </c>
      <c r="O851" t="n">
        <v>0</v>
      </c>
      <c r="P851" t="n">
        <v>0</v>
      </c>
      <c r="Q851" t="n">
        <v>0</v>
      </c>
      <c r="R851" s="2" t="inlineStr"/>
    </row>
    <row r="852" ht="15" customHeight="1">
      <c r="A852" t="inlineStr">
        <is>
          <t>A 39507-2025</t>
        </is>
      </c>
      <c r="B852" s="1" t="n">
        <v>45890.40724537037</v>
      </c>
      <c r="C852" s="1" t="n">
        <v>46033</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35746-2024</t>
        </is>
      </c>
      <c r="B853" s="1" t="n">
        <v>45532</v>
      </c>
      <c r="C853" s="1" t="n">
        <v>46033</v>
      </c>
      <c r="D853" t="inlineStr">
        <is>
          <t>JÄMTLANDS LÄN</t>
        </is>
      </c>
      <c r="E853" t="inlineStr">
        <is>
          <t>STRÖMSUND</t>
        </is>
      </c>
      <c r="G853" t="n">
        <v>0.5</v>
      </c>
      <c r="H853" t="n">
        <v>0</v>
      </c>
      <c r="I853" t="n">
        <v>0</v>
      </c>
      <c r="J853" t="n">
        <v>0</v>
      </c>
      <c r="K853" t="n">
        <v>0</v>
      </c>
      <c r="L853" t="n">
        <v>0</v>
      </c>
      <c r="M853" t="n">
        <v>0</v>
      </c>
      <c r="N853" t="n">
        <v>0</v>
      </c>
      <c r="O853" t="n">
        <v>0</v>
      </c>
      <c r="P853" t="n">
        <v>0</v>
      </c>
      <c r="Q853" t="n">
        <v>0</v>
      </c>
      <c r="R853" s="2" t="inlineStr"/>
    </row>
    <row r="854" ht="15" customHeight="1">
      <c r="A854" t="inlineStr">
        <is>
          <t>A 39508-2025</t>
        </is>
      </c>
      <c r="B854" s="1" t="n">
        <v>45890.40730324074</v>
      </c>
      <c r="C854" s="1" t="n">
        <v>46033</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39726-2025</t>
        </is>
      </c>
      <c r="B855" s="1" t="n">
        <v>45891.34461805555</v>
      </c>
      <c r="C855" s="1" t="n">
        <v>46033</v>
      </c>
      <c r="D855" t="inlineStr">
        <is>
          <t>JÄMTLANDS LÄN</t>
        </is>
      </c>
      <c r="E855" t="inlineStr">
        <is>
          <t>STRÖMSUND</t>
        </is>
      </c>
      <c r="F855" t="inlineStr">
        <is>
          <t>SCA</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24334-2025</t>
        </is>
      </c>
      <c r="B856" s="1" t="n">
        <v>45797.57329861111</v>
      </c>
      <c r="C856" s="1" t="n">
        <v>46033</v>
      </c>
      <c r="D856" t="inlineStr">
        <is>
          <t>JÄMTLANDS LÄN</t>
        </is>
      </c>
      <c r="E856" t="inlineStr">
        <is>
          <t>STRÖMSUND</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24337-2025</t>
        </is>
      </c>
      <c r="B857" s="1" t="n">
        <v>45797.57368055556</v>
      </c>
      <c r="C857" s="1" t="n">
        <v>46033</v>
      </c>
      <c r="D857" t="inlineStr">
        <is>
          <t>JÄMTLANDS LÄN</t>
        </is>
      </c>
      <c r="E857" t="inlineStr">
        <is>
          <t>STRÖMSUND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39628-2025</t>
        </is>
      </c>
      <c r="B858" s="1" t="n">
        <v>45890.5827199074</v>
      </c>
      <c r="C858" s="1" t="n">
        <v>46033</v>
      </c>
      <c r="D858" t="inlineStr">
        <is>
          <t>JÄMTLANDS LÄN</t>
        </is>
      </c>
      <c r="E858" t="inlineStr">
        <is>
          <t>STRÖMSUND</t>
        </is>
      </c>
      <c r="F858" t="inlineStr">
        <is>
          <t>Holmen skog AB</t>
        </is>
      </c>
      <c r="G858" t="n">
        <v>3.7</v>
      </c>
      <c r="H858" t="n">
        <v>0</v>
      </c>
      <c r="I858" t="n">
        <v>0</v>
      </c>
      <c r="J858" t="n">
        <v>0</v>
      </c>
      <c r="K858" t="n">
        <v>0</v>
      </c>
      <c r="L858" t="n">
        <v>0</v>
      </c>
      <c r="M858" t="n">
        <v>0</v>
      </c>
      <c r="N858" t="n">
        <v>0</v>
      </c>
      <c r="O858" t="n">
        <v>0</v>
      </c>
      <c r="P858" t="n">
        <v>0</v>
      </c>
      <c r="Q858" t="n">
        <v>0</v>
      </c>
      <c r="R858" s="2" t="inlineStr"/>
    </row>
    <row r="859" ht="15" customHeight="1">
      <c r="A859" t="inlineStr">
        <is>
          <t>A 45251-2024</t>
        </is>
      </c>
      <c r="B859" s="1" t="n">
        <v>45576.32583333334</v>
      </c>
      <c r="C859" s="1" t="n">
        <v>46033</v>
      </c>
      <c r="D859" t="inlineStr">
        <is>
          <t>JÄMTLANDS LÄN</t>
        </is>
      </c>
      <c r="E859" t="inlineStr">
        <is>
          <t>STRÖMSUND</t>
        </is>
      </c>
      <c r="F859" t="inlineStr">
        <is>
          <t>Sveaskog</t>
        </is>
      </c>
      <c r="G859" t="n">
        <v>7.4</v>
      </c>
      <c r="H859" t="n">
        <v>0</v>
      </c>
      <c r="I859" t="n">
        <v>0</v>
      </c>
      <c r="J859" t="n">
        <v>0</v>
      </c>
      <c r="K859" t="n">
        <v>0</v>
      </c>
      <c r="L859" t="n">
        <v>0</v>
      </c>
      <c r="M859" t="n">
        <v>0</v>
      </c>
      <c r="N859" t="n">
        <v>0</v>
      </c>
      <c r="O859" t="n">
        <v>0</v>
      </c>
      <c r="P859" t="n">
        <v>0</v>
      </c>
      <c r="Q859" t="n">
        <v>0</v>
      </c>
      <c r="R859" s="2" t="inlineStr"/>
    </row>
    <row r="860" ht="15" customHeight="1">
      <c r="A860" t="inlineStr">
        <is>
          <t>A 12201-2025</t>
        </is>
      </c>
      <c r="B860" s="1" t="n">
        <v>45729</v>
      </c>
      <c r="C860" s="1" t="n">
        <v>46033</v>
      </c>
      <c r="D860" t="inlineStr">
        <is>
          <t>JÄMTLANDS LÄN</t>
        </is>
      </c>
      <c r="E860" t="inlineStr">
        <is>
          <t>STRÖMSUND</t>
        </is>
      </c>
      <c r="G860" t="n">
        <v>6.7</v>
      </c>
      <c r="H860" t="n">
        <v>0</v>
      </c>
      <c r="I860" t="n">
        <v>0</v>
      </c>
      <c r="J860" t="n">
        <v>0</v>
      </c>
      <c r="K860" t="n">
        <v>0</v>
      </c>
      <c r="L860" t="n">
        <v>0</v>
      </c>
      <c r="M860" t="n">
        <v>0</v>
      </c>
      <c r="N860" t="n">
        <v>0</v>
      </c>
      <c r="O860" t="n">
        <v>0</v>
      </c>
      <c r="P860" t="n">
        <v>0</v>
      </c>
      <c r="Q860" t="n">
        <v>0</v>
      </c>
      <c r="R860" s="2" t="inlineStr"/>
    </row>
    <row r="861" ht="15" customHeight="1">
      <c r="A861" t="inlineStr">
        <is>
          <t>A 39727-2025</t>
        </is>
      </c>
      <c r="B861" s="1" t="n">
        <v>45891.34480324074</v>
      </c>
      <c r="C861" s="1" t="n">
        <v>46033</v>
      </c>
      <c r="D861" t="inlineStr">
        <is>
          <t>JÄMTLANDS LÄN</t>
        </is>
      </c>
      <c r="E861" t="inlineStr">
        <is>
          <t>STRÖMSUND</t>
        </is>
      </c>
      <c r="F861" t="inlineStr">
        <is>
          <t>SCA</t>
        </is>
      </c>
      <c r="G861" t="n">
        <v>19.8</v>
      </c>
      <c r="H861" t="n">
        <v>0</v>
      </c>
      <c r="I861" t="n">
        <v>0</v>
      </c>
      <c r="J861" t="n">
        <v>0</v>
      </c>
      <c r="K861" t="n">
        <v>0</v>
      </c>
      <c r="L861" t="n">
        <v>0</v>
      </c>
      <c r="M861" t="n">
        <v>0</v>
      </c>
      <c r="N861" t="n">
        <v>0</v>
      </c>
      <c r="O861" t="n">
        <v>0</v>
      </c>
      <c r="P861" t="n">
        <v>0</v>
      </c>
      <c r="Q861" t="n">
        <v>0</v>
      </c>
      <c r="R861" s="2" t="inlineStr"/>
    </row>
    <row r="862" ht="15" customHeight="1">
      <c r="A862" t="inlineStr">
        <is>
          <t>A 54598-2023</t>
        </is>
      </c>
      <c r="B862" s="1" t="n">
        <v>45233.92585648148</v>
      </c>
      <c r="C862" s="1" t="n">
        <v>46033</v>
      </c>
      <c r="D862" t="inlineStr">
        <is>
          <t>JÄMTLANDS LÄN</t>
        </is>
      </c>
      <c r="E862" t="inlineStr">
        <is>
          <t>STRÖMSUND</t>
        </is>
      </c>
      <c r="G862" t="n">
        <v>2.4</v>
      </c>
      <c r="H862" t="n">
        <v>0</v>
      </c>
      <c r="I862" t="n">
        <v>0</v>
      </c>
      <c r="J862" t="n">
        <v>0</v>
      </c>
      <c r="K862" t="n">
        <v>0</v>
      </c>
      <c r="L862" t="n">
        <v>0</v>
      </c>
      <c r="M862" t="n">
        <v>0</v>
      </c>
      <c r="N862" t="n">
        <v>0</v>
      </c>
      <c r="O862" t="n">
        <v>0</v>
      </c>
      <c r="P862" t="n">
        <v>0</v>
      </c>
      <c r="Q862" t="n">
        <v>0</v>
      </c>
      <c r="R862" s="2" t="inlineStr"/>
    </row>
    <row r="863" ht="15" customHeight="1">
      <c r="A863" t="inlineStr">
        <is>
          <t>A 32358-2024</t>
        </is>
      </c>
      <c r="B863" s="1" t="n">
        <v>45512.56609953703</v>
      </c>
      <c r="C863" s="1" t="n">
        <v>46033</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32451-2024</t>
        </is>
      </c>
      <c r="B864" s="1" t="n">
        <v>45512.95784722222</v>
      </c>
      <c r="C864" s="1" t="n">
        <v>46033</v>
      </c>
      <c r="D864" t="inlineStr">
        <is>
          <t>JÄMTLANDS LÄN</t>
        </is>
      </c>
      <c r="E864" t="inlineStr">
        <is>
          <t>STRÖMSUND</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31497-2023</t>
        </is>
      </c>
      <c r="B865" s="1" t="n">
        <v>45114.94144675926</v>
      </c>
      <c r="C865" s="1" t="n">
        <v>46033</v>
      </c>
      <c r="D865" t="inlineStr">
        <is>
          <t>JÄMTLANDS LÄN</t>
        </is>
      </c>
      <c r="E865" t="inlineStr">
        <is>
          <t>STRÖMSUND</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59716-2025</t>
        </is>
      </c>
      <c r="B866" s="1" t="n">
        <v>45992.53180555555</v>
      </c>
      <c r="C866" s="1" t="n">
        <v>46033</v>
      </c>
      <c r="D866" t="inlineStr">
        <is>
          <t>JÄMTLANDS LÄN</t>
        </is>
      </c>
      <c r="E866" t="inlineStr">
        <is>
          <t>STRÖMSUND</t>
        </is>
      </c>
      <c r="G866" t="n">
        <v>5.2</v>
      </c>
      <c r="H866" t="n">
        <v>0</v>
      </c>
      <c r="I866" t="n">
        <v>0</v>
      </c>
      <c r="J866" t="n">
        <v>0</v>
      </c>
      <c r="K866" t="n">
        <v>0</v>
      </c>
      <c r="L866" t="n">
        <v>0</v>
      </c>
      <c r="M866" t="n">
        <v>0</v>
      </c>
      <c r="N866" t="n">
        <v>0</v>
      </c>
      <c r="O866" t="n">
        <v>0</v>
      </c>
      <c r="P866" t="n">
        <v>0</v>
      </c>
      <c r="Q866" t="n">
        <v>0</v>
      </c>
      <c r="R866" s="2" t="inlineStr"/>
    </row>
    <row r="867" ht="15" customHeight="1">
      <c r="A867" t="inlineStr">
        <is>
          <t>A 31156-2023</t>
        </is>
      </c>
      <c r="B867" s="1" t="n">
        <v>45103</v>
      </c>
      <c r="C867" s="1" t="n">
        <v>46033</v>
      </c>
      <c r="D867" t="inlineStr">
        <is>
          <t>JÄMTLANDS LÄN</t>
        </is>
      </c>
      <c r="E867" t="inlineStr">
        <is>
          <t>STRÖMSUND</t>
        </is>
      </c>
      <c r="G867" t="n">
        <v>0.9</v>
      </c>
      <c r="H867" t="n">
        <v>0</v>
      </c>
      <c r="I867" t="n">
        <v>0</v>
      </c>
      <c r="J867" t="n">
        <v>0</v>
      </c>
      <c r="K867" t="n">
        <v>0</v>
      </c>
      <c r="L867" t="n">
        <v>0</v>
      </c>
      <c r="M867" t="n">
        <v>0</v>
      </c>
      <c r="N867" t="n">
        <v>0</v>
      </c>
      <c r="O867" t="n">
        <v>0</v>
      </c>
      <c r="P867" t="n">
        <v>0</v>
      </c>
      <c r="Q867" t="n">
        <v>0</v>
      </c>
      <c r="R867" s="2" t="inlineStr"/>
    </row>
    <row r="868" ht="15" customHeight="1">
      <c r="A868" t="inlineStr">
        <is>
          <t>A 40389-2025</t>
        </is>
      </c>
      <c r="B868" s="1" t="n">
        <v>45895.55298611111</v>
      </c>
      <c r="C868" s="1" t="n">
        <v>46033</v>
      </c>
      <c r="D868" t="inlineStr">
        <is>
          <t>JÄMTLANDS LÄN</t>
        </is>
      </c>
      <c r="E868" t="inlineStr">
        <is>
          <t>STRÖMSUND</t>
        </is>
      </c>
      <c r="G868" t="n">
        <v>8.6</v>
      </c>
      <c r="H868" t="n">
        <v>0</v>
      </c>
      <c r="I868" t="n">
        <v>0</v>
      </c>
      <c r="J868" t="n">
        <v>0</v>
      </c>
      <c r="K868" t="n">
        <v>0</v>
      </c>
      <c r="L868" t="n">
        <v>0</v>
      </c>
      <c r="M868" t="n">
        <v>0</v>
      </c>
      <c r="N868" t="n">
        <v>0</v>
      </c>
      <c r="O868" t="n">
        <v>0</v>
      </c>
      <c r="P868" t="n">
        <v>0</v>
      </c>
      <c r="Q868" t="n">
        <v>0</v>
      </c>
      <c r="R868" s="2" t="inlineStr"/>
    </row>
    <row r="869" ht="15" customHeight="1">
      <c r="A869" t="inlineStr">
        <is>
          <t>A 28767-2023</t>
        </is>
      </c>
      <c r="B869" s="1" t="n">
        <v>45103.94275462963</v>
      </c>
      <c r="C869" s="1" t="n">
        <v>46033</v>
      </c>
      <c r="D869" t="inlineStr">
        <is>
          <t>JÄMTLANDS LÄN</t>
        </is>
      </c>
      <c r="E869" t="inlineStr">
        <is>
          <t>STRÖMSUND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40428-2025</t>
        </is>
      </c>
      <c r="B870" s="1" t="n">
        <v>45895.59442129629</v>
      </c>
      <c r="C870" s="1" t="n">
        <v>46033</v>
      </c>
      <c r="D870" t="inlineStr">
        <is>
          <t>JÄMTLANDS LÄN</t>
        </is>
      </c>
      <c r="E870" t="inlineStr">
        <is>
          <t>STRÖMSUND</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40176-2025</t>
        </is>
      </c>
      <c r="B871" s="1" t="n">
        <v>45894.63623842593</v>
      </c>
      <c r="C871" s="1" t="n">
        <v>46033</v>
      </c>
      <c r="D871" t="inlineStr">
        <is>
          <t>JÄMTLANDS LÄN</t>
        </is>
      </c>
      <c r="E871" t="inlineStr">
        <is>
          <t>STRÖMSUND</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48879-2025</t>
        </is>
      </c>
      <c r="B872" s="1" t="n">
        <v>45937.45790509259</v>
      </c>
      <c r="C872" s="1" t="n">
        <v>46033</v>
      </c>
      <c r="D872" t="inlineStr">
        <is>
          <t>JÄMTLANDS LÄN</t>
        </is>
      </c>
      <c r="E872" t="inlineStr">
        <is>
          <t>STRÖMSUND</t>
        </is>
      </c>
      <c r="F872" t="inlineStr">
        <is>
          <t>SCA</t>
        </is>
      </c>
      <c r="G872" t="n">
        <v>47.7</v>
      </c>
      <c r="H872" t="n">
        <v>0</v>
      </c>
      <c r="I872" t="n">
        <v>0</v>
      </c>
      <c r="J872" t="n">
        <v>0</v>
      </c>
      <c r="K872" t="n">
        <v>0</v>
      </c>
      <c r="L872" t="n">
        <v>0</v>
      </c>
      <c r="M872" t="n">
        <v>0</v>
      </c>
      <c r="N872" t="n">
        <v>0</v>
      </c>
      <c r="O872" t="n">
        <v>0</v>
      </c>
      <c r="P872" t="n">
        <v>0</v>
      </c>
      <c r="Q872" t="n">
        <v>0</v>
      </c>
      <c r="R872" s="2" t="inlineStr"/>
    </row>
    <row r="873" ht="15" customHeight="1">
      <c r="A873" t="inlineStr">
        <is>
          <t>A 39967-2025</t>
        </is>
      </c>
      <c r="B873" s="1" t="n">
        <v>45892.61511574074</v>
      </c>
      <c r="C873" s="1" t="n">
        <v>46033</v>
      </c>
      <c r="D873" t="inlineStr">
        <is>
          <t>JÄMTLANDS LÄN</t>
        </is>
      </c>
      <c r="E873" t="inlineStr">
        <is>
          <t>STRÖMSUND</t>
        </is>
      </c>
      <c r="F873" t="inlineStr">
        <is>
          <t>SCA</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21209-2024</t>
        </is>
      </c>
      <c r="B874" s="1" t="n">
        <v>45440</v>
      </c>
      <c r="C874" s="1" t="n">
        <v>46033</v>
      </c>
      <c r="D874" t="inlineStr">
        <is>
          <t>JÄMTLANDS LÄN</t>
        </is>
      </c>
      <c r="E874" t="inlineStr">
        <is>
          <t>STRÖMSUND</t>
        </is>
      </c>
      <c r="G874" t="n">
        <v>2</v>
      </c>
      <c r="H874" t="n">
        <v>0</v>
      </c>
      <c r="I874" t="n">
        <v>0</v>
      </c>
      <c r="J874" t="n">
        <v>0</v>
      </c>
      <c r="K874" t="n">
        <v>0</v>
      </c>
      <c r="L874" t="n">
        <v>0</v>
      </c>
      <c r="M874" t="n">
        <v>0</v>
      </c>
      <c r="N874" t="n">
        <v>0</v>
      </c>
      <c r="O874" t="n">
        <v>0</v>
      </c>
      <c r="P874" t="n">
        <v>0</v>
      </c>
      <c r="Q874" t="n">
        <v>0</v>
      </c>
      <c r="R874" s="2" t="inlineStr"/>
    </row>
    <row r="875" ht="15" customHeight="1">
      <c r="A875" t="inlineStr">
        <is>
          <t>A 24316-2025</t>
        </is>
      </c>
      <c r="B875" s="1" t="n">
        <v>45797.53180555555</v>
      </c>
      <c r="C875" s="1" t="n">
        <v>46033</v>
      </c>
      <c r="D875" t="inlineStr">
        <is>
          <t>JÄMTLANDS LÄN</t>
        </is>
      </c>
      <c r="E875" t="inlineStr">
        <is>
          <t>STRÖMSUND</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24341-2025</t>
        </is>
      </c>
      <c r="B876" s="1" t="n">
        <v>45797.57416666667</v>
      </c>
      <c r="C876" s="1" t="n">
        <v>46033</v>
      </c>
      <c r="D876" t="inlineStr">
        <is>
          <t>JÄMTLANDS LÄN</t>
        </is>
      </c>
      <c r="E876" t="inlineStr">
        <is>
          <t>STRÖMSUND</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24263-2025</t>
        </is>
      </c>
      <c r="B877" s="1" t="n">
        <v>45797.42107638889</v>
      </c>
      <c r="C877" s="1" t="n">
        <v>46033</v>
      </c>
      <c r="D877" t="inlineStr">
        <is>
          <t>JÄMTLANDS LÄN</t>
        </is>
      </c>
      <c r="E877" t="inlineStr">
        <is>
          <t>STRÖMSUND</t>
        </is>
      </c>
      <c r="G877" t="n">
        <v>2.6</v>
      </c>
      <c r="H877" t="n">
        <v>0</v>
      </c>
      <c r="I877" t="n">
        <v>0</v>
      </c>
      <c r="J877" t="n">
        <v>0</v>
      </c>
      <c r="K877" t="n">
        <v>0</v>
      </c>
      <c r="L877" t="n">
        <v>0</v>
      </c>
      <c r="M877" t="n">
        <v>0</v>
      </c>
      <c r="N877" t="n">
        <v>0</v>
      </c>
      <c r="O877" t="n">
        <v>0</v>
      </c>
      <c r="P877" t="n">
        <v>0</v>
      </c>
      <c r="Q877" t="n">
        <v>0</v>
      </c>
      <c r="R877" s="2" t="inlineStr"/>
    </row>
    <row r="878" ht="15" customHeight="1">
      <c r="A878" t="inlineStr">
        <is>
          <t>A 24338-2025</t>
        </is>
      </c>
      <c r="B878" s="1" t="n">
        <v>45797.57383101852</v>
      </c>
      <c r="C878" s="1" t="n">
        <v>46033</v>
      </c>
      <c r="D878" t="inlineStr">
        <is>
          <t>JÄMTLANDS LÄN</t>
        </is>
      </c>
      <c r="E878" t="inlineStr">
        <is>
          <t>STRÖMSUND</t>
        </is>
      </c>
      <c r="F878" t="inlineStr">
        <is>
          <t>SCA</t>
        </is>
      </c>
      <c r="G878" t="n">
        <v>19.1</v>
      </c>
      <c r="H878" t="n">
        <v>0</v>
      </c>
      <c r="I878" t="n">
        <v>0</v>
      </c>
      <c r="J878" t="n">
        <v>0</v>
      </c>
      <c r="K878" t="n">
        <v>0</v>
      </c>
      <c r="L878" t="n">
        <v>0</v>
      </c>
      <c r="M878" t="n">
        <v>0</v>
      </c>
      <c r="N878" t="n">
        <v>0</v>
      </c>
      <c r="O878" t="n">
        <v>0</v>
      </c>
      <c r="P878" t="n">
        <v>0</v>
      </c>
      <c r="Q878" t="n">
        <v>0</v>
      </c>
      <c r="R878" s="2" t="inlineStr"/>
    </row>
    <row r="879" ht="15" customHeight="1">
      <c r="A879" t="inlineStr">
        <is>
          <t>A 40426-2025</t>
        </is>
      </c>
      <c r="B879" s="1" t="n">
        <v>45895</v>
      </c>
      <c r="C879" s="1" t="n">
        <v>46033</v>
      </c>
      <c r="D879" t="inlineStr">
        <is>
          <t>JÄMTLANDS LÄN</t>
        </is>
      </c>
      <c r="E879" t="inlineStr">
        <is>
          <t>STRÖMSUND</t>
        </is>
      </c>
      <c r="G879" t="n">
        <v>28.4</v>
      </c>
      <c r="H879" t="n">
        <v>0</v>
      </c>
      <c r="I879" t="n">
        <v>0</v>
      </c>
      <c r="J879" t="n">
        <v>0</v>
      </c>
      <c r="K879" t="n">
        <v>0</v>
      </c>
      <c r="L879" t="n">
        <v>0</v>
      </c>
      <c r="M879" t="n">
        <v>0</v>
      </c>
      <c r="N879" t="n">
        <v>0</v>
      </c>
      <c r="O879" t="n">
        <v>0</v>
      </c>
      <c r="P879" t="n">
        <v>0</v>
      </c>
      <c r="Q879" t="n">
        <v>0</v>
      </c>
      <c r="R879" s="2" t="inlineStr"/>
    </row>
    <row r="880" ht="15" customHeight="1">
      <c r="A880" t="inlineStr">
        <is>
          <t>A 40452-2025</t>
        </is>
      </c>
      <c r="B880" s="1" t="n">
        <v>45895.63626157407</v>
      </c>
      <c r="C880" s="1" t="n">
        <v>46033</v>
      </c>
      <c r="D880" t="inlineStr">
        <is>
          <t>JÄMTLANDS LÄN</t>
        </is>
      </c>
      <c r="E880" t="inlineStr">
        <is>
          <t>STRÖMSUND</t>
        </is>
      </c>
      <c r="F880" t="inlineStr">
        <is>
          <t>SCA</t>
        </is>
      </c>
      <c r="G880" t="n">
        <v>0.3</v>
      </c>
      <c r="H880" t="n">
        <v>0</v>
      </c>
      <c r="I880" t="n">
        <v>0</v>
      </c>
      <c r="J880" t="n">
        <v>0</v>
      </c>
      <c r="K880" t="n">
        <v>0</v>
      </c>
      <c r="L880" t="n">
        <v>0</v>
      </c>
      <c r="M880" t="n">
        <v>0</v>
      </c>
      <c r="N880" t="n">
        <v>0</v>
      </c>
      <c r="O880" t="n">
        <v>0</v>
      </c>
      <c r="P880" t="n">
        <v>0</v>
      </c>
      <c r="Q880" t="n">
        <v>0</v>
      </c>
      <c r="R880" s="2" t="inlineStr"/>
    </row>
    <row r="881" ht="15" customHeight="1">
      <c r="A881" t="inlineStr">
        <is>
          <t>A 40177-2025</t>
        </is>
      </c>
      <c r="B881" s="1" t="n">
        <v>45894.63638888889</v>
      </c>
      <c r="C881" s="1" t="n">
        <v>46033</v>
      </c>
      <c r="D881" t="inlineStr">
        <is>
          <t>JÄMTLANDS LÄN</t>
        </is>
      </c>
      <c r="E881" t="inlineStr">
        <is>
          <t>STRÖMSUND</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40011-2025</t>
        </is>
      </c>
      <c r="B882" s="1" t="n">
        <v>45894.34478009259</v>
      </c>
      <c r="C882" s="1" t="n">
        <v>46033</v>
      </c>
      <c r="D882" t="inlineStr">
        <is>
          <t>JÄMTLANDS LÄN</t>
        </is>
      </c>
      <c r="E882" t="inlineStr">
        <is>
          <t>STRÖMSUND</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40012-2025</t>
        </is>
      </c>
      <c r="B883" s="1" t="n">
        <v>45894.34487268519</v>
      </c>
      <c r="C883" s="1" t="n">
        <v>46033</v>
      </c>
      <c r="D883" t="inlineStr">
        <is>
          <t>JÄMTLANDS LÄN</t>
        </is>
      </c>
      <c r="E883" t="inlineStr">
        <is>
          <t>STRÖMSUND</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40015-2025</t>
        </is>
      </c>
      <c r="B884" s="1" t="n">
        <v>45894.34521990741</v>
      </c>
      <c r="C884" s="1" t="n">
        <v>46033</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55327-2024</t>
        </is>
      </c>
      <c r="B885" s="1" t="n">
        <v>45621</v>
      </c>
      <c r="C885" s="1" t="n">
        <v>46033</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24340-2025</t>
        </is>
      </c>
      <c r="B886" s="1" t="n">
        <v>45797.5740625</v>
      </c>
      <c r="C886" s="1" t="n">
        <v>46033</v>
      </c>
      <c r="D886" t="inlineStr">
        <is>
          <t>JÄMTLANDS LÄN</t>
        </is>
      </c>
      <c r="E886" t="inlineStr">
        <is>
          <t>STRÖMSUND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24343-2025</t>
        </is>
      </c>
      <c r="B887" s="1" t="n">
        <v>45797.57434027778</v>
      </c>
      <c r="C887" s="1" t="n">
        <v>46033</v>
      </c>
      <c r="D887" t="inlineStr">
        <is>
          <t>JÄMTLANDS LÄN</t>
        </is>
      </c>
      <c r="E887" t="inlineStr">
        <is>
          <t>STRÖMSUND</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42980-2024</t>
        </is>
      </c>
      <c r="B888" s="1" t="n">
        <v>45567.37451388889</v>
      </c>
      <c r="C888" s="1" t="n">
        <v>46033</v>
      </c>
      <c r="D888" t="inlineStr">
        <is>
          <t>JÄMTLANDS LÄN</t>
        </is>
      </c>
      <c r="E888" t="inlineStr">
        <is>
          <t>STRÖMSUND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40453-2025</t>
        </is>
      </c>
      <c r="B889" s="1" t="n">
        <v>45895.63631944444</v>
      </c>
      <c r="C889" s="1" t="n">
        <v>46033</v>
      </c>
      <c r="D889" t="inlineStr">
        <is>
          <t>JÄMTLANDS LÄN</t>
        </is>
      </c>
      <c r="E889" t="inlineStr">
        <is>
          <t>STRÖMSUND</t>
        </is>
      </c>
      <c r="F889" t="inlineStr">
        <is>
          <t>SCA</t>
        </is>
      </c>
      <c r="G889" t="n">
        <v>4.4</v>
      </c>
      <c r="H889" t="n">
        <v>0</v>
      </c>
      <c r="I889" t="n">
        <v>0</v>
      </c>
      <c r="J889" t="n">
        <v>0</v>
      </c>
      <c r="K889" t="n">
        <v>0</v>
      </c>
      <c r="L889" t="n">
        <v>0</v>
      </c>
      <c r="M889" t="n">
        <v>0</v>
      </c>
      <c r="N889" t="n">
        <v>0</v>
      </c>
      <c r="O889" t="n">
        <v>0</v>
      </c>
      <c r="P889" t="n">
        <v>0</v>
      </c>
      <c r="Q889" t="n">
        <v>0</v>
      </c>
      <c r="R889" s="2" t="inlineStr"/>
    </row>
    <row r="890" ht="15" customHeight="1">
      <c r="A890" t="inlineStr">
        <is>
          <t>A 24336-2025</t>
        </is>
      </c>
      <c r="B890" s="1" t="n">
        <v>45797.57349537037</v>
      </c>
      <c r="C890" s="1" t="n">
        <v>46033</v>
      </c>
      <c r="D890" t="inlineStr">
        <is>
          <t>JÄMTLANDS LÄN</t>
        </is>
      </c>
      <c r="E890" t="inlineStr">
        <is>
          <t>STRÖMSUND</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52402-2023</t>
        </is>
      </c>
      <c r="B891" s="1" t="n">
        <v>45224.96487268519</v>
      </c>
      <c r="C891" s="1" t="n">
        <v>46033</v>
      </c>
      <c r="D891" t="inlineStr">
        <is>
          <t>JÄMTLANDS LÄN</t>
        </is>
      </c>
      <c r="E891" t="inlineStr">
        <is>
          <t>STRÖMSUND</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24299-2025</t>
        </is>
      </c>
      <c r="B892" s="1" t="n">
        <v>45797.47692129629</v>
      </c>
      <c r="C892" s="1" t="n">
        <v>46033</v>
      </c>
      <c r="D892" t="inlineStr">
        <is>
          <t>JÄMTLANDS LÄN</t>
        </is>
      </c>
      <c r="E892" t="inlineStr">
        <is>
          <t>STRÖMSUND</t>
        </is>
      </c>
      <c r="G892" t="n">
        <v>3.4</v>
      </c>
      <c r="H892" t="n">
        <v>0</v>
      </c>
      <c r="I892" t="n">
        <v>0</v>
      </c>
      <c r="J892" t="n">
        <v>0</v>
      </c>
      <c r="K892" t="n">
        <v>0</v>
      </c>
      <c r="L892" t="n">
        <v>0</v>
      </c>
      <c r="M892" t="n">
        <v>0</v>
      </c>
      <c r="N892" t="n">
        <v>0</v>
      </c>
      <c r="O892" t="n">
        <v>0</v>
      </c>
      <c r="P892" t="n">
        <v>0</v>
      </c>
      <c r="Q892" t="n">
        <v>0</v>
      </c>
      <c r="R892" s="2" t="inlineStr"/>
    </row>
    <row r="893" ht="15" customHeight="1">
      <c r="A893" t="inlineStr">
        <is>
          <t>A 40126-2025</t>
        </is>
      </c>
      <c r="B893" s="1" t="n">
        <v>45894.53192129629</v>
      </c>
      <c r="C893" s="1" t="n">
        <v>46033</v>
      </c>
      <c r="D893" t="inlineStr">
        <is>
          <t>JÄMTLANDS LÄN</t>
        </is>
      </c>
      <c r="E893" t="inlineStr">
        <is>
          <t>STRÖMSUND</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39966-2025</t>
        </is>
      </c>
      <c r="B894" s="1" t="n">
        <v>45892.61496527777</v>
      </c>
      <c r="C894" s="1" t="n">
        <v>46033</v>
      </c>
      <c r="D894" t="inlineStr">
        <is>
          <t>JÄMTLANDS LÄN</t>
        </is>
      </c>
      <c r="E894" t="inlineStr">
        <is>
          <t>STRÖMSUND</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9390-2025</t>
        </is>
      </c>
      <c r="B895" s="1" t="n">
        <v>45714</v>
      </c>
      <c r="C895" s="1" t="n">
        <v>46033</v>
      </c>
      <c r="D895" t="inlineStr">
        <is>
          <t>JÄMTLANDS LÄN</t>
        </is>
      </c>
      <c r="E895" t="inlineStr">
        <is>
          <t>STRÖMSUND</t>
        </is>
      </c>
      <c r="G895" t="n">
        <v>6.6</v>
      </c>
      <c r="H895" t="n">
        <v>0</v>
      </c>
      <c r="I895" t="n">
        <v>0</v>
      </c>
      <c r="J895" t="n">
        <v>0</v>
      </c>
      <c r="K895" t="n">
        <v>0</v>
      </c>
      <c r="L895" t="n">
        <v>0</v>
      </c>
      <c r="M895" t="n">
        <v>0</v>
      </c>
      <c r="N895" t="n">
        <v>0</v>
      </c>
      <c r="O895" t="n">
        <v>0</v>
      </c>
      <c r="P895" t="n">
        <v>0</v>
      </c>
      <c r="Q895" t="n">
        <v>0</v>
      </c>
      <c r="R895" s="2" t="inlineStr"/>
    </row>
    <row r="896" ht="15" customHeight="1">
      <c r="A896" t="inlineStr">
        <is>
          <t>A 40224-2025</t>
        </is>
      </c>
      <c r="B896" s="1" t="n">
        <v>45894.69850694444</v>
      </c>
      <c r="C896" s="1" t="n">
        <v>46033</v>
      </c>
      <c r="D896" t="inlineStr">
        <is>
          <t>JÄMTLANDS LÄN</t>
        </is>
      </c>
      <c r="E896" t="inlineStr">
        <is>
          <t>STRÖMSUND</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40153-2025</t>
        </is>
      </c>
      <c r="B897" s="1" t="n">
        <v>45894.59427083333</v>
      </c>
      <c r="C897" s="1" t="n">
        <v>46033</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51732-2025</t>
        </is>
      </c>
      <c r="B898" s="1" t="n">
        <v>45951.59487268519</v>
      </c>
      <c r="C898" s="1" t="n">
        <v>46033</v>
      </c>
      <c r="D898" t="inlineStr">
        <is>
          <t>JÄMTLANDS LÄN</t>
        </is>
      </c>
      <c r="E898" t="inlineStr">
        <is>
          <t>STRÖMSUND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40427-2025</t>
        </is>
      </c>
      <c r="B899" s="1" t="n">
        <v>45895.59434027778</v>
      </c>
      <c r="C899" s="1" t="n">
        <v>46033</v>
      </c>
      <c r="D899" t="inlineStr">
        <is>
          <t>JÄMTLANDS LÄN</t>
        </is>
      </c>
      <c r="E899" t="inlineStr">
        <is>
          <t>STRÖMSUND</t>
        </is>
      </c>
      <c r="F899" t="inlineStr">
        <is>
          <t>SCA</t>
        </is>
      </c>
      <c r="G899" t="n">
        <v>17.1</v>
      </c>
      <c r="H899" t="n">
        <v>0</v>
      </c>
      <c r="I899" t="n">
        <v>0</v>
      </c>
      <c r="J899" t="n">
        <v>0</v>
      </c>
      <c r="K899" t="n">
        <v>0</v>
      </c>
      <c r="L899" t="n">
        <v>0</v>
      </c>
      <c r="M899" t="n">
        <v>0</v>
      </c>
      <c r="N899" t="n">
        <v>0</v>
      </c>
      <c r="O899" t="n">
        <v>0</v>
      </c>
      <c r="P899" t="n">
        <v>0</v>
      </c>
      <c r="Q899" t="n">
        <v>0</v>
      </c>
      <c r="R899" s="2" t="inlineStr"/>
    </row>
    <row r="900" ht="15" customHeight="1">
      <c r="A900" t="inlineStr">
        <is>
          <t>A 40418-2025</t>
        </is>
      </c>
      <c r="B900" s="1" t="n">
        <v>45895.57792824074</v>
      </c>
      <c r="C900" s="1" t="n">
        <v>46033</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54945-2024</t>
        </is>
      </c>
      <c r="B901" s="1" t="n">
        <v>45619.344375</v>
      </c>
      <c r="C901" s="1" t="n">
        <v>46033</v>
      </c>
      <c r="D901" t="inlineStr">
        <is>
          <t>JÄMTLANDS LÄN</t>
        </is>
      </c>
      <c r="E901" t="inlineStr">
        <is>
          <t>STRÖMSUND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54964-2024</t>
        </is>
      </c>
      <c r="B902" s="1" t="n">
        <v>45620</v>
      </c>
      <c r="C902" s="1" t="n">
        <v>46033</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40905-2025</t>
        </is>
      </c>
      <c r="B903" s="1" t="n">
        <v>45897.61626157408</v>
      </c>
      <c r="C903" s="1" t="n">
        <v>46033</v>
      </c>
      <c r="D903" t="inlineStr">
        <is>
          <t>JÄMTLANDS LÄN</t>
        </is>
      </c>
      <c r="E903" t="inlineStr">
        <is>
          <t>STRÖMSUND</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9234-2025</t>
        </is>
      </c>
      <c r="B904" s="1" t="n">
        <v>45714.55267361111</v>
      </c>
      <c r="C904" s="1" t="n">
        <v>46033</v>
      </c>
      <c r="D904" t="inlineStr">
        <is>
          <t>JÄMTLANDS LÄN</t>
        </is>
      </c>
      <c r="E904" t="inlineStr">
        <is>
          <t>STRÖMSUND</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40714-2025</t>
        </is>
      </c>
      <c r="B905" s="1" t="n">
        <v>45897.34424768519</v>
      </c>
      <c r="C905" s="1" t="n">
        <v>46033</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40867-2025</t>
        </is>
      </c>
      <c r="B906" s="1" t="n">
        <v>45897.57342592593</v>
      </c>
      <c r="C906" s="1" t="n">
        <v>46033</v>
      </c>
      <c r="D906" t="inlineStr">
        <is>
          <t>JÄMTLANDS LÄN</t>
        </is>
      </c>
      <c r="E906" t="inlineStr">
        <is>
          <t>STRÖMSUND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40768-2025</t>
        </is>
      </c>
      <c r="B907" s="1" t="n">
        <v>45897.40685185185</v>
      </c>
      <c r="C907" s="1" t="n">
        <v>46033</v>
      </c>
      <c r="D907" t="inlineStr">
        <is>
          <t>JÄMTLANDS LÄN</t>
        </is>
      </c>
      <c r="E907" t="inlineStr">
        <is>
          <t>STRÖMSUND</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40732-2025</t>
        </is>
      </c>
      <c r="B908" s="1" t="n">
        <v>45897</v>
      </c>
      <c r="C908" s="1" t="n">
        <v>46033</v>
      </c>
      <c r="D908" t="inlineStr">
        <is>
          <t>JÄMTLANDS LÄN</t>
        </is>
      </c>
      <c r="E908" t="inlineStr">
        <is>
          <t>STRÖMSUND</t>
        </is>
      </c>
      <c r="G908" t="n">
        <v>3.7</v>
      </c>
      <c r="H908" t="n">
        <v>0</v>
      </c>
      <c r="I908" t="n">
        <v>0</v>
      </c>
      <c r="J908" t="n">
        <v>0</v>
      </c>
      <c r="K908" t="n">
        <v>0</v>
      </c>
      <c r="L908" t="n">
        <v>0</v>
      </c>
      <c r="M908" t="n">
        <v>0</v>
      </c>
      <c r="N908" t="n">
        <v>0</v>
      </c>
      <c r="O908" t="n">
        <v>0</v>
      </c>
      <c r="P908" t="n">
        <v>0</v>
      </c>
      <c r="Q908" t="n">
        <v>0</v>
      </c>
      <c r="R908" s="2" t="inlineStr"/>
    </row>
    <row r="909" ht="15" customHeight="1">
      <c r="A909" t="inlineStr">
        <is>
          <t>A 40840-2025</t>
        </is>
      </c>
      <c r="B909" s="1" t="n">
        <v>45897.53171296296</v>
      </c>
      <c r="C909" s="1" t="n">
        <v>46033</v>
      </c>
      <c r="D909" t="inlineStr">
        <is>
          <t>JÄMTLANDS LÄN</t>
        </is>
      </c>
      <c r="E909" t="inlineStr">
        <is>
          <t>STRÖMSUND</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40846-2025</t>
        </is>
      </c>
      <c r="B910" s="1" t="n">
        <v>45897</v>
      </c>
      <c r="C910" s="1" t="n">
        <v>46033</v>
      </c>
      <c r="D910" t="inlineStr">
        <is>
          <t>JÄMTLANDS LÄN</t>
        </is>
      </c>
      <c r="E910" t="inlineStr">
        <is>
          <t>STRÖMSUND</t>
        </is>
      </c>
      <c r="G910" t="n">
        <v>1.8</v>
      </c>
      <c r="H910" t="n">
        <v>0</v>
      </c>
      <c r="I910" t="n">
        <v>0</v>
      </c>
      <c r="J910" t="n">
        <v>0</v>
      </c>
      <c r="K910" t="n">
        <v>0</v>
      </c>
      <c r="L910" t="n">
        <v>0</v>
      </c>
      <c r="M910" t="n">
        <v>0</v>
      </c>
      <c r="N910" t="n">
        <v>0</v>
      </c>
      <c r="O910" t="n">
        <v>0</v>
      </c>
      <c r="P910" t="n">
        <v>0</v>
      </c>
      <c r="Q910" t="n">
        <v>0</v>
      </c>
      <c r="R910" s="2" t="inlineStr"/>
    </row>
    <row r="911" ht="15" customHeight="1">
      <c r="A911" t="inlineStr">
        <is>
          <t>A 40901-2025</t>
        </is>
      </c>
      <c r="B911" s="1" t="n">
        <v>45897.615625</v>
      </c>
      <c r="C911" s="1" t="n">
        <v>46033</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40906-2025</t>
        </is>
      </c>
      <c r="B912" s="1" t="n">
        <v>45897.61641203704</v>
      </c>
      <c r="C912" s="1" t="n">
        <v>46033</v>
      </c>
      <c r="D912" t="inlineStr">
        <is>
          <t>JÄMTLANDS LÄN</t>
        </is>
      </c>
      <c r="E912" t="inlineStr">
        <is>
          <t>STRÖMSUND</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40770-2025</t>
        </is>
      </c>
      <c r="B913" s="1" t="n">
        <v>45897.40724537037</v>
      </c>
      <c r="C913" s="1" t="n">
        <v>46033</v>
      </c>
      <c r="D913" t="inlineStr">
        <is>
          <t>JÄMTLANDS LÄN</t>
        </is>
      </c>
      <c r="E913" t="inlineStr">
        <is>
          <t>STRÖMSUND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29039-2023</t>
        </is>
      </c>
      <c r="B914" s="1" t="n">
        <v>45104.77043981481</v>
      </c>
      <c r="C914" s="1" t="n">
        <v>46033</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24952-2025</t>
        </is>
      </c>
      <c r="B915" s="1" t="n">
        <v>45799.57366898148</v>
      </c>
      <c r="C915" s="1" t="n">
        <v>46033</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24956-2025</t>
        </is>
      </c>
      <c r="B916" s="1" t="n">
        <v>45799.57424768519</v>
      </c>
      <c r="C916" s="1" t="n">
        <v>46033</v>
      </c>
      <c r="D916" t="inlineStr">
        <is>
          <t>JÄMTLANDS LÄN</t>
        </is>
      </c>
      <c r="E916" t="inlineStr">
        <is>
          <t>STRÖMSUND</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40902-2025</t>
        </is>
      </c>
      <c r="B917" s="1" t="n">
        <v>45897.61581018518</v>
      </c>
      <c r="C917" s="1" t="n">
        <v>46033</v>
      </c>
      <c r="D917" t="inlineStr">
        <is>
          <t>JÄMTLANDS LÄN</t>
        </is>
      </c>
      <c r="E917" t="inlineStr">
        <is>
          <t>STRÖMSUND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15783-2025</t>
        </is>
      </c>
      <c r="B918" s="1" t="n">
        <v>45748.6204050926</v>
      </c>
      <c r="C918" s="1" t="n">
        <v>46033</v>
      </c>
      <c r="D918" t="inlineStr">
        <is>
          <t>JÄMTLANDS LÄN</t>
        </is>
      </c>
      <c r="E918" t="inlineStr">
        <is>
          <t>STRÖMSUND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40840-2022</t>
        </is>
      </c>
      <c r="B919" s="1" t="n">
        <v>44824</v>
      </c>
      <c r="C919" s="1" t="n">
        <v>46033</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40891-2025</t>
        </is>
      </c>
      <c r="B920" s="1" t="n">
        <v>45897.60731481481</v>
      </c>
      <c r="C920" s="1" t="n">
        <v>46033</v>
      </c>
      <c r="D920" t="inlineStr">
        <is>
          <t>JÄMTLANDS LÄN</t>
        </is>
      </c>
      <c r="E920" t="inlineStr">
        <is>
          <t>STRÖMSUND</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13044-2025</t>
        </is>
      </c>
      <c r="B921" s="1" t="n">
        <v>45734.58930555556</v>
      </c>
      <c r="C921" s="1" t="n">
        <v>46033</v>
      </c>
      <c r="D921" t="inlineStr">
        <is>
          <t>JÄMTLANDS LÄN</t>
        </is>
      </c>
      <c r="E921" t="inlineStr">
        <is>
          <t>STRÖMSUND</t>
        </is>
      </c>
      <c r="G921" t="n">
        <v>1.4</v>
      </c>
      <c r="H921" t="n">
        <v>0</v>
      </c>
      <c r="I921" t="n">
        <v>0</v>
      </c>
      <c r="J921" t="n">
        <v>0</v>
      </c>
      <c r="K921" t="n">
        <v>0</v>
      </c>
      <c r="L921" t="n">
        <v>0</v>
      </c>
      <c r="M921" t="n">
        <v>0</v>
      </c>
      <c r="N921" t="n">
        <v>0</v>
      </c>
      <c r="O921" t="n">
        <v>0</v>
      </c>
      <c r="P921" t="n">
        <v>0</v>
      </c>
      <c r="Q921" t="n">
        <v>0</v>
      </c>
      <c r="R921" s="2" t="inlineStr"/>
    </row>
    <row r="922" ht="15" customHeight="1">
      <c r="A922" t="inlineStr">
        <is>
          <t>A 32324-2024</t>
        </is>
      </c>
      <c r="B922" s="1" t="n">
        <v>45512</v>
      </c>
      <c r="C922" s="1" t="n">
        <v>46033</v>
      </c>
      <c r="D922" t="inlineStr">
        <is>
          <t>JÄMTLANDS LÄN</t>
        </is>
      </c>
      <c r="E922" t="inlineStr">
        <is>
          <t>STRÖMSUND</t>
        </is>
      </c>
      <c r="G922" t="n">
        <v>3.6</v>
      </c>
      <c r="H922" t="n">
        <v>0</v>
      </c>
      <c r="I922" t="n">
        <v>0</v>
      </c>
      <c r="J922" t="n">
        <v>0</v>
      </c>
      <c r="K922" t="n">
        <v>0</v>
      </c>
      <c r="L922" t="n">
        <v>0</v>
      </c>
      <c r="M922" t="n">
        <v>0</v>
      </c>
      <c r="N922" t="n">
        <v>0</v>
      </c>
      <c r="O922" t="n">
        <v>0</v>
      </c>
      <c r="P922" t="n">
        <v>0</v>
      </c>
      <c r="Q922" t="n">
        <v>0</v>
      </c>
      <c r="R922" s="2" t="inlineStr"/>
    </row>
    <row r="923" ht="15" customHeight="1">
      <c r="A923" t="inlineStr">
        <is>
          <t>A 59646-2025</t>
        </is>
      </c>
      <c r="B923" s="1" t="n">
        <v>45992.42811342593</v>
      </c>
      <c r="C923" s="1" t="n">
        <v>46033</v>
      </c>
      <c r="D923" t="inlineStr">
        <is>
          <t>JÄMTLANDS LÄN</t>
        </is>
      </c>
      <c r="E923" t="inlineStr">
        <is>
          <t>STRÖMSUND</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37207-2024</t>
        </is>
      </c>
      <c r="B924" s="1" t="n">
        <v>45539.67773148148</v>
      </c>
      <c r="C924" s="1" t="n">
        <v>46033</v>
      </c>
      <c r="D924" t="inlineStr">
        <is>
          <t>JÄMTLANDS LÄN</t>
        </is>
      </c>
      <c r="E924" t="inlineStr">
        <is>
          <t>STRÖMSUND</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40960-2025</t>
        </is>
      </c>
      <c r="B925" s="1" t="n">
        <v>45897.67907407408</v>
      </c>
      <c r="C925" s="1" t="n">
        <v>46033</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24742-2025</t>
        </is>
      </c>
      <c r="B926" s="1" t="n">
        <v>45799.34582175926</v>
      </c>
      <c r="C926" s="1" t="n">
        <v>46033</v>
      </c>
      <c r="D926" t="inlineStr">
        <is>
          <t>JÄMTLANDS LÄN</t>
        </is>
      </c>
      <c r="E926" t="inlineStr">
        <is>
          <t>STRÖMSUND</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8480-2025</t>
        </is>
      </c>
      <c r="B927" s="1" t="n">
        <v>45706</v>
      </c>
      <c r="C927" s="1" t="n">
        <v>46033</v>
      </c>
      <c r="D927" t="inlineStr">
        <is>
          <t>JÄMTLANDS LÄN</t>
        </is>
      </c>
      <c r="E927" t="inlineStr">
        <is>
          <t>STRÖMSUND</t>
        </is>
      </c>
      <c r="G927" t="n">
        <v>6.4</v>
      </c>
      <c r="H927" t="n">
        <v>0</v>
      </c>
      <c r="I927" t="n">
        <v>0</v>
      </c>
      <c r="J927" t="n">
        <v>0</v>
      </c>
      <c r="K927" t="n">
        <v>0</v>
      </c>
      <c r="L927" t="n">
        <v>0</v>
      </c>
      <c r="M927" t="n">
        <v>0</v>
      </c>
      <c r="N927" t="n">
        <v>0</v>
      </c>
      <c r="O927" t="n">
        <v>0</v>
      </c>
      <c r="P927" t="n">
        <v>0</v>
      </c>
      <c r="Q927" t="n">
        <v>0</v>
      </c>
      <c r="R927" s="2" t="inlineStr"/>
    </row>
    <row r="928" ht="15" customHeight="1">
      <c r="A928" t="inlineStr">
        <is>
          <t>A 40870-2025</t>
        </is>
      </c>
      <c r="B928" s="1" t="n">
        <v>45897.57402777778</v>
      </c>
      <c r="C928" s="1" t="n">
        <v>46033</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24863-2025</t>
        </is>
      </c>
      <c r="B929" s="1" t="n">
        <v>45799.48059027778</v>
      </c>
      <c r="C929" s="1" t="n">
        <v>46033</v>
      </c>
      <c r="D929" t="inlineStr">
        <is>
          <t>JÄMTLANDS LÄN</t>
        </is>
      </c>
      <c r="E929" t="inlineStr">
        <is>
          <t>STRÖMSUND</t>
        </is>
      </c>
      <c r="G929" t="n">
        <v>5.6</v>
      </c>
      <c r="H929" t="n">
        <v>0</v>
      </c>
      <c r="I929" t="n">
        <v>0</v>
      </c>
      <c r="J929" t="n">
        <v>0</v>
      </c>
      <c r="K929" t="n">
        <v>0</v>
      </c>
      <c r="L929" t="n">
        <v>0</v>
      </c>
      <c r="M929" t="n">
        <v>0</v>
      </c>
      <c r="N929" t="n">
        <v>0</v>
      </c>
      <c r="O929" t="n">
        <v>0</v>
      </c>
      <c r="P929" t="n">
        <v>0</v>
      </c>
      <c r="Q929" t="n">
        <v>0</v>
      </c>
      <c r="R929" s="2" t="inlineStr"/>
    </row>
    <row r="930" ht="15" customHeight="1">
      <c r="A930" t="inlineStr">
        <is>
          <t>A 40970-2024</t>
        </is>
      </c>
      <c r="B930" s="1" t="n">
        <v>45558.67643518518</v>
      </c>
      <c r="C930" s="1" t="n">
        <v>46033</v>
      </c>
      <c r="D930" t="inlineStr">
        <is>
          <t>JÄMTLANDS LÄN</t>
        </is>
      </c>
      <c r="E930" t="inlineStr">
        <is>
          <t>STRÖMSUND</t>
        </is>
      </c>
      <c r="G930" t="n">
        <v>4.6</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46033</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37150-2024</t>
        </is>
      </c>
      <c r="B932" s="1" t="n">
        <v>45539</v>
      </c>
      <c r="C932" s="1" t="n">
        <v>46033</v>
      </c>
      <c r="D932" t="inlineStr">
        <is>
          <t>JÄMTLANDS LÄN</t>
        </is>
      </c>
      <c r="E932" t="inlineStr">
        <is>
          <t>STRÖMSUND</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37208-2024</t>
        </is>
      </c>
      <c r="B933" s="1" t="n">
        <v>45539.67788194444</v>
      </c>
      <c r="C933" s="1" t="n">
        <v>46033</v>
      </c>
      <c r="D933" t="inlineStr">
        <is>
          <t>JÄMTLANDS LÄN</t>
        </is>
      </c>
      <c r="E933" t="inlineStr">
        <is>
          <t>STRÖMSUND</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41448-2025</t>
        </is>
      </c>
      <c r="B934" s="1" t="n">
        <v>45901.42773148148</v>
      </c>
      <c r="C934" s="1" t="n">
        <v>46033</v>
      </c>
      <c r="D934" t="inlineStr">
        <is>
          <t>JÄMTLANDS LÄN</t>
        </is>
      </c>
      <c r="E934" t="inlineStr">
        <is>
          <t>STRÖMSUND</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40966-2025</t>
        </is>
      </c>
      <c r="B935" s="1" t="n">
        <v>45897.77532407407</v>
      </c>
      <c r="C935" s="1" t="n">
        <v>46033</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24736-2025</t>
        </is>
      </c>
      <c r="B936" s="1" t="n">
        <v>45799.34473379629</v>
      </c>
      <c r="C936" s="1" t="n">
        <v>46033</v>
      </c>
      <c r="D936" t="inlineStr">
        <is>
          <t>JÄMTLANDS LÄN</t>
        </is>
      </c>
      <c r="E936" t="inlineStr">
        <is>
          <t>STRÖMSUND</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52211-2024</t>
        </is>
      </c>
      <c r="B937" s="1" t="n">
        <v>45608.59245370371</v>
      </c>
      <c r="C937" s="1" t="n">
        <v>46033</v>
      </c>
      <c r="D937" t="inlineStr">
        <is>
          <t>JÄMTLANDS LÄN</t>
        </is>
      </c>
      <c r="E937" t="inlineStr">
        <is>
          <t>STRÖMSUND</t>
        </is>
      </c>
      <c r="F937" t="inlineStr">
        <is>
          <t>SCA</t>
        </is>
      </c>
      <c r="G937" t="n">
        <v>9</v>
      </c>
      <c r="H937" t="n">
        <v>0</v>
      </c>
      <c r="I937" t="n">
        <v>0</v>
      </c>
      <c r="J937" t="n">
        <v>0</v>
      </c>
      <c r="K937" t="n">
        <v>0</v>
      </c>
      <c r="L937" t="n">
        <v>0</v>
      </c>
      <c r="M937" t="n">
        <v>0</v>
      </c>
      <c r="N937" t="n">
        <v>0</v>
      </c>
      <c r="O937" t="n">
        <v>0</v>
      </c>
      <c r="P937" t="n">
        <v>0</v>
      </c>
      <c r="Q937" t="n">
        <v>0</v>
      </c>
      <c r="R937" s="2" t="inlineStr"/>
    </row>
    <row r="938" ht="15" customHeight="1">
      <c r="A938" t="inlineStr">
        <is>
          <t>A 41181-2025</t>
        </is>
      </c>
      <c r="B938" s="1" t="n">
        <v>45898.55309027778</v>
      </c>
      <c r="C938" s="1" t="n">
        <v>46033</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41182-2025</t>
        </is>
      </c>
      <c r="B939" s="1" t="n">
        <v>45898.55322916667</v>
      </c>
      <c r="C939" s="1" t="n">
        <v>46033</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41304-2025</t>
        </is>
      </c>
      <c r="B940" s="1" t="n">
        <v>45898.69829861111</v>
      </c>
      <c r="C940" s="1" t="n">
        <v>46033</v>
      </c>
      <c r="D940" t="inlineStr">
        <is>
          <t>JÄMTLANDS LÄN</t>
        </is>
      </c>
      <c r="E940" t="inlineStr">
        <is>
          <t>STRÖMSUND</t>
        </is>
      </c>
      <c r="F940" t="inlineStr">
        <is>
          <t>SCA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25656-2025</t>
        </is>
      </c>
      <c r="B941" s="1" t="n">
        <v>45803.61532407408</v>
      </c>
      <c r="C941" s="1" t="n">
        <v>46033</v>
      </c>
      <c r="D941" t="inlineStr">
        <is>
          <t>JÄMTLANDS LÄN</t>
        </is>
      </c>
      <c r="E941" t="inlineStr">
        <is>
          <t>STRÖMSUND</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25520-2025</t>
        </is>
      </c>
      <c r="B942" s="1" t="n">
        <v>45803.38596064815</v>
      </c>
      <c r="C942" s="1" t="n">
        <v>46033</v>
      </c>
      <c r="D942" t="inlineStr">
        <is>
          <t>JÄMTLANDS LÄN</t>
        </is>
      </c>
      <c r="E942" t="inlineStr">
        <is>
          <t>STRÖMSUND</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46816-2024</t>
        </is>
      </c>
      <c r="B943" s="1" t="n">
        <v>45583.5734837963</v>
      </c>
      <c r="C943" s="1" t="n">
        <v>46033</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46033</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57022-2022</t>
        </is>
      </c>
      <c r="B945" s="1" t="n">
        <v>44894.95902777778</v>
      </c>
      <c r="C945" s="1" t="n">
        <v>46033</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35377-2022</t>
        </is>
      </c>
      <c r="B946" s="1" t="n">
        <v>44798</v>
      </c>
      <c r="C946" s="1" t="n">
        <v>46033</v>
      </c>
      <c r="D946" t="inlineStr">
        <is>
          <t>JÄMTLANDS LÄN</t>
        </is>
      </c>
      <c r="E946" t="inlineStr">
        <is>
          <t>STRÖMSUND</t>
        </is>
      </c>
      <c r="F946" t="inlineStr">
        <is>
          <t>Kommuner</t>
        </is>
      </c>
      <c r="G946" t="n">
        <v>3.4</v>
      </c>
      <c r="H946" t="n">
        <v>0</v>
      </c>
      <c r="I946" t="n">
        <v>0</v>
      </c>
      <c r="J946" t="n">
        <v>0</v>
      </c>
      <c r="K946" t="n">
        <v>0</v>
      </c>
      <c r="L946" t="n">
        <v>0</v>
      </c>
      <c r="M946" t="n">
        <v>0</v>
      </c>
      <c r="N946" t="n">
        <v>0</v>
      </c>
      <c r="O946" t="n">
        <v>0</v>
      </c>
      <c r="P946" t="n">
        <v>0</v>
      </c>
      <c r="Q946" t="n">
        <v>0</v>
      </c>
      <c r="R946" s="2" t="inlineStr"/>
    </row>
    <row r="947" ht="15" customHeight="1">
      <c r="A947" t="inlineStr">
        <is>
          <t>A 52153-2024</t>
        </is>
      </c>
      <c r="B947" s="1" t="n">
        <v>45608.5240625</v>
      </c>
      <c r="C947" s="1" t="n">
        <v>46033</v>
      </c>
      <c r="D947" t="inlineStr">
        <is>
          <t>JÄMTLANDS LÄN</t>
        </is>
      </c>
      <c r="E947" t="inlineStr">
        <is>
          <t>STRÖMSUND</t>
        </is>
      </c>
      <c r="F947" t="inlineStr">
        <is>
          <t>SCA</t>
        </is>
      </c>
      <c r="G947" t="n">
        <v>11.4</v>
      </c>
      <c r="H947" t="n">
        <v>0</v>
      </c>
      <c r="I947" t="n">
        <v>0</v>
      </c>
      <c r="J947" t="n">
        <v>0</v>
      </c>
      <c r="K947" t="n">
        <v>0</v>
      </c>
      <c r="L947" t="n">
        <v>0</v>
      </c>
      <c r="M947" t="n">
        <v>0</v>
      </c>
      <c r="N947" t="n">
        <v>0</v>
      </c>
      <c r="O947" t="n">
        <v>0</v>
      </c>
      <c r="P947" t="n">
        <v>0</v>
      </c>
      <c r="Q947" t="n">
        <v>0</v>
      </c>
      <c r="R947" s="2" t="inlineStr"/>
    </row>
    <row r="948" ht="15" customHeight="1">
      <c r="A948" t="inlineStr">
        <is>
          <t>A 38642-2023</t>
        </is>
      </c>
      <c r="B948" s="1" t="n">
        <v>45162</v>
      </c>
      <c r="C948" s="1" t="n">
        <v>46033</v>
      </c>
      <c r="D948" t="inlineStr">
        <is>
          <t>JÄMTLANDS LÄN</t>
        </is>
      </c>
      <c r="E948" t="inlineStr">
        <is>
          <t>STRÖMSUND</t>
        </is>
      </c>
      <c r="F948" t="inlineStr">
        <is>
          <t>Holmen skog AB</t>
        </is>
      </c>
      <c r="G948" t="n">
        <v>12.6</v>
      </c>
      <c r="H948" t="n">
        <v>0</v>
      </c>
      <c r="I948" t="n">
        <v>0</v>
      </c>
      <c r="J948" t="n">
        <v>0</v>
      </c>
      <c r="K948" t="n">
        <v>0</v>
      </c>
      <c r="L948" t="n">
        <v>0</v>
      </c>
      <c r="M948" t="n">
        <v>0</v>
      </c>
      <c r="N948" t="n">
        <v>0</v>
      </c>
      <c r="O948" t="n">
        <v>0</v>
      </c>
      <c r="P948" t="n">
        <v>0</v>
      </c>
      <c r="Q948" t="n">
        <v>0</v>
      </c>
      <c r="R948" s="2" t="inlineStr"/>
    </row>
    <row r="949" ht="15" customHeight="1">
      <c r="A949" t="inlineStr">
        <is>
          <t>A 39599-2024</t>
        </is>
      </c>
      <c r="B949" s="1" t="n">
        <v>45552</v>
      </c>
      <c r="C949" s="1" t="n">
        <v>46033</v>
      </c>
      <c r="D949" t="inlineStr">
        <is>
          <t>JÄMTLANDS LÄN</t>
        </is>
      </c>
      <c r="E949" t="inlineStr">
        <is>
          <t>STRÖMSUND</t>
        </is>
      </c>
      <c r="G949" t="n">
        <v>2.7</v>
      </c>
      <c r="H949" t="n">
        <v>0</v>
      </c>
      <c r="I949" t="n">
        <v>0</v>
      </c>
      <c r="J949" t="n">
        <v>0</v>
      </c>
      <c r="K949" t="n">
        <v>0</v>
      </c>
      <c r="L949" t="n">
        <v>0</v>
      </c>
      <c r="M949" t="n">
        <v>0</v>
      </c>
      <c r="N949" t="n">
        <v>0</v>
      </c>
      <c r="O949" t="n">
        <v>0</v>
      </c>
      <c r="P949" t="n">
        <v>0</v>
      </c>
      <c r="Q949" t="n">
        <v>0</v>
      </c>
      <c r="R949" s="2" t="inlineStr"/>
    </row>
    <row r="950" ht="15" customHeight="1">
      <c r="A950" t="inlineStr">
        <is>
          <t>A 26665-2024</t>
        </is>
      </c>
      <c r="B950" s="1" t="n">
        <v>45469.95024305556</v>
      </c>
      <c r="C950" s="1" t="n">
        <v>46033</v>
      </c>
      <c r="D950" t="inlineStr">
        <is>
          <t>JÄMTLANDS LÄN</t>
        </is>
      </c>
      <c r="E950" t="inlineStr">
        <is>
          <t>STRÖMSUND</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41197-2025</t>
        </is>
      </c>
      <c r="B951" s="1" t="n">
        <v>45898.5734837963</v>
      </c>
      <c r="C951" s="1" t="n">
        <v>46033</v>
      </c>
      <c r="D951" t="inlineStr">
        <is>
          <t>JÄMTLANDS LÄN</t>
        </is>
      </c>
      <c r="E951" t="inlineStr">
        <is>
          <t>STRÖMSUND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41404-2025</t>
        </is>
      </c>
      <c r="B952" s="1" t="n">
        <v>45901.3446412037</v>
      </c>
      <c r="C952" s="1" t="n">
        <v>46033</v>
      </c>
      <c r="D952" t="inlineStr">
        <is>
          <t>JÄMTLANDS LÄN</t>
        </is>
      </c>
      <c r="E952" t="inlineStr">
        <is>
          <t>STRÖMSUND</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41048-2025</t>
        </is>
      </c>
      <c r="B953" s="1" t="n">
        <v>45898</v>
      </c>
      <c r="C953" s="1" t="n">
        <v>46033</v>
      </c>
      <c r="D953" t="inlineStr">
        <is>
          <t>JÄMTLANDS LÄN</t>
        </is>
      </c>
      <c r="E953" t="inlineStr">
        <is>
          <t>STRÖMSUND</t>
        </is>
      </c>
      <c r="G953" t="n">
        <v>7.3</v>
      </c>
      <c r="H953" t="n">
        <v>0</v>
      </c>
      <c r="I953" t="n">
        <v>0</v>
      </c>
      <c r="J953" t="n">
        <v>0</v>
      </c>
      <c r="K953" t="n">
        <v>0</v>
      </c>
      <c r="L953" t="n">
        <v>0</v>
      </c>
      <c r="M953" t="n">
        <v>0</v>
      </c>
      <c r="N953" t="n">
        <v>0</v>
      </c>
      <c r="O953" t="n">
        <v>0</v>
      </c>
      <c r="P953" t="n">
        <v>0</v>
      </c>
      <c r="Q953" t="n">
        <v>0</v>
      </c>
      <c r="R953" s="2" t="inlineStr"/>
    </row>
    <row r="954" ht="15" customHeight="1">
      <c r="A954" t="inlineStr">
        <is>
          <t>A 15950-2025</t>
        </is>
      </c>
      <c r="B954" s="1" t="n">
        <v>45749.4984837963</v>
      </c>
      <c r="C954" s="1" t="n">
        <v>46033</v>
      </c>
      <c r="D954" t="inlineStr">
        <is>
          <t>JÄMTLANDS LÄN</t>
        </is>
      </c>
      <c r="E954" t="inlineStr">
        <is>
          <t>STRÖMSUND</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41000-2025</t>
        </is>
      </c>
      <c r="B955" s="1" t="n">
        <v>45898.34496527778</v>
      </c>
      <c r="C955" s="1" t="n">
        <v>46033</v>
      </c>
      <c r="D955" t="inlineStr">
        <is>
          <t>JÄMTLANDS LÄN</t>
        </is>
      </c>
      <c r="E955" t="inlineStr">
        <is>
          <t>STRÖMSUND</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47241-2024</t>
        </is>
      </c>
      <c r="B956" s="1" t="n">
        <v>45586.69837962963</v>
      </c>
      <c r="C956" s="1" t="n">
        <v>46033</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25311-2025</t>
        </is>
      </c>
      <c r="B957" s="1" t="n">
        <v>45800.57407407407</v>
      </c>
      <c r="C957" s="1" t="n">
        <v>46033</v>
      </c>
      <c r="D957" t="inlineStr">
        <is>
          <t>JÄMTLANDS LÄN</t>
        </is>
      </c>
      <c r="E957" t="inlineStr">
        <is>
          <t>STRÖMSUND</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41020-2025</t>
        </is>
      </c>
      <c r="B958" s="1" t="n">
        <v>45898.36521990741</v>
      </c>
      <c r="C958" s="1" t="n">
        <v>46033</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25439-2025</t>
        </is>
      </c>
      <c r="B959" s="1" t="n">
        <v>45801.34453703704</v>
      </c>
      <c r="C959" s="1" t="n">
        <v>46033</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40998-2025</t>
        </is>
      </c>
      <c r="B960" s="1" t="n">
        <v>45898.3446875</v>
      </c>
      <c r="C960" s="1" t="n">
        <v>46033</v>
      </c>
      <c r="D960" t="inlineStr">
        <is>
          <t>JÄMTLANDS LÄN</t>
        </is>
      </c>
      <c r="E960" t="inlineStr">
        <is>
          <t>STRÖMSUND</t>
        </is>
      </c>
      <c r="F960" t="inlineStr">
        <is>
          <t>SCA</t>
        </is>
      </c>
      <c r="G960" t="n">
        <v>7.1</v>
      </c>
      <c r="H960" t="n">
        <v>0</v>
      </c>
      <c r="I960" t="n">
        <v>0</v>
      </c>
      <c r="J960" t="n">
        <v>0</v>
      </c>
      <c r="K960" t="n">
        <v>0</v>
      </c>
      <c r="L960" t="n">
        <v>0</v>
      </c>
      <c r="M960" t="n">
        <v>0</v>
      </c>
      <c r="N960" t="n">
        <v>0</v>
      </c>
      <c r="O960" t="n">
        <v>0</v>
      </c>
      <c r="P960" t="n">
        <v>0</v>
      </c>
      <c r="Q960" t="n">
        <v>0</v>
      </c>
      <c r="R960" s="2" t="inlineStr"/>
    </row>
    <row r="961" ht="15" customHeight="1">
      <c r="A961" t="inlineStr">
        <is>
          <t>A 14975-2023</t>
        </is>
      </c>
      <c r="B961" s="1" t="n">
        <v>45013</v>
      </c>
      <c r="C961" s="1" t="n">
        <v>46033</v>
      </c>
      <c r="D961" t="inlineStr">
        <is>
          <t>JÄMTLANDS LÄN</t>
        </is>
      </c>
      <c r="E961" t="inlineStr">
        <is>
          <t>STRÖMSUND</t>
        </is>
      </c>
      <c r="G961" t="n">
        <v>10.6</v>
      </c>
      <c r="H961" t="n">
        <v>0</v>
      </c>
      <c r="I961" t="n">
        <v>0</v>
      </c>
      <c r="J961" t="n">
        <v>0</v>
      </c>
      <c r="K961" t="n">
        <v>0</v>
      </c>
      <c r="L961" t="n">
        <v>0</v>
      </c>
      <c r="M961" t="n">
        <v>0</v>
      </c>
      <c r="N961" t="n">
        <v>0</v>
      </c>
      <c r="O961" t="n">
        <v>0</v>
      </c>
      <c r="P961" t="n">
        <v>0</v>
      </c>
      <c r="Q961" t="n">
        <v>0</v>
      </c>
      <c r="R961" s="2" t="inlineStr"/>
    </row>
    <row r="962" ht="15" customHeight="1">
      <c r="A962" t="inlineStr">
        <is>
          <t>A 41019-2025</t>
        </is>
      </c>
      <c r="B962" s="1" t="n">
        <v>45898.36513888889</v>
      </c>
      <c r="C962" s="1" t="n">
        <v>46033</v>
      </c>
      <c r="D962" t="inlineStr">
        <is>
          <t>JÄMTLANDS LÄN</t>
        </is>
      </c>
      <c r="E962" t="inlineStr">
        <is>
          <t>STRÖMSUND</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41602-2025</t>
        </is>
      </c>
      <c r="B963" s="1" t="n">
        <v>45901.65706018519</v>
      </c>
      <c r="C963" s="1" t="n">
        <v>46033</v>
      </c>
      <c r="D963" t="inlineStr">
        <is>
          <t>JÄMTLANDS LÄN</t>
        </is>
      </c>
      <c r="E963" t="inlineStr">
        <is>
          <t>STRÖMSUND</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52158-2024</t>
        </is>
      </c>
      <c r="B964" s="1" t="n">
        <v>45608.5270949074</v>
      </c>
      <c r="C964" s="1" t="n">
        <v>46033</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41869-2025</t>
        </is>
      </c>
      <c r="B965" s="1" t="n">
        <v>45903.34443287037</v>
      </c>
      <c r="C965" s="1" t="n">
        <v>46033</v>
      </c>
      <c r="D965" t="inlineStr">
        <is>
          <t>JÄMTLANDS LÄN</t>
        </is>
      </c>
      <c r="E965" t="inlineStr">
        <is>
          <t>STRÖMSUND</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29276-2022</t>
        </is>
      </c>
      <c r="B966" s="1" t="n">
        <v>44750</v>
      </c>
      <c r="C966" s="1" t="n">
        <v>46033</v>
      </c>
      <c r="D966" t="inlineStr">
        <is>
          <t>JÄMTLANDS LÄN</t>
        </is>
      </c>
      <c r="E966" t="inlineStr">
        <is>
          <t>STRÖMSUND</t>
        </is>
      </c>
      <c r="G966" t="n">
        <v>18.8</v>
      </c>
      <c r="H966" t="n">
        <v>0</v>
      </c>
      <c r="I966" t="n">
        <v>0</v>
      </c>
      <c r="J966" t="n">
        <v>0</v>
      </c>
      <c r="K966" t="n">
        <v>0</v>
      </c>
      <c r="L966" t="n">
        <v>0</v>
      </c>
      <c r="M966" t="n">
        <v>0</v>
      </c>
      <c r="N966" t="n">
        <v>0</v>
      </c>
      <c r="O966" t="n">
        <v>0</v>
      </c>
      <c r="P966" t="n">
        <v>0</v>
      </c>
      <c r="Q966" t="n">
        <v>0</v>
      </c>
      <c r="R966" s="2" t="inlineStr"/>
    </row>
    <row r="967" ht="15" customHeight="1">
      <c r="A967" t="inlineStr">
        <is>
          <t>A 25354-2025</t>
        </is>
      </c>
      <c r="B967" s="1" t="n">
        <v>45800.61581018518</v>
      </c>
      <c r="C967" s="1" t="n">
        <v>46033</v>
      </c>
      <c r="D967" t="inlineStr">
        <is>
          <t>JÄMTLANDS LÄN</t>
        </is>
      </c>
      <c r="E967" t="inlineStr">
        <is>
          <t>STRÖMSUND</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25444-2025</t>
        </is>
      </c>
      <c r="B968" s="1" t="n">
        <v>45801.52229166667</v>
      </c>
      <c r="C968" s="1" t="n">
        <v>46033</v>
      </c>
      <c r="D968" t="inlineStr">
        <is>
          <t>JÄMTLANDS LÄN</t>
        </is>
      </c>
      <c r="E968" t="inlineStr">
        <is>
          <t>STRÖMSUND</t>
        </is>
      </c>
      <c r="G968" t="n">
        <v>0.2</v>
      </c>
      <c r="H968" t="n">
        <v>0</v>
      </c>
      <c r="I968" t="n">
        <v>0</v>
      </c>
      <c r="J968" t="n">
        <v>0</v>
      </c>
      <c r="K968" t="n">
        <v>0</v>
      </c>
      <c r="L968" t="n">
        <v>0</v>
      </c>
      <c r="M968" t="n">
        <v>0</v>
      </c>
      <c r="N968" t="n">
        <v>0</v>
      </c>
      <c r="O968" t="n">
        <v>0</v>
      </c>
      <c r="P968" t="n">
        <v>0</v>
      </c>
      <c r="Q968" t="n">
        <v>0</v>
      </c>
      <c r="R968" s="2" t="inlineStr"/>
    </row>
    <row r="969" ht="15" customHeight="1">
      <c r="A969" t="inlineStr">
        <is>
          <t>A 25156-2025</t>
        </is>
      </c>
      <c r="B969" s="1" t="n">
        <v>45800.42793981481</v>
      </c>
      <c r="C969" s="1" t="n">
        <v>46033</v>
      </c>
      <c r="D969" t="inlineStr">
        <is>
          <t>JÄMTLANDS LÄN</t>
        </is>
      </c>
      <c r="E969" t="inlineStr">
        <is>
          <t>STRÖMSUND</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41873-2025</t>
        </is>
      </c>
      <c r="B970" s="1" t="n">
        <v>45903.34513888889</v>
      </c>
      <c r="C970" s="1" t="n">
        <v>46033</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59899-2025</t>
        </is>
      </c>
      <c r="B971" s="1" t="n">
        <v>45993.34460648148</v>
      </c>
      <c r="C971" s="1" t="n">
        <v>46033</v>
      </c>
      <c r="D971" t="inlineStr">
        <is>
          <t>JÄMTLANDS LÄN</t>
        </is>
      </c>
      <c r="E971" t="inlineStr">
        <is>
          <t>STRÖMSUND</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35578-2024</t>
        </is>
      </c>
      <c r="B972" s="1" t="n">
        <v>45531.64777777778</v>
      </c>
      <c r="C972" s="1" t="n">
        <v>46033</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53400-2022</t>
        </is>
      </c>
      <c r="B973" s="1" t="n">
        <v>44879</v>
      </c>
      <c r="C973" s="1" t="n">
        <v>46033</v>
      </c>
      <c r="D973" t="inlineStr">
        <is>
          <t>JÄMTLANDS LÄN</t>
        </is>
      </c>
      <c r="E973" t="inlineStr">
        <is>
          <t>STRÖMSUND</t>
        </is>
      </c>
      <c r="G973" t="n">
        <v>0.9</v>
      </c>
      <c r="H973" t="n">
        <v>0</v>
      </c>
      <c r="I973" t="n">
        <v>0</v>
      </c>
      <c r="J973" t="n">
        <v>0</v>
      </c>
      <c r="K973" t="n">
        <v>0</v>
      </c>
      <c r="L973" t="n">
        <v>0</v>
      </c>
      <c r="M973" t="n">
        <v>0</v>
      </c>
      <c r="N973" t="n">
        <v>0</v>
      </c>
      <c r="O973" t="n">
        <v>0</v>
      </c>
      <c r="P973" t="n">
        <v>0</v>
      </c>
      <c r="Q973" t="n">
        <v>0</v>
      </c>
      <c r="R973" s="2" t="inlineStr"/>
    </row>
    <row r="974" ht="15" customHeight="1">
      <c r="A974" t="inlineStr">
        <is>
          <t>A 41659-2025</t>
        </is>
      </c>
      <c r="B974" s="1" t="n">
        <v>45902.3446412037</v>
      </c>
      <c r="C974" s="1" t="n">
        <v>46033</v>
      </c>
      <c r="D974" t="inlineStr">
        <is>
          <t>JÄMTLANDS LÄN</t>
        </is>
      </c>
      <c r="E974" t="inlineStr">
        <is>
          <t>STRÖMSUND</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59553-2025</t>
        </is>
      </c>
      <c r="B975" s="1" t="n">
        <v>45990.51078703703</v>
      </c>
      <c r="C975" s="1" t="n">
        <v>46033</v>
      </c>
      <c r="D975" t="inlineStr">
        <is>
          <t>JÄMTLANDS LÄN</t>
        </is>
      </c>
      <c r="E975" t="inlineStr">
        <is>
          <t>STRÖMSUND</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13776-2025</t>
        </is>
      </c>
      <c r="B976" s="1" t="n">
        <v>45736</v>
      </c>
      <c r="C976" s="1" t="n">
        <v>46033</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26220-2025</t>
        </is>
      </c>
      <c r="B977" s="1" t="n">
        <v>45805.55241898148</v>
      </c>
      <c r="C977" s="1" t="n">
        <v>46033</v>
      </c>
      <c r="D977" t="inlineStr">
        <is>
          <t>JÄMTLANDS LÄN</t>
        </is>
      </c>
      <c r="E977" t="inlineStr">
        <is>
          <t>STRÖMSUND</t>
        </is>
      </c>
      <c r="F977" t="inlineStr">
        <is>
          <t>SCA</t>
        </is>
      </c>
      <c r="G977" t="n">
        <v>11.3</v>
      </c>
      <c r="H977" t="n">
        <v>0</v>
      </c>
      <c r="I977" t="n">
        <v>0</v>
      </c>
      <c r="J977" t="n">
        <v>0</v>
      </c>
      <c r="K977" t="n">
        <v>0</v>
      </c>
      <c r="L977" t="n">
        <v>0</v>
      </c>
      <c r="M977" t="n">
        <v>0</v>
      </c>
      <c r="N977" t="n">
        <v>0</v>
      </c>
      <c r="O977" t="n">
        <v>0</v>
      </c>
      <c r="P977" t="n">
        <v>0</v>
      </c>
      <c r="Q977" t="n">
        <v>0</v>
      </c>
      <c r="R977" s="2" t="inlineStr"/>
    </row>
    <row r="978" ht="15" customHeight="1">
      <c r="A978" t="inlineStr">
        <is>
          <t>A 42291-2025</t>
        </is>
      </c>
      <c r="B978" s="1" t="n">
        <v>45903</v>
      </c>
      <c r="C978" s="1" t="n">
        <v>46033</v>
      </c>
      <c r="D978" t="inlineStr">
        <is>
          <t>JÄMTLANDS LÄN</t>
        </is>
      </c>
      <c r="E978" t="inlineStr">
        <is>
          <t>STRÖMSUND</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59954-2025</t>
        </is>
      </c>
      <c r="B979" s="1" t="n">
        <v>45993.45922453704</v>
      </c>
      <c r="C979" s="1" t="n">
        <v>46033</v>
      </c>
      <c r="D979" t="inlineStr">
        <is>
          <t>JÄMTLANDS LÄN</t>
        </is>
      </c>
      <c r="E979" t="inlineStr">
        <is>
          <t>STRÖMSUND</t>
        </is>
      </c>
      <c r="G979" t="n">
        <v>2.8</v>
      </c>
      <c r="H979" t="n">
        <v>0</v>
      </c>
      <c r="I979" t="n">
        <v>0</v>
      </c>
      <c r="J979" t="n">
        <v>0</v>
      </c>
      <c r="K979" t="n">
        <v>0</v>
      </c>
      <c r="L979" t="n">
        <v>0</v>
      </c>
      <c r="M979" t="n">
        <v>0</v>
      </c>
      <c r="N979" t="n">
        <v>0</v>
      </c>
      <c r="O979" t="n">
        <v>0</v>
      </c>
      <c r="P979" t="n">
        <v>0</v>
      </c>
      <c r="Q979" t="n">
        <v>0</v>
      </c>
      <c r="R979" s="2" t="inlineStr"/>
    </row>
    <row r="980" ht="15" customHeight="1">
      <c r="A980" t="inlineStr">
        <is>
          <t>A 59540-2025</t>
        </is>
      </c>
      <c r="B980" s="1" t="n">
        <v>45990.34428240741</v>
      </c>
      <c r="C980" s="1" t="n">
        <v>46033</v>
      </c>
      <c r="D980" t="inlineStr">
        <is>
          <t>JÄMTLANDS LÄN</t>
        </is>
      </c>
      <c r="E980" t="inlineStr">
        <is>
          <t>STRÖMSUND</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24831-2023</t>
        </is>
      </c>
      <c r="B981" s="1" t="n">
        <v>45084.94445601852</v>
      </c>
      <c r="C981" s="1" t="n">
        <v>46033</v>
      </c>
      <c r="D981" t="inlineStr">
        <is>
          <t>JÄMTLANDS LÄN</t>
        </is>
      </c>
      <c r="E981" t="inlineStr">
        <is>
          <t>STRÖMSUND</t>
        </is>
      </c>
      <c r="G981" t="n">
        <v>5</v>
      </c>
      <c r="H981" t="n">
        <v>0</v>
      </c>
      <c r="I981" t="n">
        <v>0</v>
      </c>
      <c r="J981" t="n">
        <v>0</v>
      </c>
      <c r="K981" t="n">
        <v>0</v>
      </c>
      <c r="L981" t="n">
        <v>0</v>
      </c>
      <c r="M981" t="n">
        <v>0</v>
      </c>
      <c r="N981" t="n">
        <v>0</v>
      </c>
      <c r="O981" t="n">
        <v>0</v>
      </c>
      <c r="P981" t="n">
        <v>0</v>
      </c>
      <c r="Q981" t="n">
        <v>0</v>
      </c>
      <c r="R981" s="2" t="inlineStr"/>
    </row>
    <row r="982" ht="15" customHeight="1">
      <c r="A982" t="inlineStr">
        <is>
          <t>A 26339-2025</t>
        </is>
      </c>
      <c r="B982" s="1" t="n">
        <v>45805.69855324074</v>
      </c>
      <c r="C982" s="1" t="n">
        <v>46033</v>
      </c>
      <c r="D982" t="inlineStr">
        <is>
          <t>JÄMTLANDS LÄN</t>
        </is>
      </c>
      <c r="E982" t="inlineStr">
        <is>
          <t>STRÖMSUND</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41804-2025</t>
        </is>
      </c>
      <c r="B983" s="1" t="n">
        <v>45902.63591435185</v>
      </c>
      <c r="C983" s="1" t="n">
        <v>46033</v>
      </c>
      <c r="D983" t="inlineStr">
        <is>
          <t>JÄMTLANDS LÄN</t>
        </is>
      </c>
      <c r="E983" t="inlineStr">
        <is>
          <t>STRÖMSUND</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33299-2024</t>
        </is>
      </c>
      <c r="B984" s="1" t="n">
        <v>45518.96902777778</v>
      </c>
      <c r="C984" s="1" t="n">
        <v>46033</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26265-2025</t>
        </is>
      </c>
      <c r="B985" s="1" t="n">
        <v>45805</v>
      </c>
      <c r="C985" s="1" t="n">
        <v>46033</v>
      </c>
      <c r="D985" t="inlineStr">
        <is>
          <t>JÄMTLANDS LÄN</t>
        </is>
      </c>
      <c r="E985" t="inlineStr">
        <is>
          <t>STRÖMSUND</t>
        </is>
      </c>
      <c r="G985" t="n">
        <v>0.6</v>
      </c>
      <c r="H985" t="n">
        <v>0</v>
      </c>
      <c r="I985" t="n">
        <v>0</v>
      </c>
      <c r="J985" t="n">
        <v>0</v>
      </c>
      <c r="K985" t="n">
        <v>0</v>
      </c>
      <c r="L985" t="n">
        <v>0</v>
      </c>
      <c r="M985" t="n">
        <v>0</v>
      </c>
      <c r="N985" t="n">
        <v>0</v>
      </c>
      <c r="O985" t="n">
        <v>0</v>
      </c>
      <c r="P985" t="n">
        <v>0</v>
      </c>
      <c r="Q985" t="n">
        <v>0</v>
      </c>
      <c r="R985" s="2" t="inlineStr"/>
    </row>
    <row r="986" ht="15" customHeight="1">
      <c r="A986" t="inlineStr">
        <is>
          <t>A 41875-2025</t>
        </is>
      </c>
      <c r="B986" s="1" t="n">
        <v>45903.34546296296</v>
      </c>
      <c r="C986" s="1" t="n">
        <v>46033</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36176-2024</t>
        </is>
      </c>
      <c r="B987" s="1" t="n">
        <v>45534.40876157407</v>
      </c>
      <c r="C987" s="1" t="n">
        <v>46033</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4460-2022</t>
        </is>
      </c>
      <c r="B988" s="1" t="n">
        <v>44589</v>
      </c>
      <c r="C988" s="1" t="n">
        <v>46033</v>
      </c>
      <c r="D988" t="inlineStr">
        <is>
          <t>JÄMTLANDS LÄN</t>
        </is>
      </c>
      <c r="E988" t="inlineStr">
        <is>
          <t>STRÖMSUND</t>
        </is>
      </c>
      <c r="G988" t="n">
        <v>4.5</v>
      </c>
      <c r="H988" t="n">
        <v>0</v>
      </c>
      <c r="I988" t="n">
        <v>0</v>
      </c>
      <c r="J988" t="n">
        <v>0</v>
      </c>
      <c r="K988" t="n">
        <v>0</v>
      </c>
      <c r="L988" t="n">
        <v>0</v>
      </c>
      <c r="M988" t="n">
        <v>0</v>
      </c>
      <c r="N988" t="n">
        <v>0</v>
      </c>
      <c r="O988" t="n">
        <v>0</v>
      </c>
      <c r="P988" t="n">
        <v>0</v>
      </c>
      <c r="Q988" t="n">
        <v>0</v>
      </c>
      <c r="R988" s="2" t="inlineStr"/>
    </row>
    <row r="989" ht="15" customHeight="1">
      <c r="A989" t="inlineStr">
        <is>
          <t>A 41816-2025</t>
        </is>
      </c>
      <c r="B989" s="1" t="n">
        <v>45902.65679398148</v>
      </c>
      <c r="C989" s="1" t="n">
        <v>46033</v>
      </c>
      <c r="D989" t="inlineStr">
        <is>
          <t>JÄMTLANDS LÄN</t>
        </is>
      </c>
      <c r="E989" t="inlineStr">
        <is>
          <t>STRÖMSUND</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47320-2022</t>
        </is>
      </c>
      <c r="B990" s="1" t="n">
        <v>44846</v>
      </c>
      <c r="C990" s="1" t="n">
        <v>46033</v>
      </c>
      <c r="D990" t="inlineStr">
        <is>
          <t>JÄMTLANDS LÄN</t>
        </is>
      </c>
      <c r="E990" t="inlineStr">
        <is>
          <t>STRÖMSUND</t>
        </is>
      </c>
      <c r="G990" t="n">
        <v>6.5</v>
      </c>
      <c r="H990" t="n">
        <v>0</v>
      </c>
      <c r="I990" t="n">
        <v>0</v>
      </c>
      <c r="J990" t="n">
        <v>0</v>
      </c>
      <c r="K990" t="n">
        <v>0</v>
      </c>
      <c r="L990" t="n">
        <v>0</v>
      </c>
      <c r="M990" t="n">
        <v>0</v>
      </c>
      <c r="N990" t="n">
        <v>0</v>
      </c>
      <c r="O990" t="n">
        <v>0</v>
      </c>
      <c r="P990" t="n">
        <v>0</v>
      </c>
      <c r="Q990" t="n">
        <v>0</v>
      </c>
      <c r="R990" s="2" t="inlineStr"/>
    </row>
    <row r="991" ht="15" customHeight="1">
      <c r="A991" t="inlineStr">
        <is>
          <t>A 38373-2025</t>
        </is>
      </c>
      <c r="B991" s="1" t="n">
        <v>45883</v>
      </c>
      <c r="C991" s="1" t="n">
        <v>46033</v>
      </c>
      <c r="D991" t="inlineStr">
        <is>
          <t>JÄMTLANDS LÄN</t>
        </is>
      </c>
      <c r="E991" t="inlineStr">
        <is>
          <t>STRÖMSUND</t>
        </is>
      </c>
      <c r="G991" t="n">
        <v>6.1</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46033</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42547-2025</t>
        </is>
      </c>
      <c r="B993" s="1" t="n">
        <v>45905.58885416666</v>
      </c>
      <c r="C993" s="1" t="n">
        <v>46033</v>
      </c>
      <c r="D993" t="inlineStr">
        <is>
          <t>JÄMTLANDS LÄN</t>
        </is>
      </c>
      <c r="E993" t="inlineStr">
        <is>
          <t>STRÖMSUND</t>
        </is>
      </c>
      <c r="G993" t="n">
        <v>12.6</v>
      </c>
      <c r="H993" t="n">
        <v>0</v>
      </c>
      <c r="I993" t="n">
        <v>0</v>
      </c>
      <c r="J993" t="n">
        <v>0</v>
      </c>
      <c r="K993" t="n">
        <v>0</v>
      </c>
      <c r="L993" t="n">
        <v>0</v>
      </c>
      <c r="M993" t="n">
        <v>0</v>
      </c>
      <c r="N993" t="n">
        <v>0</v>
      </c>
      <c r="O993" t="n">
        <v>0</v>
      </c>
      <c r="P993" t="n">
        <v>0</v>
      </c>
      <c r="Q993" t="n">
        <v>0</v>
      </c>
      <c r="R993" s="2" t="inlineStr"/>
    </row>
    <row r="994" ht="15" customHeight="1">
      <c r="A994" t="inlineStr">
        <is>
          <t>A 42485-2025</t>
        </is>
      </c>
      <c r="B994" s="1" t="n">
        <v>45905.49106481481</v>
      </c>
      <c r="C994" s="1" t="n">
        <v>46033</v>
      </c>
      <c r="D994" t="inlineStr">
        <is>
          <t>JÄMTLANDS LÄN</t>
        </is>
      </c>
      <c r="E994" t="inlineStr">
        <is>
          <t>STRÖMSUND</t>
        </is>
      </c>
      <c r="F994" t="inlineStr">
        <is>
          <t>Holmen skog AB</t>
        </is>
      </c>
      <c r="G994" t="n">
        <v>4.1</v>
      </c>
      <c r="H994" t="n">
        <v>0</v>
      </c>
      <c r="I994" t="n">
        <v>0</v>
      </c>
      <c r="J994" t="n">
        <v>0</v>
      </c>
      <c r="K994" t="n">
        <v>0</v>
      </c>
      <c r="L994" t="n">
        <v>0</v>
      </c>
      <c r="M994" t="n">
        <v>0</v>
      </c>
      <c r="N994" t="n">
        <v>0</v>
      </c>
      <c r="O994" t="n">
        <v>0</v>
      </c>
      <c r="P994" t="n">
        <v>0</v>
      </c>
      <c r="Q994" t="n">
        <v>0</v>
      </c>
      <c r="R994" s="2" t="inlineStr"/>
    </row>
    <row r="995" ht="15" customHeight="1">
      <c r="A995" t="inlineStr">
        <is>
          <t>A 42487-2025</t>
        </is>
      </c>
      <c r="B995" s="1" t="n">
        <v>45905.49262731482</v>
      </c>
      <c r="C995" s="1" t="n">
        <v>46033</v>
      </c>
      <c r="D995" t="inlineStr">
        <is>
          <t>JÄMTLANDS LÄN</t>
        </is>
      </c>
      <c r="E995" t="inlineStr">
        <is>
          <t>STRÖMSUND</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829-2022</t>
        </is>
      </c>
      <c r="B996" s="1" t="n">
        <v>44568</v>
      </c>
      <c r="C996" s="1" t="n">
        <v>46033</v>
      </c>
      <c r="D996" t="inlineStr">
        <is>
          <t>JÄMTLANDS LÄN</t>
        </is>
      </c>
      <c r="E996" t="inlineStr">
        <is>
          <t>STRÖMSUND</t>
        </is>
      </c>
      <c r="G996" t="n">
        <v>2.5</v>
      </c>
      <c r="H996" t="n">
        <v>0</v>
      </c>
      <c r="I996" t="n">
        <v>0</v>
      </c>
      <c r="J996" t="n">
        <v>0</v>
      </c>
      <c r="K996" t="n">
        <v>0</v>
      </c>
      <c r="L996" t="n">
        <v>0</v>
      </c>
      <c r="M996" t="n">
        <v>0</v>
      </c>
      <c r="N996" t="n">
        <v>0</v>
      </c>
      <c r="O996" t="n">
        <v>0</v>
      </c>
      <c r="P996" t="n">
        <v>0</v>
      </c>
      <c r="Q996" t="n">
        <v>0</v>
      </c>
      <c r="R996" s="2" t="inlineStr"/>
    </row>
    <row r="997" ht="15" customHeight="1">
      <c r="A997" t="inlineStr">
        <is>
          <t>A 35278-2023</t>
        </is>
      </c>
      <c r="B997" s="1" t="n">
        <v>45145.95423611111</v>
      </c>
      <c r="C997" s="1" t="n">
        <v>46033</v>
      </c>
      <c r="D997" t="inlineStr">
        <is>
          <t>JÄMTLANDS LÄN</t>
        </is>
      </c>
      <c r="E997" t="inlineStr">
        <is>
          <t>STRÖMSUND</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34179-2024</t>
        </is>
      </c>
      <c r="B998" s="1" t="n">
        <v>45524.44645833333</v>
      </c>
      <c r="C998" s="1" t="n">
        <v>46033</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59358-2023</t>
        </is>
      </c>
      <c r="B999" s="1" t="n">
        <v>45253.68273148148</v>
      </c>
      <c r="C999" s="1" t="n">
        <v>46033</v>
      </c>
      <c r="D999" t="inlineStr">
        <is>
          <t>JÄMTLANDS LÄN</t>
        </is>
      </c>
      <c r="E999" t="inlineStr">
        <is>
          <t>STRÖMSUND</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42493-2025</t>
        </is>
      </c>
      <c r="B1000" s="1" t="n">
        <v>45905.50447916667</v>
      </c>
      <c r="C1000" s="1" t="n">
        <v>46033</v>
      </c>
      <c r="D1000" t="inlineStr">
        <is>
          <t>JÄMTLANDS LÄN</t>
        </is>
      </c>
      <c r="E1000" t="inlineStr">
        <is>
          <t>STRÖMSUND</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26263-2025</t>
        </is>
      </c>
      <c r="B1001" s="1" t="n">
        <v>45805</v>
      </c>
      <c r="C1001" s="1" t="n">
        <v>46033</v>
      </c>
      <c r="D1001" t="inlineStr">
        <is>
          <t>JÄMTLANDS LÄN</t>
        </is>
      </c>
      <c r="E1001" t="inlineStr">
        <is>
          <t>STRÖMSUND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2109-2024</t>
        </is>
      </c>
      <c r="B1002" s="1" t="n">
        <v>45309</v>
      </c>
      <c r="C1002" s="1" t="n">
        <v>46033</v>
      </c>
      <c r="D1002" t="inlineStr">
        <is>
          <t>JÄMTLANDS LÄN</t>
        </is>
      </c>
      <c r="E1002" t="inlineStr">
        <is>
          <t>STRÖMSUND</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9678-2023</t>
        </is>
      </c>
      <c r="B1003" s="1" t="n">
        <v>44984</v>
      </c>
      <c r="C1003" s="1" t="n">
        <v>46033</v>
      </c>
      <c r="D1003" t="inlineStr">
        <is>
          <t>JÄMTLANDS LÄN</t>
        </is>
      </c>
      <c r="E1003" t="inlineStr">
        <is>
          <t>STRÖMSUND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6879-2025</t>
        </is>
      </c>
      <c r="B1004" s="1" t="n">
        <v>45701.34490740741</v>
      </c>
      <c r="C1004" s="1" t="n">
        <v>46033</v>
      </c>
      <c r="D1004" t="inlineStr">
        <is>
          <t>JÄMTLANDS LÄN</t>
        </is>
      </c>
      <c r="E1004" t="inlineStr">
        <is>
          <t>STRÖMSUND</t>
        </is>
      </c>
      <c r="F1004" t="inlineStr">
        <is>
          <t>SCA</t>
        </is>
      </c>
      <c r="G1004" t="n">
        <v>21.3</v>
      </c>
      <c r="H1004" t="n">
        <v>0</v>
      </c>
      <c r="I1004" t="n">
        <v>0</v>
      </c>
      <c r="J1004" t="n">
        <v>0</v>
      </c>
      <c r="K1004" t="n">
        <v>0</v>
      </c>
      <c r="L1004" t="n">
        <v>0</v>
      </c>
      <c r="M1004" t="n">
        <v>0</v>
      </c>
      <c r="N1004" t="n">
        <v>0</v>
      </c>
      <c r="O1004" t="n">
        <v>0</v>
      </c>
      <c r="P1004" t="n">
        <v>0</v>
      </c>
      <c r="Q1004" t="n">
        <v>0</v>
      </c>
      <c r="R1004" s="2" t="inlineStr"/>
    </row>
    <row r="1005" ht="15" customHeight="1">
      <c r="A1005" t="inlineStr">
        <is>
          <t>A 59730-2025</t>
        </is>
      </c>
      <c r="B1005" s="1" t="n">
        <v>45992.56011574074</v>
      </c>
      <c r="C1005" s="1" t="n">
        <v>46033</v>
      </c>
      <c r="D1005" t="inlineStr">
        <is>
          <t>JÄMTLANDS LÄN</t>
        </is>
      </c>
      <c r="E1005" t="inlineStr">
        <is>
          <t>STRÖMSUND</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26498-2025</t>
        </is>
      </c>
      <c r="B1006" s="1" t="n">
        <v>45807.51077546296</v>
      </c>
      <c r="C1006" s="1" t="n">
        <v>46033</v>
      </c>
      <c r="D1006" t="inlineStr">
        <is>
          <t>JÄMTLANDS LÄN</t>
        </is>
      </c>
      <c r="E1006" t="inlineStr">
        <is>
          <t>STRÖMSUND</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26499-2025</t>
        </is>
      </c>
      <c r="B1007" s="1" t="n">
        <v>45807.5109837963</v>
      </c>
      <c r="C1007" s="1" t="n">
        <v>46033</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22003-2025</t>
        </is>
      </c>
      <c r="B1008" s="1" t="n">
        <v>45784</v>
      </c>
      <c r="C1008" s="1" t="n">
        <v>46033</v>
      </c>
      <c r="D1008" t="inlineStr">
        <is>
          <t>JÄMTLANDS LÄN</t>
        </is>
      </c>
      <c r="E1008" t="inlineStr">
        <is>
          <t>STRÖMSUND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42523-2025</t>
        </is>
      </c>
      <c r="B1009" s="1" t="n">
        <v>45905.55248842593</v>
      </c>
      <c r="C1009" s="1" t="n">
        <v>46033</v>
      </c>
      <c r="D1009" t="inlineStr">
        <is>
          <t>JÄMTLANDS LÄN</t>
        </is>
      </c>
      <c r="E1009" t="inlineStr">
        <is>
          <t>STRÖMSUND</t>
        </is>
      </c>
      <c r="F1009" t="inlineStr">
        <is>
          <t>SCA</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42154-2025</t>
        </is>
      </c>
      <c r="B1010" s="1" t="n">
        <v>45904.39456018519</v>
      </c>
      <c r="C1010" s="1" t="n">
        <v>46033</v>
      </c>
      <c r="D1010" t="inlineStr">
        <is>
          <t>JÄMTLANDS LÄN</t>
        </is>
      </c>
      <c r="E1010" t="inlineStr">
        <is>
          <t>STRÖMSUND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8326-2025</t>
        </is>
      </c>
      <c r="B1011" s="1" t="n">
        <v>45708.6365162037</v>
      </c>
      <c r="C1011" s="1" t="n">
        <v>46033</v>
      </c>
      <c r="D1011" t="inlineStr">
        <is>
          <t>JÄMTLANDS LÄN</t>
        </is>
      </c>
      <c r="E1011" t="inlineStr">
        <is>
          <t>STRÖMSUND</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50856-2025</t>
        </is>
      </c>
      <c r="B1012" s="1" t="n">
        <v>45946.5902662037</v>
      </c>
      <c r="C1012" s="1" t="n">
        <v>46033</v>
      </c>
      <c r="D1012" t="inlineStr">
        <is>
          <t>JÄMTLANDS LÄN</t>
        </is>
      </c>
      <c r="E1012" t="inlineStr">
        <is>
          <t>STRÖMSUND</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13590-2024</t>
        </is>
      </c>
      <c r="B1013" s="1" t="n">
        <v>45389</v>
      </c>
      <c r="C1013" s="1" t="n">
        <v>46033</v>
      </c>
      <c r="D1013" t="inlineStr">
        <is>
          <t>JÄMTLANDS LÄN</t>
        </is>
      </c>
      <c r="E1013" t="inlineStr">
        <is>
          <t>STRÖMSUND</t>
        </is>
      </c>
      <c r="F1013" t="inlineStr">
        <is>
          <t>SCA</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26375-2025</t>
        </is>
      </c>
      <c r="B1014" s="1" t="n">
        <v>45806.4275462963</v>
      </c>
      <c r="C1014" s="1" t="n">
        <v>46033</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40109-2023</t>
        </is>
      </c>
      <c r="B1015" s="1" t="n">
        <v>45168</v>
      </c>
      <c r="C1015" s="1" t="n">
        <v>46033</v>
      </c>
      <c r="D1015" t="inlineStr">
        <is>
          <t>JÄMTLANDS LÄN</t>
        </is>
      </c>
      <c r="E1015" t="inlineStr">
        <is>
          <t>STRÖMSUND</t>
        </is>
      </c>
      <c r="F1015" t="inlineStr">
        <is>
          <t>SCA</t>
        </is>
      </c>
      <c r="G1015" t="n">
        <v>55.1</v>
      </c>
      <c r="H1015" t="n">
        <v>0</v>
      </c>
      <c r="I1015" t="n">
        <v>0</v>
      </c>
      <c r="J1015" t="n">
        <v>0</v>
      </c>
      <c r="K1015" t="n">
        <v>0</v>
      </c>
      <c r="L1015" t="n">
        <v>0</v>
      </c>
      <c r="M1015" t="n">
        <v>0</v>
      </c>
      <c r="N1015" t="n">
        <v>0</v>
      </c>
      <c r="O1015" t="n">
        <v>0</v>
      </c>
      <c r="P1015" t="n">
        <v>0</v>
      </c>
      <c r="Q1015" t="n">
        <v>0</v>
      </c>
      <c r="R1015" s="2" t="inlineStr"/>
    </row>
    <row r="1016" ht="15" customHeight="1">
      <c r="A1016" t="inlineStr">
        <is>
          <t>A 48917-2024</t>
        </is>
      </c>
      <c r="B1016" s="1" t="n">
        <v>45594.36982638889</v>
      </c>
      <c r="C1016" s="1" t="n">
        <v>46033</v>
      </c>
      <c r="D1016" t="inlineStr">
        <is>
          <t>JÄMTLANDS LÄN</t>
        </is>
      </c>
      <c r="E1016" t="inlineStr">
        <is>
          <t>STRÖMSUND</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42169-2025</t>
        </is>
      </c>
      <c r="B1017" s="1" t="n">
        <v>45904.42746527777</v>
      </c>
      <c r="C1017" s="1" t="n">
        <v>46033</v>
      </c>
      <c r="D1017" t="inlineStr">
        <is>
          <t>JÄMTLANDS LÄN</t>
        </is>
      </c>
      <c r="E1017" t="inlineStr">
        <is>
          <t>STRÖMSUND</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57278-2022</t>
        </is>
      </c>
      <c r="B1018" s="1" t="n">
        <v>44895.9491550926</v>
      </c>
      <c r="C1018" s="1" t="n">
        <v>46033</v>
      </c>
      <c r="D1018" t="inlineStr">
        <is>
          <t>JÄMTLANDS LÄN</t>
        </is>
      </c>
      <c r="E1018" t="inlineStr">
        <is>
          <t>STRÖMSUND</t>
        </is>
      </c>
      <c r="F1018" t="inlineStr">
        <is>
          <t>SCA</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17435-2024</t>
        </is>
      </c>
      <c r="B1019" s="1" t="n">
        <v>45415.33664351852</v>
      </c>
      <c r="C1019" s="1" t="n">
        <v>46033</v>
      </c>
      <c r="D1019" t="inlineStr">
        <is>
          <t>JÄMTLANDS LÄN</t>
        </is>
      </c>
      <c r="E1019" t="inlineStr">
        <is>
          <t>STRÖMSUND</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51450-2022</t>
        </is>
      </c>
      <c r="B1020" s="1" t="n">
        <v>44869.5025</v>
      </c>
      <c r="C1020" s="1" t="n">
        <v>46033</v>
      </c>
      <c r="D1020" t="inlineStr">
        <is>
          <t>JÄMTLANDS LÄN</t>
        </is>
      </c>
      <c r="E1020" t="inlineStr">
        <is>
          <t>STRÖMSUND</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14928-2025</t>
        </is>
      </c>
      <c r="B1021" s="1" t="n">
        <v>45743.55309027778</v>
      </c>
      <c r="C1021" s="1" t="n">
        <v>46033</v>
      </c>
      <c r="D1021" t="inlineStr">
        <is>
          <t>JÄMTLANDS LÄN</t>
        </is>
      </c>
      <c r="E1021" t="inlineStr">
        <is>
          <t>STRÖMSUND</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6894-2024</t>
        </is>
      </c>
      <c r="B1022" s="1" t="n">
        <v>45342.92760416667</v>
      </c>
      <c r="C1022" s="1" t="n">
        <v>46033</v>
      </c>
      <c r="D1022" t="inlineStr">
        <is>
          <t>JÄMTLANDS LÄN</t>
        </is>
      </c>
      <c r="E1022" t="inlineStr">
        <is>
          <t>STRÖMSUND</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59714-2025</t>
        </is>
      </c>
      <c r="B1023" s="1" t="n">
        <v>45992.53175925926</v>
      </c>
      <c r="C1023" s="1" t="n">
        <v>46033</v>
      </c>
      <c r="D1023" t="inlineStr">
        <is>
          <t>JÄMTLANDS LÄN</t>
        </is>
      </c>
      <c r="E1023" t="inlineStr">
        <is>
          <t>STRÖMSUND</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59715-2025</t>
        </is>
      </c>
      <c r="B1024" s="1" t="n">
        <v>45992.53178240741</v>
      </c>
      <c r="C1024" s="1" t="n">
        <v>46033</v>
      </c>
      <c r="D1024" t="inlineStr">
        <is>
          <t>JÄMTLANDS LÄN</t>
        </is>
      </c>
      <c r="E1024" t="inlineStr">
        <is>
          <t>STRÖMSUND</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26650-2025</t>
        </is>
      </c>
      <c r="B1025" s="1" t="n">
        <v>45810.38618055556</v>
      </c>
      <c r="C1025" s="1" t="n">
        <v>46033</v>
      </c>
      <c r="D1025" t="inlineStr">
        <is>
          <t>JÄMTLANDS LÄN</t>
        </is>
      </c>
      <c r="E1025" t="inlineStr">
        <is>
          <t>STRÖMSUND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6202-2022</t>
        </is>
      </c>
      <c r="B1026" s="1" t="n">
        <v>44600</v>
      </c>
      <c r="C1026" s="1" t="n">
        <v>46033</v>
      </c>
      <c r="D1026" t="inlineStr">
        <is>
          <t>JÄMTLANDS LÄN</t>
        </is>
      </c>
      <c r="E1026" t="inlineStr">
        <is>
          <t>STRÖMSUND</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48543-2022</t>
        </is>
      </c>
      <c r="B1027" s="1" t="n">
        <v>44858.95497685186</v>
      </c>
      <c r="C1027" s="1" t="n">
        <v>46033</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34920-2022</t>
        </is>
      </c>
      <c r="B1028" s="1" t="n">
        <v>44796</v>
      </c>
      <c r="C1028" s="1" t="n">
        <v>46033</v>
      </c>
      <c r="D1028" t="inlineStr">
        <is>
          <t>JÄMTLANDS LÄN</t>
        </is>
      </c>
      <c r="E1028" t="inlineStr">
        <is>
          <t>STRÖMSUND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6883-2025</t>
        </is>
      </c>
      <c r="B1029" s="1" t="n">
        <v>45701.34560185186</v>
      </c>
      <c r="C1029" s="1" t="n">
        <v>46033</v>
      </c>
      <c r="D1029" t="inlineStr">
        <is>
          <t>JÄMTLANDS LÄN</t>
        </is>
      </c>
      <c r="E1029" t="inlineStr">
        <is>
          <t>STRÖMSUND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27276-2024</t>
        </is>
      </c>
      <c r="B1030" s="1" t="n">
        <v>45471.92549768519</v>
      </c>
      <c r="C1030" s="1" t="n">
        <v>46033</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26939-2025</t>
        </is>
      </c>
      <c r="B1031" s="1" t="n">
        <v>45811.41568287037</v>
      </c>
      <c r="C1031" s="1" t="n">
        <v>46033</v>
      </c>
      <c r="D1031" t="inlineStr">
        <is>
          <t>JÄMTLANDS LÄN</t>
        </is>
      </c>
      <c r="E1031" t="inlineStr">
        <is>
          <t>STRÖMSUND</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35423-2024</t>
        </is>
      </c>
      <c r="B1032" s="1" t="n">
        <v>45531.4108912037</v>
      </c>
      <c r="C1032" s="1" t="n">
        <v>46033</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26773-2025</t>
        </is>
      </c>
      <c r="B1033" s="1" t="n">
        <v>45810.57366898148</v>
      </c>
      <c r="C1033" s="1" t="n">
        <v>46033</v>
      </c>
      <c r="D1033" t="inlineStr">
        <is>
          <t>JÄMTLANDS LÄN</t>
        </is>
      </c>
      <c r="E1033" t="inlineStr">
        <is>
          <t>STRÖMSUND</t>
        </is>
      </c>
      <c r="F1033" t="inlineStr">
        <is>
          <t>SCA</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60848-2023</t>
        </is>
      </c>
      <c r="B1034" s="1" t="n">
        <v>45260.92621527778</v>
      </c>
      <c r="C1034" s="1" t="n">
        <v>46033</v>
      </c>
      <c r="D1034" t="inlineStr">
        <is>
          <t>JÄMTLANDS LÄN</t>
        </is>
      </c>
      <c r="E1034" t="inlineStr">
        <is>
          <t>STRÖMSUND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21192-2022</t>
        </is>
      </c>
      <c r="B1035" s="1" t="n">
        <v>44704.94199074074</v>
      </c>
      <c r="C1035" s="1" t="n">
        <v>46033</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32107-2024</t>
        </is>
      </c>
      <c r="B1036" s="1" t="n">
        <v>45511</v>
      </c>
      <c r="C1036" s="1" t="n">
        <v>46033</v>
      </c>
      <c r="D1036" t="inlineStr">
        <is>
          <t>JÄMTLANDS LÄN</t>
        </is>
      </c>
      <c r="E1036" t="inlineStr">
        <is>
          <t>STRÖMSUND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19788-2025</t>
        </is>
      </c>
      <c r="B1037" s="1" t="n">
        <v>45771.44377314814</v>
      </c>
      <c r="C1037" s="1" t="n">
        <v>46033</v>
      </c>
      <c r="D1037" t="inlineStr">
        <is>
          <t>JÄMTLANDS LÄN</t>
        </is>
      </c>
      <c r="E1037" t="inlineStr">
        <is>
          <t>STRÖMSUND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22745-2023</t>
        </is>
      </c>
      <c r="B1038" s="1" t="n">
        <v>45071.94046296296</v>
      </c>
      <c r="C1038" s="1" t="n">
        <v>46033</v>
      </c>
      <c r="D1038" t="inlineStr">
        <is>
          <t>JÄMTLANDS LÄN</t>
        </is>
      </c>
      <c r="E1038" t="inlineStr">
        <is>
          <t>STRÖMSUND</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1913-2025</t>
        </is>
      </c>
      <c r="B1039" s="1" t="n">
        <v>45671.65716435185</v>
      </c>
      <c r="C1039" s="1" t="n">
        <v>46033</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53019-2022</t>
        </is>
      </c>
      <c r="B1040" s="1" t="n">
        <v>44875</v>
      </c>
      <c r="C1040" s="1" t="n">
        <v>46033</v>
      </c>
      <c r="D1040" t="inlineStr">
        <is>
          <t>JÄMTLANDS LÄN</t>
        </is>
      </c>
      <c r="E1040" t="inlineStr">
        <is>
          <t>STRÖMSUND</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43166-2025</t>
        </is>
      </c>
      <c r="B1041" s="1" t="n">
        <v>45909</v>
      </c>
      <c r="C1041" s="1" t="n">
        <v>46033</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26680-2025</t>
        </is>
      </c>
      <c r="B1042" s="1" t="n">
        <v>45810</v>
      </c>
      <c r="C1042" s="1" t="n">
        <v>46033</v>
      </c>
      <c r="D1042" t="inlineStr">
        <is>
          <t>JÄMTLANDS LÄN</t>
        </is>
      </c>
      <c r="E1042" t="inlineStr">
        <is>
          <t>STRÖMSUND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58179-2022</t>
        </is>
      </c>
      <c r="B1043" s="1" t="n">
        <v>44900</v>
      </c>
      <c r="C1043" s="1" t="n">
        <v>46033</v>
      </c>
      <c r="D1043" t="inlineStr">
        <is>
          <t>JÄMTLANDS LÄN</t>
        </is>
      </c>
      <c r="E1043" t="inlineStr">
        <is>
          <t>STRÖMSUND</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26660-2023</t>
        </is>
      </c>
      <c r="B1044" s="1" t="n">
        <v>45092</v>
      </c>
      <c r="C1044" s="1" t="n">
        <v>46033</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42662-2025</t>
        </is>
      </c>
      <c r="B1045" s="1" t="n">
        <v>45907.61496527777</v>
      </c>
      <c r="C1045" s="1" t="n">
        <v>46033</v>
      </c>
      <c r="D1045" t="inlineStr">
        <is>
          <t>JÄMTLANDS LÄN</t>
        </is>
      </c>
      <c r="E1045" t="inlineStr">
        <is>
          <t>STRÖMSUND</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10927-2025</t>
        </is>
      </c>
      <c r="B1046" s="1" t="n">
        <v>45722.870625</v>
      </c>
      <c r="C1046" s="1" t="n">
        <v>46033</v>
      </c>
      <c r="D1046" t="inlineStr">
        <is>
          <t>JÄMTLANDS LÄN</t>
        </is>
      </c>
      <c r="E1046" t="inlineStr">
        <is>
          <t>STRÖMSUND</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51540-2025</t>
        </is>
      </c>
      <c r="B1047" s="1" t="n">
        <v>45950.69952546297</v>
      </c>
      <c r="C1047" s="1" t="n">
        <v>46033</v>
      </c>
      <c r="D1047" t="inlineStr">
        <is>
          <t>JÄMTLANDS LÄN</t>
        </is>
      </c>
      <c r="E1047" t="inlineStr">
        <is>
          <t>STRÖMSUND</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42709-2025</t>
        </is>
      </c>
      <c r="B1048" s="1" t="n">
        <v>45908</v>
      </c>
      <c r="C1048" s="1" t="n">
        <v>46033</v>
      </c>
      <c r="D1048" t="inlineStr">
        <is>
          <t>JÄMTLANDS LÄN</t>
        </is>
      </c>
      <c r="E1048" t="inlineStr">
        <is>
          <t>STRÖMSUND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43164-2025</t>
        </is>
      </c>
      <c r="B1049" s="1" t="n">
        <v>45909</v>
      </c>
      <c r="C1049" s="1" t="n">
        <v>46033</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43168-2025</t>
        </is>
      </c>
      <c r="B1050" s="1" t="n">
        <v>45909</v>
      </c>
      <c r="C1050" s="1" t="n">
        <v>46033</v>
      </c>
      <c r="D1050" t="inlineStr">
        <is>
          <t>JÄMTLANDS LÄN</t>
        </is>
      </c>
      <c r="E1050" t="inlineStr">
        <is>
          <t>STRÖMSUND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1429-2025</t>
        </is>
      </c>
      <c r="B1051" s="1" t="n">
        <v>45669.37052083333</v>
      </c>
      <c r="C1051" s="1" t="n">
        <v>46033</v>
      </c>
      <c r="D1051" t="inlineStr">
        <is>
          <t>JÄMTLANDS LÄN</t>
        </is>
      </c>
      <c r="E1051" t="inlineStr">
        <is>
          <t>STRÖMSUND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1548-2025</t>
        </is>
      </c>
      <c r="B1052" s="1" t="n">
        <v>45670</v>
      </c>
      <c r="C1052" s="1" t="n">
        <v>46033</v>
      </c>
      <c r="D1052" t="inlineStr">
        <is>
          <t>JÄMTLANDS LÄN</t>
        </is>
      </c>
      <c r="E1052" t="inlineStr">
        <is>
          <t>STRÖMSUND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43558-2023</t>
        </is>
      </c>
      <c r="B1053" s="1" t="n">
        <v>45181</v>
      </c>
      <c r="C1053" s="1" t="n">
        <v>46033</v>
      </c>
      <c r="D1053" t="inlineStr">
        <is>
          <t>JÄMTLANDS LÄN</t>
        </is>
      </c>
      <c r="E1053" t="inlineStr">
        <is>
          <t>STRÖMSUND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42721-2025</t>
        </is>
      </c>
      <c r="B1054" s="1" t="n">
        <v>45908</v>
      </c>
      <c r="C1054" s="1" t="n">
        <v>46033</v>
      </c>
      <c r="D1054" t="inlineStr">
        <is>
          <t>JÄMTLANDS LÄN</t>
        </is>
      </c>
      <c r="E1054" t="inlineStr">
        <is>
          <t>STRÖMSUND</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42949-2025</t>
        </is>
      </c>
      <c r="B1055" s="1" t="n">
        <v>45908</v>
      </c>
      <c r="C1055" s="1" t="n">
        <v>46033</v>
      </c>
      <c r="D1055" t="inlineStr">
        <is>
          <t>JÄMTLANDS LÄN</t>
        </is>
      </c>
      <c r="E1055" t="inlineStr">
        <is>
          <t>STRÖMSUND</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51694-2024</t>
        </is>
      </c>
      <c r="B1056" s="1" t="n">
        <v>45607</v>
      </c>
      <c r="C1056" s="1" t="n">
        <v>46033</v>
      </c>
      <c r="D1056" t="inlineStr">
        <is>
          <t>JÄMTLANDS LÄN</t>
        </is>
      </c>
      <c r="E1056" t="inlineStr">
        <is>
          <t>STRÖMSUND</t>
        </is>
      </c>
      <c r="F1056" t="inlineStr">
        <is>
          <t>SCA</t>
        </is>
      </c>
      <c r="G1056" t="n">
        <v>82.7</v>
      </c>
      <c r="H1056" t="n">
        <v>0</v>
      </c>
      <c r="I1056" t="n">
        <v>0</v>
      </c>
      <c r="J1056" t="n">
        <v>0</v>
      </c>
      <c r="K1056" t="n">
        <v>0</v>
      </c>
      <c r="L1056" t="n">
        <v>0</v>
      </c>
      <c r="M1056" t="n">
        <v>0</v>
      </c>
      <c r="N1056" t="n">
        <v>0</v>
      </c>
      <c r="O1056" t="n">
        <v>0</v>
      </c>
      <c r="P1056" t="n">
        <v>0</v>
      </c>
      <c r="Q1056" t="n">
        <v>0</v>
      </c>
      <c r="R1056" s="2" t="inlineStr"/>
    </row>
    <row r="1057" ht="15" customHeight="1">
      <c r="A1057" t="inlineStr">
        <is>
          <t>A 27308-2025</t>
        </is>
      </c>
      <c r="B1057" s="1" t="n">
        <v>45812.57364583333</v>
      </c>
      <c r="C1057" s="1" t="n">
        <v>46033</v>
      </c>
      <c r="D1057" t="inlineStr">
        <is>
          <t>JÄMTLANDS LÄN</t>
        </is>
      </c>
      <c r="E1057" t="inlineStr">
        <is>
          <t>STRÖMSUND</t>
        </is>
      </c>
      <c r="F1057" t="inlineStr">
        <is>
          <t>SCA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43481-2025</t>
        </is>
      </c>
      <c r="B1058" s="1" t="n">
        <v>45911.50042824074</v>
      </c>
      <c r="C1058" s="1" t="n">
        <v>46033</v>
      </c>
      <c r="D1058" t="inlineStr">
        <is>
          <t>JÄMTLANDS LÄN</t>
        </is>
      </c>
      <c r="E1058" t="inlineStr">
        <is>
          <t>STRÖMSUND</t>
        </is>
      </c>
      <c r="F1058" t="inlineStr">
        <is>
          <t>Holmen skog AB</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27465-2025</t>
        </is>
      </c>
      <c r="B1059" s="1" t="n">
        <v>45813.34636574074</v>
      </c>
      <c r="C1059" s="1" t="n">
        <v>46033</v>
      </c>
      <c r="D1059" t="inlineStr">
        <is>
          <t>JÄMTLANDS LÄN</t>
        </is>
      </c>
      <c r="E1059" t="inlineStr">
        <is>
          <t>STRÖMSUND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59644-2025</t>
        </is>
      </c>
      <c r="B1060" s="1" t="n">
        <v>45992.42762731481</v>
      </c>
      <c r="C1060" s="1" t="n">
        <v>46033</v>
      </c>
      <c r="D1060" t="inlineStr">
        <is>
          <t>JÄMTLANDS LÄN</t>
        </is>
      </c>
      <c r="E1060" t="inlineStr">
        <is>
          <t>STRÖMSUND</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43521-2025</t>
        </is>
      </c>
      <c r="B1061" s="1" t="n">
        <v>45911.57503472222</v>
      </c>
      <c r="C1061" s="1" t="n">
        <v>46033</v>
      </c>
      <c r="D1061" t="inlineStr">
        <is>
          <t>JÄMTLANDS LÄN</t>
        </is>
      </c>
      <c r="E1061" t="inlineStr">
        <is>
          <t>STRÖMSUND</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43242-2025</t>
        </is>
      </c>
      <c r="B1062" s="1" t="n">
        <v>45910.53799768518</v>
      </c>
      <c r="C1062" s="1" t="n">
        <v>46033</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43247-2025</t>
        </is>
      </c>
      <c r="B1063" s="1" t="n">
        <v>45910.54983796296</v>
      </c>
      <c r="C1063" s="1" t="n">
        <v>46033</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473-2025</t>
        </is>
      </c>
      <c r="B1064" s="1" t="n">
        <v>45664</v>
      </c>
      <c r="C1064" s="1" t="n">
        <v>46033</v>
      </c>
      <c r="D1064" t="inlineStr">
        <is>
          <t>JÄMTLANDS LÄN</t>
        </is>
      </c>
      <c r="E1064" t="inlineStr">
        <is>
          <t>STRÖMSUND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27649-2025</t>
        </is>
      </c>
      <c r="B1065" s="1" t="n">
        <v>45813.59481481482</v>
      </c>
      <c r="C1065" s="1" t="n">
        <v>46033</v>
      </c>
      <c r="D1065" t="inlineStr">
        <is>
          <t>JÄMTLANDS LÄN</t>
        </is>
      </c>
      <c r="E1065" t="inlineStr">
        <is>
          <t>STRÖMSUND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27166-2025</t>
        </is>
      </c>
      <c r="B1066" s="1" t="n">
        <v>45812.34453703704</v>
      </c>
      <c r="C1066" s="1" t="n">
        <v>46033</v>
      </c>
      <c r="D1066" t="inlineStr">
        <is>
          <t>JÄMTLANDS LÄN</t>
        </is>
      </c>
      <c r="E1066" t="inlineStr">
        <is>
          <t>STRÖMSUND</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27170-2025</t>
        </is>
      </c>
      <c r="B1067" s="1" t="n">
        <v>45812.34488425926</v>
      </c>
      <c r="C1067" s="1" t="n">
        <v>46033</v>
      </c>
      <c r="D1067" t="inlineStr">
        <is>
          <t>JÄMTLANDS LÄN</t>
        </is>
      </c>
      <c r="E1067" t="inlineStr">
        <is>
          <t>STRÖMSUND</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7999-2025</t>
        </is>
      </c>
      <c r="B1068" s="1" t="n">
        <v>45706</v>
      </c>
      <c r="C1068" s="1" t="n">
        <v>46033</v>
      </c>
      <c r="D1068" t="inlineStr">
        <is>
          <t>JÄMTLANDS LÄN</t>
        </is>
      </c>
      <c r="E1068" t="inlineStr">
        <is>
          <t>STRÖMSUND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43563-2025</t>
        </is>
      </c>
      <c r="B1069" s="1" t="n">
        <v>45911.63133101852</v>
      </c>
      <c r="C1069" s="1" t="n">
        <v>46033</v>
      </c>
      <c r="D1069" t="inlineStr">
        <is>
          <t>JÄMTLANDS LÄN</t>
        </is>
      </c>
      <c r="E1069" t="inlineStr">
        <is>
          <t>STRÖMSUND</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27196-2025</t>
        </is>
      </c>
      <c r="B1070" s="1" t="n">
        <v>45812.38579861111</v>
      </c>
      <c r="C1070" s="1" t="n">
        <v>46033</v>
      </c>
      <c r="D1070" t="inlineStr">
        <is>
          <t>JÄMTLANDS LÄN</t>
        </is>
      </c>
      <c r="E1070" t="inlineStr">
        <is>
          <t>STRÖMSUND</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43320-2025</t>
        </is>
      </c>
      <c r="B1071" s="1" t="n">
        <v>45910.65835648148</v>
      </c>
      <c r="C1071" s="1" t="n">
        <v>46033</v>
      </c>
      <c r="D1071" t="inlineStr">
        <is>
          <t>JÄMTLANDS LÄN</t>
        </is>
      </c>
      <c r="E1071" t="inlineStr">
        <is>
          <t>STRÖMSUND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43613-2025</t>
        </is>
      </c>
      <c r="B1072" s="1" t="n">
        <v>45911.67755787037</v>
      </c>
      <c r="C1072" s="1" t="n">
        <v>46033</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17105-2024</t>
        </is>
      </c>
      <c r="B1073" s="1" t="n">
        <v>45412</v>
      </c>
      <c r="C1073" s="1" t="n">
        <v>46033</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27661-2025</t>
        </is>
      </c>
      <c r="B1074" s="1" t="n">
        <v>45813.61508101852</v>
      </c>
      <c r="C1074" s="1" t="n">
        <v>46033</v>
      </c>
      <c r="D1074" t="inlineStr">
        <is>
          <t>JÄMTLANDS LÄN</t>
        </is>
      </c>
      <c r="E1074" t="inlineStr">
        <is>
          <t>STRÖMSUND</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43388-2025</t>
        </is>
      </c>
      <c r="B1075" s="1" t="n">
        <v>45911.36547453704</v>
      </c>
      <c r="C1075" s="1" t="n">
        <v>46033</v>
      </c>
      <c r="D1075" t="inlineStr">
        <is>
          <t>JÄMTLANDS LÄN</t>
        </is>
      </c>
      <c r="E1075" t="inlineStr">
        <is>
          <t>STRÖMSUND</t>
        </is>
      </c>
      <c r="F1075" t="inlineStr">
        <is>
          <t>SCA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43357-2025</t>
        </is>
      </c>
      <c r="B1076" s="1" t="n">
        <v>45910</v>
      </c>
      <c r="C1076" s="1" t="n">
        <v>46033</v>
      </c>
      <c r="D1076" t="inlineStr">
        <is>
          <t>JÄMTLANDS LÄN</t>
        </is>
      </c>
      <c r="E1076" t="inlineStr">
        <is>
          <t>STRÖMSUND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19826-2023</t>
        </is>
      </c>
      <c r="B1077" s="1" t="n">
        <v>45051.94119212963</v>
      </c>
      <c r="C1077" s="1" t="n">
        <v>46033</v>
      </c>
      <c r="D1077" t="inlineStr">
        <is>
          <t>JÄMTLANDS LÄN</t>
        </is>
      </c>
      <c r="E1077" t="inlineStr">
        <is>
          <t>STRÖMSUND</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43301-2025</t>
        </is>
      </c>
      <c r="B1078" s="1" t="n">
        <v>45910.63481481482</v>
      </c>
      <c r="C1078" s="1" t="n">
        <v>46033</v>
      </c>
      <c r="D1078" t="inlineStr">
        <is>
          <t>JÄMTLANDS LÄN</t>
        </is>
      </c>
      <c r="E1078" t="inlineStr">
        <is>
          <t>STRÖMSUND</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43288-2025</t>
        </is>
      </c>
      <c r="B1079" s="1" t="n">
        <v>45910.61513888889</v>
      </c>
      <c r="C1079" s="1" t="n">
        <v>46033</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43290-2025</t>
        </is>
      </c>
      <c r="B1080" s="1" t="n">
        <v>45910.61677083333</v>
      </c>
      <c r="C1080" s="1" t="n">
        <v>46033</v>
      </c>
      <c r="D1080" t="inlineStr">
        <is>
          <t>JÄMTLANDS LÄN</t>
        </is>
      </c>
      <c r="E1080" t="inlineStr">
        <is>
          <t>STRÖMSUND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52850-2023</t>
        </is>
      </c>
      <c r="B1081" s="1" t="n">
        <v>45226.43943287037</v>
      </c>
      <c r="C1081" s="1" t="n">
        <v>46033</v>
      </c>
      <c r="D1081" t="inlineStr">
        <is>
          <t>JÄMTLANDS LÄN</t>
        </is>
      </c>
      <c r="E1081" t="inlineStr">
        <is>
          <t>STRÖMSUND</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43500-2025</t>
        </is>
      </c>
      <c r="B1082" s="1" t="n">
        <v>45911.53392361111</v>
      </c>
      <c r="C1082" s="1" t="n">
        <v>46033</v>
      </c>
      <c r="D1082" t="inlineStr">
        <is>
          <t>JÄMTLANDS LÄN</t>
        </is>
      </c>
      <c r="E1082" t="inlineStr">
        <is>
          <t>STRÖMSUND</t>
        </is>
      </c>
      <c r="F1082" t="inlineStr">
        <is>
          <t>Holmen skog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52059-2025</t>
        </is>
      </c>
      <c r="B1083" s="1" t="n">
        <v>45952.6362037037</v>
      </c>
      <c r="C1083" s="1" t="n">
        <v>46033</v>
      </c>
      <c r="D1083" t="inlineStr">
        <is>
          <t>JÄMTLANDS LÄN</t>
        </is>
      </c>
      <c r="E1083" t="inlineStr">
        <is>
          <t>STRÖMSUND</t>
        </is>
      </c>
      <c r="F1083" t="inlineStr">
        <is>
          <t>SCA</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27646-2025</t>
        </is>
      </c>
      <c r="B1084" s="1" t="n">
        <v>45813.59443287037</v>
      </c>
      <c r="C1084" s="1" t="n">
        <v>46033</v>
      </c>
      <c r="D1084" t="inlineStr">
        <is>
          <t>JÄMTLANDS LÄN</t>
        </is>
      </c>
      <c r="E1084" t="inlineStr">
        <is>
          <t>STRÖMSUND</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27648-2025</t>
        </is>
      </c>
      <c r="B1085" s="1" t="n">
        <v>45813.59472222222</v>
      </c>
      <c r="C1085" s="1" t="n">
        <v>46033</v>
      </c>
      <c r="D1085" t="inlineStr">
        <is>
          <t>JÄMTLANDS LÄN</t>
        </is>
      </c>
      <c r="E1085" t="inlineStr">
        <is>
          <t>STRÖMSUND</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27399-2025</t>
        </is>
      </c>
      <c r="B1086" s="1" t="n">
        <v>45812.69826388889</v>
      </c>
      <c r="C1086" s="1" t="n">
        <v>46033</v>
      </c>
      <c r="D1086" t="inlineStr">
        <is>
          <t>JÄMTLANDS LÄN</t>
        </is>
      </c>
      <c r="E1086" t="inlineStr">
        <is>
          <t>STRÖMSUND</t>
        </is>
      </c>
      <c r="F1086" t="inlineStr">
        <is>
          <t>SCA</t>
        </is>
      </c>
      <c r="G1086" t="n">
        <v>15.8</v>
      </c>
      <c r="H1086" t="n">
        <v>0</v>
      </c>
      <c r="I1086" t="n">
        <v>0</v>
      </c>
      <c r="J1086" t="n">
        <v>0</v>
      </c>
      <c r="K1086" t="n">
        <v>0</v>
      </c>
      <c r="L1086" t="n">
        <v>0</v>
      </c>
      <c r="M1086" t="n">
        <v>0</v>
      </c>
      <c r="N1086" t="n">
        <v>0</v>
      </c>
      <c r="O1086" t="n">
        <v>0</v>
      </c>
      <c r="P1086" t="n">
        <v>0</v>
      </c>
      <c r="Q1086" t="n">
        <v>0</v>
      </c>
      <c r="R1086" s="2" t="inlineStr"/>
    </row>
    <row r="1087" ht="15" customHeight="1">
      <c r="A1087" t="inlineStr">
        <is>
          <t>A 27662-2025</t>
        </is>
      </c>
      <c r="B1087" s="1" t="n">
        <v>45813.61521990741</v>
      </c>
      <c r="C1087" s="1" t="n">
        <v>46033</v>
      </c>
      <c r="D1087" t="inlineStr">
        <is>
          <t>JÄMTLANDS LÄN</t>
        </is>
      </c>
      <c r="E1087" t="inlineStr">
        <is>
          <t>STRÖMSUND</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27692-2025</t>
        </is>
      </c>
      <c r="B1088" s="1" t="n">
        <v>45813.65686342592</v>
      </c>
      <c r="C1088" s="1" t="n">
        <v>46033</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43239-2025</t>
        </is>
      </c>
      <c r="B1089" s="1" t="n">
        <v>45910.52289351852</v>
      </c>
      <c r="C1089" s="1" t="n">
        <v>46033</v>
      </c>
      <c r="D1089" t="inlineStr">
        <is>
          <t>JÄMTLANDS LÄN</t>
        </is>
      </c>
      <c r="E1089" t="inlineStr">
        <is>
          <t>STRÖMSUND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43296-2025</t>
        </is>
      </c>
      <c r="B1090" s="1" t="n">
        <v>45910.62386574074</v>
      </c>
      <c r="C1090" s="1" t="n">
        <v>46033</v>
      </c>
      <c r="D1090" t="inlineStr">
        <is>
          <t>JÄMTLANDS LÄN</t>
        </is>
      </c>
      <c r="E1090" t="inlineStr">
        <is>
          <t>STRÖMSUND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27650-2025</t>
        </is>
      </c>
      <c r="B1091" s="1" t="n">
        <v>45813.59482638889</v>
      </c>
      <c r="C1091" s="1" t="n">
        <v>46033</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27651-2025</t>
        </is>
      </c>
      <c r="B1092" s="1" t="n">
        <v>45813.59488425926</v>
      </c>
      <c r="C1092" s="1" t="n">
        <v>46033</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43363-2025</t>
        </is>
      </c>
      <c r="B1093" s="1" t="n">
        <v>45911.34452546296</v>
      </c>
      <c r="C1093" s="1" t="n">
        <v>46033</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43534-2025</t>
        </is>
      </c>
      <c r="B1094" s="1" t="n">
        <v>45911.59768518519</v>
      </c>
      <c r="C1094" s="1" t="n">
        <v>46033</v>
      </c>
      <c r="D1094" t="inlineStr">
        <is>
          <t>JÄMTLANDS LÄN</t>
        </is>
      </c>
      <c r="E1094" t="inlineStr">
        <is>
          <t>STRÖMSUND</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27691-2025</t>
        </is>
      </c>
      <c r="B1095" s="1" t="n">
        <v>45813.65671296296</v>
      </c>
      <c r="C1095" s="1" t="n">
        <v>46033</v>
      </c>
      <c r="D1095" t="inlineStr">
        <is>
          <t>JÄMTLANDS LÄN</t>
        </is>
      </c>
      <c r="E1095" t="inlineStr">
        <is>
          <t>STRÖMSUND</t>
        </is>
      </c>
      <c r="F1095" t="inlineStr">
        <is>
          <t>SCA</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27570-2025</t>
        </is>
      </c>
      <c r="B1096" s="1" t="n">
        <v>45813.49027777778</v>
      </c>
      <c r="C1096" s="1" t="n">
        <v>46033</v>
      </c>
      <c r="D1096" t="inlineStr">
        <is>
          <t>JÄMTLANDS LÄN</t>
        </is>
      </c>
      <c r="E1096" t="inlineStr">
        <is>
          <t>STRÖMSUND</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52063-2025</t>
        </is>
      </c>
      <c r="B1097" s="1" t="n">
        <v>45952.6369212963</v>
      </c>
      <c r="C1097" s="1" t="n">
        <v>46033</v>
      </c>
      <c r="D1097" t="inlineStr">
        <is>
          <t>JÄMTLANDS LÄN</t>
        </is>
      </c>
      <c r="E1097" t="inlineStr">
        <is>
          <t>STRÖMSUND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32452-2024</t>
        </is>
      </c>
      <c r="B1098" s="1" t="n">
        <v>45512.958125</v>
      </c>
      <c r="C1098" s="1" t="n">
        <v>46033</v>
      </c>
      <c r="D1098" t="inlineStr">
        <is>
          <t>JÄMTLANDS LÄN</t>
        </is>
      </c>
      <c r="E1098" t="inlineStr">
        <is>
          <t>STRÖMSUND</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44037-2025</t>
        </is>
      </c>
      <c r="B1099" s="1" t="n">
        <v>45915.49099537037</v>
      </c>
      <c r="C1099" s="1" t="n">
        <v>46033</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56655-2021</t>
        </is>
      </c>
      <c r="B1100" s="1" t="n">
        <v>44480</v>
      </c>
      <c r="C1100" s="1" t="n">
        <v>46033</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46054-2022</t>
        </is>
      </c>
      <c r="B1101" s="1" t="n">
        <v>44846</v>
      </c>
      <c r="C1101" s="1" t="n">
        <v>46033</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43777-2025</t>
        </is>
      </c>
      <c r="B1102" s="1" t="n">
        <v>45912.51105324074</v>
      </c>
      <c r="C1102" s="1" t="n">
        <v>46033</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7324-2025</t>
        </is>
      </c>
      <c r="B1103" s="1" t="n">
        <v>45702</v>
      </c>
      <c r="C1103" s="1" t="n">
        <v>46033</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39979-2024</t>
        </is>
      </c>
      <c r="B1104" s="1" t="n">
        <v>45553</v>
      </c>
      <c r="C1104" s="1" t="n">
        <v>46033</v>
      </c>
      <c r="D1104" t="inlineStr">
        <is>
          <t>JÄMTLANDS LÄN</t>
        </is>
      </c>
      <c r="E1104" t="inlineStr">
        <is>
          <t>STRÖMSUND</t>
        </is>
      </c>
      <c r="F1104" t="inlineStr">
        <is>
          <t>Kyrkan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44191-2025</t>
        </is>
      </c>
      <c r="B1105" s="1" t="n">
        <v>45915.61539351852</v>
      </c>
      <c r="C1105" s="1" t="n">
        <v>46033</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44193-2025</t>
        </is>
      </c>
      <c r="B1106" s="1" t="n">
        <v>45915.61585648148</v>
      </c>
      <c r="C1106" s="1" t="n">
        <v>46033</v>
      </c>
      <c r="D1106" t="inlineStr">
        <is>
          <t>JÄMTLANDS LÄN</t>
        </is>
      </c>
      <c r="E1106" t="inlineStr">
        <is>
          <t>STRÖMSUND</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27953-2025</t>
        </is>
      </c>
      <c r="B1107" s="1" t="n">
        <v>45817.53171296296</v>
      </c>
      <c r="C1107" s="1" t="n">
        <v>46033</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28000-2025</t>
        </is>
      </c>
      <c r="B1108" s="1" t="n">
        <v>45817.59496527778</v>
      </c>
      <c r="C1108" s="1" t="n">
        <v>46033</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27852-2025</t>
        </is>
      </c>
      <c r="B1109" s="1" t="n">
        <v>45817.40177083333</v>
      </c>
      <c r="C1109" s="1" t="n">
        <v>46033</v>
      </c>
      <c r="D1109" t="inlineStr">
        <is>
          <t>JÄMTLANDS LÄN</t>
        </is>
      </c>
      <c r="E1109" t="inlineStr">
        <is>
          <t>STRÖMSUND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27726-2025</t>
        </is>
      </c>
      <c r="B1110" s="1" t="n">
        <v>45814.51081018519</v>
      </c>
      <c r="C1110" s="1" t="n">
        <v>46033</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60148-2025</t>
        </is>
      </c>
      <c r="B1111" s="1" t="n">
        <v>45994.38572916666</v>
      </c>
      <c r="C1111" s="1" t="n">
        <v>46033</v>
      </c>
      <c r="D1111" t="inlineStr">
        <is>
          <t>JÄMTLANDS LÄN</t>
        </is>
      </c>
      <c r="E1111" t="inlineStr">
        <is>
          <t>STRÖMSUND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2643-2024</t>
        </is>
      </c>
      <c r="B1112" s="1" t="n">
        <v>45314</v>
      </c>
      <c r="C1112" s="1" t="n">
        <v>46033</v>
      </c>
      <c r="D1112" t="inlineStr">
        <is>
          <t>JÄMTLANDS LÄN</t>
        </is>
      </c>
      <c r="E1112" t="inlineStr">
        <is>
          <t>STRÖMSUND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1609-2024</t>
        </is>
      </c>
      <c r="B1113" s="1" t="n">
        <v>45306</v>
      </c>
      <c r="C1113" s="1" t="n">
        <v>46033</v>
      </c>
      <c r="D1113" t="inlineStr">
        <is>
          <t>JÄMTLANDS LÄN</t>
        </is>
      </c>
      <c r="E1113" t="inlineStr">
        <is>
          <t>STRÖMSUND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20505-2024</t>
        </is>
      </c>
      <c r="B1114" s="1" t="n">
        <v>45435.94232638889</v>
      </c>
      <c r="C1114" s="1" t="n">
        <v>46033</v>
      </c>
      <c r="D1114" t="inlineStr">
        <is>
          <t>JÄMTLANDS LÄN</t>
        </is>
      </c>
      <c r="E1114" t="inlineStr">
        <is>
          <t>STRÖMSUND</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28015-2025</t>
        </is>
      </c>
      <c r="B1115" s="1" t="n">
        <v>45817.61491898148</v>
      </c>
      <c r="C1115" s="1" t="n">
        <v>46033</v>
      </c>
      <c r="D1115" t="inlineStr">
        <is>
          <t>JÄMTLANDS LÄN</t>
        </is>
      </c>
      <c r="E1115" t="inlineStr">
        <is>
          <t>STRÖMSUND</t>
        </is>
      </c>
      <c r="F1115" t="inlineStr">
        <is>
          <t>SCA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59360-2023</t>
        </is>
      </c>
      <c r="B1116" s="1" t="n">
        <v>45253.685625</v>
      </c>
      <c r="C1116" s="1" t="n">
        <v>46033</v>
      </c>
      <c r="D1116" t="inlineStr">
        <is>
          <t>JÄMTLANDS LÄN</t>
        </is>
      </c>
      <c r="E1116" t="inlineStr">
        <is>
          <t>STRÖMSUND</t>
        </is>
      </c>
      <c r="F1116" t="inlineStr">
        <is>
          <t>Holmen skog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18770-2024</t>
        </is>
      </c>
      <c r="B1117" s="1" t="n">
        <v>45426</v>
      </c>
      <c r="C1117" s="1" t="n">
        <v>46033</v>
      </c>
      <c r="D1117" t="inlineStr">
        <is>
          <t>JÄMTLANDS LÄN</t>
        </is>
      </c>
      <c r="E1117" t="inlineStr">
        <is>
          <t>STRÖMSUND</t>
        </is>
      </c>
      <c r="F1117" t="inlineStr">
        <is>
          <t>Kyrkan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43722-2025</t>
        </is>
      </c>
      <c r="B1118" s="1" t="n">
        <v>45912.42824074074</v>
      </c>
      <c r="C1118" s="1" t="n">
        <v>46033</v>
      </c>
      <c r="D1118" t="inlineStr">
        <is>
          <t>JÄMTLANDS LÄN</t>
        </is>
      </c>
      <c r="E1118" t="inlineStr">
        <is>
          <t>STRÖMSUND</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28042-2025</t>
        </is>
      </c>
      <c r="B1119" s="1" t="n">
        <v>45817</v>
      </c>
      <c r="C1119" s="1" t="n">
        <v>46033</v>
      </c>
      <c r="D1119" t="inlineStr">
        <is>
          <t>JÄMTLANDS LÄN</t>
        </is>
      </c>
      <c r="E1119" t="inlineStr">
        <is>
          <t>STRÖMSUND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28467-2025</t>
        </is>
      </c>
      <c r="B1120" s="1" t="n">
        <v>45819.42740740741</v>
      </c>
      <c r="C1120" s="1" t="n">
        <v>46033</v>
      </c>
      <c r="D1120" t="inlineStr">
        <is>
          <t>JÄMTLANDS LÄN</t>
        </is>
      </c>
      <c r="E1120" t="inlineStr">
        <is>
          <t>STRÖMSUND</t>
        </is>
      </c>
      <c r="F1120" t="inlineStr">
        <is>
          <t>SCA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52184-2025</t>
        </is>
      </c>
      <c r="B1121" s="1" t="n">
        <v>45953.38594907407</v>
      </c>
      <c r="C1121" s="1" t="n">
        <v>46033</v>
      </c>
      <c r="D1121" t="inlineStr">
        <is>
          <t>JÄMTLANDS LÄN</t>
        </is>
      </c>
      <c r="E1121" t="inlineStr">
        <is>
          <t>STRÖMSUND</t>
        </is>
      </c>
      <c r="F1121" t="inlineStr">
        <is>
          <t>SCA</t>
        </is>
      </c>
      <c r="G1121" t="n">
        <v>18.8</v>
      </c>
      <c r="H1121" t="n">
        <v>0</v>
      </c>
      <c r="I1121" t="n">
        <v>0</v>
      </c>
      <c r="J1121" t="n">
        <v>0</v>
      </c>
      <c r="K1121" t="n">
        <v>0</v>
      </c>
      <c r="L1121" t="n">
        <v>0</v>
      </c>
      <c r="M1121" t="n">
        <v>0</v>
      </c>
      <c r="N1121" t="n">
        <v>0</v>
      </c>
      <c r="O1121" t="n">
        <v>0</v>
      </c>
      <c r="P1121" t="n">
        <v>0</v>
      </c>
      <c r="Q1121" t="n">
        <v>0</v>
      </c>
      <c r="R1121" s="2" t="inlineStr"/>
    </row>
    <row r="1122" ht="15" customHeight="1">
      <c r="A1122" t="inlineStr">
        <is>
          <t>A 44219-2025</t>
        </is>
      </c>
      <c r="B1122" s="1" t="n">
        <v>45915.63640046296</v>
      </c>
      <c r="C1122" s="1" t="n">
        <v>46033</v>
      </c>
      <c r="D1122" t="inlineStr">
        <is>
          <t>JÄMTLANDS LÄN</t>
        </is>
      </c>
      <c r="E1122" t="inlineStr">
        <is>
          <t>STRÖMSUND</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44250-2025</t>
        </is>
      </c>
      <c r="B1123" s="1" t="n">
        <v>45915.69828703703</v>
      </c>
      <c r="C1123" s="1" t="n">
        <v>46033</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28188-2025</t>
        </is>
      </c>
      <c r="B1124" s="1" t="n">
        <v>45818.41302083333</v>
      </c>
      <c r="C1124" s="1" t="n">
        <v>46033</v>
      </c>
      <c r="D1124" t="inlineStr">
        <is>
          <t>JÄMTLANDS LÄN</t>
        </is>
      </c>
      <c r="E1124" t="inlineStr">
        <is>
          <t>STRÖMSUND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28578-2025</t>
        </is>
      </c>
      <c r="B1125" s="1" t="n">
        <v>45819.57326388889</v>
      </c>
      <c r="C1125" s="1" t="n">
        <v>46033</v>
      </c>
      <c r="D1125" t="inlineStr">
        <is>
          <t>JÄMTLANDS LÄN</t>
        </is>
      </c>
      <c r="E1125" t="inlineStr">
        <is>
          <t>STRÖMSUND</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60517-2025</t>
        </is>
      </c>
      <c r="B1126" s="1" t="n">
        <v>45995.63657407407</v>
      </c>
      <c r="C1126" s="1" t="n">
        <v>46033</v>
      </c>
      <c r="D1126" t="inlineStr">
        <is>
          <t>JÄMTLANDS LÄN</t>
        </is>
      </c>
      <c r="E1126" t="inlineStr">
        <is>
          <t>STRÖMSUND</t>
        </is>
      </c>
      <c r="F1126" t="inlineStr">
        <is>
          <t>SCA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44634-2025</t>
        </is>
      </c>
      <c r="B1127" s="1" t="n">
        <v>45917.48998842593</v>
      </c>
      <c r="C1127" s="1" t="n">
        <v>46033</v>
      </c>
      <c r="D1127" t="inlineStr">
        <is>
          <t>JÄMTLANDS LÄN</t>
        </is>
      </c>
      <c r="E1127" t="inlineStr">
        <is>
          <t>STRÖMSUND</t>
        </is>
      </c>
      <c r="F1127" t="inlineStr">
        <is>
          <t>SCA</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11763-2024</t>
        </is>
      </c>
      <c r="B1128" s="1" t="n">
        <v>45373.94820601852</v>
      </c>
      <c r="C1128" s="1" t="n">
        <v>46033</v>
      </c>
      <c r="D1128" t="inlineStr">
        <is>
          <t>JÄMTLANDS LÄN</t>
        </is>
      </c>
      <c r="E1128" t="inlineStr">
        <is>
          <t>STRÖMSUND</t>
        </is>
      </c>
      <c r="F1128" t="inlineStr">
        <is>
          <t>SCA</t>
        </is>
      </c>
      <c r="G1128" t="n">
        <v>31.6</v>
      </c>
      <c r="H1128" t="n">
        <v>0</v>
      </c>
      <c r="I1128" t="n">
        <v>0</v>
      </c>
      <c r="J1128" t="n">
        <v>0</v>
      </c>
      <c r="K1128" t="n">
        <v>0</v>
      </c>
      <c r="L1128" t="n">
        <v>0</v>
      </c>
      <c r="M1128" t="n">
        <v>0</v>
      </c>
      <c r="N1128" t="n">
        <v>0</v>
      </c>
      <c r="O1128" t="n">
        <v>0</v>
      </c>
      <c r="P1128" t="n">
        <v>0</v>
      </c>
      <c r="Q1128" t="n">
        <v>0</v>
      </c>
      <c r="R1128" s="2" t="inlineStr"/>
    </row>
    <row r="1129" ht="15" customHeight="1">
      <c r="A1129" t="inlineStr">
        <is>
          <t>A 45619-2025</t>
        </is>
      </c>
      <c r="B1129" s="1" t="n">
        <v>45922</v>
      </c>
      <c r="C1129" s="1" t="n">
        <v>46033</v>
      </c>
      <c r="D1129" t="inlineStr">
        <is>
          <t>JÄMTLANDS LÄN</t>
        </is>
      </c>
      <c r="E1129" t="inlineStr">
        <is>
          <t>STRÖMSUND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44459-2025</t>
        </is>
      </c>
      <c r="B1130" s="1" t="n">
        <v>45916.61518518518</v>
      </c>
      <c r="C1130" s="1" t="n">
        <v>46033</v>
      </c>
      <c r="D1130" t="inlineStr">
        <is>
          <t>JÄMTLANDS LÄN</t>
        </is>
      </c>
      <c r="E1130" t="inlineStr">
        <is>
          <t>STRÖMSUND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28653-2025</t>
        </is>
      </c>
      <c r="B1131" s="1" t="n">
        <v>45819.65170138889</v>
      </c>
      <c r="C1131" s="1" t="n">
        <v>46033</v>
      </c>
      <c r="D1131" t="inlineStr">
        <is>
          <t>JÄMTLANDS LÄN</t>
        </is>
      </c>
      <c r="E1131" t="inlineStr">
        <is>
          <t>STRÖMSUND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29242-2024</t>
        </is>
      </c>
      <c r="B1132" s="1" t="n">
        <v>45482.94611111111</v>
      </c>
      <c r="C1132" s="1" t="n">
        <v>46033</v>
      </c>
      <c r="D1132" t="inlineStr">
        <is>
          <t>JÄMTLANDS LÄN</t>
        </is>
      </c>
      <c r="E1132" t="inlineStr">
        <is>
          <t>STRÖMSUND</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29243-2024</t>
        </is>
      </c>
      <c r="B1133" s="1" t="n">
        <v>45482.94621527778</v>
      </c>
      <c r="C1133" s="1" t="n">
        <v>46033</v>
      </c>
      <c r="D1133" t="inlineStr">
        <is>
          <t>JÄMTLANDS LÄN</t>
        </is>
      </c>
      <c r="E1133" t="inlineStr">
        <is>
          <t>STRÖMSUND</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29274-2024</t>
        </is>
      </c>
      <c r="B1134" s="1" t="n">
        <v>45482.95017361111</v>
      </c>
      <c r="C1134" s="1" t="n">
        <v>46033</v>
      </c>
      <c r="D1134" t="inlineStr">
        <is>
          <t>JÄMTLANDS LÄN</t>
        </is>
      </c>
      <c r="E1134" t="inlineStr">
        <is>
          <t>STRÖMSUND</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44457-2025</t>
        </is>
      </c>
      <c r="B1135" s="1" t="n">
        <v>45916.61498842593</v>
      </c>
      <c r="C1135" s="1" t="n">
        <v>46033</v>
      </c>
      <c r="D1135" t="inlineStr">
        <is>
          <t>JÄMTLANDS LÄN</t>
        </is>
      </c>
      <c r="E1135" t="inlineStr">
        <is>
          <t>STRÖMSUND</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28537-2025</t>
        </is>
      </c>
      <c r="B1136" s="1" t="n">
        <v>45819.51075231482</v>
      </c>
      <c r="C1136" s="1" t="n">
        <v>46033</v>
      </c>
      <c r="D1136" t="inlineStr">
        <is>
          <t>JÄMTLANDS LÄN</t>
        </is>
      </c>
      <c r="E1136" t="inlineStr">
        <is>
          <t>STRÖMSUND</t>
        </is>
      </c>
      <c r="F1136" t="inlineStr">
        <is>
          <t>SCA</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44280-2025</t>
        </is>
      </c>
      <c r="B1137" s="1" t="n">
        <v>45916.34502314815</v>
      </c>
      <c r="C1137" s="1" t="n">
        <v>46033</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44442-2025</t>
        </is>
      </c>
      <c r="B1138" s="1" t="n">
        <v>45916.59424768519</v>
      </c>
      <c r="C1138" s="1" t="n">
        <v>46033</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60388-2025</t>
        </is>
      </c>
      <c r="B1139" s="1" t="n">
        <v>45995.3862037037</v>
      </c>
      <c r="C1139" s="1" t="n">
        <v>46033</v>
      </c>
      <c r="D1139" t="inlineStr">
        <is>
          <t>JÄMTLANDS LÄN</t>
        </is>
      </c>
      <c r="E1139" t="inlineStr">
        <is>
          <t>STRÖMSUND</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44514-2025</t>
        </is>
      </c>
      <c r="B1140" s="1" t="n">
        <v>45916.69831018519</v>
      </c>
      <c r="C1140" s="1" t="n">
        <v>46033</v>
      </c>
      <c r="D1140" t="inlineStr">
        <is>
          <t>JÄMTLANDS LÄN</t>
        </is>
      </c>
      <c r="E1140" t="inlineStr">
        <is>
          <t>STRÖMSUND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28493-2025</t>
        </is>
      </c>
      <c r="B1141" s="1" t="n">
        <v>45819.46922453704</v>
      </c>
      <c r="C1141" s="1" t="n">
        <v>46033</v>
      </c>
      <c r="D1141" t="inlineStr">
        <is>
          <t>JÄMTLANDS LÄN</t>
        </is>
      </c>
      <c r="E1141" t="inlineStr">
        <is>
          <t>STRÖMSUND</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57415-2023</t>
        </is>
      </c>
      <c r="B1142" s="1" t="n">
        <v>45245.96947916667</v>
      </c>
      <c r="C1142" s="1" t="n">
        <v>46033</v>
      </c>
      <c r="D1142" t="inlineStr">
        <is>
          <t>JÄMTLANDS LÄN</t>
        </is>
      </c>
      <c r="E1142" t="inlineStr">
        <is>
          <t>STRÖMSUND</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44761-2025</t>
        </is>
      </c>
      <c r="B1143" s="1" t="n">
        <v>45917.71915509259</v>
      </c>
      <c r="C1143" s="1" t="n">
        <v>46033</v>
      </c>
      <c r="D1143" t="inlineStr">
        <is>
          <t>JÄMTLANDS LÄN</t>
        </is>
      </c>
      <c r="E1143" t="inlineStr">
        <is>
          <t>STRÖMSUND</t>
        </is>
      </c>
      <c r="F1143" t="inlineStr">
        <is>
          <t>SCA</t>
        </is>
      </c>
      <c r="G1143" t="n">
        <v>29.7</v>
      </c>
      <c r="H1143" t="n">
        <v>0</v>
      </c>
      <c r="I1143" t="n">
        <v>0</v>
      </c>
      <c r="J1143" t="n">
        <v>0</v>
      </c>
      <c r="K1143" t="n">
        <v>0</v>
      </c>
      <c r="L1143" t="n">
        <v>0</v>
      </c>
      <c r="M1143" t="n">
        <v>0</v>
      </c>
      <c r="N1143" t="n">
        <v>0</v>
      </c>
      <c r="O1143" t="n">
        <v>0</v>
      </c>
      <c r="P1143" t="n">
        <v>0</v>
      </c>
      <c r="Q1143" t="n">
        <v>0</v>
      </c>
      <c r="R1143" s="2" t="inlineStr"/>
    </row>
    <row r="1144" ht="15" customHeight="1">
      <c r="A1144" t="inlineStr">
        <is>
          <t>A 57429-2023</t>
        </is>
      </c>
      <c r="B1144" s="1" t="n">
        <v>45240</v>
      </c>
      <c r="C1144" s="1" t="n">
        <v>46033</v>
      </c>
      <c r="D1144" t="inlineStr">
        <is>
          <t>JÄMTLANDS LÄN</t>
        </is>
      </c>
      <c r="E1144" t="inlineStr">
        <is>
          <t>STRÖMSUND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2808-2025</t>
        </is>
      </c>
      <c r="B1145" s="1" t="n">
        <v>45677.59420138889</v>
      </c>
      <c r="C1145" s="1" t="n">
        <v>46033</v>
      </c>
      <c r="D1145" t="inlineStr">
        <is>
          <t>JÄMTLANDS LÄN</t>
        </is>
      </c>
      <c r="E1145" t="inlineStr">
        <is>
          <t>STRÖMSUND</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44574-2025</t>
        </is>
      </c>
      <c r="B1146" s="1" t="n">
        <v>45917.39420138889</v>
      </c>
      <c r="C1146" s="1" t="n">
        <v>46033</v>
      </c>
      <c r="D1146" t="inlineStr">
        <is>
          <t>JÄMTLANDS LÄN</t>
        </is>
      </c>
      <c r="E1146" t="inlineStr">
        <is>
          <t>STRÖMSUND</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47182-2023</t>
        </is>
      </c>
      <c r="B1147" s="1" t="n">
        <v>45201.94883101852</v>
      </c>
      <c r="C1147" s="1" t="n">
        <v>46033</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44356-2025</t>
        </is>
      </c>
      <c r="B1148" s="1" t="n">
        <v>45916.44834490741</v>
      </c>
      <c r="C1148" s="1" t="n">
        <v>46033</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45820.5107175926</v>
      </c>
      <c r="C1149" s="1" t="n">
        <v>46033</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44928-2025</t>
        </is>
      </c>
      <c r="B1150" s="1" t="n">
        <v>45918.56171296296</v>
      </c>
      <c r="C1150" s="1" t="n">
        <v>46033</v>
      </c>
      <c r="D1150" t="inlineStr">
        <is>
          <t>JÄMTLANDS LÄN</t>
        </is>
      </c>
      <c r="E1150" t="inlineStr">
        <is>
          <t>STRÖMSUND</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44912-2025</t>
        </is>
      </c>
      <c r="B1151" s="1" t="n">
        <v>45918.53466435185</v>
      </c>
      <c r="C1151" s="1" t="n">
        <v>46033</v>
      </c>
      <c r="D1151" t="inlineStr">
        <is>
          <t>JÄMTLANDS LÄN</t>
        </is>
      </c>
      <c r="E1151" t="inlineStr">
        <is>
          <t>STRÖMSUND</t>
        </is>
      </c>
      <c r="F1151" t="inlineStr">
        <is>
          <t>Holmen skog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53053-2023</t>
        </is>
      </c>
      <c r="B1152" s="1" t="n">
        <v>45226</v>
      </c>
      <c r="C1152" s="1" t="n">
        <v>46033</v>
      </c>
      <c r="D1152" t="inlineStr">
        <is>
          <t>JÄMTLANDS LÄN</t>
        </is>
      </c>
      <c r="E1152" t="inlineStr">
        <is>
          <t>STRÖMSUND</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45235-2025</t>
        </is>
      </c>
      <c r="B1153" s="1" t="n">
        <v>45919.59434027778</v>
      </c>
      <c r="C1153" s="1" t="n">
        <v>46033</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28974-2025</t>
        </is>
      </c>
      <c r="B1154" s="1" t="n">
        <v>45821.34523148148</v>
      </c>
      <c r="C1154" s="1" t="n">
        <v>46033</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45258-2025</t>
        </is>
      </c>
      <c r="B1155" s="1" t="n">
        <v>45919.62483796296</v>
      </c>
      <c r="C1155" s="1" t="n">
        <v>46033</v>
      </c>
      <c r="D1155" t="inlineStr">
        <is>
          <t>JÄMTLANDS LÄN</t>
        </is>
      </c>
      <c r="E1155" t="inlineStr">
        <is>
          <t>STRÖMSUND</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29335-2023</t>
        </is>
      </c>
      <c r="B1156" s="1" t="n">
        <v>45105.94405092593</v>
      </c>
      <c r="C1156" s="1" t="n">
        <v>46033</v>
      </c>
      <c r="D1156" t="inlineStr">
        <is>
          <t>JÄMTLANDS LÄN</t>
        </is>
      </c>
      <c r="E1156" t="inlineStr">
        <is>
          <t>STRÖMSUND</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45270-2025</t>
        </is>
      </c>
      <c r="B1157" s="1" t="n">
        <v>45919.68295138889</v>
      </c>
      <c r="C1157" s="1" t="n">
        <v>46033</v>
      </c>
      <c r="D1157" t="inlineStr">
        <is>
          <t>JÄMTLANDS LÄN</t>
        </is>
      </c>
      <c r="E1157" t="inlineStr">
        <is>
          <t>STRÖMSUND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5267-2024</t>
        </is>
      </c>
      <c r="B1158" s="1" t="n">
        <v>45330.96278935186</v>
      </c>
      <c r="C1158" s="1" t="n">
        <v>46033</v>
      </c>
      <c r="D1158" t="inlineStr">
        <is>
          <t>JÄMTLANDS LÄN</t>
        </is>
      </c>
      <c r="E1158" t="inlineStr">
        <is>
          <t>STRÖMSUND</t>
        </is>
      </c>
      <c r="F1158" t="inlineStr">
        <is>
          <t>SCA</t>
        </is>
      </c>
      <c r="G1158" t="n">
        <v>29.1</v>
      </c>
      <c r="H1158" t="n">
        <v>0</v>
      </c>
      <c r="I1158" t="n">
        <v>0</v>
      </c>
      <c r="J1158" t="n">
        <v>0</v>
      </c>
      <c r="K1158" t="n">
        <v>0</v>
      </c>
      <c r="L1158" t="n">
        <v>0</v>
      </c>
      <c r="M1158" t="n">
        <v>0</v>
      </c>
      <c r="N1158" t="n">
        <v>0</v>
      </c>
      <c r="O1158" t="n">
        <v>0</v>
      </c>
      <c r="P1158" t="n">
        <v>0</v>
      </c>
      <c r="Q1158" t="n">
        <v>0</v>
      </c>
      <c r="R1158" s="2" t="inlineStr"/>
    </row>
    <row r="1159" ht="15" customHeight="1">
      <c r="A1159" t="inlineStr">
        <is>
          <t>A 28971-2025</t>
        </is>
      </c>
      <c r="B1159" s="1" t="n">
        <v>45821.34490740741</v>
      </c>
      <c r="C1159" s="1" t="n">
        <v>46033</v>
      </c>
      <c r="D1159" t="inlineStr">
        <is>
          <t>JÄMTLANDS LÄN</t>
        </is>
      </c>
      <c r="E1159" t="inlineStr">
        <is>
          <t>STRÖMSUND</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29798-2025</t>
        </is>
      </c>
      <c r="B1160" s="1" t="n">
        <v>45825.67758101852</v>
      </c>
      <c r="C1160" s="1" t="n">
        <v>46033</v>
      </c>
      <c r="D1160" t="inlineStr">
        <is>
          <t>JÄMTLANDS LÄN</t>
        </is>
      </c>
      <c r="E1160" t="inlineStr">
        <is>
          <t>STRÖMSUND</t>
        </is>
      </c>
      <c r="F1160" t="inlineStr">
        <is>
          <t>SCA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29806-2025</t>
        </is>
      </c>
      <c r="B1161" s="1" t="n">
        <v>45825.73248842593</v>
      </c>
      <c r="C1161" s="1" t="n">
        <v>46033</v>
      </c>
      <c r="D1161" t="inlineStr">
        <is>
          <t>JÄMTLANDS LÄN</t>
        </is>
      </c>
      <c r="E1161" t="inlineStr">
        <is>
          <t>STRÖMSUND</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29787-2025</t>
        </is>
      </c>
      <c r="B1162" s="1" t="n">
        <v>45825.65677083333</v>
      </c>
      <c r="C1162" s="1" t="n">
        <v>46033</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29539-2025</t>
        </is>
      </c>
      <c r="B1163" s="1" t="n">
        <v>45825.34530092592</v>
      </c>
      <c r="C1163" s="1" t="n">
        <v>46033</v>
      </c>
      <c r="D1163" t="inlineStr">
        <is>
          <t>JÄMTLANDS LÄN</t>
        </is>
      </c>
      <c r="E1163" t="inlineStr">
        <is>
          <t>STRÖMSUND</t>
        </is>
      </c>
      <c r="F1163" t="inlineStr">
        <is>
          <t>SCA</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29605-2023</t>
        </is>
      </c>
      <c r="B1164" s="1" t="n">
        <v>45106.94369212963</v>
      </c>
      <c r="C1164" s="1" t="n">
        <v>46033</v>
      </c>
      <c r="D1164" t="inlineStr">
        <is>
          <t>JÄMTLANDS LÄN</t>
        </is>
      </c>
      <c r="E1164" t="inlineStr">
        <is>
          <t>STRÖMSUND</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44969-2025</t>
        </is>
      </c>
      <c r="B1165" s="1" t="n">
        <v>45918.63583333333</v>
      </c>
      <c r="C1165" s="1" t="n">
        <v>46033</v>
      </c>
      <c r="D1165" t="inlineStr">
        <is>
          <t>JÄMTLANDS LÄN</t>
        </is>
      </c>
      <c r="E1165" t="inlineStr">
        <is>
          <t>STRÖMSUND</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59530-2024</t>
        </is>
      </c>
      <c r="B1166" s="1" t="n">
        <v>45638.59427083333</v>
      </c>
      <c r="C1166" s="1" t="n">
        <v>46033</v>
      </c>
      <c r="D1166" t="inlineStr">
        <is>
          <t>JÄMTLANDS LÄN</t>
        </is>
      </c>
      <c r="E1166" t="inlineStr">
        <is>
          <t>STRÖMSUND</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45089-2025</t>
        </is>
      </c>
      <c r="B1167" s="1" t="n">
        <v>45919.37613425926</v>
      </c>
      <c r="C1167" s="1" t="n">
        <v>46033</v>
      </c>
      <c r="D1167" t="inlineStr">
        <is>
          <t>JÄMTLANDS LÄN</t>
        </is>
      </c>
      <c r="E1167" t="inlineStr">
        <is>
          <t>STRÖMSUND</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45522-2025</t>
        </is>
      </c>
      <c r="B1168" s="1" t="n">
        <v>45922.59444444445</v>
      </c>
      <c r="C1168" s="1" t="n">
        <v>46033</v>
      </c>
      <c r="D1168" t="inlineStr">
        <is>
          <t>JÄMTLANDS LÄN</t>
        </is>
      </c>
      <c r="E1168" t="inlineStr">
        <is>
          <t>STRÖMSUND</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28741-2023</t>
        </is>
      </c>
      <c r="B1169" s="1" t="n">
        <v>45103</v>
      </c>
      <c r="C1169" s="1" t="n">
        <v>46033</v>
      </c>
      <c r="D1169" t="inlineStr">
        <is>
          <t>JÄMTLANDS LÄN</t>
        </is>
      </c>
      <c r="E1169" t="inlineStr">
        <is>
          <t>STRÖMSUND</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28753-2023</t>
        </is>
      </c>
      <c r="B1170" s="1" t="n">
        <v>45103.94179398148</v>
      </c>
      <c r="C1170" s="1" t="n">
        <v>46033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45521-2025</t>
        </is>
      </c>
      <c r="B1171" s="1" t="n">
        <v>45922.59420138889</v>
      </c>
      <c r="C1171" s="1" t="n">
        <v>46033</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29754-2025</t>
        </is>
      </c>
      <c r="B1172" s="1" t="n">
        <v>45825.61229166666</v>
      </c>
      <c r="C1172" s="1" t="n">
        <v>46033</v>
      </c>
      <c r="D1172" t="inlineStr">
        <is>
          <t>JÄMTLANDS LÄN</t>
        </is>
      </c>
      <c r="E1172" t="inlineStr">
        <is>
          <t>STRÖMSUND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29536-2025</t>
        </is>
      </c>
      <c r="B1173" s="1" t="n">
        <v>45825.34496527778</v>
      </c>
      <c r="C1173" s="1" t="n">
        <v>46033</v>
      </c>
      <c r="D1173" t="inlineStr">
        <is>
          <t>JÄMTLANDS LÄN</t>
        </is>
      </c>
      <c r="E1173" t="inlineStr">
        <is>
          <t>STRÖMSUND</t>
        </is>
      </c>
      <c r="F1173" t="inlineStr">
        <is>
          <t>SCA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61365-2024</t>
        </is>
      </c>
      <c r="B1174" s="1" t="n">
        <v>45646.38611111111</v>
      </c>
      <c r="C1174" s="1" t="n">
        <v>46033</v>
      </c>
      <c r="D1174" t="inlineStr">
        <is>
          <t>JÄMTLANDS LÄN</t>
        </is>
      </c>
      <c r="E1174" t="inlineStr">
        <is>
          <t>STRÖMSUND</t>
        </is>
      </c>
      <c r="F1174" t="inlineStr">
        <is>
          <t>SCA</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51869-2025</t>
        </is>
      </c>
      <c r="B1175" s="1" t="n">
        <v>45952.38428240741</v>
      </c>
      <c r="C1175" s="1" t="n">
        <v>46033</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29764-2025</t>
        </is>
      </c>
      <c r="B1176" s="1" t="n">
        <v>45825.61850694445</v>
      </c>
      <c r="C1176" s="1" t="n">
        <v>46033</v>
      </c>
      <c r="D1176" t="inlineStr">
        <is>
          <t>JÄMTLANDS LÄN</t>
        </is>
      </c>
      <c r="E1176" t="inlineStr">
        <is>
          <t>STRÖMSUND</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45844-2025</t>
        </is>
      </c>
      <c r="B1177" s="1" t="n">
        <v>45923.61561342593</v>
      </c>
      <c r="C1177" s="1" t="n">
        <v>46033</v>
      </c>
      <c r="D1177" t="inlineStr">
        <is>
          <t>JÄMTLANDS LÄN</t>
        </is>
      </c>
      <c r="E1177" t="inlineStr">
        <is>
          <t>STRÖMSUND</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8327-2025</t>
        </is>
      </c>
      <c r="B1178" s="1" t="n">
        <v>45708.63655092593</v>
      </c>
      <c r="C1178" s="1" t="n">
        <v>46033</v>
      </c>
      <c r="D1178" t="inlineStr">
        <is>
          <t>JÄMTLANDS LÄN</t>
        </is>
      </c>
      <c r="E1178" t="inlineStr">
        <is>
          <t>STRÖMSUND</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35418-2024</t>
        </is>
      </c>
      <c r="B1179" s="1" t="n">
        <v>45531.40873842593</v>
      </c>
      <c r="C1179" s="1" t="n">
        <v>46033</v>
      </c>
      <c r="D1179" t="inlineStr">
        <is>
          <t>JÄMTLANDS LÄN</t>
        </is>
      </c>
      <c r="E1179" t="inlineStr">
        <is>
          <t>STRÖMSUND</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45335-2025</t>
        </is>
      </c>
      <c r="B1180" s="1" t="n">
        <v>45922.34186342593</v>
      </c>
      <c r="C1180" s="1" t="n">
        <v>46033</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30407-2025</t>
        </is>
      </c>
      <c r="B1181" s="1" t="n">
        <v>45827.59425925926</v>
      </c>
      <c r="C1181" s="1" t="n">
        <v>46033</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54216-2025</t>
        </is>
      </c>
      <c r="B1182" s="1" t="n">
        <v>45964.59493055556</v>
      </c>
      <c r="C1182" s="1" t="n">
        <v>46033</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30094-2025</t>
        </is>
      </c>
      <c r="B1183" s="1" t="n">
        <v>45826.6634837963</v>
      </c>
      <c r="C1183" s="1" t="n">
        <v>46033</v>
      </c>
      <c r="D1183" t="inlineStr">
        <is>
          <t>JÄMTLANDS LÄN</t>
        </is>
      </c>
      <c r="E1183" t="inlineStr">
        <is>
          <t>STRÖMSUND</t>
        </is>
      </c>
      <c r="F1183" t="inlineStr">
        <is>
          <t>Sveaskog</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31606-2024</t>
        </is>
      </c>
      <c r="B1184" s="1" t="n">
        <v>45506</v>
      </c>
      <c r="C1184" s="1" t="n">
        <v>46033</v>
      </c>
      <c r="D1184" t="inlineStr">
        <is>
          <t>JÄMTLANDS LÄN</t>
        </is>
      </c>
      <c r="E1184" t="inlineStr">
        <is>
          <t>STRÖMSUND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45600-2025</t>
        </is>
      </c>
      <c r="B1185" s="1" t="n">
        <v>45922.68890046296</v>
      </c>
      <c r="C1185" s="1" t="n">
        <v>46033</v>
      </c>
      <c r="D1185" t="inlineStr">
        <is>
          <t>JÄMTLANDS LÄN</t>
        </is>
      </c>
      <c r="E1185" t="inlineStr">
        <is>
          <t>STRÖMSUND</t>
        </is>
      </c>
      <c r="G1185" t="n">
        <v>33.4</v>
      </c>
      <c r="H1185" t="n">
        <v>0</v>
      </c>
      <c r="I1185" t="n">
        <v>0</v>
      </c>
      <c r="J1185" t="n">
        <v>0</v>
      </c>
      <c r="K1185" t="n">
        <v>0</v>
      </c>
      <c r="L1185" t="n">
        <v>0</v>
      </c>
      <c r="M1185" t="n">
        <v>0</v>
      </c>
      <c r="N1185" t="n">
        <v>0</v>
      </c>
      <c r="O1185" t="n">
        <v>0</v>
      </c>
      <c r="P1185" t="n">
        <v>0</v>
      </c>
      <c r="Q1185" t="n">
        <v>0</v>
      </c>
      <c r="R1185" s="2" t="inlineStr"/>
    </row>
    <row r="1186" ht="15" customHeight="1">
      <c r="A1186" t="inlineStr">
        <is>
          <t>A 30332-2025</t>
        </is>
      </c>
      <c r="B1186" s="1" t="n">
        <v>45827.5084375</v>
      </c>
      <c r="C1186" s="1" t="n">
        <v>46033</v>
      </c>
      <c r="D1186" t="inlineStr">
        <is>
          <t>JÄMTLANDS LÄN</t>
        </is>
      </c>
      <c r="E1186" t="inlineStr">
        <is>
          <t>STRÖMSUND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30209-2025</t>
        </is>
      </c>
      <c r="B1187" s="1" t="n">
        <v>45827.365625</v>
      </c>
      <c r="C1187" s="1" t="n">
        <v>46033</v>
      </c>
      <c r="D1187" t="inlineStr">
        <is>
          <t>JÄMTLANDS LÄN</t>
        </is>
      </c>
      <c r="E1187" t="inlineStr">
        <is>
          <t>STRÖMSUND</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30325-2025</t>
        </is>
      </c>
      <c r="B1188" s="1" t="n">
        <v>45827.50361111111</v>
      </c>
      <c r="C1188" s="1" t="n">
        <v>46033</v>
      </c>
      <c r="D1188" t="inlineStr">
        <is>
          <t>JÄMTLANDS LÄN</t>
        </is>
      </c>
      <c r="E1188" t="inlineStr">
        <is>
          <t>STRÖMSUND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54231-2025</t>
        </is>
      </c>
      <c r="B1189" s="1" t="n">
        <v>45964.61983796296</v>
      </c>
      <c r="C1189" s="1" t="n">
        <v>46033</v>
      </c>
      <c r="D1189" t="inlineStr">
        <is>
          <t>JÄMTLANDS LÄN</t>
        </is>
      </c>
      <c r="E1189" t="inlineStr">
        <is>
          <t>STRÖMSUND</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45663-2025</t>
        </is>
      </c>
      <c r="B1190" s="1" t="n">
        <v>45923.34650462963</v>
      </c>
      <c r="C1190" s="1" t="n">
        <v>46033</v>
      </c>
      <c r="D1190" t="inlineStr">
        <is>
          <t>JÄMTLANDS LÄN</t>
        </is>
      </c>
      <c r="E1190" t="inlineStr">
        <is>
          <t>STRÖMSUND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61833-2023</t>
        </is>
      </c>
      <c r="B1191" s="1" t="n">
        <v>45264</v>
      </c>
      <c r="C1191" s="1" t="n">
        <v>46033</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30208-2025</t>
        </is>
      </c>
      <c r="B1192" s="1" t="n">
        <v>45827.36526620371</v>
      </c>
      <c r="C1192" s="1" t="n">
        <v>46033</v>
      </c>
      <c r="D1192" t="inlineStr">
        <is>
          <t>JÄMTLANDS LÄN</t>
        </is>
      </c>
      <c r="E1192" t="inlineStr">
        <is>
          <t>STRÖMSUND</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28016-2023</t>
        </is>
      </c>
      <c r="B1193" s="1" t="n">
        <v>45098.93996527778</v>
      </c>
      <c r="C1193" s="1" t="n">
        <v>46033</v>
      </c>
      <c r="D1193" t="inlineStr">
        <is>
          <t>JÄMTLANDS LÄN</t>
        </is>
      </c>
      <c r="E1193" t="inlineStr">
        <is>
          <t>STRÖMSUND</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54382-2025</t>
        </is>
      </c>
      <c r="B1194" s="1" t="n">
        <v>45965.43498842593</v>
      </c>
      <c r="C1194" s="1" t="n">
        <v>46033</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30395-2025</t>
        </is>
      </c>
      <c r="B1195" s="1" t="n">
        <v>45827.57462962963</v>
      </c>
      <c r="C1195" s="1" t="n">
        <v>46033</v>
      </c>
      <c r="D1195" t="inlineStr">
        <is>
          <t>JÄMTLANDS LÄN</t>
        </is>
      </c>
      <c r="E1195" t="inlineStr">
        <is>
          <t>STRÖMSUND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54805-2024</t>
        </is>
      </c>
      <c r="B1196" s="1" t="n">
        <v>45618.51116898148</v>
      </c>
      <c r="C1196" s="1" t="n">
        <v>46033</v>
      </c>
      <c r="D1196" t="inlineStr">
        <is>
          <t>JÄMTLANDS LÄN</t>
        </is>
      </c>
      <c r="E1196" t="inlineStr">
        <is>
          <t>STRÖMSUND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30051-2025</t>
        </is>
      </c>
      <c r="B1197" s="1" t="n">
        <v>45826.59434027778</v>
      </c>
      <c r="C1197" s="1" t="n">
        <v>46033</v>
      </c>
      <c r="D1197" t="inlineStr">
        <is>
          <t>JÄMTLANDS LÄN</t>
        </is>
      </c>
      <c r="E1197" t="inlineStr">
        <is>
          <t>STRÖMSUND</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30062-2025</t>
        </is>
      </c>
      <c r="B1198" s="1" t="n">
        <v>45826.61506944444</v>
      </c>
      <c r="C1198" s="1" t="n">
        <v>46033</v>
      </c>
      <c r="D1198" t="inlineStr">
        <is>
          <t>JÄMTLANDS LÄN</t>
        </is>
      </c>
      <c r="E1198" t="inlineStr">
        <is>
          <t>STRÖMSUND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29953-2025</t>
        </is>
      </c>
      <c r="B1199" s="1" t="n">
        <v>45826.46978009259</v>
      </c>
      <c r="C1199" s="1" t="n">
        <v>46033</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46001-2025</t>
        </is>
      </c>
      <c r="B1200" s="1" t="n">
        <v>45924.40692129629</v>
      </c>
      <c r="C1200" s="1" t="n">
        <v>46033</v>
      </c>
      <c r="D1200" t="inlineStr">
        <is>
          <t>JÄMTLANDS LÄN</t>
        </is>
      </c>
      <c r="E1200" t="inlineStr">
        <is>
          <t>STRÖMSUND</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11157-2025</t>
        </is>
      </c>
      <c r="B1201" s="1" t="n">
        <v>45723</v>
      </c>
      <c r="C1201" s="1" t="n">
        <v>46033</v>
      </c>
      <c r="D1201" t="inlineStr">
        <is>
          <t>JÄMTLANDS LÄN</t>
        </is>
      </c>
      <c r="E1201" t="inlineStr">
        <is>
          <t>STRÖMSUND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46265-2025</t>
        </is>
      </c>
      <c r="B1202" s="1" t="n">
        <v>45925.36509259259</v>
      </c>
      <c r="C1202" s="1" t="n">
        <v>46033</v>
      </c>
      <c r="D1202" t="inlineStr">
        <is>
          <t>JÄMTLANDS LÄN</t>
        </is>
      </c>
      <c r="E1202" t="inlineStr">
        <is>
          <t>STRÖMSUND</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46191-2025</t>
        </is>
      </c>
      <c r="B1203" s="1" t="n">
        <v>45924.67771990741</v>
      </c>
      <c r="C1203" s="1" t="n">
        <v>46033</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41261-2025</t>
        </is>
      </c>
      <c r="B1204" s="1" t="n">
        <v>45898</v>
      </c>
      <c r="C1204" s="1" t="n">
        <v>46033</v>
      </c>
      <c r="D1204" t="inlineStr">
        <is>
          <t>JÄMTLANDS LÄN</t>
        </is>
      </c>
      <c r="E1204" t="inlineStr">
        <is>
          <t>STRÖMSUND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30060-2025</t>
        </is>
      </c>
      <c r="B1205" s="1" t="n">
        <v>45826.61493055556</v>
      </c>
      <c r="C1205" s="1" t="n">
        <v>46033</v>
      </c>
      <c r="D1205" t="inlineStr">
        <is>
          <t>JÄMTLANDS LÄN</t>
        </is>
      </c>
      <c r="E1205" t="inlineStr">
        <is>
          <t>STRÖMSUND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46479-2025</t>
        </is>
      </c>
      <c r="B1206" s="1" t="n">
        <v>45925.6985300926</v>
      </c>
      <c r="C1206" s="1" t="n">
        <v>46033</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30138-2025</t>
        </is>
      </c>
      <c r="B1207" s="1" t="n">
        <v>45826.8940162037</v>
      </c>
      <c r="C1207" s="1" t="n">
        <v>46033</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30140-2025</t>
        </is>
      </c>
      <c r="B1208" s="1" t="n">
        <v>45826.90293981481</v>
      </c>
      <c r="C1208" s="1" t="n">
        <v>46033</v>
      </c>
      <c r="D1208" t="inlineStr">
        <is>
          <t>JÄMTLANDS LÄN</t>
        </is>
      </c>
      <c r="E1208" t="inlineStr">
        <is>
          <t>STRÖMSUND</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6512-2024</t>
        </is>
      </c>
      <c r="B1209" s="1" t="n">
        <v>45340</v>
      </c>
      <c r="C1209" s="1" t="n">
        <v>46033</v>
      </c>
      <c r="D1209" t="inlineStr">
        <is>
          <t>JÄMTLANDS LÄN</t>
        </is>
      </c>
      <c r="E1209" t="inlineStr">
        <is>
          <t>STRÖMSUND</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60370-2025</t>
        </is>
      </c>
      <c r="B1210" s="1" t="n">
        <v>45995.34466435185</v>
      </c>
      <c r="C1210" s="1" t="n">
        <v>46033</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39516-2024</t>
        </is>
      </c>
      <c r="B1211" s="1" t="n">
        <v>45551.69825231482</v>
      </c>
      <c r="C1211" s="1" t="n">
        <v>46033</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57361-2023</t>
        </is>
      </c>
      <c r="B1212" s="1" t="n">
        <v>45240</v>
      </c>
      <c r="C1212" s="1" t="n">
        <v>46033</v>
      </c>
      <c r="D1212" t="inlineStr">
        <is>
          <t>JÄMTLANDS LÄN</t>
        </is>
      </c>
      <c r="E1212" t="inlineStr">
        <is>
          <t>STRÖMSUND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57387-2023</t>
        </is>
      </c>
      <c r="B1213" s="1" t="n">
        <v>45245.92959490741</v>
      </c>
      <c r="C1213" s="1" t="n">
        <v>46033</v>
      </c>
      <c r="D1213" t="inlineStr">
        <is>
          <t>JÄMTLANDS LÄN</t>
        </is>
      </c>
      <c r="E1213" t="inlineStr">
        <is>
          <t>STRÖMSUND</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46355-2025</t>
        </is>
      </c>
      <c r="B1214" s="1" t="n">
        <v>45925.49006944444</v>
      </c>
      <c r="C1214" s="1" t="n">
        <v>46033</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46388-2025</t>
        </is>
      </c>
      <c r="B1215" s="1" t="n">
        <v>45925</v>
      </c>
      <c r="C1215" s="1" t="n">
        <v>46033</v>
      </c>
      <c r="D1215" t="inlineStr">
        <is>
          <t>JÄMTLANDS LÄN</t>
        </is>
      </c>
      <c r="E1215" t="inlineStr">
        <is>
          <t>STRÖMSUND</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30188-2025</t>
        </is>
      </c>
      <c r="B1216" s="1" t="n">
        <v>45827.34741898148</v>
      </c>
      <c r="C1216" s="1" t="n">
        <v>46033</v>
      </c>
      <c r="D1216" t="inlineStr">
        <is>
          <t>JÄMTLANDS LÄN</t>
        </is>
      </c>
      <c r="E1216" t="inlineStr">
        <is>
          <t>STRÖMSUND</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29997-2025</t>
        </is>
      </c>
      <c r="B1217" s="1" t="n">
        <v>45826.51113425926</v>
      </c>
      <c r="C1217" s="1" t="n">
        <v>46033</v>
      </c>
      <c r="D1217" t="inlineStr">
        <is>
          <t>JÄMTLANDS LÄN</t>
        </is>
      </c>
      <c r="E1217" t="inlineStr">
        <is>
          <t>STRÖMSUND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32724-2023</t>
        </is>
      </c>
      <c r="B1218" s="1" t="n">
        <v>45121</v>
      </c>
      <c r="C1218" s="1" t="n">
        <v>46033</v>
      </c>
      <c r="D1218" t="inlineStr">
        <is>
          <t>JÄMTLANDS LÄN</t>
        </is>
      </c>
      <c r="E1218" t="inlineStr">
        <is>
          <t>STRÖMSUND</t>
        </is>
      </c>
      <c r="F1218" t="inlineStr">
        <is>
          <t>SCA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30015-2025</t>
        </is>
      </c>
      <c r="B1219" s="1" t="n">
        <v>45826.55267361111</v>
      </c>
      <c r="C1219" s="1" t="n">
        <v>46033</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7803-2024</t>
        </is>
      </c>
      <c r="B1220" s="1" t="n">
        <v>45348</v>
      </c>
      <c r="C1220" s="1" t="n">
        <v>46033</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49186-2024</t>
        </is>
      </c>
      <c r="B1221" s="1" t="n">
        <v>45595.34479166667</v>
      </c>
      <c r="C1221" s="1" t="n">
        <v>46033</v>
      </c>
      <c r="D1221" t="inlineStr">
        <is>
          <t>JÄMTLANDS LÄN</t>
        </is>
      </c>
      <c r="E1221" t="inlineStr">
        <is>
          <t>STRÖMSUND</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49196-2024</t>
        </is>
      </c>
      <c r="B1222" s="1" t="n">
        <v>45595.35145833333</v>
      </c>
      <c r="C1222" s="1" t="n">
        <v>46033</v>
      </c>
      <c r="D1222" t="inlineStr">
        <is>
          <t>JÄMTLANDS LÄN</t>
        </is>
      </c>
      <c r="E1222" t="inlineStr">
        <is>
          <t>STRÖMSUND</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35583-2024</t>
        </is>
      </c>
      <c r="B1223" s="1" t="n">
        <v>45531.64809027778</v>
      </c>
      <c r="C1223" s="1" t="n">
        <v>46033</v>
      </c>
      <c r="D1223" t="inlineStr">
        <is>
          <t>JÄMTLANDS LÄN</t>
        </is>
      </c>
      <c r="E1223" t="inlineStr">
        <is>
          <t>STRÖMSUND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60335-2023</t>
        </is>
      </c>
      <c r="B1224" s="1" t="n">
        <v>45258.95190972222</v>
      </c>
      <c r="C1224" s="1" t="n">
        <v>46033</v>
      </c>
      <c r="D1224" t="inlineStr">
        <is>
          <t>JÄMTLANDS LÄN</t>
        </is>
      </c>
      <c r="E1224" t="inlineStr">
        <is>
          <t>STRÖMSUND</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29854-2025</t>
        </is>
      </c>
      <c r="B1225" s="1" t="n">
        <v>45826.34461805555</v>
      </c>
      <c r="C1225" s="1" t="n">
        <v>46033</v>
      </c>
      <c r="D1225" t="inlineStr">
        <is>
          <t>JÄMTLANDS LÄN</t>
        </is>
      </c>
      <c r="E1225" t="inlineStr">
        <is>
          <t>STRÖMSUND</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53131-2024</t>
        </is>
      </c>
      <c r="B1226" s="1" t="n">
        <v>45611.59434027778</v>
      </c>
      <c r="C1226" s="1" t="n">
        <v>46033</v>
      </c>
      <c r="D1226" t="inlineStr">
        <is>
          <t>JÄMTLANDS LÄN</t>
        </is>
      </c>
      <c r="E1226" t="inlineStr">
        <is>
          <t>STRÖMSUND</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30568-2025</t>
        </is>
      </c>
      <c r="B1227" s="1" t="n">
        <v>45831.40677083333</v>
      </c>
      <c r="C1227" s="1" t="n">
        <v>46033</v>
      </c>
      <c r="D1227" t="inlineStr">
        <is>
          <t>JÄMTLANDS LÄN</t>
        </is>
      </c>
      <c r="E1227" t="inlineStr">
        <is>
          <t>STRÖMSUND</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46297-2025</t>
        </is>
      </c>
      <c r="B1228" s="1" t="n">
        <v>45925.40063657407</v>
      </c>
      <c r="C1228" s="1" t="n">
        <v>46033</v>
      </c>
      <c r="D1228" t="inlineStr">
        <is>
          <t>JÄMTLANDS LÄN</t>
        </is>
      </c>
      <c r="E1228" t="inlineStr">
        <is>
          <t>STRÖMSUND</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33502-2022</t>
        </is>
      </c>
      <c r="B1229" s="1" t="n">
        <v>44788.92712962963</v>
      </c>
      <c r="C1229" s="1" t="n">
        <v>46033</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60742-2022</t>
        </is>
      </c>
      <c r="B1230" s="1" t="n">
        <v>44913</v>
      </c>
      <c r="C1230" s="1" t="n">
        <v>46033</v>
      </c>
      <c r="D1230" t="inlineStr">
        <is>
          <t>JÄMTLANDS LÄN</t>
        </is>
      </c>
      <c r="E1230" t="inlineStr">
        <is>
          <t>STRÖMSUND</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46546-2025</t>
        </is>
      </c>
      <c r="B1231" s="1" t="n">
        <v>45926.34518518519</v>
      </c>
      <c r="C1231" s="1" t="n">
        <v>46033</v>
      </c>
      <c r="D1231" t="inlineStr">
        <is>
          <t>JÄMTLANDS LÄN</t>
        </is>
      </c>
      <c r="E1231" t="inlineStr">
        <is>
          <t>STRÖMSUND</t>
        </is>
      </c>
      <c r="F1231" t="inlineStr">
        <is>
          <t>SCA</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60667-2022</t>
        </is>
      </c>
      <c r="B1232" s="1" t="n">
        <v>44911</v>
      </c>
      <c r="C1232" s="1" t="n">
        <v>46033</v>
      </c>
      <c r="D1232" t="inlineStr">
        <is>
          <t>JÄMTLANDS LÄN</t>
        </is>
      </c>
      <c r="E1232" t="inlineStr">
        <is>
          <t>STRÖMSUND</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30833-2025</t>
        </is>
      </c>
      <c r="B1233" s="1" t="n">
        <v>45831.69828703703</v>
      </c>
      <c r="C1233" s="1" t="n">
        <v>46033</v>
      </c>
      <c r="D1233" t="inlineStr">
        <is>
          <t>JÄMTLANDS LÄN</t>
        </is>
      </c>
      <c r="E1233" t="inlineStr">
        <is>
          <t>STRÖMSUND</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30807-2025</t>
        </is>
      </c>
      <c r="B1234" s="1" t="n">
        <v>45831.65692129629</v>
      </c>
      <c r="C1234" s="1" t="n">
        <v>46033</v>
      </c>
      <c r="D1234" t="inlineStr">
        <is>
          <t>JÄMTLANDS LÄN</t>
        </is>
      </c>
      <c r="E1234" t="inlineStr">
        <is>
          <t>STRÖMSUND</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46929-2025</t>
        </is>
      </c>
      <c r="B1235" s="1" t="n">
        <v>45929.44145833333</v>
      </c>
      <c r="C1235" s="1" t="n">
        <v>46033</v>
      </c>
      <c r="D1235" t="inlineStr">
        <is>
          <t>JÄMTLANDS LÄN</t>
        </is>
      </c>
      <c r="E1235" t="inlineStr">
        <is>
          <t>STRÖMSUND</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30755-2025</t>
        </is>
      </c>
      <c r="B1236" s="1" t="n">
        <v>45831.59438657408</v>
      </c>
      <c r="C1236" s="1" t="n">
        <v>46033</v>
      </c>
      <c r="D1236" t="inlineStr">
        <is>
          <t>JÄMTLANDS LÄN</t>
        </is>
      </c>
      <c r="E1236" t="inlineStr">
        <is>
          <t>STRÖMSUND</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30805-2025</t>
        </is>
      </c>
      <c r="B1237" s="1" t="n">
        <v>45831.65662037037</v>
      </c>
      <c r="C1237" s="1" t="n">
        <v>46033</v>
      </c>
      <c r="D1237" t="inlineStr">
        <is>
          <t>JÄMTLANDS LÄN</t>
        </is>
      </c>
      <c r="E1237" t="inlineStr">
        <is>
          <t>STRÖMSUND</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30712-2025</t>
        </is>
      </c>
      <c r="B1238" s="1" t="n">
        <v>45831.55253472222</v>
      </c>
      <c r="C1238" s="1" t="n">
        <v>46033</v>
      </c>
      <c r="D1238" t="inlineStr">
        <is>
          <t>JÄMTLANDS LÄN</t>
        </is>
      </c>
      <c r="E1238" t="inlineStr">
        <is>
          <t>STRÖMSUND</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14568-2024</t>
        </is>
      </c>
      <c r="B1239" s="1" t="n">
        <v>45394</v>
      </c>
      <c r="C1239" s="1" t="n">
        <v>46033</v>
      </c>
      <c r="D1239" t="inlineStr">
        <is>
          <t>JÄMTLANDS LÄN</t>
        </is>
      </c>
      <c r="E1239" t="inlineStr">
        <is>
          <t>STRÖMSUND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46687-2025</t>
        </is>
      </c>
      <c r="B1240" s="1" t="n">
        <v>45926.55288194444</v>
      </c>
      <c r="C1240" s="1" t="n">
        <v>46033</v>
      </c>
      <c r="D1240" t="inlineStr">
        <is>
          <t>JÄMTLANDS LÄN</t>
        </is>
      </c>
      <c r="E1240" t="inlineStr">
        <is>
          <t>STRÖMSUND</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46641-2025</t>
        </is>
      </c>
      <c r="B1241" s="1" t="n">
        <v>45926.47011574074</v>
      </c>
      <c r="C1241" s="1" t="n">
        <v>46033</v>
      </c>
      <c r="D1241" t="inlineStr">
        <is>
          <t>JÄMTLANDS LÄN</t>
        </is>
      </c>
      <c r="E1241" t="inlineStr">
        <is>
          <t>STRÖMSUND</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46566-2025</t>
        </is>
      </c>
      <c r="B1242" s="1" t="n">
        <v>45926.365</v>
      </c>
      <c r="C1242" s="1" t="n">
        <v>46033</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53609-2024</t>
        </is>
      </c>
      <c r="B1243" s="1" t="n">
        <v>45614</v>
      </c>
      <c r="C1243" s="1" t="n">
        <v>46033</v>
      </c>
      <c r="D1243" t="inlineStr">
        <is>
          <t>JÄMTLANDS LÄN</t>
        </is>
      </c>
      <c r="E1243" t="inlineStr">
        <is>
          <t>STRÖMSUND</t>
        </is>
      </c>
      <c r="F1243" t="inlineStr">
        <is>
          <t>SCA</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35687-2024</t>
        </is>
      </c>
      <c r="B1244" s="1" t="n">
        <v>45532.42047453704</v>
      </c>
      <c r="C1244" s="1" t="n">
        <v>46033</v>
      </c>
      <c r="D1244" t="inlineStr">
        <is>
          <t>JÄMTLANDS LÄN</t>
        </is>
      </c>
      <c r="E1244" t="inlineStr">
        <is>
          <t>STRÖMSUND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61136-2023</t>
        </is>
      </c>
      <c r="B1245" s="1" t="n">
        <v>45261.92803240741</v>
      </c>
      <c r="C1245" s="1" t="n">
        <v>46033</v>
      </c>
      <c r="D1245" t="inlineStr">
        <is>
          <t>JÄMTLANDS LÄN</t>
        </is>
      </c>
      <c r="E1245" t="inlineStr">
        <is>
          <t>STRÖMSUND</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60661-2023</t>
        </is>
      </c>
      <c r="B1246" s="1" t="n">
        <v>45259</v>
      </c>
      <c r="C1246" s="1" t="n">
        <v>46033</v>
      </c>
      <c r="D1246" t="inlineStr">
        <is>
          <t>JÄMTLANDS LÄN</t>
        </is>
      </c>
      <c r="E1246" t="inlineStr">
        <is>
          <t>STRÖMSUND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31141-2025</t>
        </is>
      </c>
      <c r="B1247" s="1" t="n">
        <v>45832.63659722222</v>
      </c>
      <c r="C1247" s="1" t="n">
        <v>46033</v>
      </c>
      <c r="D1247" t="inlineStr">
        <is>
          <t>JÄMTLANDS LÄN</t>
        </is>
      </c>
      <c r="E1247" t="inlineStr">
        <is>
          <t>STRÖMSUND</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46567-2025</t>
        </is>
      </c>
      <c r="B1248" s="1" t="n">
        <v>45926.36528935185</v>
      </c>
      <c r="C1248" s="1" t="n">
        <v>46033</v>
      </c>
      <c r="D1248" t="inlineStr">
        <is>
          <t>JÄMTLANDS LÄN</t>
        </is>
      </c>
      <c r="E1248" t="inlineStr">
        <is>
          <t>STRÖMSUND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36500-2024</t>
        </is>
      </c>
      <c r="B1249" s="1" t="n">
        <v>45537.40877314815</v>
      </c>
      <c r="C1249" s="1" t="n">
        <v>46033</v>
      </c>
      <c r="D1249" t="inlineStr">
        <is>
          <t>JÄMTLANDS LÄN</t>
        </is>
      </c>
      <c r="E1249" t="inlineStr">
        <is>
          <t>STRÖMSUND</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44390-2023</t>
        </is>
      </c>
      <c r="B1250" s="1" t="n">
        <v>45188.94512731482</v>
      </c>
      <c r="C1250" s="1" t="n">
        <v>46033</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40862-2022</t>
        </is>
      </c>
      <c r="B1251" s="1" t="n">
        <v>44820</v>
      </c>
      <c r="C1251" s="1" t="n">
        <v>46033</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46688-2025</t>
        </is>
      </c>
      <c r="B1252" s="1" t="n">
        <v>45926.55293981481</v>
      </c>
      <c r="C1252" s="1" t="n">
        <v>46033</v>
      </c>
      <c r="D1252" t="inlineStr">
        <is>
          <t>JÄMTLANDS LÄN</t>
        </is>
      </c>
      <c r="E1252" t="inlineStr">
        <is>
          <t>STRÖMSUND</t>
        </is>
      </c>
      <c r="F1252" t="inlineStr">
        <is>
          <t>SCA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12265-2025</t>
        </is>
      </c>
      <c r="B1253" s="1" t="n">
        <v>45729</v>
      </c>
      <c r="C1253" s="1" t="n">
        <v>46033</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46543-2025</t>
        </is>
      </c>
      <c r="B1254" s="1" t="n">
        <v>45926.34476851852</v>
      </c>
      <c r="C1254" s="1" t="n">
        <v>46033</v>
      </c>
      <c r="D1254" t="inlineStr">
        <is>
          <t>JÄMTLANDS LÄN</t>
        </is>
      </c>
      <c r="E1254" t="inlineStr">
        <is>
          <t>STRÖMSUND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31441-2025</t>
        </is>
      </c>
      <c r="B1255" s="1" t="n">
        <v>45833.51097222222</v>
      </c>
      <c r="C1255" s="1" t="n">
        <v>46033</v>
      </c>
      <c r="D1255" t="inlineStr">
        <is>
          <t>JÄMTLANDS LÄN</t>
        </is>
      </c>
      <c r="E1255" t="inlineStr">
        <is>
          <t>STRÖMSUND</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40272-2022</t>
        </is>
      </c>
      <c r="B1256" s="1" t="n">
        <v>44820</v>
      </c>
      <c r="C1256" s="1" t="n">
        <v>46033</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47121-2025</t>
        </is>
      </c>
      <c r="B1257" s="1" t="n">
        <v>45929.67857638889</v>
      </c>
      <c r="C1257" s="1" t="n">
        <v>46033</v>
      </c>
      <c r="D1257" t="inlineStr">
        <is>
          <t>JÄMTLANDS LÄN</t>
        </is>
      </c>
      <c r="E1257" t="inlineStr">
        <is>
          <t>STRÖMSUND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24206-2024</t>
        </is>
      </c>
      <c r="B1258" s="1" t="n">
        <v>45456</v>
      </c>
      <c r="C1258" s="1" t="n">
        <v>46033</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47331-2024</t>
        </is>
      </c>
      <c r="B1259" s="1" t="n">
        <v>45587.38944444444</v>
      </c>
      <c r="C1259" s="1" t="n">
        <v>46033</v>
      </c>
      <c r="D1259" t="inlineStr">
        <is>
          <t>JÄMTLANDS LÄN</t>
        </is>
      </c>
      <c r="E1259" t="inlineStr">
        <is>
          <t>STRÖMSUND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31187-2025</t>
        </is>
      </c>
      <c r="B1260" s="1" t="n">
        <v>45832.67828703704</v>
      </c>
      <c r="C1260" s="1" t="n">
        <v>46033</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64505-2021</t>
        </is>
      </c>
      <c r="B1261" s="1" t="n">
        <v>44511</v>
      </c>
      <c r="C1261" s="1" t="n">
        <v>46033</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46745-2025</t>
        </is>
      </c>
      <c r="B1262" s="1" t="n">
        <v>45926</v>
      </c>
      <c r="C1262" s="1" t="n">
        <v>46033</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32907-2024</t>
        </is>
      </c>
      <c r="B1263" s="1" t="n">
        <v>45516.9477662037</v>
      </c>
      <c r="C1263" s="1" t="n">
        <v>46033</v>
      </c>
      <c r="D1263" t="inlineStr">
        <is>
          <t>JÄMTLANDS LÄN</t>
        </is>
      </c>
      <c r="E1263" t="inlineStr">
        <is>
          <t>STRÖMSUND</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29328-2023</t>
        </is>
      </c>
      <c r="B1264" s="1" t="n">
        <v>45105.94356481481</v>
      </c>
      <c r="C1264" s="1" t="n">
        <v>46033</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49752-2022</t>
        </is>
      </c>
      <c r="B1265" s="1" t="n">
        <v>44859</v>
      </c>
      <c r="C1265" s="1" t="n">
        <v>46033</v>
      </c>
      <c r="D1265" t="inlineStr">
        <is>
          <t>JÄMTLANDS LÄN</t>
        </is>
      </c>
      <c r="E1265" t="inlineStr">
        <is>
          <t>STRÖMSUND</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31142-2025</t>
        </is>
      </c>
      <c r="B1266" s="1" t="n">
        <v>45832.63677083333</v>
      </c>
      <c r="C1266" s="1" t="n">
        <v>46033</v>
      </c>
      <c r="D1266" t="inlineStr">
        <is>
          <t>JÄMTLANDS LÄN</t>
        </is>
      </c>
      <c r="E1266" t="inlineStr">
        <is>
          <t>STRÖMSUND</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49065-2025</t>
        </is>
      </c>
      <c r="B1267" s="1" t="n">
        <v>45937</v>
      </c>
      <c r="C1267" s="1" t="n">
        <v>46033</v>
      </c>
      <c r="D1267" t="inlineStr">
        <is>
          <t>JÄMTLANDS LÄN</t>
        </is>
      </c>
      <c r="E1267" t="inlineStr">
        <is>
          <t>STRÖMSUND</t>
        </is>
      </c>
      <c r="F1267" t="inlineStr">
        <is>
          <t>SCA</t>
        </is>
      </c>
      <c r="G1267" t="n">
        <v>42.6</v>
      </c>
      <c r="H1267" t="n">
        <v>0</v>
      </c>
      <c r="I1267" t="n">
        <v>0</v>
      </c>
      <c r="J1267" t="n">
        <v>0</v>
      </c>
      <c r="K1267" t="n">
        <v>0</v>
      </c>
      <c r="L1267" t="n">
        <v>0</v>
      </c>
      <c r="M1267" t="n">
        <v>0</v>
      </c>
      <c r="N1267" t="n">
        <v>0</v>
      </c>
      <c r="O1267" t="n">
        <v>0</v>
      </c>
      <c r="P1267" t="n">
        <v>0</v>
      </c>
      <c r="Q1267" t="n">
        <v>0</v>
      </c>
      <c r="R1267" s="2" t="inlineStr"/>
    </row>
    <row r="1268" ht="15" customHeight="1">
      <c r="A1268" t="inlineStr">
        <is>
          <t>A 46670-2025</t>
        </is>
      </c>
      <c r="B1268" s="1" t="n">
        <v>45926</v>
      </c>
      <c r="C1268" s="1" t="n">
        <v>46033</v>
      </c>
      <c r="D1268" t="inlineStr">
        <is>
          <t>JÄMTLANDS LÄN</t>
        </is>
      </c>
      <c r="E1268" t="inlineStr">
        <is>
          <t>STRÖMSUND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10047-2025</t>
        </is>
      </c>
      <c r="B1269" s="1" t="n">
        <v>45719.51087962963</v>
      </c>
      <c r="C1269" s="1" t="n">
        <v>46033</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31155-2025</t>
        </is>
      </c>
      <c r="B1270" s="1" t="n">
        <v>45832.65060185185</v>
      </c>
      <c r="C1270" s="1" t="n">
        <v>46033</v>
      </c>
      <c r="D1270" t="inlineStr">
        <is>
          <t>JÄMTLANDS LÄN</t>
        </is>
      </c>
      <c r="E1270" t="inlineStr">
        <is>
          <t>STRÖMSUND</t>
        </is>
      </c>
      <c r="F1270" t="inlineStr">
        <is>
          <t>Holmen skog AB</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34023-2022</t>
        </is>
      </c>
      <c r="B1271" s="1" t="n">
        <v>44790</v>
      </c>
      <c r="C1271" s="1" t="n">
        <v>46033</v>
      </c>
      <c r="D1271" t="inlineStr">
        <is>
          <t>JÄMTLANDS LÄN</t>
        </is>
      </c>
      <c r="E1271" t="inlineStr">
        <is>
          <t>STRÖMSUND</t>
        </is>
      </c>
      <c r="G1271" t="n">
        <v>34.5</v>
      </c>
      <c r="H1271" t="n">
        <v>0</v>
      </c>
      <c r="I1271" t="n">
        <v>0</v>
      </c>
      <c r="J1271" t="n">
        <v>0</v>
      </c>
      <c r="K1271" t="n">
        <v>0</v>
      </c>
      <c r="L1271" t="n">
        <v>0</v>
      </c>
      <c r="M1271" t="n">
        <v>0</v>
      </c>
      <c r="N1271" t="n">
        <v>0</v>
      </c>
      <c r="O1271" t="n">
        <v>0</v>
      </c>
      <c r="P1271" t="n">
        <v>0</v>
      </c>
      <c r="Q1271" t="n">
        <v>0</v>
      </c>
      <c r="R1271" s="2" t="inlineStr"/>
    </row>
    <row r="1272" ht="15" customHeight="1">
      <c r="A1272" t="inlineStr">
        <is>
          <t>A 31160-2025</t>
        </is>
      </c>
      <c r="B1272" s="1" t="n">
        <v>45832.65451388889</v>
      </c>
      <c r="C1272" s="1" t="n">
        <v>46033</v>
      </c>
      <c r="D1272" t="inlineStr">
        <is>
          <t>JÄMTLANDS LÄN</t>
        </is>
      </c>
      <c r="E1272" t="inlineStr">
        <is>
          <t>STRÖMSUND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26035-2024</t>
        </is>
      </c>
      <c r="B1273" s="1" t="n">
        <v>45467.96373842593</v>
      </c>
      <c r="C1273" s="1" t="n">
        <v>46033</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31184-2025</t>
        </is>
      </c>
      <c r="B1274" s="1" t="n">
        <v>45832.67788194444</v>
      </c>
      <c r="C1274" s="1" t="n">
        <v>46033</v>
      </c>
      <c r="D1274" t="inlineStr">
        <is>
          <t>JÄMTLANDS LÄN</t>
        </is>
      </c>
      <c r="E1274" t="inlineStr">
        <is>
          <t>STRÖMSUND</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47526-2025</t>
        </is>
      </c>
      <c r="B1275" s="1" t="n">
        <v>45931.34471064815</v>
      </c>
      <c r="C1275" s="1" t="n">
        <v>46033</v>
      </c>
      <c r="D1275" t="inlineStr">
        <is>
          <t>JÄMTLANDS LÄN</t>
        </is>
      </c>
      <c r="E1275" t="inlineStr">
        <is>
          <t>STRÖMSUND</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60531-2025</t>
        </is>
      </c>
      <c r="B1276" s="1" t="n">
        <v>45995.65673611111</v>
      </c>
      <c r="C1276" s="1" t="n">
        <v>46033</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60546-2025</t>
        </is>
      </c>
      <c r="B1277" s="1" t="n">
        <v>45995.69835648148</v>
      </c>
      <c r="C1277" s="1" t="n">
        <v>46033</v>
      </c>
      <c r="D1277" t="inlineStr">
        <is>
          <t>JÄMTLANDS LÄN</t>
        </is>
      </c>
      <c r="E1277" t="inlineStr">
        <is>
          <t>STRÖMSUND</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3693-2023</t>
        </is>
      </c>
      <c r="B1278" s="1" t="n">
        <v>44950</v>
      </c>
      <c r="C1278" s="1" t="n">
        <v>46033</v>
      </c>
      <c r="D1278" t="inlineStr">
        <is>
          <t>JÄMTLANDS LÄN</t>
        </is>
      </c>
      <c r="E1278" t="inlineStr">
        <is>
          <t>STRÖMSUND</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51889-2022</t>
        </is>
      </c>
      <c r="B1279" s="1" t="n">
        <v>44867</v>
      </c>
      <c r="C1279" s="1" t="n">
        <v>46033</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31091-2025</t>
        </is>
      </c>
      <c r="B1280" s="1" t="n">
        <v>45832.59475694445</v>
      </c>
      <c r="C1280" s="1" t="n">
        <v>46033</v>
      </c>
      <c r="D1280" t="inlineStr">
        <is>
          <t>JÄMTLANDS LÄN</t>
        </is>
      </c>
      <c r="E1280" t="inlineStr">
        <is>
          <t>STRÖMSUND</t>
        </is>
      </c>
      <c r="F1280" t="inlineStr">
        <is>
          <t>SCA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12018-2022</t>
        </is>
      </c>
      <c r="B1281" s="1" t="n">
        <v>44635</v>
      </c>
      <c r="C1281" s="1" t="n">
        <v>46033</v>
      </c>
      <c r="D1281" t="inlineStr">
        <is>
          <t>JÄMTLANDS LÄN</t>
        </is>
      </c>
      <c r="E1281" t="inlineStr">
        <is>
          <t>STRÖMSUND</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19652-2023</t>
        </is>
      </c>
      <c r="B1282" s="1" t="n">
        <v>45050</v>
      </c>
      <c r="C1282" s="1" t="n">
        <v>46033</v>
      </c>
      <c r="D1282" t="inlineStr">
        <is>
          <t>JÄMTLANDS LÄN</t>
        </is>
      </c>
      <c r="E1282" t="inlineStr">
        <is>
          <t>STRÖMSUND</t>
        </is>
      </c>
      <c r="F1282" t="inlineStr">
        <is>
          <t>Kommuner</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19656-2023</t>
        </is>
      </c>
      <c r="B1283" s="1" t="n">
        <v>45050</v>
      </c>
      <c r="C1283" s="1" t="n">
        <v>46033</v>
      </c>
      <c r="D1283" t="inlineStr">
        <is>
          <t>JÄMTLANDS LÄN</t>
        </is>
      </c>
      <c r="E1283" t="inlineStr">
        <is>
          <t>STRÖMSUND</t>
        </is>
      </c>
      <c r="F1283" t="inlineStr">
        <is>
          <t>Kommuner</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19658-2023</t>
        </is>
      </c>
      <c r="B1284" s="1" t="n">
        <v>45050</v>
      </c>
      <c r="C1284" s="1" t="n">
        <v>46033</v>
      </c>
      <c r="D1284" t="inlineStr">
        <is>
          <t>JÄMTLANDS LÄN</t>
        </is>
      </c>
      <c r="E1284" t="inlineStr">
        <is>
          <t>STRÖMSUND</t>
        </is>
      </c>
      <c r="F1284" t="inlineStr">
        <is>
          <t>Kommuner</t>
        </is>
      </c>
      <c r="G1284" t="n">
        <v>23.7</v>
      </c>
      <c r="H1284" t="n">
        <v>0</v>
      </c>
      <c r="I1284" t="n">
        <v>0</v>
      </c>
      <c r="J1284" t="n">
        <v>0</v>
      </c>
      <c r="K1284" t="n">
        <v>0</v>
      </c>
      <c r="L1284" t="n">
        <v>0</v>
      </c>
      <c r="M1284" t="n">
        <v>0</v>
      </c>
      <c r="N1284" t="n">
        <v>0</v>
      </c>
      <c r="O1284" t="n">
        <v>0</v>
      </c>
      <c r="P1284" t="n">
        <v>0</v>
      </c>
      <c r="Q1284" t="n">
        <v>0</v>
      </c>
      <c r="R1284" s="2" t="inlineStr"/>
    </row>
    <row r="1285" ht="15" customHeight="1">
      <c r="A1285" t="inlineStr">
        <is>
          <t>A 47194-2025</t>
        </is>
      </c>
      <c r="B1285" s="1" t="n">
        <v>45930.34498842592</v>
      </c>
      <c r="C1285" s="1" t="n">
        <v>46033</v>
      </c>
      <c r="D1285" t="inlineStr">
        <is>
          <t>JÄMTLANDS LÄN</t>
        </is>
      </c>
      <c r="E1285" t="inlineStr">
        <is>
          <t>STRÖMSUND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47547-2025</t>
        </is>
      </c>
      <c r="B1286" s="1" t="n">
        <v>45931.36510416667</v>
      </c>
      <c r="C1286" s="1" t="n">
        <v>46033</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47269-2025</t>
        </is>
      </c>
      <c r="B1287" s="1" t="n">
        <v>45930</v>
      </c>
      <c r="C1287" s="1" t="n">
        <v>46033</v>
      </c>
      <c r="D1287" t="inlineStr">
        <is>
          <t>JÄMTLANDS LÄN</t>
        </is>
      </c>
      <c r="E1287" t="inlineStr">
        <is>
          <t>STRÖMSUND</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47528-2025</t>
        </is>
      </c>
      <c r="B1288" s="1" t="n">
        <v>45931.34568287037</v>
      </c>
      <c r="C1288" s="1" t="n">
        <v>46033</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58206-2024</t>
        </is>
      </c>
      <c r="B1289" s="1" t="n">
        <v>45632.4900462963</v>
      </c>
      <c r="C1289" s="1" t="n">
        <v>46033</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47663-2025</t>
        </is>
      </c>
      <c r="B1290" s="1" t="n">
        <v>45931.56105324074</v>
      </c>
      <c r="C1290" s="1" t="n">
        <v>46033</v>
      </c>
      <c r="D1290" t="inlineStr">
        <is>
          <t>JÄMTLANDS LÄN</t>
        </is>
      </c>
      <c r="E1290" t="inlineStr">
        <is>
          <t>STRÖMSUND</t>
        </is>
      </c>
      <c r="F1290" t="inlineStr">
        <is>
          <t>Holmen skog AB</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10647-2022</t>
        </is>
      </c>
      <c r="B1291" s="1" t="n">
        <v>44624</v>
      </c>
      <c r="C1291" s="1" t="n">
        <v>46033</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32297-2025</t>
        </is>
      </c>
      <c r="B1292" s="1" t="n">
        <v>45835.71186342592</v>
      </c>
      <c r="C1292" s="1" t="n">
        <v>46033</v>
      </c>
      <c r="D1292" t="inlineStr">
        <is>
          <t>JÄMTLANDS LÄN</t>
        </is>
      </c>
      <c r="E1292" t="inlineStr">
        <is>
          <t>STRÖMSUND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46033</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32072-2025</t>
        </is>
      </c>
      <c r="B1294" s="1" t="n">
        <v>45835.44925925926</v>
      </c>
      <c r="C1294" s="1" t="n">
        <v>46033</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47535-2025</t>
        </is>
      </c>
      <c r="B1295" s="1" t="n">
        <v>45931.34679398148</v>
      </c>
      <c r="C1295" s="1" t="n">
        <v>46033</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55754-2025</t>
        </is>
      </c>
      <c r="B1296" s="1" t="n">
        <v>45972</v>
      </c>
      <c r="C1296" s="1" t="n">
        <v>46033</v>
      </c>
      <c r="D1296" t="inlineStr">
        <is>
          <t>JÄMTLANDS LÄN</t>
        </is>
      </c>
      <c r="E1296" t="inlineStr">
        <is>
          <t>STRÖMSUND</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60680-2025</t>
        </is>
      </c>
      <c r="B1297" s="1" t="n">
        <v>45996.57351851852</v>
      </c>
      <c r="C1297" s="1" t="n">
        <v>46033</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43090-2024</t>
        </is>
      </c>
      <c r="B1298" s="1" t="n">
        <v>45567.52511574074</v>
      </c>
      <c r="C1298" s="1" t="n">
        <v>46033</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58729-2022</t>
        </is>
      </c>
      <c r="B1299" s="1" t="n">
        <v>44902.95266203704</v>
      </c>
      <c r="C1299" s="1" t="n">
        <v>46033</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12175-2025</t>
        </is>
      </c>
      <c r="B1300" s="1" t="n">
        <v>45729.4483912037</v>
      </c>
      <c r="C1300" s="1" t="n">
        <v>46033</v>
      </c>
      <c r="D1300" t="inlineStr">
        <is>
          <t>JÄMTLANDS LÄN</t>
        </is>
      </c>
      <c r="E1300" t="inlineStr">
        <is>
          <t>STRÖMSUND</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32103-2025</t>
        </is>
      </c>
      <c r="B1301" s="1" t="n">
        <v>45835.46946759259</v>
      </c>
      <c r="C1301" s="1" t="n">
        <v>46033</v>
      </c>
      <c r="D1301" t="inlineStr">
        <is>
          <t>JÄMTLANDS LÄN</t>
        </is>
      </c>
      <c r="E1301" t="inlineStr">
        <is>
          <t>STRÖMSUND</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52455-2025</t>
        </is>
      </c>
      <c r="B1302" s="1" t="n">
        <v>45954.42763888889</v>
      </c>
      <c r="C1302" s="1" t="n">
        <v>46033</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52788-2025</t>
        </is>
      </c>
      <c r="B1303" s="1" t="n">
        <v>45957.42761574074</v>
      </c>
      <c r="C1303" s="1" t="n">
        <v>46033</v>
      </c>
      <c r="D1303" t="inlineStr">
        <is>
          <t>JÄMTLANDS LÄN</t>
        </is>
      </c>
      <c r="E1303" t="inlineStr">
        <is>
          <t>STRÖMSUND</t>
        </is>
      </c>
      <c r="F1303" t="inlineStr">
        <is>
          <t>SCA</t>
        </is>
      </c>
      <c r="G1303" t="n">
        <v>15.5</v>
      </c>
      <c r="H1303" t="n">
        <v>0</v>
      </c>
      <c r="I1303" t="n">
        <v>0</v>
      </c>
      <c r="J1303" t="n">
        <v>0</v>
      </c>
      <c r="K1303" t="n">
        <v>0</v>
      </c>
      <c r="L1303" t="n">
        <v>0</v>
      </c>
      <c r="M1303" t="n">
        <v>0</v>
      </c>
      <c r="N1303" t="n">
        <v>0</v>
      </c>
      <c r="O1303" t="n">
        <v>0</v>
      </c>
      <c r="P1303" t="n">
        <v>0</v>
      </c>
      <c r="Q1303" t="n">
        <v>0</v>
      </c>
      <c r="R1303" s="2" t="inlineStr"/>
    </row>
    <row r="1304" ht="15" customHeight="1">
      <c r="A1304" t="inlineStr">
        <is>
          <t>A 47525-2025</t>
        </is>
      </c>
      <c r="B1304" s="1" t="n">
        <v>45931.34449074074</v>
      </c>
      <c r="C1304" s="1" t="n">
        <v>46033</v>
      </c>
      <c r="D1304" t="inlineStr">
        <is>
          <t>JÄMTLANDS LÄN</t>
        </is>
      </c>
      <c r="E1304" t="inlineStr">
        <is>
          <t>STRÖMSUND</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31694-2025</t>
        </is>
      </c>
      <c r="B1305" s="1" t="n">
        <v>45834.40692129629</v>
      </c>
      <c r="C1305" s="1" t="n">
        <v>46033</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32006-2025</t>
        </is>
      </c>
      <c r="B1306" s="1" t="n">
        <v>45835.38586805556</v>
      </c>
      <c r="C1306" s="1" t="n">
        <v>46033</v>
      </c>
      <c r="D1306" t="inlineStr">
        <is>
          <t>JÄMTLANDS LÄN</t>
        </is>
      </c>
      <c r="E1306" t="inlineStr">
        <is>
          <t>STRÖMSUND</t>
        </is>
      </c>
      <c r="F1306" t="inlineStr">
        <is>
          <t>SCA</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32023-2025</t>
        </is>
      </c>
      <c r="B1307" s="1" t="n">
        <v>45835.40689814815</v>
      </c>
      <c r="C1307" s="1" t="n">
        <v>46033</v>
      </c>
      <c r="D1307" t="inlineStr">
        <is>
          <t>JÄMTLANDS LÄN</t>
        </is>
      </c>
      <c r="E1307" t="inlineStr">
        <is>
          <t>STRÖMSUND</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52848-2025</t>
        </is>
      </c>
      <c r="B1308" s="1" t="n">
        <v>45957.49008101852</v>
      </c>
      <c r="C1308" s="1" t="n">
        <v>46033</v>
      </c>
      <c r="D1308" t="inlineStr">
        <is>
          <t>JÄMTLANDS LÄN</t>
        </is>
      </c>
      <c r="E1308" t="inlineStr">
        <is>
          <t>STRÖMSUND</t>
        </is>
      </c>
      <c r="F1308" t="inlineStr">
        <is>
          <t>SCA</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32027-2025</t>
        </is>
      </c>
      <c r="B1309" s="1" t="n">
        <v>45835.40758101852</v>
      </c>
      <c r="C1309" s="1" t="n">
        <v>46033</v>
      </c>
      <c r="D1309" t="inlineStr">
        <is>
          <t>JÄMTLANDS LÄN</t>
        </is>
      </c>
      <c r="E1309" t="inlineStr">
        <is>
          <t>STRÖMSUND</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13350-2025</t>
        </is>
      </c>
      <c r="B1310" s="1" t="n">
        <v>45735.63578703703</v>
      </c>
      <c r="C1310" s="1" t="n">
        <v>46033</v>
      </c>
      <c r="D1310" t="inlineStr">
        <is>
          <t>JÄMTLANDS LÄN</t>
        </is>
      </c>
      <c r="E1310" t="inlineStr">
        <is>
          <t>STRÖMSUND</t>
        </is>
      </c>
      <c r="F1310" t="inlineStr">
        <is>
          <t>SCA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56312-2023</t>
        </is>
      </c>
      <c r="B1311" s="1" t="n">
        <v>45242</v>
      </c>
      <c r="C1311" s="1" t="n">
        <v>46033</v>
      </c>
      <c r="D1311" t="inlineStr">
        <is>
          <t>JÄMTLANDS LÄN</t>
        </is>
      </c>
      <c r="E1311" t="inlineStr">
        <is>
          <t>STRÖMSUND</t>
        </is>
      </c>
      <c r="F1311" t="inlineStr">
        <is>
          <t>SCA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56314-2023</t>
        </is>
      </c>
      <c r="B1312" s="1" t="n">
        <v>45242.96574074074</v>
      </c>
      <c r="C1312" s="1" t="n">
        <v>46033</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58580-2023</t>
        </is>
      </c>
      <c r="B1313" s="1" t="n">
        <v>45251.45293981482</v>
      </c>
      <c r="C1313" s="1" t="n">
        <v>46033</v>
      </c>
      <c r="D1313" t="inlineStr">
        <is>
          <t>JÄMTLANDS LÄN</t>
        </is>
      </c>
      <c r="E1313" t="inlineStr">
        <is>
          <t>STRÖMSUND</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48288-2025</t>
        </is>
      </c>
      <c r="B1314" s="1" t="n">
        <v>45933.59466435185</v>
      </c>
      <c r="C1314" s="1" t="n">
        <v>46033</v>
      </c>
      <c r="D1314" t="inlineStr">
        <is>
          <t>JÄMTLANDS LÄN</t>
        </is>
      </c>
      <c r="E1314" t="inlineStr">
        <is>
          <t>STRÖMSUND</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33718-2023</t>
        </is>
      </c>
      <c r="B1315" s="1" t="n">
        <v>45132.9502662037</v>
      </c>
      <c r="C1315" s="1" t="n">
        <v>46033</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55656-2023</t>
        </is>
      </c>
      <c r="B1316" s="1" t="n">
        <v>45238.96670138889</v>
      </c>
      <c r="C1316" s="1" t="n">
        <v>46033</v>
      </c>
      <c r="D1316" t="inlineStr">
        <is>
          <t>JÄMTLANDS LÄN</t>
        </is>
      </c>
      <c r="E1316" t="inlineStr">
        <is>
          <t>STRÖMSUND</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32028-2025</t>
        </is>
      </c>
      <c r="B1317" s="1" t="n">
        <v>45835.40774305556</v>
      </c>
      <c r="C1317" s="1" t="n">
        <v>46033</v>
      </c>
      <c r="D1317" t="inlineStr">
        <is>
          <t>JÄMTLANDS LÄN</t>
        </is>
      </c>
      <c r="E1317" t="inlineStr">
        <is>
          <t>STRÖMSUND</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19761-2025</t>
        </is>
      </c>
      <c r="B1318" s="1" t="n">
        <v>45771.40674768519</v>
      </c>
      <c r="C1318" s="1" t="n">
        <v>46033</v>
      </c>
      <c r="D1318" t="inlineStr">
        <is>
          <t>JÄMTLANDS LÄN</t>
        </is>
      </c>
      <c r="E1318" t="inlineStr">
        <is>
          <t>STRÖMSUND</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31722-2025</t>
        </is>
      </c>
      <c r="B1319" s="1" t="n">
        <v>45834.46181712963</v>
      </c>
      <c r="C1319" s="1" t="n">
        <v>46033</v>
      </c>
      <c r="D1319" t="inlineStr">
        <is>
          <t>JÄMTLANDS LÄN</t>
        </is>
      </c>
      <c r="E1319" t="inlineStr">
        <is>
          <t>STRÖMSUND</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34227-2024</t>
        </is>
      </c>
      <c r="B1320" s="1" t="n">
        <v>45524.55819444444</v>
      </c>
      <c r="C1320" s="1" t="n">
        <v>46033</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31769-2025</t>
        </is>
      </c>
      <c r="B1321" s="1" t="n">
        <v>45834.5025</v>
      </c>
      <c r="C1321" s="1" t="n">
        <v>46033</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48116-2025</t>
        </is>
      </c>
      <c r="B1322" s="1" t="n">
        <v>45933.35678240741</v>
      </c>
      <c r="C1322" s="1" t="n">
        <v>46033</v>
      </c>
      <c r="D1322" t="inlineStr">
        <is>
          <t>JÄMTLANDS LÄN</t>
        </is>
      </c>
      <c r="E1322" t="inlineStr">
        <is>
          <t>STRÖMSUND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48133-2025</t>
        </is>
      </c>
      <c r="B1323" s="1" t="n">
        <v>45933.37028935185</v>
      </c>
      <c r="C1323" s="1" t="n">
        <v>46033</v>
      </c>
      <c r="D1323" t="inlineStr">
        <is>
          <t>JÄMTLANDS LÄN</t>
        </is>
      </c>
      <c r="E1323" t="inlineStr">
        <is>
          <t>STRÖMSUND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45809-2023</t>
        </is>
      </c>
      <c r="B1324" s="1" t="n">
        <v>45195.49412037037</v>
      </c>
      <c r="C1324" s="1" t="n">
        <v>46033</v>
      </c>
      <c r="D1324" t="inlineStr">
        <is>
          <t>JÄMTLANDS LÄN</t>
        </is>
      </c>
      <c r="E1324" t="inlineStr">
        <is>
          <t>STRÖMSUND</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58587-2023</t>
        </is>
      </c>
      <c r="B1325" s="1" t="n">
        <v>45251</v>
      </c>
      <c r="C1325" s="1" t="n">
        <v>46033</v>
      </c>
      <c r="D1325" t="inlineStr">
        <is>
          <t>JÄMTLANDS LÄN</t>
        </is>
      </c>
      <c r="E1325" t="inlineStr">
        <is>
          <t>STRÖMSUND</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31877-2025</t>
        </is>
      </c>
      <c r="B1326" s="1" t="n">
        <v>45834.65267361111</v>
      </c>
      <c r="C1326" s="1" t="n">
        <v>46033</v>
      </c>
      <c r="D1326" t="inlineStr">
        <is>
          <t>JÄMTLANDS LÄN</t>
        </is>
      </c>
      <c r="E1326" t="inlineStr">
        <is>
          <t>STRÖMSUND</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60366-2024</t>
        </is>
      </c>
      <c r="B1327" s="1" t="n">
        <v>45643.45707175926</v>
      </c>
      <c r="C1327" s="1" t="n">
        <v>46033</v>
      </c>
      <c r="D1327" t="inlineStr">
        <is>
          <t>JÄMTLANDS LÄN</t>
        </is>
      </c>
      <c r="E1327" t="inlineStr">
        <is>
          <t>STRÖMSUND</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47985-2025</t>
        </is>
      </c>
      <c r="B1328" s="1" t="n">
        <v>45932</v>
      </c>
      <c r="C1328" s="1" t="n">
        <v>46033</v>
      </c>
      <c r="D1328" t="inlineStr">
        <is>
          <t>JÄMTLANDS LÄN</t>
        </is>
      </c>
      <c r="E1328" t="inlineStr">
        <is>
          <t>STRÖMSUND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31712-2025</t>
        </is>
      </c>
      <c r="B1329" s="1" t="n">
        <v>45834.44834490741</v>
      </c>
      <c r="C1329" s="1" t="n">
        <v>46033</v>
      </c>
      <c r="D1329" t="inlineStr">
        <is>
          <t>JÄMTLANDS LÄN</t>
        </is>
      </c>
      <c r="E1329" t="inlineStr">
        <is>
          <t>STRÖMSUND</t>
        </is>
      </c>
      <c r="F1329" t="inlineStr">
        <is>
          <t>SCA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17789-2023</t>
        </is>
      </c>
      <c r="B1330" s="1" t="n">
        <v>45036</v>
      </c>
      <c r="C1330" s="1" t="n">
        <v>46033</v>
      </c>
      <c r="D1330" t="inlineStr">
        <is>
          <t>JÄMTLANDS LÄN</t>
        </is>
      </c>
      <c r="E1330" t="inlineStr">
        <is>
          <t>STRÖMSUND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17798-2023</t>
        </is>
      </c>
      <c r="B1331" s="1" t="n">
        <v>45036</v>
      </c>
      <c r="C1331" s="1" t="n">
        <v>46033</v>
      </c>
      <c r="D1331" t="inlineStr">
        <is>
          <t>JÄMTLANDS LÄN</t>
        </is>
      </c>
      <c r="E1331" t="inlineStr">
        <is>
          <t>STRÖMSUND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48071-2025</t>
        </is>
      </c>
      <c r="B1332" s="1" t="n">
        <v>45932.6990625</v>
      </c>
      <c r="C1332" s="1" t="n">
        <v>46033</v>
      </c>
      <c r="D1332" t="inlineStr">
        <is>
          <t>JÄMTLANDS LÄN</t>
        </is>
      </c>
      <c r="E1332" t="inlineStr">
        <is>
          <t>STRÖMSUND</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60917-2025</t>
        </is>
      </c>
      <c r="B1333" s="1" t="n">
        <v>45999.61521990741</v>
      </c>
      <c r="C1333" s="1" t="n">
        <v>46033</v>
      </c>
      <c r="D1333" t="inlineStr">
        <is>
          <t>JÄMTLANDS LÄN</t>
        </is>
      </c>
      <c r="E1333" t="inlineStr">
        <is>
          <t>STRÖMSUND</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32895-2025</t>
        </is>
      </c>
      <c r="B1334" s="1" t="n">
        <v>45839.61513888889</v>
      </c>
      <c r="C1334" s="1" t="n">
        <v>46033</v>
      </c>
      <c r="D1334" t="inlineStr">
        <is>
          <t>JÄMTLANDS LÄN</t>
        </is>
      </c>
      <c r="E1334" t="inlineStr">
        <is>
          <t>STRÖMSUND</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32473-2025</t>
        </is>
      </c>
      <c r="B1335" s="1" t="n">
        <v>45838.42783564814</v>
      </c>
      <c r="C1335" s="1" t="n">
        <v>46033</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32652-2025</t>
        </is>
      </c>
      <c r="B1336" s="1" t="n">
        <v>45838.67770833334</v>
      </c>
      <c r="C1336" s="1" t="n">
        <v>46033</v>
      </c>
      <c r="D1336" t="inlineStr">
        <is>
          <t>JÄMTLANDS LÄN</t>
        </is>
      </c>
      <c r="E1336" t="inlineStr">
        <is>
          <t>STRÖMSUND</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46329-2025</t>
        </is>
      </c>
      <c r="B1337" s="1" t="n">
        <v>45925</v>
      </c>
      <c r="C1337" s="1" t="n">
        <v>46033</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60832-2025</t>
        </is>
      </c>
      <c r="B1338" s="1" t="n">
        <v>45999.46952546296</v>
      </c>
      <c r="C1338" s="1" t="n">
        <v>46033</v>
      </c>
      <c r="D1338" t="inlineStr">
        <is>
          <t>JÄMTLANDS LÄN</t>
        </is>
      </c>
      <c r="E1338" t="inlineStr">
        <is>
          <t>STRÖMSUND</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48113-2025</t>
        </is>
      </c>
      <c r="B1339" s="1" t="n">
        <v>45933.35113425926</v>
      </c>
      <c r="C1339" s="1" t="n">
        <v>46033</v>
      </c>
      <c r="D1339" t="inlineStr">
        <is>
          <t>JÄMTLANDS LÄN</t>
        </is>
      </c>
      <c r="E1339" t="inlineStr">
        <is>
          <t>STRÖMSUND</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48164-2025</t>
        </is>
      </c>
      <c r="B1340" s="1" t="n">
        <v>45933.42774305555</v>
      </c>
      <c r="C1340" s="1" t="n">
        <v>46033</v>
      </c>
      <c r="D1340" t="inlineStr">
        <is>
          <t>JÄMTLANDS LÄN</t>
        </is>
      </c>
      <c r="E1340" t="inlineStr">
        <is>
          <t>STRÖMSUND</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60728-2025</t>
        </is>
      </c>
      <c r="B1341" s="1" t="n">
        <v>45996.68180555556</v>
      </c>
      <c r="C1341" s="1" t="n">
        <v>46033</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9851-2023</t>
        </is>
      </c>
      <c r="B1342" s="1" t="n">
        <v>44984</v>
      </c>
      <c r="C1342" s="1" t="n">
        <v>46033</v>
      </c>
      <c r="D1342" t="inlineStr">
        <is>
          <t>JÄMTLANDS LÄN</t>
        </is>
      </c>
      <c r="E1342" t="inlineStr">
        <is>
          <t>STRÖMSUND</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48060-2025</t>
        </is>
      </c>
      <c r="B1343" s="1" t="n">
        <v>45932.67990740741</v>
      </c>
      <c r="C1343" s="1" t="n">
        <v>46033</v>
      </c>
      <c r="D1343" t="inlineStr">
        <is>
          <t>JÄMTLANDS LÄN</t>
        </is>
      </c>
      <c r="E1343" t="inlineStr">
        <is>
          <t>STRÖMSUND</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48124-2025</t>
        </is>
      </c>
      <c r="B1344" s="1" t="n">
        <v>45933.36506944444</v>
      </c>
      <c r="C1344" s="1" t="n">
        <v>46033</v>
      </c>
      <c r="D1344" t="inlineStr">
        <is>
          <t>JÄMTLANDS LÄN</t>
        </is>
      </c>
      <c r="E1344" t="inlineStr">
        <is>
          <t>STRÖMSUND</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48139-2025</t>
        </is>
      </c>
      <c r="B1345" s="1" t="n">
        <v>45933.38321759259</v>
      </c>
      <c r="C1345" s="1" t="n">
        <v>46033</v>
      </c>
      <c r="D1345" t="inlineStr">
        <is>
          <t>JÄMTLANDS LÄN</t>
        </is>
      </c>
      <c r="E1345" t="inlineStr">
        <is>
          <t>STRÖMSUND</t>
        </is>
      </c>
      <c r="F1345" t="inlineStr">
        <is>
          <t>SCA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48144-2025</t>
        </is>
      </c>
      <c r="B1346" s="1" t="n">
        <v>45933.38697916667</v>
      </c>
      <c r="C1346" s="1" t="n">
        <v>46033</v>
      </c>
      <c r="D1346" t="inlineStr">
        <is>
          <t>JÄMTLANDS LÄN</t>
        </is>
      </c>
      <c r="E1346" t="inlineStr">
        <is>
          <t>STRÖMSUND</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48146-2025</t>
        </is>
      </c>
      <c r="B1347" s="1" t="n">
        <v>45933.39275462963</v>
      </c>
      <c r="C1347" s="1" t="n">
        <v>46033</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47818-2025</t>
        </is>
      </c>
      <c r="B1348" s="1" t="n">
        <v>45932.33578703704</v>
      </c>
      <c r="C1348" s="1" t="n">
        <v>46033</v>
      </c>
      <c r="D1348" t="inlineStr">
        <is>
          <t>JÄMTLANDS LÄN</t>
        </is>
      </c>
      <c r="E1348" t="inlineStr">
        <is>
          <t>STRÖMSUND</t>
        </is>
      </c>
      <c r="F1348" t="inlineStr">
        <is>
          <t>Holmen skog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57416-2023</t>
        </is>
      </c>
      <c r="B1349" s="1" t="n">
        <v>45245</v>
      </c>
      <c r="C1349" s="1" t="n">
        <v>46033</v>
      </c>
      <c r="D1349" t="inlineStr">
        <is>
          <t>JÄMTLANDS LÄN</t>
        </is>
      </c>
      <c r="E1349" t="inlineStr">
        <is>
          <t>STRÖMSUND</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48068-2025</t>
        </is>
      </c>
      <c r="B1350" s="1" t="n">
        <v>45932.6984837963</v>
      </c>
      <c r="C1350" s="1" t="n">
        <v>46033</v>
      </c>
      <c r="D1350" t="inlineStr">
        <is>
          <t>JÄMTLANDS LÄN</t>
        </is>
      </c>
      <c r="E1350" t="inlineStr">
        <is>
          <t>STRÖMSUND</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44642-2024</t>
        </is>
      </c>
      <c r="B1351" s="1" t="n">
        <v>45574.515625</v>
      </c>
      <c r="C1351" s="1" t="n">
        <v>46033</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3628-2024</t>
        </is>
      </c>
      <c r="B1352" s="1" t="n">
        <v>45320.95340277778</v>
      </c>
      <c r="C1352" s="1" t="n">
        <v>46033</v>
      </c>
      <c r="D1352" t="inlineStr">
        <is>
          <t>JÄMTLANDS LÄN</t>
        </is>
      </c>
      <c r="E1352" t="inlineStr">
        <is>
          <t>STRÖMSUND</t>
        </is>
      </c>
      <c r="F1352" t="inlineStr">
        <is>
          <t>SCA</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48051-2025</t>
        </is>
      </c>
      <c r="B1353" s="1" t="n">
        <v>45932.678125</v>
      </c>
      <c r="C1353" s="1" t="n">
        <v>46033</v>
      </c>
      <c r="D1353" t="inlineStr">
        <is>
          <t>JÄMTLANDS LÄN</t>
        </is>
      </c>
      <c r="E1353" t="inlineStr">
        <is>
          <t>STRÖMSUND</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32418-2025</t>
        </is>
      </c>
      <c r="B1354" s="1" t="n">
        <v>45838.34474537037</v>
      </c>
      <c r="C1354" s="1" t="n">
        <v>46033</v>
      </c>
      <c r="D1354" t="inlineStr">
        <is>
          <t>JÄMTLANDS LÄN</t>
        </is>
      </c>
      <c r="E1354" t="inlineStr">
        <is>
          <t>STRÖMSUND</t>
        </is>
      </c>
      <c r="F1354" t="inlineStr">
        <is>
          <t>SCA</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32442-2025</t>
        </is>
      </c>
      <c r="B1355" s="1" t="n">
        <v>45838.38597222222</v>
      </c>
      <c r="C1355" s="1" t="n">
        <v>46033</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48512-2025</t>
        </is>
      </c>
      <c r="B1356" s="1" t="n">
        <v>45936.38666666667</v>
      </c>
      <c r="C1356" s="1" t="n">
        <v>46033</v>
      </c>
      <c r="D1356" t="inlineStr">
        <is>
          <t>JÄMTLANDS LÄN</t>
        </is>
      </c>
      <c r="E1356" t="inlineStr">
        <is>
          <t>STRÖMSUND</t>
        </is>
      </c>
      <c r="F1356" t="inlineStr">
        <is>
          <t>SCA</t>
        </is>
      </c>
      <c r="G1356" t="n">
        <v>23.2</v>
      </c>
      <c r="H1356" t="n">
        <v>0</v>
      </c>
      <c r="I1356" t="n">
        <v>0</v>
      </c>
      <c r="J1356" t="n">
        <v>0</v>
      </c>
      <c r="K1356" t="n">
        <v>0</v>
      </c>
      <c r="L1356" t="n">
        <v>0</v>
      </c>
      <c r="M1356" t="n">
        <v>0</v>
      </c>
      <c r="N1356" t="n">
        <v>0</v>
      </c>
      <c r="O1356" t="n">
        <v>0</v>
      </c>
      <c r="P1356" t="n">
        <v>0</v>
      </c>
      <c r="Q1356" t="n">
        <v>0</v>
      </c>
      <c r="R1356" s="2" t="inlineStr"/>
    </row>
    <row r="1357" ht="15" customHeight="1">
      <c r="A1357" t="inlineStr">
        <is>
          <t>A 32746-2025</t>
        </is>
      </c>
      <c r="B1357" s="1" t="n">
        <v>45839.42783564814</v>
      </c>
      <c r="C1357" s="1" t="n">
        <v>46033</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48529-2025</t>
        </is>
      </c>
      <c r="B1358" s="1" t="n">
        <v>45936.40775462963</v>
      </c>
      <c r="C1358" s="1" t="n">
        <v>46033</v>
      </c>
      <c r="D1358" t="inlineStr">
        <is>
          <t>JÄMTLANDS LÄN</t>
        </is>
      </c>
      <c r="E1358" t="inlineStr">
        <is>
          <t>STRÖMSUND</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19674-2025</t>
        </is>
      </c>
      <c r="B1359" s="1" t="n">
        <v>45770</v>
      </c>
      <c r="C1359" s="1" t="n">
        <v>46033</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32471-2025</t>
        </is>
      </c>
      <c r="B1360" s="1" t="n">
        <v>45838.42762731481</v>
      </c>
      <c r="C1360" s="1" t="n">
        <v>46033</v>
      </c>
      <c r="D1360" t="inlineStr">
        <is>
          <t>JÄMTLANDS LÄN</t>
        </is>
      </c>
      <c r="E1360" t="inlineStr">
        <is>
          <t>STRÖMSUND</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52921-2025</t>
        </is>
      </c>
      <c r="B1361" s="1" t="n">
        <v>45957.61527777778</v>
      </c>
      <c r="C1361" s="1" t="n">
        <v>46033</v>
      </c>
      <c r="D1361" t="inlineStr">
        <is>
          <t>JÄMTLANDS LÄN</t>
        </is>
      </c>
      <c r="E1361" t="inlineStr">
        <is>
          <t>STRÖMSUND</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48474-2025</t>
        </is>
      </c>
      <c r="B1362" s="1" t="n">
        <v>45936.34571759259</v>
      </c>
      <c r="C1362" s="1" t="n">
        <v>46033</v>
      </c>
      <c r="D1362" t="inlineStr">
        <is>
          <t>JÄMTLANDS LÄN</t>
        </is>
      </c>
      <c r="E1362" t="inlineStr">
        <is>
          <t>STRÖMSUND</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46033</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46033</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45618-2025</t>
        </is>
      </c>
      <c r="B1365" s="1" t="n">
        <v>45922</v>
      </c>
      <c r="C1365" s="1" t="n">
        <v>46033</v>
      </c>
      <c r="D1365" t="inlineStr">
        <is>
          <t>JÄMTLANDS LÄN</t>
        </is>
      </c>
      <c r="E1365" t="inlineStr">
        <is>
          <t>STRÖMSUND</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32657-2025</t>
        </is>
      </c>
      <c r="B1366" s="1" t="n">
        <v>45838.67841435185</v>
      </c>
      <c r="C1366" s="1" t="n">
        <v>46033</v>
      </c>
      <c r="D1366" t="inlineStr">
        <is>
          <t>JÄMTLANDS LÄN</t>
        </is>
      </c>
      <c r="E1366" t="inlineStr">
        <is>
          <t>STRÖMSUND</t>
        </is>
      </c>
      <c r="G1366" t="n">
        <v>15.4</v>
      </c>
      <c r="H1366" t="n">
        <v>0</v>
      </c>
      <c r="I1366" t="n">
        <v>0</v>
      </c>
      <c r="J1366" t="n">
        <v>0</v>
      </c>
      <c r="K1366" t="n">
        <v>0</v>
      </c>
      <c r="L1366" t="n">
        <v>0</v>
      </c>
      <c r="M1366" t="n">
        <v>0</v>
      </c>
      <c r="N1366" t="n">
        <v>0</v>
      </c>
      <c r="O1366" t="n">
        <v>0</v>
      </c>
      <c r="P1366" t="n">
        <v>0</v>
      </c>
      <c r="Q1366" t="n">
        <v>0</v>
      </c>
      <c r="R1366" s="2" t="inlineStr"/>
    </row>
    <row r="1367" ht="15" customHeight="1">
      <c r="A1367" t="inlineStr">
        <is>
          <t>A 51174-2025</t>
        </is>
      </c>
      <c r="B1367" s="1" t="n">
        <v>45947</v>
      </c>
      <c r="C1367" s="1" t="n">
        <v>46033</v>
      </c>
      <c r="D1367" t="inlineStr">
        <is>
          <t>JÄMTLANDS LÄN</t>
        </is>
      </c>
      <c r="E1367" t="inlineStr">
        <is>
          <t>STRÖMSUND</t>
        </is>
      </c>
      <c r="F1367" t="inlineStr">
        <is>
          <t>Kyrkan</t>
        </is>
      </c>
      <c r="G1367" t="n">
        <v>41.9</v>
      </c>
      <c r="H1367" t="n">
        <v>0</v>
      </c>
      <c r="I1367" t="n">
        <v>0</v>
      </c>
      <c r="J1367" t="n">
        <v>0</v>
      </c>
      <c r="K1367" t="n">
        <v>0</v>
      </c>
      <c r="L1367" t="n">
        <v>0</v>
      </c>
      <c r="M1367" t="n">
        <v>0</v>
      </c>
      <c r="N1367" t="n">
        <v>0</v>
      </c>
      <c r="O1367" t="n">
        <v>0</v>
      </c>
      <c r="P1367" t="n">
        <v>0</v>
      </c>
      <c r="Q1367" t="n">
        <v>0</v>
      </c>
      <c r="R1367" s="2" t="inlineStr"/>
      <c r="U1367">
        <f>HYPERLINK("https://klasma.github.io/Logging_2313/knärot/A 51174-2025 karta knärot.png", "A 51174-2025")</f>
        <v/>
      </c>
      <c r="V1367">
        <f>HYPERLINK("https://klasma.github.io/Logging_2313/klagomål/A 51174-2025 FSC-klagomål.docx", "A 51174-2025")</f>
        <v/>
      </c>
      <c r="W1367">
        <f>HYPERLINK("https://klasma.github.io/Logging_2313/klagomålsmail/A 51174-2025 FSC-klagomål mail.docx", "A 51174-2025")</f>
        <v/>
      </c>
      <c r="X1367">
        <f>HYPERLINK("https://klasma.github.io/Logging_2313/tillsyn/A 51174-2025 tillsynsbegäran.docx", "A 51174-2025")</f>
        <v/>
      </c>
      <c r="Y1367">
        <f>HYPERLINK("https://klasma.github.io/Logging_2313/tillsynsmail/A 51174-2025 tillsynsbegäran mail.docx", "A 51174-2025")</f>
        <v/>
      </c>
    </row>
    <row r="1368" ht="15" customHeight="1">
      <c r="A1368" t="inlineStr">
        <is>
          <t>A 32733-2025</t>
        </is>
      </c>
      <c r="B1368" s="1" t="n">
        <v>45839.40694444445</v>
      </c>
      <c r="C1368" s="1" t="n">
        <v>46033</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32734-2025</t>
        </is>
      </c>
      <c r="B1369" s="1" t="n">
        <v>45839.40707175926</v>
      </c>
      <c r="C1369" s="1" t="n">
        <v>46033</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48552-2025</t>
        </is>
      </c>
      <c r="B1370" s="1" t="n">
        <v>45936.42752314815</v>
      </c>
      <c r="C1370" s="1" t="n">
        <v>46033</v>
      </c>
      <c r="D1370" t="inlineStr">
        <is>
          <t>JÄMTLANDS LÄN</t>
        </is>
      </c>
      <c r="E1370" t="inlineStr">
        <is>
          <t>STRÖMSUND</t>
        </is>
      </c>
      <c r="F1370" t="inlineStr">
        <is>
          <t>SCA</t>
        </is>
      </c>
      <c r="G1370" t="n">
        <v>20.4</v>
      </c>
      <c r="H1370" t="n">
        <v>0</v>
      </c>
      <c r="I1370" t="n">
        <v>0</v>
      </c>
      <c r="J1370" t="n">
        <v>0</v>
      </c>
      <c r="K1370" t="n">
        <v>0</v>
      </c>
      <c r="L1370" t="n">
        <v>0</v>
      </c>
      <c r="M1370" t="n">
        <v>0</v>
      </c>
      <c r="N1370" t="n">
        <v>0</v>
      </c>
      <c r="O1370" t="n">
        <v>0</v>
      </c>
      <c r="P1370" t="n">
        <v>0</v>
      </c>
      <c r="Q1370" t="n">
        <v>0</v>
      </c>
      <c r="R1370" s="2" t="inlineStr"/>
    </row>
    <row r="1371" ht="15" customHeight="1">
      <c r="A1371" t="inlineStr">
        <is>
          <t>A 32699-2025</t>
        </is>
      </c>
      <c r="B1371" s="1" t="n">
        <v>45839.34450231482</v>
      </c>
      <c r="C1371" s="1" t="n">
        <v>46033</v>
      </c>
      <c r="D1371" t="inlineStr">
        <is>
          <t>JÄMTLANDS LÄN</t>
        </is>
      </c>
      <c r="E1371" t="inlineStr">
        <is>
          <t>STRÖMSUND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32706-2025</t>
        </is>
      </c>
      <c r="B1372" s="1" t="n">
        <v>45839.36495370371</v>
      </c>
      <c r="C1372" s="1" t="n">
        <v>46033</v>
      </c>
      <c r="D1372" t="inlineStr">
        <is>
          <t>JÄMTLANDS LÄN</t>
        </is>
      </c>
      <c r="E1372" t="inlineStr">
        <is>
          <t>STRÖMSUND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15364-2024</t>
        </is>
      </c>
      <c r="B1373" s="1" t="n">
        <v>45400</v>
      </c>
      <c r="C1373" s="1" t="n">
        <v>46033</v>
      </c>
      <c r="D1373" t="inlineStr">
        <is>
          <t>JÄMTLANDS LÄN</t>
        </is>
      </c>
      <c r="E1373" t="inlineStr">
        <is>
          <t>STRÖMSUND</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27358-2025</t>
        </is>
      </c>
      <c r="B1374" s="1" t="n">
        <v>45812</v>
      </c>
      <c r="C1374" s="1" t="n">
        <v>46033</v>
      </c>
      <c r="D1374" t="inlineStr">
        <is>
          <t>JÄMTLANDS LÄN</t>
        </is>
      </c>
      <c r="E1374" t="inlineStr">
        <is>
          <t>STRÖMSUND</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40104-2023</t>
        </is>
      </c>
      <c r="B1375" s="1" t="n">
        <v>45168.93770833333</v>
      </c>
      <c r="C1375" s="1" t="n">
        <v>46033</v>
      </c>
      <c r="D1375" t="inlineStr">
        <is>
          <t>JÄMTLANDS LÄN</t>
        </is>
      </c>
      <c r="E1375" t="inlineStr">
        <is>
          <t>STRÖMSUND</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53795-2024</t>
        </is>
      </c>
      <c r="B1376" s="1" t="n">
        <v>45615</v>
      </c>
      <c r="C1376" s="1" t="n">
        <v>46033</v>
      </c>
      <c r="D1376" t="inlineStr">
        <is>
          <t>JÄMTLANDS LÄN</t>
        </is>
      </c>
      <c r="E1376" t="inlineStr">
        <is>
          <t>STRÖMSUND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32595-2025</t>
        </is>
      </c>
      <c r="B1377" s="1" t="n">
        <v>45838.61568287037</v>
      </c>
      <c r="C1377" s="1" t="n">
        <v>46033</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5948-2025</t>
        </is>
      </c>
      <c r="B1378" s="1" t="n">
        <v>45695</v>
      </c>
      <c r="C1378" s="1" t="n">
        <v>46033</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32925-2025</t>
        </is>
      </c>
      <c r="B1379" s="1" t="n">
        <v>45839.65662037037</v>
      </c>
      <c r="C1379" s="1" t="n">
        <v>46033</v>
      </c>
      <c r="D1379" t="inlineStr">
        <is>
          <t>JÄMTLANDS LÄN</t>
        </is>
      </c>
      <c r="E1379" t="inlineStr">
        <is>
          <t>STRÖMSUND</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48509-2025</t>
        </is>
      </c>
      <c r="B1380" s="1" t="n">
        <v>45936.38618055556</v>
      </c>
      <c r="C1380" s="1" t="n">
        <v>46033</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14812-2024</t>
        </is>
      </c>
      <c r="B1381" s="1" t="n">
        <v>45397</v>
      </c>
      <c r="C1381" s="1" t="n">
        <v>46033</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48639-2025</t>
        </is>
      </c>
      <c r="B1382" s="1" t="n">
        <v>45936.53175925926</v>
      </c>
      <c r="C1382" s="1" t="n">
        <v>46033</v>
      </c>
      <c r="D1382" t="inlineStr">
        <is>
          <t>JÄMTLANDS LÄN</t>
        </is>
      </c>
      <c r="E1382" t="inlineStr">
        <is>
          <t>STRÖMSUND</t>
        </is>
      </c>
      <c r="F1382" t="inlineStr">
        <is>
          <t>SCA</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46033</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32750-2025</t>
        </is>
      </c>
      <c r="B1384" s="1" t="n">
        <v>45839.42850694444</v>
      </c>
      <c r="C1384" s="1" t="n">
        <v>46033</v>
      </c>
      <c r="D1384" t="inlineStr">
        <is>
          <t>JÄMTLANDS LÄN</t>
        </is>
      </c>
      <c r="E1384" t="inlineStr">
        <is>
          <t>STRÖMSUND</t>
        </is>
      </c>
      <c r="F1384" t="inlineStr">
        <is>
          <t>SCA</t>
        </is>
      </c>
      <c r="G1384" t="n">
        <v>11.7</v>
      </c>
      <c r="H1384" t="n">
        <v>0</v>
      </c>
      <c r="I1384" t="n">
        <v>0</v>
      </c>
      <c r="J1384" t="n">
        <v>0</v>
      </c>
      <c r="K1384" t="n">
        <v>0</v>
      </c>
      <c r="L1384" t="n">
        <v>0</v>
      </c>
      <c r="M1384" t="n">
        <v>0</v>
      </c>
      <c r="N1384" t="n">
        <v>0</v>
      </c>
      <c r="O1384" t="n">
        <v>0</v>
      </c>
      <c r="P1384" t="n">
        <v>0</v>
      </c>
      <c r="Q1384" t="n">
        <v>0</v>
      </c>
      <c r="R1384" s="2" t="inlineStr"/>
    </row>
    <row r="1385" ht="15" customHeight="1">
      <c r="A1385" t="inlineStr">
        <is>
          <t>A 13686-2023</t>
        </is>
      </c>
      <c r="B1385" s="1" t="n">
        <v>45006</v>
      </c>
      <c r="C1385" s="1" t="n">
        <v>46033</v>
      </c>
      <c r="D1385" t="inlineStr">
        <is>
          <t>JÄMTLANDS LÄN</t>
        </is>
      </c>
      <c r="E1385" t="inlineStr">
        <is>
          <t>STRÖMSUND</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32472-2025</t>
        </is>
      </c>
      <c r="B1386" s="1" t="n">
        <v>45838.42770833334</v>
      </c>
      <c r="C1386" s="1" t="n">
        <v>46033</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32732-2025</t>
        </is>
      </c>
      <c r="B1387" s="1" t="n">
        <v>45839.40679398148</v>
      </c>
      <c r="C1387" s="1" t="n">
        <v>46033</v>
      </c>
      <c r="D1387" t="inlineStr">
        <is>
          <t>JÄMTLANDS LÄN</t>
        </is>
      </c>
      <c r="E1387" t="inlineStr">
        <is>
          <t>STRÖMSUND</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48525-2025</t>
        </is>
      </c>
      <c r="B1388" s="1" t="n">
        <v>45936.40680555555</v>
      </c>
      <c r="C1388" s="1" t="n">
        <v>46033</v>
      </c>
      <c r="D1388" t="inlineStr">
        <is>
          <t>JÄMTLANDS LÄN</t>
        </is>
      </c>
      <c r="E1388" t="inlineStr">
        <is>
          <t>STRÖMSUND</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5105-2024</t>
        </is>
      </c>
      <c r="B1389" s="1" t="n">
        <v>45330</v>
      </c>
      <c r="C1389" s="1" t="n">
        <v>46033</v>
      </c>
      <c r="D1389" t="inlineStr">
        <is>
          <t>JÄMTLANDS LÄN</t>
        </is>
      </c>
      <c r="E1389" t="inlineStr">
        <is>
          <t>STRÖMSUND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53873-2024</t>
        </is>
      </c>
      <c r="B1390" s="1" t="n">
        <v>45615.65570601852</v>
      </c>
      <c r="C1390" s="1" t="n">
        <v>46033</v>
      </c>
      <c r="D1390" t="inlineStr">
        <is>
          <t>JÄMTLANDS LÄN</t>
        </is>
      </c>
      <c r="E1390" t="inlineStr">
        <is>
          <t>STRÖMSUND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354-2025</t>
        </is>
      </c>
      <c r="B1391" s="1" t="n">
        <v>45659</v>
      </c>
      <c r="C1391" s="1" t="n">
        <v>46033</v>
      </c>
      <c r="D1391" t="inlineStr">
        <is>
          <t>JÄMTLANDS LÄN</t>
        </is>
      </c>
      <c r="E1391" t="inlineStr">
        <is>
          <t>STRÖMSUND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355-2025</t>
        </is>
      </c>
      <c r="B1392" s="1" t="n">
        <v>45659</v>
      </c>
      <c r="C1392" s="1" t="n">
        <v>46033</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48513-2025</t>
        </is>
      </c>
      <c r="B1393" s="1" t="n">
        <v>45936.38680555556</v>
      </c>
      <c r="C1393" s="1" t="n">
        <v>46033</v>
      </c>
      <c r="D1393" t="inlineStr">
        <is>
          <t>JÄMTLANDS LÄN</t>
        </is>
      </c>
      <c r="E1393" t="inlineStr">
        <is>
          <t>STRÖMSUND</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32567-2025</t>
        </is>
      </c>
      <c r="B1394" s="1" t="n">
        <v>45838.5737037037</v>
      </c>
      <c r="C1394" s="1" t="n">
        <v>46033</v>
      </c>
      <c r="D1394" t="inlineStr">
        <is>
          <t>JÄMTLANDS LÄN</t>
        </is>
      </c>
      <c r="E1394" t="inlineStr">
        <is>
          <t>STRÖMSUND</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48830-2025</t>
        </is>
      </c>
      <c r="B1395" s="1" t="n">
        <v>45937.38608796296</v>
      </c>
      <c r="C1395" s="1" t="n">
        <v>46033</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48888-2025</t>
        </is>
      </c>
      <c r="B1396" s="1" t="n">
        <v>45937</v>
      </c>
      <c r="C1396" s="1" t="n">
        <v>46033</v>
      </c>
      <c r="D1396" t="inlineStr">
        <is>
          <t>JÄMTLANDS LÄN</t>
        </is>
      </c>
      <c r="E1396" t="inlineStr">
        <is>
          <t>STRÖMSUND</t>
        </is>
      </c>
      <c r="F1396" t="inlineStr">
        <is>
          <t>SCA</t>
        </is>
      </c>
      <c r="G1396" t="n">
        <v>32.2</v>
      </c>
      <c r="H1396" t="n">
        <v>0</v>
      </c>
      <c r="I1396" t="n">
        <v>0</v>
      </c>
      <c r="J1396" t="n">
        <v>0</v>
      </c>
      <c r="K1396" t="n">
        <v>0</v>
      </c>
      <c r="L1396" t="n">
        <v>0</v>
      </c>
      <c r="M1396" t="n">
        <v>0</v>
      </c>
      <c r="N1396" t="n">
        <v>0</v>
      </c>
      <c r="O1396" t="n">
        <v>0</v>
      </c>
      <c r="P1396" t="n">
        <v>0</v>
      </c>
      <c r="Q1396" t="n">
        <v>0</v>
      </c>
      <c r="R1396" s="2" t="inlineStr"/>
    </row>
    <row r="1397" ht="15" customHeight="1">
      <c r="A1397" t="inlineStr">
        <is>
          <t>A 64913-2021</t>
        </is>
      </c>
      <c r="B1397" s="1" t="n">
        <v>44512</v>
      </c>
      <c r="C1397" s="1" t="n">
        <v>46033</v>
      </c>
      <c r="D1397" t="inlineStr">
        <is>
          <t>JÄMTLANDS LÄN</t>
        </is>
      </c>
      <c r="E1397" t="inlineStr">
        <is>
          <t>STRÖMSUND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46033</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32999-2025</t>
        </is>
      </c>
      <c r="B1399" s="1" t="n">
        <v>45840.34418981482</v>
      </c>
      <c r="C1399" s="1" t="n">
        <v>46033</v>
      </c>
      <c r="D1399" t="inlineStr">
        <is>
          <t>JÄMTLANDS LÄN</t>
        </is>
      </c>
      <c r="E1399" t="inlineStr">
        <is>
          <t>STRÖMSUND</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52866-2025</t>
        </is>
      </c>
      <c r="B1400" s="1" t="n">
        <v>45957.51115740741</v>
      </c>
      <c r="C1400" s="1" t="n">
        <v>46033</v>
      </c>
      <c r="D1400" t="inlineStr">
        <is>
          <t>JÄMTLANDS LÄN</t>
        </is>
      </c>
      <c r="E1400" t="inlineStr">
        <is>
          <t>STRÖMSUND</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52874-2025</t>
        </is>
      </c>
      <c r="B1401" s="1" t="n">
        <v>45957.53193287037</v>
      </c>
      <c r="C1401" s="1" t="n">
        <v>46033</v>
      </c>
      <c r="D1401" t="inlineStr">
        <is>
          <t>JÄMTLANDS LÄN</t>
        </is>
      </c>
      <c r="E1401" t="inlineStr">
        <is>
          <t>STRÖMSUND</t>
        </is>
      </c>
      <c r="F1401" t="inlineStr">
        <is>
          <t>SCA</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33435-2025</t>
        </is>
      </c>
      <c r="B1402" s="1" t="n">
        <v>45841.4488425926</v>
      </c>
      <c r="C1402" s="1" t="n">
        <v>46033</v>
      </c>
      <c r="D1402" t="inlineStr">
        <is>
          <t>JÄMTLANDS LÄN</t>
        </is>
      </c>
      <c r="E1402" t="inlineStr">
        <is>
          <t>STRÖMSUND</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49253-2025</t>
        </is>
      </c>
      <c r="B1403" s="1" t="n">
        <v>45938.49127314815</v>
      </c>
      <c r="C1403" s="1" t="n">
        <v>46033</v>
      </c>
      <c r="D1403" t="inlineStr">
        <is>
          <t>JÄMTLANDS LÄN</t>
        </is>
      </c>
      <c r="E1403" t="inlineStr">
        <is>
          <t>STRÖMSUND</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53833-2024</t>
        </is>
      </c>
      <c r="B1404" s="1" t="n">
        <v>45615.61604166667</v>
      </c>
      <c r="C1404" s="1" t="n">
        <v>46033</v>
      </c>
      <c r="D1404" t="inlineStr">
        <is>
          <t>JÄMTLANDS LÄN</t>
        </is>
      </c>
      <c r="E1404" t="inlineStr">
        <is>
          <t>STRÖMSUND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48939-2025</t>
        </is>
      </c>
      <c r="B1405" s="1" t="n">
        <v>45937.53171296296</v>
      </c>
      <c r="C1405" s="1" t="n">
        <v>46033</v>
      </c>
      <c r="D1405" t="inlineStr">
        <is>
          <t>JÄMTLANDS LÄN</t>
        </is>
      </c>
      <c r="E1405" t="inlineStr">
        <is>
          <t>STRÖMSUND</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33326-2025</t>
        </is>
      </c>
      <c r="B1406" s="1" t="n">
        <v>45841.34584490741</v>
      </c>
      <c r="C1406" s="1" t="n">
        <v>46033</v>
      </c>
      <c r="D1406" t="inlineStr">
        <is>
          <t>JÄMTLANDS LÄN</t>
        </is>
      </c>
      <c r="E1406" t="inlineStr">
        <is>
          <t>STRÖMSUND</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33434-2025</t>
        </is>
      </c>
      <c r="B1407" s="1" t="n">
        <v>45841.44868055556</v>
      </c>
      <c r="C1407" s="1" t="n">
        <v>46033</v>
      </c>
      <c r="D1407" t="inlineStr">
        <is>
          <t>JÄMTLANDS LÄN</t>
        </is>
      </c>
      <c r="E1407" t="inlineStr">
        <is>
          <t>STRÖMSUND</t>
        </is>
      </c>
      <c r="F1407" t="inlineStr">
        <is>
          <t>SCA</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48333-2022</t>
        </is>
      </c>
      <c r="B1408" s="1" t="n">
        <v>44858</v>
      </c>
      <c r="C1408" s="1" t="n">
        <v>46033</v>
      </c>
      <c r="D1408" t="inlineStr">
        <is>
          <t>JÄMTLANDS LÄN</t>
        </is>
      </c>
      <c r="E1408" t="inlineStr">
        <is>
          <t>STRÖMSUND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15141-2022</t>
        </is>
      </c>
      <c r="B1409" s="1" t="n">
        <v>44658</v>
      </c>
      <c r="C1409" s="1" t="n">
        <v>46033</v>
      </c>
      <c r="D1409" t="inlineStr">
        <is>
          <t>JÄMTLANDS LÄN</t>
        </is>
      </c>
      <c r="E1409" t="inlineStr">
        <is>
          <t>STRÖMSUND</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48847-2025</t>
        </is>
      </c>
      <c r="B1410" s="1" t="n">
        <v>45937.42866898148</v>
      </c>
      <c r="C1410" s="1" t="n">
        <v>46033</v>
      </c>
      <c r="D1410" t="inlineStr">
        <is>
          <t>JÄMTLANDS LÄN</t>
        </is>
      </c>
      <c r="E1410" t="inlineStr">
        <is>
          <t>STRÖMSUND</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48889-2025</t>
        </is>
      </c>
      <c r="B1411" s="1" t="n">
        <v>45937.46951388889</v>
      </c>
      <c r="C1411" s="1" t="n">
        <v>46033</v>
      </c>
      <c r="D1411" t="inlineStr">
        <is>
          <t>JÄMTLANDS LÄN</t>
        </is>
      </c>
      <c r="E1411" t="inlineStr">
        <is>
          <t>STRÖMSUND</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33014-2025</t>
        </is>
      </c>
      <c r="B1412" s="1" t="n">
        <v>45840.36533564814</v>
      </c>
      <c r="C1412" s="1" t="n">
        <v>46033</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33327-2025</t>
        </is>
      </c>
      <c r="B1413" s="1" t="n">
        <v>45841.34599537037</v>
      </c>
      <c r="C1413" s="1" t="n">
        <v>46033</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49407-2025</t>
        </is>
      </c>
      <c r="B1414" s="1" t="n">
        <v>45938.6778587963</v>
      </c>
      <c r="C1414" s="1" t="n">
        <v>46033</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47271-2022</t>
        </is>
      </c>
      <c r="B1415" s="1" t="n">
        <v>44852</v>
      </c>
      <c r="C1415" s="1" t="n">
        <v>46033</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40891-2024</t>
        </is>
      </c>
      <c r="B1416" s="1" t="n">
        <v>45558.61495370371</v>
      </c>
      <c r="C1416" s="1" t="n">
        <v>46033</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47966-2025</t>
        </is>
      </c>
      <c r="B1417" s="1" t="n">
        <v>45932</v>
      </c>
      <c r="C1417" s="1" t="n">
        <v>46033</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6527-2025</t>
        </is>
      </c>
      <c r="B1418" s="1" t="n">
        <v>45699</v>
      </c>
      <c r="C1418" s="1" t="n">
        <v>46033</v>
      </c>
      <c r="D1418" t="inlineStr">
        <is>
          <t>JÄMTLANDS LÄN</t>
        </is>
      </c>
      <c r="E1418" t="inlineStr">
        <is>
          <t>STRÖMSUND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52547-2025</t>
        </is>
      </c>
      <c r="B1419" s="1" t="n">
        <v>45954.55262731481</v>
      </c>
      <c r="C1419" s="1" t="n">
        <v>46033</v>
      </c>
      <c r="D1419" t="inlineStr">
        <is>
          <t>JÄMTLANDS LÄN</t>
        </is>
      </c>
      <c r="E1419" t="inlineStr">
        <is>
          <t>STRÖMSUND</t>
        </is>
      </c>
      <c r="F1419" t="inlineStr">
        <is>
          <t>SCA</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33212-2025</t>
        </is>
      </c>
      <c r="B1420" s="1" t="n">
        <v>45840.62780092593</v>
      </c>
      <c r="C1420" s="1" t="n">
        <v>46033</v>
      </c>
      <c r="D1420" t="inlineStr">
        <is>
          <t>JÄMTLANDS LÄN</t>
        </is>
      </c>
      <c r="E1420" t="inlineStr">
        <is>
          <t>STRÖMSUND</t>
        </is>
      </c>
      <c r="G1420" t="n">
        <v>17.9</v>
      </c>
      <c r="H1420" t="n">
        <v>0</v>
      </c>
      <c r="I1420" t="n">
        <v>0</v>
      </c>
      <c r="J1420" t="n">
        <v>0</v>
      </c>
      <c r="K1420" t="n">
        <v>0</v>
      </c>
      <c r="L1420" t="n">
        <v>0</v>
      </c>
      <c r="M1420" t="n">
        <v>0</v>
      </c>
      <c r="N1420" t="n">
        <v>0</v>
      </c>
      <c r="O1420" t="n">
        <v>0</v>
      </c>
      <c r="P1420" t="n">
        <v>0</v>
      </c>
      <c r="Q1420" t="n">
        <v>0</v>
      </c>
      <c r="R1420" s="2" t="inlineStr"/>
    </row>
    <row r="1421" ht="15" customHeight="1">
      <c r="A1421" t="inlineStr">
        <is>
          <t>A 49472-2025</t>
        </is>
      </c>
      <c r="B1421" s="1" t="n">
        <v>45939.34438657408</v>
      </c>
      <c r="C1421" s="1" t="n">
        <v>46033</v>
      </c>
      <c r="D1421" t="inlineStr">
        <is>
          <t>JÄMTLANDS LÄN</t>
        </is>
      </c>
      <c r="E1421" t="inlineStr">
        <is>
          <t>STRÖMSUND</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49375-2025</t>
        </is>
      </c>
      <c r="B1422" s="1" t="n">
        <v>45938.63584490741</v>
      </c>
      <c r="C1422" s="1" t="n">
        <v>46033</v>
      </c>
      <c r="D1422" t="inlineStr">
        <is>
          <t>JÄMTLANDS LÄN</t>
        </is>
      </c>
      <c r="E1422" t="inlineStr">
        <is>
          <t>STRÖMSUND</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60906-2025</t>
        </is>
      </c>
      <c r="B1423" s="1" t="n">
        <v>45999.59472222222</v>
      </c>
      <c r="C1423" s="1" t="n">
        <v>46033</v>
      </c>
      <c r="D1423" t="inlineStr">
        <is>
          <t>JÄMTLANDS LÄN</t>
        </is>
      </c>
      <c r="E1423" t="inlineStr">
        <is>
          <t>STRÖMSUND</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49618-2025</t>
        </is>
      </c>
      <c r="B1424" s="1" t="n">
        <v>45938</v>
      </c>
      <c r="C1424" s="1" t="n">
        <v>46033</v>
      </c>
      <c r="D1424" t="inlineStr">
        <is>
          <t>JÄMTLANDS LÄN</t>
        </is>
      </c>
      <c r="E1424" t="inlineStr">
        <is>
          <t>STRÖMSUND</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34524-2022</t>
        </is>
      </c>
      <c r="B1425" s="1" t="n">
        <v>44792.94508101852</v>
      </c>
      <c r="C1425" s="1" t="n">
        <v>46033</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49321-2025</t>
        </is>
      </c>
      <c r="B1426" s="1" t="n">
        <v>45938.57334490741</v>
      </c>
      <c r="C1426" s="1" t="n">
        <v>46033</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33055-2025</t>
        </is>
      </c>
      <c r="B1427" s="1" t="n">
        <v>45840.42765046296</v>
      </c>
      <c r="C1427" s="1" t="n">
        <v>46033</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49223-2025</t>
        </is>
      </c>
      <c r="B1428" s="1" t="n">
        <v>45938</v>
      </c>
      <c r="C1428" s="1" t="n">
        <v>46033</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41490-2021</t>
        </is>
      </c>
      <c r="B1429" s="1" t="n">
        <v>44424.94048611111</v>
      </c>
      <c r="C1429" s="1" t="n">
        <v>46033</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49049-2025</t>
        </is>
      </c>
      <c r="B1430" s="1" t="n">
        <v>45937.63725694444</v>
      </c>
      <c r="C1430" s="1" t="n">
        <v>46033</v>
      </c>
      <c r="D1430" t="inlineStr">
        <is>
          <t>JÄMTLANDS LÄN</t>
        </is>
      </c>
      <c r="E1430" t="inlineStr">
        <is>
          <t>STRÖMSUND</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49051-2025</t>
        </is>
      </c>
      <c r="B1431" s="1" t="n">
        <v>45937.63782407407</v>
      </c>
      <c r="C1431" s="1" t="n">
        <v>46033</v>
      </c>
      <c r="D1431" t="inlineStr">
        <is>
          <t>JÄMTLANDS LÄN</t>
        </is>
      </c>
      <c r="E1431" t="inlineStr">
        <is>
          <t>STRÖMSUND</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49358-2025</t>
        </is>
      </c>
      <c r="B1432" s="1" t="n">
        <v>45938.61628472222</v>
      </c>
      <c r="C1432" s="1" t="n">
        <v>46033</v>
      </c>
      <c r="D1432" t="inlineStr">
        <is>
          <t>JÄMTLANDS LÄN</t>
        </is>
      </c>
      <c r="E1432" t="inlineStr">
        <is>
          <t>STRÖMSUND</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49581-2025</t>
        </is>
      </c>
      <c r="B1433" s="1" t="n">
        <v>45939.49783564815</v>
      </c>
      <c r="C1433" s="1" t="n">
        <v>46033</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49609-2025</t>
        </is>
      </c>
      <c r="B1434" s="1" t="n">
        <v>45939.57329861111</v>
      </c>
      <c r="C1434" s="1" t="n">
        <v>46033</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33626-2025</t>
        </is>
      </c>
      <c r="B1435" s="1" t="n">
        <v>45841.63570601852</v>
      </c>
      <c r="C1435" s="1" t="n">
        <v>46033</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51941-2024</t>
        </is>
      </c>
      <c r="B1436" s="1" t="n">
        <v>45607.63574074074</v>
      </c>
      <c r="C1436" s="1" t="n">
        <v>46033</v>
      </c>
      <c r="D1436" t="inlineStr">
        <is>
          <t>JÄMTLANDS LÄN</t>
        </is>
      </c>
      <c r="E1436" t="inlineStr">
        <is>
          <t>STRÖMSUND</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51946-2024</t>
        </is>
      </c>
      <c r="B1437" s="1" t="n">
        <v>45607</v>
      </c>
      <c r="C1437" s="1" t="n">
        <v>46033</v>
      </c>
      <c r="D1437" t="inlineStr">
        <is>
          <t>JÄMTLANDS LÄN</t>
        </is>
      </c>
      <c r="E1437" t="inlineStr">
        <is>
          <t>STRÖMSUND</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33264-2025</t>
        </is>
      </c>
      <c r="B1438" s="1" t="n">
        <v>45840.67819444444</v>
      </c>
      <c r="C1438" s="1" t="n">
        <v>46033</v>
      </c>
      <c r="D1438" t="inlineStr">
        <is>
          <t>JÄMTLANDS LÄN</t>
        </is>
      </c>
      <c r="E1438" t="inlineStr">
        <is>
          <t>STRÖMSUND</t>
        </is>
      </c>
      <c r="F1438" t="inlineStr">
        <is>
          <t>SCA</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55197-2024</t>
        </is>
      </c>
      <c r="B1439" s="1" t="n">
        <v>45621.55234953704</v>
      </c>
      <c r="C1439" s="1" t="n">
        <v>46033</v>
      </c>
      <c r="D1439" t="inlineStr">
        <is>
          <t>JÄMTLANDS LÄN</t>
        </is>
      </c>
      <c r="E1439" t="inlineStr">
        <is>
          <t>STRÖMSUND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54063-2023</t>
        </is>
      </c>
      <c r="B1440" s="1" t="n">
        <v>45231</v>
      </c>
      <c r="C1440" s="1" t="n">
        <v>46033</v>
      </c>
      <c r="D1440" t="inlineStr">
        <is>
          <t>JÄMTLANDS LÄN</t>
        </is>
      </c>
      <c r="E1440" t="inlineStr">
        <is>
          <t>STRÖMSUND</t>
        </is>
      </c>
      <c r="F1440" t="inlineStr">
        <is>
          <t>SCA</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49195-2025</t>
        </is>
      </c>
      <c r="B1441" s="1" t="n">
        <v>45938.40972222222</v>
      </c>
      <c r="C1441" s="1" t="n">
        <v>46033</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49252-2025</t>
        </is>
      </c>
      <c r="B1442" s="1" t="n">
        <v>45938.49119212963</v>
      </c>
      <c r="C1442" s="1" t="n">
        <v>46033</v>
      </c>
      <c r="D1442" t="inlineStr">
        <is>
          <t>JÄMTLANDS LÄN</t>
        </is>
      </c>
      <c r="E1442" t="inlineStr">
        <is>
          <t>STRÖMSUND</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49354-2025</t>
        </is>
      </c>
      <c r="B1443" s="1" t="n">
        <v>45938.61516203704</v>
      </c>
      <c r="C1443" s="1" t="n">
        <v>46033</v>
      </c>
      <c r="D1443" t="inlineStr">
        <is>
          <t>JÄMTLANDS LÄN</t>
        </is>
      </c>
      <c r="E1443" t="inlineStr">
        <is>
          <t>STRÖMSUND</t>
        </is>
      </c>
      <c r="F1443" t="inlineStr">
        <is>
          <t>SCA</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33843-2025</t>
        </is>
      </c>
      <c r="B1444" s="1" t="n">
        <v>45842.48445601852</v>
      </c>
      <c r="C1444" s="1" t="n">
        <v>46033</v>
      </c>
      <c r="D1444" t="inlineStr">
        <is>
          <t>JÄMTLANDS LÄN</t>
        </is>
      </c>
      <c r="E1444" t="inlineStr">
        <is>
          <t>STRÖMSUND</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59476-2023</t>
        </is>
      </c>
      <c r="B1445" s="1" t="n">
        <v>45254</v>
      </c>
      <c r="C1445" s="1" t="n">
        <v>46033</v>
      </c>
      <c r="D1445" t="inlineStr">
        <is>
          <t>JÄMTLANDS LÄN</t>
        </is>
      </c>
      <c r="E1445" t="inlineStr">
        <is>
          <t>STRÖMSUND</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33889-2025</t>
        </is>
      </c>
      <c r="B1446" s="1" t="n">
        <v>45842.57365740741</v>
      </c>
      <c r="C1446" s="1" t="n">
        <v>46033</v>
      </c>
      <c r="D1446" t="inlineStr">
        <is>
          <t>JÄMTLANDS LÄN</t>
        </is>
      </c>
      <c r="E1446" t="inlineStr">
        <is>
          <t>STRÖMSUND</t>
        </is>
      </c>
      <c r="F1446" t="inlineStr">
        <is>
          <t>SCA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49287-2022</t>
        </is>
      </c>
      <c r="B1447" s="1" t="n">
        <v>44858</v>
      </c>
      <c r="C1447" s="1" t="n">
        <v>46033</v>
      </c>
      <c r="D1447" t="inlineStr">
        <is>
          <t>JÄMTLANDS LÄN</t>
        </is>
      </c>
      <c r="E1447" t="inlineStr">
        <is>
          <t>STRÖMSUND</t>
        </is>
      </c>
      <c r="G1447" t="n">
        <v>200</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46033</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34186-2025</t>
        </is>
      </c>
      <c r="B1449" s="1" t="n">
        <v>45845.61497685185</v>
      </c>
      <c r="C1449" s="1" t="n">
        <v>46033</v>
      </c>
      <c r="D1449" t="inlineStr">
        <is>
          <t>JÄMTLANDS LÄN</t>
        </is>
      </c>
      <c r="E1449" t="inlineStr">
        <is>
          <t>STRÖMSUND</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33756-2025</t>
        </is>
      </c>
      <c r="B1450" s="1" t="n">
        <v>45842.37733796296</v>
      </c>
      <c r="C1450" s="1" t="n">
        <v>46033</v>
      </c>
      <c r="D1450" t="inlineStr">
        <is>
          <t>JÄMTLANDS LÄN</t>
        </is>
      </c>
      <c r="E1450" t="inlineStr">
        <is>
          <t>STRÖMSUND</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49792-2025</t>
        </is>
      </c>
      <c r="B1451" s="1" t="n">
        <v>45940.40760416666</v>
      </c>
      <c r="C1451" s="1" t="n">
        <v>46033</v>
      </c>
      <c r="D1451" t="inlineStr">
        <is>
          <t>JÄMTLANDS LÄN</t>
        </is>
      </c>
      <c r="E1451" t="inlineStr">
        <is>
          <t>STRÖMSUND</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50121-2025</t>
        </is>
      </c>
      <c r="B1452" s="1" t="n">
        <v>45943.54938657407</v>
      </c>
      <c r="C1452" s="1" t="n">
        <v>46033</v>
      </c>
      <c r="D1452" t="inlineStr">
        <is>
          <t>JÄMTLANDS LÄN</t>
        </is>
      </c>
      <c r="E1452" t="inlineStr">
        <is>
          <t>STRÖMSUND</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34207-2025</t>
        </is>
      </c>
      <c r="B1453" s="1" t="n">
        <v>45845.63596064815</v>
      </c>
      <c r="C1453" s="1" t="n">
        <v>46033</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34222-2025</t>
        </is>
      </c>
      <c r="B1454" s="1" t="n">
        <v>45845.65076388889</v>
      </c>
      <c r="C1454" s="1" t="n">
        <v>46033</v>
      </c>
      <c r="D1454" t="inlineStr">
        <is>
          <t>JÄMTLANDS LÄN</t>
        </is>
      </c>
      <c r="E1454" t="inlineStr">
        <is>
          <t>STRÖMSUND</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50088-2025</t>
        </is>
      </c>
      <c r="B1455" s="1" t="n">
        <v>45943.47976851852</v>
      </c>
      <c r="C1455" s="1" t="n">
        <v>46033</v>
      </c>
      <c r="D1455" t="inlineStr">
        <is>
          <t>JÄMTLANDS LÄN</t>
        </is>
      </c>
      <c r="E1455" t="inlineStr">
        <is>
          <t>STRÖMSUND</t>
        </is>
      </c>
      <c r="F1455" t="inlineStr">
        <is>
          <t>Holmen skog AB</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34187-2025</t>
        </is>
      </c>
      <c r="B1456" s="1" t="n">
        <v>45845.61516203704</v>
      </c>
      <c r="C1456" s="1" t="n">
        <v>46033</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32672-2024</t>
        </is>
      </c>
      <c r="B1457" s="1" t="n">
        <v>45514.60695601852</v>
      </c>
      <c r="C1457" s="1" t="n">
        <v>46033</v>
      </c>
      <c r="D1457" t="inlineStr">
        <is>
          <t>JÄMTLANDS LÄN</t>
        </is>
      </c>
      <c r="E1457" t="inlineStr">
        <is>
          <t>STRÖMSUND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32674-2024</t>
        </is>
      </c>
      <c r="B1458" s="1" t="n">
        <v>45514.61648148148</v>
      </c>
      <c r="C1458" s="1" t="n">
        <v>46033</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8808-2025</t>
        </is>
      </c>
      <c r="B1459" s="1" t="n">
        <v>45712.67740740741</v>
      </c>
      <c r="C1459" s="1" t="n">
        <v>46033</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49796-2025</t>
        </is>
      </c>
      <c r="B1460" s="1" t="n">
        <v>45940.40790509259</v>
      </c>
      <c r="C1460" s="1" t="n">
        <v>46033</v>
      </c>
      <c r="D1460" t="inlineStr">
        <is>
          <t>JÄMTLANDS LÄN</t>
        </is>
      </c>
      <c r="E1460" t="inlineStr">
        <is>
          <t>STRÖMSUND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10951-2025</t>
        </is>
      </c>
      <c r="B1461" s="1" t="n">
        <v>45723</v>
      </c>
      <c r="C1461" s="1" t="n">
        <v>46033</v>
      </c>
      <c r="D1461" t="inlineStr">
        <is>
          <t>JÄMTLANDS LÄN</t>
        </is>
      </c>
      <c r="E1461" t="inlineStr">
        <is>
          <t>STRÖMSUND</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52614-2025</t>
        </is>
      </c>
      <c r="B1462" s="1" t="n">
        <v>45954.67756944444</v>
      </c>
      <c r="C1462" s="1" t="n">
        <v>46033</v>
      </c>
      <c r="D1462" t="inlineStr">
        <is>
          <t>JÄMTLANDS LÄN</t>
        </is>
      </c>
      <c r="E1462" t="inlineStr">
        <is>
          <t>STRÖMSUND</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49798-2025</t>
        </is>
      </c>
      <c r="B1463" s="1" t="n">
        <v>45940.40819444445</v>
      </c>
      <c r="C1463" s="1" t="n">
        <v>46033</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34206-2025</t>
        </is>
      </c>
      <c r="B1464" s="1" t="n">
        <v>45845.6358912037</v>
      </c>
      <c r="C1464" s="1" t="n">
        <v>46033</v>
      </c>
      <c r="D1464" t="inlineStr">
        <is>
          <t>JÄMTLANDS LÄN</t>
        </is>
      </c>
      <c r="E1464" t="inlineStr">
        <is>
          <t>STRÖMSUND</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20592-2023</t>
        </is>
      </c>
      <c r="B1465" s="1" t="n">
        <v>45057</v>
      </c>
      <c r="C1465" s="1" t="n">
        <v>46033</v>
      </c>
      <c r="D1465" t="inlineStr">
        <is>
          <t>JÄMTLANDS LÄN</t>
        </is>
      </c>
      <c r="E1465" t="inlineStr">
        <is>
          <t>STRÖMSUND</t>
        </is>
      </c>
      <c r="F1465" t="inlineStr">
        <is>
          <t>SCA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60905-2025</t>
        </is>
      </c>
      <c r="B1466" s="1" t="n">
        <v>45999.5946412037</v>
      </c>
      <c r="C1466" s="1" t="n">
        <v>46033</v>
      </c>
      <c r="D1466" t="inlineStr">
        <is>
          <t>JÄMTLANDS LÄN</t>
        </is>
      </c>
      <c r="E1466" t="inlineStr">
        <is>
          <t>STRÖMSUND</t>
        </is>
      </c>
      <c r="F1466" t="inlineStr">
        <is>
          <t>SCA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50116-2025</t>
        </is>
      </c>
      <c r="B1467" s="1" t="n">
        <v>45943.54677083333</v>
      </c>
      <c r="C1467" s="1" t="n">
        <v>46033</v>
      </c>
      <c r="D1467" t="inlineStr">
        <is>
          <t>JÄMTLANDS LÄN</t>
        </is>
      </c>
      <c r="E1467" t="inlineStr">
        <is>
          <t>STRÖMSUND</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33888-2025</t>
        </is>
      </c>
      <c r="B1468" s="1" t="n">
        <v>45842.57351851852</v>
      </c>
      <c r="C1468" s="1" t="n">
        <v>46033</v>
      </c>
      <c r="D1468" t="inlineStr">
        <is>
          <t>JÄMTLANDS LÄN</t>
        </is>
      </c>
      <c r="E1468" t="inlineStr">
        <is>
          <t>STRÖMSUND</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49790-2025</t>
        </is>
      </c>
      <c r="B1469" s="1" t="n">
        <v>45940.40688657408</v>
      </c>
      <c r="C1469" s="1" t="n">
        <v>46033</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46033</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33898-2025</t>
        </is>
      </c>
      <c r="B1471" s="1" t="n">
        <v>45842.59422453704</v>
      </c>
      <c r="C1471" s="1" t="n">
        <v>46033</v>
      </c>
      <c r="D1471" t="inlineStr">
        <is>
          <t>JÄMTLANDS LÄN</t>
        </is>
      </c>
      <c r="E1471" t="inlineStr">
        <is>
          <t>STRÖMSUND</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42448-2023</t>
        </is>
      </c>
      <c r="B1472" s="1" t="n">
        <v>45180</v>
      </c>
      <c r="C1472" s="1" t="n">
        <v>46033</v>
      </c>
      <c r="D1472" t="inlineStr">
        <is>
          <t>JÄMTLANDS LÄN</t>
        </is>
      </c>
      <c r="E1472" t="inlineStr">
        <is>
          <t>STRÖMSUND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28878-2024</t>
        </is>
      </c>
      <c r="B1473" s="1" t="n">
        <v>45478.94827546296</v>
      </c>
      <c r="C1473" s="1" t="n">
        <v>46033</v>
      </c>
      <c r="D1473" t="inlineStr">
        <is>
          <t>JÄMTLANDS LÄN</t>
        </is>
      </c>
      <c r="E1473" t="inlineStr">
        <is>
          <t>STRÖMSUND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50643-2025</t>
        </is>
      </c>
      <c r="B1474" s="1" t="n">
        <v>45945.65666666667</v>
      </c>
      <c r="C1474" s="1" t="n">
        <v>46033</v>
      </c>
      <c r="D1474" t="inlineStr">
        <is>
          <t>JÄMTLANDS LÄN</t>
        </is>
      </c>
      <c r="E1474" t="inlineStr">
        <is>
          <t>STRÖMSUND</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34156-2025</t>
        </is>
      </c>
      <c r="B1475" s="1" t="n">
        <v>45845.57354166666</v>
      </c>
      <c r="C1475" s="1" t="n">
        <v>46033</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34188-2025</t>
        </is>
      </c>
      <c r="B1476" s="1" t="n">
        <v>45845.61542824074</v>
      </c>
      <c r="C1476" s="1" t="n">
        <v>46033</v>
      </c>
      <c r="D1476" t="inlineStr">
        <is>
          <t>JÄMTLANDS LÄN</t>
        </is>
      </c>
      <c r="E1476" t="inlineStr">
        <is>
          <t>STRÖMSUND</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42992-2024</t>
        </is>
      </c>
      <c r="B1477" s="1" t="n">
        <v>45567.37559027778</v>
      </c>
      <c r="C1477" s="1" t="n">
        <v>46033</v>
      </c>
      <c r="D1477" t="inlineStr">
        <is>
          <t>JÄMTLANDS LÄN</t>
        </is>
      </c>
      <c r="E1477" t="inlineStr">
        <is>
          <t>STRÖMSUND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28970-2025</t>
        </is>
      </c>
      <c r="B1478" s="1" t="n">
        <v>45821.34480324074</v>
      </c>
      <c r="C1478" s="1" t="n">
        <v>46033</v>
      </c>
      <c r="D1478" t="inlineStr">
        <is>
          <t>JÄMTLANDS LÄN</t>
        </is>
      </c>
      <c r="E1478" t="inlineStr">
        <is>
          <t>STRÖMSUND</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46033</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50274-2025</t>
        </is>
      </c>
      <c r="B1480" s="1" t="n">
        <v>45944.36866898148</v>
      </c>
      <c r="C1480" s="1" t="n">
        <v>46033</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33797-2025</t>
        </is>
      </c>
      <c r="B1481" s="1" t="n">
        <v>45842.436875</v>
      </c>
      <c r="C1481" s="1" t="n">
        <v>46033</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52808-2025</t>
        </is>
      </c>
      <c r="B1482" s="1" t="n">
        <v>45957.4485300926</v>
      </c>
      <c r="C1482" s="1" t="n">
        <v>46033</v>
      </c>
      <c r="D1482" t="inlineStr">
        <is>
          <t>JÄMTLANDS LÄN</t>
        </is>
      </c>
      <c r="E1482" t="inlineStr">
        <is>
          <t>STRÖMSUND</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52139-2023</t>
        </is>
      </c>
      <c r="B1483" s="1" t="n">
        <v>45223</v>
      </c>
      <c r="C1483" s="1" t="n">
        <v>46033</v>
      </c>
      <c r="D1483" t="inlineStr">
        <is>
          <t>JÄMTLANDS LÄN</t>
        </is>
      </c>
      <c r="E1483" t="inlineStr">
        <is>
          <t>STRÖMSUND</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50459-2025</t>
        </is>
      </c>
      <c r="B1484" s="1" t="n">
        <v>45945.34473379629</v>
      </c>
      <c r="C1484" s="1" t="n">
        <v>46033</v>
      </c>
      <c r="D1484" t="inlineStr">
        <is>
          <t>JÄMTLANDS LÄN</t>
        </is>
      </c>
      <c r="E1484" t="inlineStr">
        <is>
          <t>STRÖMSUND</t>
        </is>
      </c>
      <c r="F1484" t="inlineStr">
        <is>
          <t>SCA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50585-2025</t>
        </is>
      </c>
      <c r="B1485" s="1" t="n">
        <v>45945.59418981482</v>
      </c>
      <c r="C1485" s="1" t="n">
        <v>46033</v>
      </c>
      <c r="D1485" t="inlineStr">
        <is>
          <t>JÄMTLANDS LÄN</t>
        </is>
      </c>
      <c r="E1485" t="inlineStr">
        <is>
          <t>STRÖMSUND</t>
        </is>
      </c>
      <c r="F1485" t="inlineStr">
        <is>
          <t>SCA</t>
        </is>
      </c>
      <c r="G1485" t="n">
        <v>31.8</v>
      </c>
      <c r="H1485" t="n">
        <v>0</v>
      </c>
      <c r="I1485" t="n">
        <v>0</v>
      </c>
      <c r="J1485" t="n">
        <v>0</v>
      </c>
      <c r="K1485" t="n">
        <v>0</v>
      </c>
      <c r="L1485" t="n">
        <v>0</v>
      </c>
      <c r="M1485" t="n">
        <v>0</v>
      </c>
      <c r="N1485" t="n">
        <v>0</v>
      </c>
      <c r="O1485" t="n">
        <v>0</v>
      </c>
      <c r="P1485" t="n">
        <v>0</v>
      </c>
      <c r="Q1485" t="n">
        <v>0</v>
      </c>
      <c r="R1485" s="2" t="inlineStr"/>
    </row>
    <row r="1486" ht="15" customHeight="1">
      <c r="A1486" t="inlineStr">
        <is>
          <t>A 50270-2025</t>
        </is>
      </c>
      <c r="B1486" s="1" t="n">
        <v>45944.3533912037</v>
      </c>
      <c r="C1486" s="1" t="n">
        <v>46033</v>
      </c>
      <c r="D1486" t="inlineStr">
        <is>
          <t>JÄMTLANDS LÄN</t>
        </is>
      </c>
      <c r="E1486" t="inlineStr">
        <is>
          <t>STRÖMSUND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50276-2025</t>
        </is>
      </c>
      <c r="B1487" s="1" t="n">
        <v>45944.37359953704</v>
      </c>
      <c r="C1487" s="1" t="n">
        <v>46033</v>
      </c>
      <c r="D1487" t="inlineStr">
        <is>
          <t>JÄMTLANDS LÄN</t>
        </is>
      </c>
      <c r="E1487" t="inlineStr">
        <is>
          <t>STRÖMSUND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35904-2024</t>
        </is>
      </c>
      <c r="B1488" s="1" t="n">
        <v>45533.40658564815</v>
      </c>
      <c r="C1488" s="1" t="n">
        <v>46033</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28967-2025</t>
        </is>
      </c>
      <c r="B1489" s="1" t="n">
        <v>45821.34440972222</v>
      </c>
      <c r="C1489" s="1" t="n">
        <v>46033</v>
      </c>
      <c r="D1489" t="inlineStr">
        <is>
          <t>JÄMTLANDS LÄN</t>
        </is>
      </c>
      <c r="E1489" t="inlineStr">
        <is>
          <t>STRÖMSUND</t>
        </is>
      </c>
      <c r="F1489" t="inlineStr">
        <is>
          <t>SCA</t>
        </is>
      </c>
      <c r="G1489" t="n">
        <v>24.3</v>
      </c>
      <c r="H1489" t="n">
        <v>0</v>
      </c>
      <c r="I1489" t="n">
        <v>0</v>
      </c>
      <c r="J1489" t="n">
        <v>0</v>
      </c>
      <c r="K1489" t="n">
        <v>0</v>
      </c>
      <c r="L1489" t="n">
        <v>0</v>
      </c>
      <c r="M1489" t="n">
        <v>0</v>
      </c>
      <c r="N1489" t="n">
        <v>0</v>
      </c>
      <c r="O1489" t="n">
        <v>0</v>
      </c>
      <c r="P1489" t="n">
        <v>0</v>
      </c>
      <c r="Q1489" t="n">
        <v>0</v>
      </c>
      <c r="R1489" s="2" t="inlineStr"/>
    </row>
    <row r="1490" ht="15" customHeight="1">
      <c r="A1490" t="inlineStr">
        <is>
          <t>A 28969-2025</t>
        </is>
      </c>
      <c r="B1490" s="1" t="n">
        <v>45821.34475694445</v>
      </c>
      <c r="C1490" s="1" t="n">
        <v>46033</v>
      </c>
      <c r="D1490" t="inlineStr">
        <is>
          <t>JÄMTLANDS LÄN</t>
        </is>
      </c>
      <c r="E1490" t="inlineStr">
        <is>
          <t>STRÖMSUND</t>
        </is>
      </c>
      <c r="F1490" t="inlineStr">
        <is>
          <t>SCA</t>
        </is>
      </c>
      <c r="G1490" t="n">
        <v>24.3</v>
      </c>
      <c r="H1490" t="n">
        <v>0</v>
      </c>
      <c r="I1490" t="n">
        <v>0</v>
      </c>
      <c r="J1490" t="n">
        <v>0</v>
      </c>
      <c r="K1490" t="n">
        <v>0</v>
      </c>
      <c r="L1490" t="n">
        <v>0</v>
      </c>
      <c r="M1490" t="n">
        <v>0</v>
      </c>
      <c r="N1490" t="n">
        <v>0</v>
      </c>
      <c r="O1490" t="n">
        <v>0</v>
      </c>
      <c r="P1490" t="n">
        <v>0</v>
      </c>
      <c r="Q1490" t="n">
        <v>0</v>
      </c>
      <c r="R1490" s="2" t="inlineStr"/>
    </row>
    <row r="1491" ht="15" customHeight="1">
      <c r="A1491" t="inlineStr">
        <is>
          <t>A 50546-2025</t>
        </is>
      </c>
      <c r="B1491" s="1" t="n">
        <v>45945.51087962963</v>
      </c>
      <c r="C1491" s="1" t="n">
        <v>46033</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24509-2022</t>
        </is>
      </c>
      <c r="B1492" s="1" t="n">
        <v>44726</v>
      </c>
      <c r="C1492" s="1" t="n">
        <v>46033</v>
      </c>
      <c r="D1492" t="inlineStr">
        <is>
          <t>JÄMTLANDS LÄN</t>
        </is>
      </c>
      <c r="E1492" t="inlineStr">
        <is>
          <t>STRÖMSUND</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50287-2025</t>
        </is>
      </c>
      <c r="B1493" s="1" t="n">
        <v>45944.39659722222</v>
      </c>
      <c r="C1493" s="1" t="n">
        <v>46033</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50598-2025</t>
        </is>
      </c>
      <c r="B1494" s="1" t="n">
        <v>45944</v>
      </c>
      <c r="C1494" s="1" t="n">
        <v>46033</v>
      </c>
      <c r="D1494" t="inlineStr">
        <is>
          <t>JÄMTLANDS LÄN</t>
        </is>
      </c>
      <c r="E1494" t="inlineStr">
        <is>
          <t>STRÖMSUND</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50280-2025</t>
        </is>
      </c>
      <c r="B1495" s="1" t="n">
        <v>45944.38351851852</v>
      </c>
      <c r="C1495" s="1" t="n">
        <v>46033</v>
      </c>
      <c r="D1495" t="inlineStr">
        <is>
          <t>JÄMTLANDS LÄN</t>
        </is>
      </c>
      <c r="E1495" t="inlineStr">
        <is>
          <t>STRÖMSUND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28968-2025</t>
        </is>
      </c>
      <c r="B1496" s="1" t="n">
        <v>45821.34444444445</v>
      </c>
      <c r="C1496" s="1" t="n">
        <v>46033</v>
      </c>
      <c r="D1496" t="inlineStr">
        <is>
          <t>JÄMTLANDS LÄN</t>
        </is>
      </c>
      <c r="E1496" t="inlineStr">
        <is>
          <t>STRÖMSUND</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32731-2023</t>
        </is>
      </c>
      <c r="B1497" s="1" t="n">
        <v>45121.93989583333</v>
      </c>
      <c r="C1497" s="1" t="n">
        <v>46033</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34491-2025</t>
        </is>
      </c>
      <c r="B1498" s="1" t="n">
        <v>45847.40736111111</v>
      </c>
      <c r="C1498" s="1" t="n">
        <v>46033</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58846-2025</t>
        </is>
      </c>
      <c r="B1499" s="1" t="n">
        <v>45987.38628472222</v>
      </c>
      <c r="C1499" s="1" t="n">
        <v>46033</v>
      </c>
      <c r="D1499" t="inlineStr">
        <is>
          <t>JÄMTLANDS LÄN</t>
        </is>
      </c>
      <c r="E1499" t="inlineStr">
        <is>
          <t>STRÖMSUND</t>
        </is>
      </c>
      <c r="F1499" t="inlineStr">
        <is>
          <t>SCA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2304-2025</t>
        </is>
      </c>
      <c r="B1500" s="1" t="n">
        <v>45673.5986574074</v>
      </c>
      <c r="C1500" s="1" t="n">
        <v>46033</v>
      </c>
      <c r="D1500" t="inlineStr">
        <is>
          <t>JÄMTLANDS LÄN</t>
        </is>
      </c>
      <c r="E1500" t="inlineStr">
        <is>
          <t>STRÖMSUND</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34467-2025</t>
        </is>
      </c>
      <c r="B1501" s="1" t="n">
        <v>45847.34582175926</v>
      </c>
      <c r="C1501" s="1" t="n">
        <v>46033</v>
      </c>
      <c r="D1501" t="inlineStr">
        <is>
          <t>JÄMTLANDS LÄN</t>
        </is>
      </c>
      <c r="E1501" t="inlineStr">
        <is>
          <t>STRÖMSUND</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28752-2023</t>
        </is>
      </c>
      <c r="B1502" s="1" t="n">
        <v>45103.94172453704</v>
      </c>
      <c r="C1502" s="1" t="n">
        <v>46033</v>
      </c>
      <c r="D1502" t="inlineStr">
        <is>
          <t>JÄMTLANDS LÄN</t>
        </is>
      </c>
      <c r="E1502" t="inlineStr">
        <is>
          <t>STRÖMSUND</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52749-2025</t>
        </is>
      </c>
      <c r="B1503" s="1" t="n">
        <v>45957.38637731481</v>
      </c>
      <c r="C1503" s="1" t="n">
        <v>46033</v>
      </c>
      <c r="D1503" t="inlineStr">
        <is>
          <t>JÄMTLANDS LÄN</t>
        </is>
      </c>
      <c r="E1503" t="inlineStr">
        <is>
          <t>STRÖMSUND</t>
        </is>
      </c>
      <c r="F1503" t="inlineStr">
        <is>
          <t>Övriga statliga verk och myndigheter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2619-2024</t>
        </is>
      </c>
      <c r="B1504" s="1" t="n">
        <v>45313</v>
      </c>
      <c r="C1504" s="1" t="n">
        <v>46033</v>
      </c>
      <c r="D1504" t="inlineStr">
        <is>
          <t>JÄMTLANDS LÄN</t>
        </is>
      </c>
      <c r="E1504" t="inlineStr">
        <is>
          <t>STRÖMSUND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51077-2023</t>
        </is>
      </c>
      <c r="B1505" s="1" t="n">
        <v>45211</v>
      </c>
      <c r="C1505" s="1" t="n">
        <v>46033</v>
      </c>
      <c r="D1505" t="inlineStr">
        <is>
          <t>JÄMTLANDS LÄN</t>
        </is>
      </c>
      <c r="E1505" t="inlineStr">
        <is>
          <t>STRÖMSUND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34683-2025</t>
        </is>
      </c>
      <c r="B1506" s="1" t="n">
        <v>45848.42895833333</v>
      </c>
      <c r="C1506" s="1" t="n">
        <v>46033</v>
      </c>
      <c r="D1506" t="inlineStr">
        <is>
          <t>JÄMTLANDS LÄN</t>
        </is>
      </c>
      <c r="E1506" t="inlineStr">
        <is>
          <t>STRÖMSUND</t>
        </is>
      </c>
      <c r="F1506" t="inlineStr">
        <is>
          <t>SCA</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34684-2025</t>
        </is>
      </c>
      <c r="B1507" s="1" t="n">
        <v>45848.42901620371</v>
      </c>
      <c r="C1507" s="1" t="n">
        <v>46033</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59152-2024</t>
        </is>
      </c>
      <c r="B1508" s="1" t="n">
        <v>45637.46261574074</v>
      </c>
      <c r="C1508" s="1" t="n">
        <v>46033</v>
      </c>
      <c r="D1508" t="inlineStr">
        <is>
          <t>JÄMTLANDS LÄN</t>
        </is>
      </c>
      <c r="E1508" t="inlineStr">
        <is>
          <t>STRÖMSUND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61363-2024</t>
        </is>
      </c>
      <c r="B1509" s="1" t="n">
        <v>45646.38584490741</v>
      </c>
      <c r="C1509" s="1" t="n">
        <v>46033</v>
      </c>
      <c r="D1509" t="inlineStr">
        <is>
          <t>JÄMTLANDS LÄN</t>
        </is>
      </c>
      <c r="E1509" t="inlineStr">
        <is>
          <t>STRÖMSUND</t>
        </is>
      </c>
      <c r="F1509" t="inlineStr">
        <is>
          <t>SCA</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34833-2025</t>
        </is>
      </c>
      <c r="B1510" s="1" t="n">
        <v>45849.38658564815</v>
      </c>
      <c r="C1510" s="1" t="n">
        <v>46033</v>
      </c>
      <c r="D1510" t="inlineStr">
        <is>
          <t>JÄMTLANDS LÄN</t>
        </is>
      </c>
      <c r="E1510" t="inlineStr">
        <is>
          <t>STRÖMSUND</t>
        </is>
      </c>
      <c r="F1510" t="inlineStr">
        <is>
          <t>Sveaskog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34838-2025</t>
        </is>
      </c>
      <c r="B1511" s="1" t="n">
        <v>45849.39423611111</v>
      </c>
      <c r="C1511" s="1" t="n">
        <v>46033</v>
      </c>
      <c r="D1511" t="inlineStr">
        <is>
          <t>JÄMTLANDS LÄN</t>
        </is>
      </c>
      <c r="E1511" t="inlineStr">
        <is>
          <t>STRÖMSUND</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34841-2025</t>
        </is>
      </c>
      <c r="B1512" s="1" t="n">
        <v>45849.3993287037</v>
      </c>
      <c r="C1512" s="1" t="n">
        <v>46033</v>
      </c>
      <c r="D1512" t="inlineStr">
        <is>
          <t>JÄMTLANDS LÄN</t>
        </is>
      </c>
      <c r="E1512" t="inlineStr">
        <is>
          <t>STRÖMSUND</t>
        </is>
      </c>
      <c r="F1512" t="inlineStr">
        <is>
          <t>Sveaskog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34750-2025</t>
        </is>
      </c>
      <c r="B1513" s="1" t="n">
        <v>45848.61577546296</v>
      </c>
      <c r="C1513" s="1" t="n">
        <v>46033</v>
      </c>
      <c r="D1513" t="inlineStr">
        <is>
          <t>JÄMTLANDS LÄN</t>
        </is>
      </c>
      <c r="E1513" t="inlineStr">
        <is>
          <t>STRÖMSUND</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34685-2025</t>
        </is>
      </c>
      <c r="B1514" s="1" t="n">
        <v>45848.42905092592</v>
      </c>
      <c r="C1514" s="1" t="n">
        <v>46033</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18863-2025</t>
        </is>
      </c>
      <c r="B1515" s="1" t="n">
        <v>45764.42766203704</v>
      </c>
      <c r="C1515" s="1" t="n">
        <v>46033</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34891-2025</t>
        </is>
      </c>
      <c r="B1516" s="1" t="n">
        <v>45849.49033564814</v>
      </c>
      <c r="C1516" s="1" t="n">
        <v>46033</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34815-2025</t>
        </is>
      </c>
      <c r="B1517" s="1" t="n">
        <v>45849.35287037037</v>
      </c>
      <c r="C1517" s="1" t="n">
        <v>46033</v>
      </c>
      <c r="D1517" t="inlineStr">
        <is>
          <t>JÄMTLANDS LÄN</t>
        </is>
      </c>
      <c r="E1517" t="inlineStr">
        <is>
          <t>STRÖMSUND</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20597-2023</t>
        </is>
      </c>
      <c r="B1518" s="1" t="n">
        <v>45057</v>
      </c>
      <c r="C1518" s="1" t="n">
        <v>46033</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34882-2025</t>
        </is>
      </c>
      <c r="B1519" s="1" t="n">
        <v>45849.46928240741</v>
      </c>
      <c r="C1519" s="1" t="n">
        <v>46033</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27375-2023</t>
        </is>
      </c>
      <c r="B1520" s="1" t="n">
        <v>45096.93879629629</v>
      </c>
      <c r="C1520" s="1" t="n">
        <v>46033</v>
      </c>
      <c r="D1520" t="inlineStr">
        <is>
          <t>JÄMTLANDS LÄN</t>
        </is>
      </c>
      <c r="E1520" t="inlineStr">
        <is>
          <t>STRÖMSUND</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18768-2023</t>
        </is>
      </c>
      <c r="B1521" s="1" t="n">
        <v>45043</v>
      </c>
      <c r="C1521" s="1" t="n">
        <v>46033</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34884-2025</t>
        </is>
      </c>
      <c r="B1522" s="1" t="n">
        <v>45849.46958333333</v>
      </c>
      <c r="C1522" s="1" t="n">
        <v>46033</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18773-2023</t>
        </is>
      </c>
      <c r="B1523" s="1" t="n">
        <v>45043.94290509259</v>
      </c>
      <c r="C1523" s="1" t="n">
        <v>46033</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61363-2025</t>
        </is>
      </c>
      <c r="B1524" s="1" t="n">
        <v>46001.42747685185</v>
      </c>
      <c r="C1524" s="1" t="n">
        <v>46033</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34811-2025</t>
        </is>
      </c>
      <c r="B1525" s="1" t="n">
        <v>45849.34430555555</v>
      </c>
      <c r="C1525" s="1" t="n">
        <v>46033</v>
      </c>
      <c r="D1525" t="inlineStr">
        <is>
          <t>JÄMTLANDS LÄN</t>
        </is>
      </c>
      <c r="E1525" t="inlineStr">
        <is>
          <t>STRÖMSUND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34812-2025</t>
        </is>
      </c>
      <c r="B1526" s="1" t="n">
        <v>45849.34442129629</v>
      </c>
      <c r="C1526" s="1" t="n">
        <v>46033</v>
      </c>
      <c r="D1526" t="inlineStr">
        <is>
          <t>JÄMTLANDS LÄN</t>
        </is>
      </c>
      <c r="E1526" t="inlineStr">
        <is>
          <t>STRÖMSUND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9258-2025</t>
        </is>
      </c>
      <c r="B1527" s="1" t="n">
        <v>45714.59476851852</v>
      </c>
      <c r="C1527" s="1" t="n">
        <v>46033</v>
      </c>
      <c r="D1527" t="inlineStr">
        <is>
          <t>JÄMTLANDS LÄN</t>
        </is>
      </c>
      <c r="E1527" t="inlineStr">
        <is>
          <t>STRÖMSUND</t>
        </is>
      </c>
      <c r="F1527" t="inlineStr">
        <is>
          <t>SCA</t>
        </is>
      </c>
      <c r="G1527" t="n">
        <v>15.4</v>
      </c>
      <c r="H1527" t="n">
        <v>0</v>
      </c>
      <c r="I1527" t="n">
        <v>0</v>
      </c>
      <c r="J1527" t="n">
        <v>0</v>
      </c>
      <c r="K1527" t="n">
        <v>0</v>
      </c>
      <c r="L1527" t="n">
        <v>0</v>
      </c>
      <c r="M1527" t="n">
        <v>0</v>
      </c>
      <c r="N1527" t="n">
        <v>0</v>
      </c>
      <c r="O1527" t="n">
        <v>0</v>
      </c>
      <c r="P1527" t="n">
        <v>0</v>
      </c>
      <c r="Q1527" t="n">
        <v>0</v>
      </c>
      <c r="R1527" s="2" t="inlineStr"/>
    </row>
    <row r="1528" ht="15" customHeight="1">
      <c r="A1528" t="inlineStr">
        <is>
          <t>A 35070-2025</t>
        </is>
      </c>
      <c r="B1528" s="1" t="n">
        <v>45852.46909722222</v>
      </c>
      <c r="C1528" s="1" t="n">
        <v>46033</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35081-2025</t>
        </is>
      </c>
      <c r="B1529" s="1" t="n">
        <v>45852.48996527777</v>
      </c>
      <c r="C1529" s="1" t="n">
        <v>46033</v>
      </c>
      <c r="D1529" t="inlineStr">
        <is>
          <t>JÄMTLANDS LÄN</t>
        </is>
      </c>
      <c r="E1529" t="inlineStr">
        <is>
          <t>STRÖMSUND</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40412-2025</t>
        </is>
      </c>
      <c r="B1530" s="1" t="n">
        <v>45895</v>
      </c>
      <c r="C1530" s="1" t="n">
        <v>46033</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35219-2025</t>
        </is>
      </c>
      <c r="B1531" s="1" t="n">
        <v>45853.51078703703</v>
      </c>
      <c r="C1531" s="1" t="n">
        <v>46033</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59607-2025</t>
        </is>
      </c>
      <c r="B1532" s="1" t="n">
        <v>45992.36519675926</v>
      </c>
      <c r="C1532" s="1" t="n">
        <v>46033</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61435-2025</t>
        </is>
      </c>
      <c r="B1533" s="1" t="n">
        <v>46001.56234953704</v>
      </c>
      <c r="C1533" s="1" t="n">
        <v>46033</v>
      </c>
      <c r="D1533" t="inlineStr">
        <is>
          <t>JÄMTLANDS LÄN</t>
        </is>
      </c>
      <c r="E1533" t="inlineStr">
        <is>
          <t>STRÖMSUND</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41988-2024</t>
        </is>
      </c>
      <c r="B1534" s="1" t="n">
        <v>45561.63615740741</v>
      </c>
      <c r="C1534" s="1" t="n">
        <v>46033</v>
      </c>
      <c r="D1534" t="inlineStr">
        <is>
          <t>JÄMTLANDS LÄN</t>
        </is>
      </c>
      <c r="E1534" t="inlineStr">
        <is>
          <t>STRÖMSUND</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28377-2023</t>
        </is>
      </c>
      <c r="B1535" s="1" t="n">
        <v>45099.95422453704</v>
      </c>
      <c r="C1535" s="1" t="n">
        <v>46033</v>
      </c>
      <c r="D1535" t="inlineStr">
        <is>
          <t>JÄMTLANDS LÄN</t>
        </is>
      </c>
      <c r="E1535" t="inlineStr">
        <is>
          <t>STRÖMSUND</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44402-2023</t>
        </is>
      </c>
      <c r="B1536" s="1" t="n">
        <v>45188</v>
      </c>
      <c r="C1536" s="1" t="n">
        <v>46033</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32172-2025</t>
        </is>
      </c>
      <c r="B1537" s="1" t="n">
        <v>45835</v>
      </c>
      <c r="C1537" s="1" t="n">
        <v>46033</v>
      </c>
      <c r="D1537" t="inlineStr">
        <is>
          <t>JÄMTLANDS LÄN</t>
        </is>
      </c>
      <c r="E1537" t="inlineStr">
        <is>
          <t>STRÖMSUND</t>
        </is>
      </c>
      <c r="F1537" t="inlineStr">
        <is>
          <t>Övriga statliga verk och myndigheter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54389-2024</t>
        </is>
      </c>
      <c r="B1538" s="1" t="n">
        <v>45617.45207175926</v>
      </c>
      <c r="C1538" s="1" t="n">
        <v>46033</v>
      </c>
      <c r="D1538" t="inlineStr">
        <is>
          <t>JÄMTLANDS LÄN</t>
        </is>
      </c>
      <c r="E1538" t="inlineStr">
        <is>
          <t>STRÖMSUND</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25052-2023</t>
        </is>
      </c>
      <c r="B1539" s="1" t="n">
        <v>45085.94605324074</v>
      </c>
      <c r="C1539" s="1" t="n">
        <v>46033</v>
      </c>
      <c r="D1539" t="inlineStr">
        <is>
          <t>JÄMTLANDS LÄN</t>
        </is>
      </c>
      <c r="E1539" t="inlineStr">
        <is>
          <t>STRÖMSUND</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35308-2025</t>
        </is>
      </c>
      <c r="B1540" s="1" t="n">
        <v>45854.44831018519</v>
      </c>
      <c r="C1540" s="1" t="n">
        <v>46033</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42681-2024</t>
        </is>
      </c>
      <c r="B1541" s="1" t="n">
        <v>45566.37802083333</v>
      </c>
      <c r="C1541" s="1" t="n">
        <v>46033</v>
      </c>
      <c r="D1541" t="inlineStr">
        <is>
          <t>JÄMTLANDS LÄN</t>
        </is>
      </c>
      <c r="E1541" t="inlineStr">
        <is>
          <t>STRÖMSUND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44009-2024</t>
        </is>
      </c>
      <c r="B1542" s="1" t="n">
        <v>45572.55314814814</v>
      </c>
      <c r="C1542" s="1" t="n">
        <v>46033</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35340-2025</t>
        </is>
      </c>
      <c r="B1543" s="1" t="n">
        <v>45854.59417824074</v>
      </c>
      <c r="C1543" s="1" t="n">
        <v>46033</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27223-2025</t>
        </is>
      </c>
      <c r="B1544" s="1" t="n">
        <v>45812.42733796296</v>
      </c>
      <c r="C1544" s="1" t="n">
        <v>46033</v>
      </c>
      <c r="D1544" t="inlineStr">
        <is>
          <t>JÄMTLANDS LÄN</t>
        </is>
      </c>
      <c r="E1544" t="inlineStr">
        <is>
          <t>STRÖMSUND</t>
        </is>
      </c>
      <c r="G1544" t="n">
        <v>30.5</v>
      </c>
      <c r="H1544" t="n">
        <v>0</v>
      </c>
      <c r="I1544" t="n">
        <v>0</v>
      </c>
      <c r="J1544" t="n">
        <v>0</v>
      </c>
      <c r="K1544" t="n">
        <v>0</v>
      </c>
      <c r="L1544" t="n">
        <v>0</v>
      </c>
      <c r="M1544" t="n">
        <v>0</v>
      </c>
      <c r="N1544" t="n">
        <v>0</v>
      </c>
      <c r="O1544" t="n">
        <v>0</v>
      </c>
      <c r="P1544" t="n">
        <v>0</v>
      </c>
      <c r="Q1544" t="n">
        <v>0</v>
      </c>
      <c r="R1544" s="2" t="inlineStr"/>
    </row>
    <row r="1545" ht="15" customHeight="1">
      <c r="A1545" t="inlineStr">
        <is>
          <t>A 26033-2024</t>
        </is>
      </c>
      <c r="B1545" s="1" t="n">
        <v>45467.96340277778</v>
      </c>
      <c r="C1545" s="1" t="n">
        <v>46033</v>
      </c>
      <c r="D1545" t="inlineStr">
        <is>
          <t>JÄMTLANDS LÄN</t>
        </is>
      </c>
      <c r="E1545" t="inlineStr">
        <is>
          <t>STRÖMSUND</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35512-2025</t>
        </is>
      </c>
      <c r="B1546" s="1" t="n">
        <v>45856.36510416667</v>
      </c>
      <c r="C1546" s="1" t="n">
        <v>46033</v>
      </c>
      <c r="D1546" t="inlineStr">
        <is>
          <t>JÄMTLANDS LÄN</t>
        </is>
      </c>
      <c r="E1546" t="inlineStr">
        <is>
          <t>STRÖMSUND</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13898-2025</t>
        </is>
      </c>
      <c r="B1547" s="1" t="n">
        <v>45737</v>
      </c>
      <c r="C1547" s="1" t="n">
        <v>46033</v>
      </c>
      <c r="D1547" t="inlineStr">
        <is>
          <t>JÄMTLANDS LÄN</t>
        </is>
      </c>
      <c r="E1547" t="inlineStr">
        <is>
          <t>STRÖMSUND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35507-2025</t>
        </is>
      </c>
      <c r="B1548" s="1" t="n">
        <v>45856.34442129629</v>
      </c>
      <c r="C1548" s="1" t="n">
        <v>46033</v>
      </c>
      <c r="D1548" t="inlineStr">
        <is>
          <t>JÄMTLANDS LÄN</t>
        </is>
      </c>
      <c r="E1548" t="inlineStr">
        <is>
          <t>STRÖMSUND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61195-2025</t>
        </is>
      </c>
      <c r="B1549" s="1" t="n">
        <v>46000</v>
      </c>
      <c r="C1549" s="1" t="n">
        <v>46033</v>
      </c>
      <c r="D1549" t="inlineStr">
        <is>
          <t>JÄMTLANDS LÄN</t>
        </is>
      </c>
      <c r="E1549" t="inlineStr">
        <is>
          <t>STRÖMSUND</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35663-2025</t>
        </is>
      </c>
      <c r="B1550" s="1" t="n">
        <v>45859.61510416667</v>
      </c>
      <c r="C1550" s="1" t="n">
        <v>46033</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23303-2023</t>
        </is>
      </c>
      <c r="B1551" s="1" t="n">
        <v>45075.94493055555</v>
      </c>
      <c r="C1551" s="1" t="n">
        <v>46033</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23311-2023</t>
        </is>
      </c>
      <c r="B1552" s="1" t="n">
        <v>45075</v>
      </c>
      <c r="C1552" s="1" t="n">
        <v>46033</v>
      </c>
      <c r="D1552" t="inlineStr">
        <is>
          <t>JÄMTLANDS LÄN</t>
        </is>
      </c>
      <c r="E1552" t="inlineStr">
        <is>
          <t>STRÖMSUND</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53339-2025</t>
        </is>
      </c>
      <c r="B1553" s="1" t="n">
        <v>45959.40692129629</v>
      </c>
      <c r="C1553" s="1" t="n">
        <v>46033</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32460-2021</t>
        </is>
      </c>
      <c r="B1554" s="1" t="n">
        <v>44371</v>
      </c>
      <c r="C1554" s="1" t="n">
        <v>46033</v>
      </c>
      <c r="D1554" t="inlineStr">
        <is>
          <t>JÄMTLANDS LÄN</t>
        </is>
      </c>
      <c r="E1554" t="inlineStr">
        <is>
          <t>STRÖMSUND</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53406-2025</t>
        </is>
      </c>
      <c r="B1555" s="1" t="n">
        <v>45959.57344907407</v>
      </c>
      <c r="C1555" s="1" t="n">
        <v>46033</v>
      </c>
      <c r="D1555" t="inlineStr">
        <is>
          <t>JÄMTLANDS LÄN</t>
        </is>
      </c>
      <c r="E1555" t="inlineStr">
        <is>
          <t>STRÖMSUND</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18774-2023</t>
        </is>
      </c>
      <c r="B1556" s="1" t="n">
        <v>45043.94297453704</v>
      </c>
      <c r="C1556" s="1" t="n">
        <v>46033</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18777-2023</t>
        </is>
      </c>
      <c r="B1557" s="1" t="n">
        <v>45043.94318287037</v>
      </c>
      <c r="C1557" s="1" t="n">
        <v>46033</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61210-2025</t>
        </is>
      </c>
      <c r="B1558" s="1" t="n">
        <v>46000.61526620371</v>
      </c>
      <c r="C1558" s="1" t="n">
        <v>46033</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35661-2025</t>
        </is>
      </c>
      <c r="B1559" s="1" t="n">
        <v>45859.61494212963</v>
      </c>
      <c r="C1559" s="1" t="n">
        <v>46033</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35385-2023</t>
        </is>
      </c>
      <c r="B1560" s="1" t="n">
        <v>45145</v>
      </c>
      <c r="C1560" s="1" t="n">
        <v>46033</v>
      </c>
      <c r="D1560" t="inlineStr">
        <is>
          <t>JÄMTLANDS LÄN</t>
        </is>
      </c>
      <c r="E1560" t="inlineStr">
        <is>
          <t>STRÖMSUND</t>
        </is>
      </c>
      <c r="G1560" t="n">
        <v>29.8</v>
      </c>
      <c r="H1560" t="n">
        <v>0</v>
      </c>
      <c r="I1560" t="n">
        <v>0</v>
      </c>
      <c r="J1560" t="n">
        <v>0</v>
      </c>
      <c r="K1560" t="n">
        <v>0</v>
      </c>
      <c r="L1560" t="n">
        <v>0</v>
      </c>
      <c r="M1560" t="n">
        <v>0</v>
      </c>
      <c r="N1560" t="n">
        <v>0</v>
      </c>
      <c r="O1560" t="n">
        <v>0</v>
      </c>
      <c r="P1560" t="n">
        <v>0</v>
      </c>
      <c r="Q1560" t="n">
        <v>0</v>
      </c>
      <c r="R1560" s="2" t="inlineStr"/>
    </row>
    <row r="1561" ht="15" customHeight="1">
      <c r="A1561" t="inlineStr">
        <is>
          <t>A 58646-2024</t>
        </is>
      </c>
      <c r="B1561" s="1" t="n">
        <v>45635.59450231482</v>
      </c>
      <c r="C1561" s="1" t="n">
        <v>46033</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32066-2024</t>
        </is>
      </c>
      <c r="B1562" s="1" t="n">
        <v>45510.97181712963</v>
      </c>
      <c r="C1562" s="1" t="n">
        <v>46033</v>
      </c>
      <c r="D1562" t="inlineStr">
        <is>
          <t>JÄMTLANDS LÄN</t>
        </is>
      </c>
      <c r="E1562" t="inlineStr">
        <is>
          <t>STRÖMSUND</t>
        </is>
      </c>
      <c r="F1562" t="inlineStr">
        <is>
          <t>SCA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37231-2022</t>
        </is>
      </c>
      <c r="B1563" s="1" t="n">
        <v>44806</v>
      </c>
      <c r="C1563" s="1" t="n">
        <v>46033</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36706-2021</t>
        </is>
      </c>
      <c r="B1564" s="1" t="n">
        <v>44392.53086805555</v>
      </c>
      <c r="C1564" s="1" t="n">
        <v>46033</v>
      </c>
      <c r="D1564" t="inlineStr">
        <is>
          <t>JÄMTLANDS LÄN</t>
        </is>
      </c>
      <c r="E1564" t="inlineStr">
        <is>
          <t>STRÖMSUND</t>
        </is>
      </c>
      <c r="F1564" t="inlineStr">
        <is>
          <t>Holmen skog AB</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44618-2024</t>
        </is>
      </c>
      <c r="B1565" s="1" t="n">
        <v>45574.51304398148</v>
      </c>
      <c r="C1565" s="1" t="n">
        <v>46033</v>
      </c>
      <c r="D1565" t="inlineStr">
        <is>
          <t>JÄMTLANDS LÄN</t>
        </is>
      </c>
      <c r="E1565" t="inlineStr">
        <is>
          <t>STRÖMSUND</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53132-2024</t>
        </is>
      </c>
      <c r="B1566" s="1" t="n">
        <v>45611.59440972222</v>
      </c>
      <c r="C1566" s="1" t="n">
        <v>46033</v>
      </c>
      <c r="D1566" t="inlineStr">
        <is>
          <t>JÄMTLANDS LÄN</t>
        </is>
      </c>
      <c r="E1566" t="inlineStr">
        <is>
          <t>STRÖMSUND</t>
        </is>
      </c>
      <c r="F1566" t="inlineStr">
        <is>
          <t>SCA</t>
        </is>
      </c>
      <c r="G1566" t="n">
        <v>29.2</v>
      </c>
      <c r="H1566" t="n">
        <v>0</v>
      </c>
      <c r="I1566" t="n">
        <v>0</v>
      </c>
      <c r="J1566" t="n">
        <v>0</v>
      </c>
      <c r="K1566" t="n">
        <v>0</v>
      </c>
      <c r="L1566" t="n">
        <v>0</v>
      </c>
      <c r="M1566" t="n">
        <v>0</v>
      </c>
      <c r="N1566" t="n">
        <v>0</v>
      </c>
      <c r="O1566" t="n">
        <v>0</v>
      </c>
      <c r="P1566" t="n">
        <v>0</v>
      </c>
      <c r="Q1566" t="n">
        <v>0</v>
      </c>
      <c r="R1566" s="2" t="inlineStr"/>
    </row>
    <row r="1567" ht="15" customHeight="1">
      <c r="A1567" t="inlineStr">
        <is>
          <t>A 35657-2025</t>
        </is>
      </c>
      <c r="B1567" s="1" t="n">
        <v>45859.59420138889</v>
      </c>
      <c r="C1567" s="1" t="n">
        <v>46033</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42156-2025</t>
        </is>
      </c>
      <c r="B1568" s="1" t="n">
        <v>45904.40098379629</v>
      </c>
      <c r="C1568" s="1" t="n">
        <v>46033</v>
      </c>
      <c r="D1568" t="inlineStr">
        <is>
          <t>JÄMTLANDS LÄN</t>
        </is>
      </c>
      <c r="E1568" t="inlineStr">
        <is>
          <t>STRÖMSUND</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56270-2024</t>
        </is>
      </c>
      <c r="B1569" s="1" t="n">
        <v>45624.65971064815</v>
      </c>
      <c r="C1569" s="1" t="n">
        <v>46033</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32871-2023</t>
        </is>
      </c>
      <c r="B1570" s="1" t="n">
        <v>45112</v>
      </c>
      <c r="C1570" s="1" t="n">
        <v>46033</v>
      </c>
      <c r="D1570" t="inlineStr">
        <is>
          <t>JÄMTLANDS LÄN</t>
        </is>
      </c>
      <c r="E1570" t="inlineStr">
        <is>
          <t>STRÖMSUND</t>
        </is>
      </c>
      <c r="F1570" t="inlineStr">
        <is>
          <t>Kommuner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61188-2025</t>
        </is>
      </c>
      <c r="B1571" s="1" t="n">
        <v>46000</v>
      </c>
      <c r="C1571" s="1" t="n">
        <v>46033</v>
      </c>
      <c r="D1571" t="inlineStr">
        <is>
          <t>JÄMTLANDS LÄN</t>
        </is>
      </c>
      <c r="E1571" t="inlineStr">
        <is>
          <t>STRÖMSUND</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61209-2025</t>
        </is>
      </c>
      <c r="B1572" s="1" t="n">
        <v>46000.61510416667</v>
      </c>
      <c r="C1572" s="1" t="n">
        <v>46033</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35874-2025</t>
        </is>
      </c>
      <c r="B1573" s="1" t="n">
        <v>45862.34422453704</v>
      </c>
      <c r="C1573" s="1" t="n">
        <v>46033</v>
      </c>
      <c r="D1573" t="inlineStr">
        <is>
          <t>JÄMTLANDS LÄN</t>
        </is>
      </c>
      <c r="E1573" t="inlineStr">
        <is>
          <t>STRÖMSUND</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27374-2023</t>
        </is>
      </c>
      <c r="B1574" s="1" t="n">
        <v>45096.93873842592</v>
      </c>
      <c r="C1574" s="1" t="n">
        <v>46033</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46033</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36247-2025</t>
        </is>
      </c>
      <c r="B1576" s="1" t="n">
        <v>45867.56798611111</v>
      </c>
      <c r="C1576" s="1" t="n">
        <v>46033</v>
      </c>
      <c r="D1576" t="inlineStr">
        <is>
          <t>JÄMTLANDS LÄN</t>
        </is>
      </c>
      <c r="E1576" t="inlineStr">
        <is>
          <t>STRÖMSUND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53259-2025</t>
        </is>
      </c>
      <c r="B1577" s="1" t="n">
        <v>45958.67768518518</v>
      </c>
      <c r="C1577" s="1" t="n">
        <v>46033</v>
      </c>
      <c r="D1577" t="inlineStr">
        <is>
          <t>JÄMTLANDS LÄN</t>
        </is>
      </c>
      <c r="E1577" t="inlineStr">
        <is>
          <t>STRÖMSUND</t>
        </is>
      </c>
      <c r="F1577" t="inlineStr">
        <is>
          <t>SCA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36025-2025</t>
        </is>
      </c>
      <c r="B1578" s="1" t="n">
        <v>45864.40675925926</v>
      </c>
      <c r="C1578" s="1" t="n">
        <v>46033</v>
      </c>
      <c r="D1578" t="inlineStr">
        <is>
          <t>JÄMTLANDS LÄN</t>
        </is>
      </c>
      <c r="E1578" t="inlineStr">
        <is>
          <t>STRÖMSUND</t>
        </is>
      </c>
      <c r="F1578" t="inlineStr">
        <is>
          <t>SCA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53263-2025</t>
        </is>
      </c>
      <c r="B1579" s="1" t="n">
        <v>45958.67818287037</v>
      </c>
      <c r="C1579" s="1" t="n">
        <v>46033</v>
      </c>
      <c r="D1579" t="inlineStr">
        <is>
          <t>JÄMTLANDS LÄN</t>
        </is>
      </c>
      <c r="E1579" t="inlineStr">
        <is>
          <t>STRÖMSUND</t>
        </is>
      </c>
      <c r="F1579" t="inlineStr">
        <is>
          <t>SCA</t>
        </is>
      </c>
      <c r="G1579" t="n">
        <v>20.6</v>
      </c>
      <c r="H1579" t="n">
        <v>0</v>
      </c>
      <c r="I1579" t="n">
        <v>0</v>
      </c>
      <c r="J1579" t="n">
        <v>0</v>
      </c>
      <c r="K1579" t="n">
        <v>0</v>
      </c>
      <c r="L1579" t="n">
        <v>0</v>
      </c>
      <c r="M1579" t="n">
        <v>0</v>
      </c>
      <c r="N1579" t="n">
        <v>0</v>
      </c>
      <c r="O1579" t="n">
        <v>0</v>
      </c>
      <c r="P1579" t="n">
        <v>0</v>
      </c>
      <c r="Q1579" t="n">
        <v>0</v>
      </c>
      <c r="R1579" s="2" t="inlineStr"/>
    </row>
    <row r="1580" ht="15" customHeight="1">
      <c r="A1580" t="inlineStr">
        <is>
          <t>A 36110-2025</t>
        </is>
      </c>
      <c r="B1580" s="1" t="n">
        <v>45866.57337962963</v>
      </c>
      <c r="C1580" s="1" t="n">
        <v>46033</v>
      </c>
      <c r="D1580" t="inlineStr">
        <is>
          <t>JÄMTLANDS LÄN</t>
        </is>
      </c>
      <c r="E1580" t="inlineStr">
        <is>
          <t>STRÖMSUND</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57453-2024</t>
        </is>
      </c>
      <c r="B1581" s="1" t="n">
        <v>45630.29371527778</v>
      </c>
      <c r="C1581" s="1" t="n">
        <v>46033</v>
      </c>
      <c r="D1581" t="inlineStr">
        <is>
          <t>JÄMTLANDS LÄN</t>
        </is>
      </c>
      <c r="E1581" t="inlineStr">
        <is>
          <t>STRÖMSUND</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45366-2023</t>
        </is>
      </c>
      <c r="B1582" s="1" t="n">
        <v>45192</v>
      </c>
      <c r="C1582" s="1" t="n">
        <v>46033</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36238-2025</t>
        </is>
      </c>
      <c r="B1583" s="1" t="n">
        <v>45867.55275462963</v>
      </c>
      <c r="C1583" s="1" t="n">
        <v>46033</v>
      </c>
      <c r="D1583" t="inlineStr">
        <is>
          <t>JÄMTLANDS LÄN</t>
        </is>
      </c>
      <c r="E1583" t="inlineStr">
        <is>
          <t>STRÖMSUND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36239-2025</t>
        </is>
      </c>
      <c r="B1584" s="1" t="n">
        <v>45867.55287037037</v>
      </c>
      <c r="C1584" s="1" t="n">
        <v>46033</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22453-2024</t>
        </is>
      </c>
      <c r="B1585" s="1" t="n">
        <v>45446.94916666667</v>
      </c>
      <c r="C1585" s="1" t="n">
        <v>46033</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36430-2025</t>
        </is>
      </c>
      <c r="B1586" s="1" t="n">
        <v>45869.34453703704</v>
      </c>
      <c r="C1586" s="1" t="n">
        <v>46033</v>
      </c>
      <c r="D1586" t="inlineStr">
        <is>
          <t>JÄMTLANDS LÄN</t>
        </is>
      </c>
      <c r="E1586" t="inlineStr">
        <is>
          <t>STRÖMSUND</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36444-2025</t>
        </is>
      </c>
      <c r="B1587" s="1" t="n">
        <v>45869.40662037037</v>
      </c>
      <c r="C1587" s="1" t="n">
        <v>46033</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36428-2025</t>
        </is>
      </c>
      <c r="B1588" s="1" t="n">
        <v>45869.34424768519</v>
      </c>
      <c r="C1588" s="1" t="n">
        <v>46033</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59969-2023</t>
        </is>
      </c>
      <c r="B1589" s="1" t="n">
        <v>45254</v>
      </c>
      <c r="C1589" s="1" t="n">
        <v>46033</v>
      </c>
      <c r="D1589" t="inlineStr">
        <is>
          <t>JÄMTLANDS LÄN</t>
        </is>
      </c>
      <c r="E1589" t="inlineStr">
        <is>
          <t>STRÖMSUND</t>
        </is>
      </c>
      <c r="G1589" t="n">
        <v>23.3</v>
      </c>
      <c r="H1589" t="n">
        <v>0</v>
      </c>
      <c r="I1589" t="n">
        <v>0</v>
      </c>
      <c r="J1589" t="n">
        <v>0</v>
      </c>
      <c r="K1589" t="n">
        <v>0</v>
      </c>
      <c r="L1589" t="n">
        <v>0</v>
      </c>
      <c r="M1589" t="n">
        <v>0</v>
      </c>
      <c r="N1589" t="n">
        <v>0</v>
      </c>
      <c r="O1589" t="n">
        <v>0</v>
      </c>
      <c r="P1589" t="n">
        <v>0</v>
      </c>
      <c r="Q1589" t="n">
        <v>0</v>
      </c>
      <c r="R1589" s="2" t="inlineStr"/>
    </row>
    <row r="1590" ht="15" customHeight="1">
      <c r="A1590" t="inlineStr">
        <is>
          <t>A 36378-2025</t>
        </is>
      </c>
      <c r="B1590" s="1" t="n">
        <v>45868.57364583333</v>
      </c>
      <c r="C1590" s="1" t="n">
        <v>46033</v>
      </c>
      <c r="D1590" t="inlineStr">
        <is>
          <t>JÄMTLANDS LÄN</t>
        </is>
      </c>
      <c r="E1590" t="inlineStr">
        <is>
          <t>STRÖMSUND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36379-2025</t>
        </is>
      </c>
      <c r="B1591" s="1" t="n">
        <v>45868.57386574074</v>
      </c>
      <c r="C1591" s="1" t="n">
        <v>46033</v>
      </c>
      <c r="D1591" t="inlineStr">
        <is>
          <t>JÄMTLANDS LÄN</t>
        </is>
      </c>
      <c r="E1591" t="inlineStr">
        <is>
          <t>STRÖMSUND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40492-2024</t>
        </is>
      </c>
      <c r="B1592" s="1" t="n">
        <v>45555</v>
      </c>
      <c r="C1592" s="1" t="n">
        <v>46033</v>
      </c>
      <c r="D1592" t="inlineStr">
        <is>
          <t>JÄMTLANDS LÄN</t>
        </is>
      </c>
      <c r="E1592" t="inlineStr">
        <is>
          <t>STRÖMSUND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36380-2025</t>
        </is>
      </c>
      <c r="B1593" s="1" t="n">
        <v>45868.57390046296</v>
      </c>
      <c r="C1593" s="1" t="n">
        <v>46033</v>
      </c>
      <c r="D1593" t="inlineStr">
        <is>
          <t>JÄMTLANDS LÄN</t>
        </is>
      </c>
      <c r="E1593" t="inlineStr">
        <is>
          <t>STRÖMSUND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56437-2023</t>
        </is>
      </c>
      <c r="B1594" s="1" t="n">
        <v>45237</v>
      </c>
      <c r="C1594" s="1" t="n">
        <v>46033</v>
      </c>
      <c r="D1594" t="inlineStr">
        <is>
          <t>JÄMTLANDS LÄN</t>
        </is>
      </c>
      <c r="E1594" t="inlineStr">
        <is>
          <t>STRÖMSUND</t>
        </is>
      </c>
      <c r="G1594" t="n">
        <v>35.8</v>
      </c>
      <c r="H1594" t="n">
        <v>0</v>
      </c>
      <c r="I1594" t="n">
        <v>0</v>
      </c>
      <c r="J1594" t="n">
        <v>0</v>
      </c>
      <c r="K1594" t="n">
        <v>0</v>
      </c>
      <c r="L1594" t="n">
        <v>0</v>
      </c>
      <c r="M1594" t="n">
        <v>0</v>
      </c>
      <c r="N1594" t="n">
        <v>0</v>
      </c>
      <c r="O1594" t="n">
        <v>0</v>
      </c>
      <c r="P1594" t="n">
        <v>0</v>
      </c>
      <c r="Q1594" t="n">
        <v>0</v>
      </c>
      <c r="R1594" s="2" t="inlineStr"/>
    </row>
    <row r="1595" ht="15" customHeight="1">
      <c r="A1595" t="inlineStr">
        <is>
          <t>A 53946-2025</t>
        </is>
      </c>
      <c r="B1595" s="1" t="n">
        <v>45961</v>
      </c>
      <c r="C1595" s="1" t="n">
        <v>46033</v>
      </c>
      <c r="D1595" t="inlineStr">
        <is>
          <t>JÄMTLANDS LÄN</t>
        </is>
      </c>
      <c r="E1595" t="inlineStr">
        <is>
          <t>STRÖMSUND</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54479-2023</t>
        </is>
      </c>
      <c r="B1596" s="1" t="n">
        <v>45233</v>
      </c>
      <c r="C1596" s="1" t="n">
        <v>46033</v>
      </c>
      <c r="D1596" t="inlineStr">
        <is>
          <t>JÄMTLANDS LÄN</t>
        </is>
      </c>
      <c r="E1596" t="inlineStr">
        <is>
          <t>STRÖMSUND</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56484-2023</t>
        </is>
      </c>
      <c r="B1597" s="1" t="n">
        <v>45237</v>
      </c>
      <c r="C1597" s="1" t="n">
        <v>46033</v>
      </c>
      <c r="D1597" t="inlineStr">
        <is>
          <t>JÄMTLANDS LÄN</t>
        </is>
      </c>
      <c r="E1597" t="inlineStr">
        <is>
          <t>STRÖMSUND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45230-2021</t>
        </is>
      </c>
      <c r="B1598" s="1" t="n">
        <v>44439.58334490741</v>
      </c>
      <c r="C1598" s="1" t="n">
        <v>46033</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8895-2024</t>
        </is>
      </c>
      <c r="B1599" s="1" t="n">
        <v>45357.31908564815</v>
      </c>
      <c r="C1599" s="1" t="n">
        <v>46033</v>
      </c>
      <c r="D1599" t="inlineStr">
        <is>
          <t>JÄMTLANDS LÄN</t>
        </is>
      </c>
      <c r="E1599" t="inlineStr">
        <is>
          <t>STRÖMSUND</t>
        </is>
      </c>
      <c r="F1599" t="inlineStr">
        <is>
          <t>Holmen skog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15375-2024</t>
        </is>
      </c>
      <c r="B1600" s="1" t="n">
        <v>45400</v>
      </c>
      <c r="C1600" s="1" t="n">
        <v>46033</v>
      </c>
      <c r="D1600" t="inlineStr">
        <is>
          <t>JÄMTLANDS LÄN</t>
        </is>
      </c>
      <c r="E1600" t="inlineStr">
        <is>
          <t>STRÖMSUND</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22479-2025</t>
        </is>
      </c>
      <c r="B1601" s="1" t="n">
        <v>45786.63579861111</v>
      </c>
      <c r="C1601" s="1" t="n">
        <v>46033</v>
      </c>
      <c r="D1601" t="inlineStr">
        <is>
          <t>JÄMTLANDS LÄN</t>
        </is>
      </c>
      <c r="E1601" t="inlineStr">
        <is>
          <t>STRÖMSUND</t>
        </is>
      </c>
      <c r="F1601" t="inlineStr">
        <is>
          <t>SCA</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49384-2024</t>
        </is>
      </c>
      <c r="B1602" s="1" t="n">
        <v>45595.65655092592</v>
      </c>
      <c r="C1602" s="1" t="n">
        <v>46033</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61864-2025</t>
        </is>
      </c>
      <c r="B1603" s="1" t="n">
        <v>46003.38728009259</v>
      </c>
      <c r="C1603" s="1" t="n">
        <v>46033</v>
      </c>
      <c r="D1603" t="inlineStr">
        <is>
          <t>JÄMTLANDS LÄN</t>
        </is>
      </c>
      <c r="E1603" t="inlineStr">
        <is>
          <t>STRÖMSUND</t>
        </is>
      </c>
      <c r="F1603" t="inlineStr">
        <is>
          <t>SCA</t>
        </is>
      </c>
      <c r="G1603" t="n">
        <v>18.1</v>
      </c>
      <c r="H1603" t="n">
        <v>0</v>
      </c>
      <c r="I1603" t="n">
        <v>0</v>
      </c>
      <c r="J1603" t="n">
        <v>0</v>
      </c>
      <c r="K1603" t="n">
        <v>0</v>
      </c>
      <c r="L1603" t="n">
        <v>0</v>
      </c>
      <c r="M1603" t="n">
        <v>0</v>
      </c>
      <c r="N1603" t="n">
        <v>0</v>
      </c>
      <c r="O1603" t="n">
        <v>0</v>
      </c>
      <c r="P1603" t="n">
        <v>0</v>
      </c>
      <c r="Q1603" t="n">
        <v>0</v>
      </c>
      <c r="R1603" s="2" t="inlineStr"/>
    </row>
    <row r="1604" ht="15" customHeight="1">
      <c r="A1604" t="inlineStr">
        <is>
          <t>A 53025-2023</t>
        </is>
      </c>
      <c r="B1604" s="1" t="n">
        <v>45222</v>
      </c>
      <c r="C1604" s="1" t="n">
        <v>46033</v>
      </c>
      <c r="D1604" t="inlineStr">
        <is>
          <t>JÄMTLANDS LÄN</t>
        </is>
      </c>
      <c r="E1604" t="inlineStr">
        <is>
          <t>STRÖMSUND</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36653-2025</t>
        </is>
      </c>
      <c r="B1605" s="1" t="n">
        <v>45872.90528935185</v>
      </c>
      <c r="C1605" s="1" t="n">
        <v>46033</v>
      </c>
      <c r="D1605" t="inlineStr">
        <is>
          <t>JÄMTLANDS LÄN</t>
        </is>
      </c>
      <c r="E1605" t="inlineStr">
        <is>
          <t>STRÖMSUND</t>
        </is>
      </c>
      <c r="F1605" t="inlineStr">
        <is>
          <t>Holmen skog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57445-2023</t>
        </is>
      </c>
      <c r="B1606" s="1" t="n">
        <v>45246.34328703704</v>
      </c>
      <c r="C1606" s="1" t="n">
        <v>46033</v>
      </c>
      <c r="D1606" t="inlineStr">
        <is>
          <t>JÄMTLANDS LÄN</t>
        </is>
      </c>
      <c r="E1606" t="inlineStr">
        <is>
          <t>STRÖMSUND</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51585-2024</t>
        </is>
      </c>
      <c r="B1607" s="1" t="n">
        <v>45604.64290509259</v>
      </c>
      <c r="C1607" s="1" t="n">
        <v>46033</v>
      </c>
      <c r="D1607" t="inlineStr">
        <is>
          <t>JÄMTLANDS LÄN</t>
        </is>
      </c>
      <c r="E1607" t="inlineStr">
        <is>
          <t>STRÖMSUND</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36891-2025</t>
        </is>
      </c>
      <c r="B1608" s="1" t="n">
        <v>45874.46962962963</v>
      </c>
      <c r="C1608" s="1" t="n">
        <v>46033</v>
      </c>
      <c r="D1608" t="inlineStr">
        <is>
          <t>JÄMTLANDS LÄN</t>
        </is>
      </c>
      <c r="E1608" t="inlineStr">
        <is>
          <t>STRÖMSUND</t>
        </is>
      </c>
      <c r="F1608" t="inlineStr">
        <is>
          <t>SCA</t>
        </is>
      </c>
      <c r="G1608" t="n">
        <v>1.6</v>
      </c>
      <c r="H1608" t="n">
        <v>0</v>
      </c>
      <c r="I1608" t="n">
        <v>0</v>
      </c>
      <c r="J1608" t="n">
        <v>0</v>
      </c>
      <c r="K1608" t="n">
        <v>0</v>
      </c>
      <c r="L1608" t="n">
        <v>0</v>
      </c>
      <c r="M1608" t="n">
        <v>0</v>
      </c>
      <c r="N1608" t="n">
        <v>0</v>
      </c>
      <c r="O1608" t="n">
        <v>0</v>
      </c>
      <c r="P1608" t="n">
        <v>0</v>
      </c>
      <c r="Q1608" t="n">
        <v>0</v>
      </c>
      <c r="R1608" s="2" t="inlineStr"/>
      <c r="U1608">
        <f>HYPERLINK("https://klasma.github.io/Logging_2313/knärot/A 36891-2025 karta knärot.png", "A 36891-2025")</f>
        <v/>
      </c>
      <c r="V1608">
        <f>HYPERLINK("https://klasma.github.io/Logging_2313/klagomål/A 36891-2025 FSC-klagomål.docx", "A 36891-2025")</f>
        <v/>
      </c>
      <c r="W1608">
        <f>HYPERLINK("https://klasma.github.io/Logging_2313/klagomålsmail/A 36891-2025 FSC-klagomål mail.docx", "A 36891-2025")</f>
        <v/>
      </c>
      <c r="X1608">
        <f>HYPERLINK("https://klasma.github.io/Logging_2313/tillsyn/A 36891-2025 tillsynsbegäran.docx", "A 36891-2025")</f>
        <v/>
      </c>
      <c r="Y1608">
        <f>HYPERLINK("https://klasma.github.io/Logging_2313/tillsynsmail/A 36891-2025 tillsynsbegäran mail.docx", "A 36891-2025")</f>
        <v/>
      </c>
    </row>
    <row r="1609" ht="15" customHeight="1">
      <c r="A1609" t="inlineStr">
        <is>
          <t>A 32396-2024</t>
        </is>
      </c>
      <c r="B1609" s="1" t="n">
        <v>45512.64496527778</v>
      </c>
      <c r="C1609" s="1" t="n">
        <v>46033</v>
      </c>
      <c r="D1609" t="inlineStr">
        <is>
          <t>JÄMTLANDS LÄN</t>
        </is>
      </c>
      <c r="E1609" t="inlineStr">
        <is>
          <t>STRÖMSUND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10089-2025</t>
        </is>
      </c>
      <c r="B1610" s="1" t="n">
        <v>45719.57336805556</v>
      </c>
      <c r="C1610" s="1" t="n">
        <v>46033</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19146-2025</t>
        </is>
      </c>
      <c r="B1611" s="1" t="n">
        <v>45769.34462962963</v>
      </c>
      <c r="C1611" s="1" t="n">
        <v>46033</v>
      </c>
      <c r="D1611" t="inlineStr">
        <is>
          <t>JÄMTLANDS LÄN</t>
        </is>
      </c>
      <c r="E1611" t="inlineStr">
        <is>
          <t>STRÖMSUND</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37202-2025</t>
        </is>
      </c>
      <c r="B1612" s="1" t="n">
        <v>45875.67811342593</v>
      </c>
      <c r="C1612" s="1" t="n">
        <v>46033</v>
      </c>
      <c r="D1612" t="inlineStr">
        <is>
          <t>JÄMTLANDS LÄN</t>
        </is>
      </c>
      <c r="E1612" t="inlineStr">
        <is>
          <t>STRÖMSUND</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46033</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46033</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43453-2022</t>
        </is>
      </c>
      <c r="B1615" s="1" t="n">
        <v>44835</v>
      </c>
      <c r="C1615" s="1" t="n">
        <v>46033</v>
      </c>
      <c r="D1615" t="inlineStr">
        <is>
          <t>JÄMTLANDS LÄN</t>
        </is>
      </c>
      <c r="E1615" t="inlineStr">
        <is>
          <t>STRÖMSUND</t>
        </is>
      </c>
      <c r="F1615" t="inlineStr">
        <is>
          <t>SCA</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53671-2025</t>
        </is>
      </c>
      <c r="B1616" s="1" t="n">
        <v>45960.55252314815</v>
      </c>
      <c r="C1616" s="1" t="n">
        <v>46033</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53754-2025</t>
        </is>
      </c>
      <c r="B1617" s="1" t="n">
        <v>45960</v>
      </c>
      <c r="C1617" s="1" t="n">
        <v>46033</v>
      </c>
      <c r="D1617" t="inlineStr">
        <is>
          <t>JÄMTLANDS LÄN</t>
        </is>
      </c>
      <c r="E1617" t="inlineStr">
        <is>
          <t>STRÖMSUND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52113-2023</t>
        </is>
      </c>
      <c r="B1618" s="1" t="n">
        <v>45223.9275462963</v>
      </c>
      <c r="C1618" s="1" t="n">
        <v>46033</v>
      </c>
      <c r="D1618" t="inlineStr">
        <is>
          <t>JÄMTLANDS LÄN</t>
        </is>
      </c>
      <c r="E1618" t="inlineStr">
        <is>
          <t>STRÖMSUND</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36892-2025</t>
        </is>
      </c>
      <c r="B1619" s="1" t="n">
        <v>45874.46975694445</v>
      </c>
      <c r="C1619" s="1" t="n">
        <v>46033</v>
      </c>
      <c r="D1619" t="inlineStr">
        <is>
          <t>JÄMTLANDS LÄN</t>
        </is>
      </c>
      <c r="E1619" t="inlineStr">
        <is>
          <t>STRÖMSUND</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36965-2025</t>
        </is>
      </c>
      <c r="B1620" s="1" t="n">
        <v>45874.6358912037</v>
      </c>
      <c r="C1620" s="1" t="n">
        <v>46033</v>
      </c>
      <c r="D1620" t="inlineStr">
        <is>
          <t>JÄMTLANDS LÄN</t>
        </is>
      </c>
      <c r="E1620" t="inlineStr">
        <is>
          <t>STRÖMSUND</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24397-2023</t>
        </is>
      </c>
      <c r="B1621" s="1" t="n">
        <v>45082</v>
      </c>
      <c r="C1621" s="1" t="n">
        <v>46033</v>
      </c>
      <c r="D1621" t="inlineStr">
        <is>
          <t>JÄMTLANDS LÄN</t>
        </is>
      </c>
      <c r="E1621" t="inlineStr">
        <is>
          <t>STRÖMSUND</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36870-2025</t>
        </is>
      </c>
      <c r="B1622" s="1" t="n">
        <v>45874.42859953704</v>
      </c>
      <c r="C1622" s="1" t="n">
        <v>46033</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37097-2025</t>
        </is>
      </c>
      <c r="B1623" s="1" t="n">
        <v>45875.46953703704</v>
      </c>
      <c r="C1623" s="1" t="n">
        <v>46033</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37096-2025</t>
        </is>
      </c>
      <c r="B1624" s="1" t="n">
        <v>45875.46940972222</v>
      </c>
      <c r="C1624" s="1" t="n">
        <v>46033</v>
      </c>
      <c r="D1624" t="inlineStr">
        <is>
          <t>JÄMTLANDS LÄN</t>
        </is>
      </c>
      <c r="E1624" t="inlineStr">
        <is>
          <t>STRÖMSUND</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62011-2025</t>
        </is>
      </c>
      <c r="B1625" s="1" t="n">
        <v>46003.67744212963</v>
      </c>
      <c r="C1625" s="1" t="n">
        <v>46033</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53834-2025</t>
        </is>
      </c>
      <c r="B1626" s="1" t="n">
        <v>45961.34525462963</v>
      </c>
      <c r="C1626" s="1" t="n">
        <v>46033</v>
      </c>
      <c r="D1626" t="inlineStr">
        <is>
          <t>JÄMTLANDS LÄN</t>
        </is>
      </c>
      <c r="E1626" t="inlineStr">
        <is>
          <t>STRÖMSUND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53835-2025</t>
        </is>
      </c>
      <c r="B1627" s="1" t="n">
        <v>45961.3453125</v>
      </c>
      <c r="C1627" s="1" t="n">
        <v>46033</v>
      </c>
      <c r="D1627" t="inlineStr">
        <is>
          <t>JÄMTLANDS LÄN</t>
        </is>
      </c>
      <c r="E1627" t="inlineStr">
        <is>
          <t>STRÖMSUND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22096-2022</t>
        </is>
      </c>
      <c r="B1628" s="1" t="n">
        <v>44711.94118055556</v>
      </c>
      <c r="C1628" s="1" t="n">
        <v>46033</v>
      </c>
      <c r="D1628" t="inlineStr">
        <is>
          <t>JÄMTLANDS LÄN</t>
        </is>
      </c>
      <c r="E1628" t="inlineStr">
        <is>
          <t>STRÖMSUND</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59478-2023</t>
        </is>
      </c>
      <c r="B1629" s="1" t="n">
        <v>45254</v>
      </c>
      <c r="C1629" s="1" t="n">
        <v>46033</v>
      </c>
      <c r="D1629" t="inlineStr">
        <is>
          <t>JÄMTLANDS LÄN</t>
        </is>
      </c>
      <c r="E1629" t="inlineStr">
        <is>
          <t>STRÖMSUND</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292-2025</t>
        </is>
      </c>
      <c r="B1630" s="1" t="n">
        <v>45660.53174768519</v>
      </c>
      <c r="C1630" s="1" t="n">
        <v>46033</v>
      </c>
      <c r="D1630" t="inlineStr">
        <is>
          <t>JÄMTLANDS LÄN</t>
        </is>
      </c>
      <c r="E1630" t="inlineStr">
        <is>
          <t>STRÖMSUND</t>
        </is>
      </c>
      <c r="F1630" t="inlineStr">
        <is>
          <t>SCA</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59469-2023</t>
        </is>
      </c>
      <c r="B1631" s="1" t="n">
        <v>45254</v>
      </c>
      <c r="C1631" s="1" t="n">
        <v>46033</v>
      </c>
      <c r="D1631" t="inlineStr">
        <is>
          <t>JÄMTLANDS LÄN</t>
        </is>
      </c>
      <c r="E1631" t="inlineStr">
        <is>
          <t>STRÖMSUND</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18298-2024</t>
        </is>
      </c>
      <c r="B1632" s="1" t="n">
        <v>45421</v>
      </c>
      <c r="C1632" s="1" t="n">
        <v>46033</v>
      </c>
      <c r="D1632" t="inlineStr">
        <is>
          <t>JÄMTLANDS LÄN</t>
        </is>
      </c>
      <c r="E1632" t="inlineStr">
        <is>
          <t>STRÖMSUND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6685-2025</t>
        </is>
      </c>
      <c r="B1633" s="1" t="n">
        <v>45700.48990740741</v>
      </c>
      <c r="C1633" s="1" t="n">
        <v>46033</v>
      </c>
      <c r="D1633" t="inlineStr">
        <is>
          <t>JÄMTLANDS LÄN</t>
        </is>
      </c>
      <c r="E1633" t="inlineStr">
        <is>
          <t>STRÖMSUND</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57805-2023</t>
        </is>
      </c>
      <c r="B1634" s="1" t="n">
        <v>45243</v>
      </c>
      <c r="C1634" s="1" t="n">
        <v>46033</v>
      </c>
      <c r="D1634" t="inlineStr">
        <is>
          <t>JÄMTLANDS LÄN</t>
        </is>
      </c>
      <c r="E1634" t="inlineStr">
        <is>
          <t>STRÖMSUND</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61500-2023</t>
        </is>
      </c>
      <c r="B1635" s="1" t="n">
        <v>45264</v>
      </c>
      <c r="C1635" s="1" t="n">
        <v>46033</v>
      </c>
      <c r="D1635" t="inlineStr">
        <is>
          <t>JÄMTLANDS LÄN</t>
        </is>
      </c>
      <c r="E1635" t="inlineStr">
        <is>
          <t>STRÖMSUND</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35407-2024</t>
        </is>
      </c>
      <c r="B1636" s="1" t="n">
        <v>45531.40631944445</v>
      </c>
      <c r="C1636" s="1" t="n">
        <v>46033</v>
      </c>
      <c r="D1636" t="inlineStr">
        <is>
          <t>JÄMTLANDS LÄN</t>
        </is>
      </c>
      <c r="E1636" t="inlineStr">
        <is>
          <t>STRÖMSUND</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37291-2025</t>
        </is>
      </c>
      <c r="B1637" s="1" t="n">
        <v>45876.53166666667</v>
      </c>
      <c r="C1637" s="1" t="n">
        <v>46033</v>
      </c>
      <c r="D1637" t="inlineStr">
        <is>
          <t>JÄMTLANDS LÄN</t>
        </is>
      </c>
      <c r="E1637" t="inlineStr">
        <is>
          <t>STRÖMSUND</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12870-2025</t>
        </is>
      </c>
      <c r="B1638" s="1" t="n">
        <v>45733.67751157407</v>
      </c>
      <c r="C1638" s="1" t="n">
        <v>46033</v>
      </c>
      <c r="D1638" t="inlineStr">
        <is>
          <t>JÄMTLANDS LÄN</t>
        </is>
      </c>
      <c r="E1638" t="inlineStr">
        <is>
          <t>STRÖMSUND</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37451-2025</t>
        </is>
      </c>
      <c r="B1639" s="1" t="n">
        <v>45877.55271990741</v>
      </c>
      <c r="C1639" s="1" t="n">
        <v>46033</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37452-2025</t>
        </is>
      </c>
      <c r="B1640" s="1" t="n">
        <v>45877.5578125</v>
      </c>
      <c r="C1640" s="1" t="n">
        <v>46033</v>
      </c>
      <c r="D1640" t="inlineStr">
        <is>
          <t>JÄMTLANDS LÄN</t>
        </is>
      </c>
      <c r="E1640" t="inlineStr">
        <is>
          <t>STRÖMSUND</t>
        </is>
      </c>
      <c r="F1640" t="inlineStr">
        <is>
          <t>Holmen skog AB</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37274-2025</t>
        </is>
      </c>
      <c r="B1641" s="1" t="n">
        <v>45876.48733796296</v>
      </c>
      <c r="C1641" s="1" t="n">
        <v>46033</v>
      </c>
      <c r="D1641" t="inlineStr">
        <is>
          <t>JÄMTLANDS LÄN</t>
        </is>
      </c>
      <c r="E1641" t="inlineStr">
        <is>
          <t>STRÖMSUND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37272-2025</t>
        </is>
      </c>
      <c r="B1642" s="1" t="n">
        <v>45876.47997685185</v>
      </c>
      <c r="C1642" s="1" t="n">
        <v>46033</v>
      </c>
      <c r="D1642" t="inlineStr">
        <is>
          <t>JÄMTLANDS LÄN</t>
        </is>
      </c>
      <c r="E1642" t="inlineStr">
        <is>
          <t>STRÖMSUND</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37430-2025</t>
        </is>
      </c>
      <c r="B1643" s="1" t="n">
        <v>45877.50881944445</v>
      </c>
      <c r="C1643" s="1" t="n">
        <v>46033</v>
      </c>
      <c r="D1643" t="inlineStr">
        <is>
          <t>JÄMTLANDS LÄN</t>
        </is>
      </c>
      <c r="E1643" t="inlineStr">
        <is>
          <t>STRÖMSUND</t>
        </is>
      </c>
      <c r="F1643" t="inlineStr">
        <is>
          <t>Holmen skog AB</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57280-2022</t>
        </is>
      </c>
      <c r="B1644" s="1" t="n">
        <v>44895.94929398148</v>
      </c>
      <c r="C1644" s="1" t="n">
        <v>46033</v>
      </c>
      <c r="D1644" t="inlineStr">
        <is>
          <t>JÄMTLANDS LÄN</t>
        </is>
      </c>
      <c r="E1644" t="inlineStr">
        <is>
          <t>STRÖMSUND</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53563-2025</t>
        </is>
      </c>
      <c r="B1645" s="1" t="n">
        <v>45960.40680555555</v>
      </c>
      <c r="C1645" s="1" t="n">
        <v>46033</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37462-2025</t>
        </is>
      </c>
      <c r="B1646" s="1" t="n">
        <v>45877.57369212963</v>
      </c>
      <c r="C1646" s="1" t="n">
        <v>46033</v>
      </c>
      <c r="D1646" t="inlineStr">
        <is>
          <t>JÄMTLANDS LÄN</t>
        </is>
      </c>
      <c r="E1646" t="inlineStr">
        <is>
          <t>STRÖMSUND</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53581-2025</t>
        </is>
      </c>
      <c r="B1647" s="1" t="n">
        <v>45960.42800925926</v>
      </c>
      <c r="C1647" s="1" t="n">
        <v>46033</v>
      </c>
      <c r="D1647" t="inlineStr">
        <is>
          <t>JÄMTLANDS LÄN</t>
        </is>
      </c>
      <c r="E1647" t="inlineStr">
        <is>
          <t>STRÖMSUND</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37330-2025</t>
        </is>
      </c>
      <c r="B1648" s="1" t="n">
        <v>45876.65702546296</v>
      </c>
      <c r="C1648" s="1" t="n">
        <v>46033</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61856-2025</t>
        </is>
      </c>
      <c r="B1649" s="1" t="n">
        <v>46003.38597222222</v>
      </c>
      <c r="C1649" s="1" t="n">
        <v>46033</v>
      </c>
      <c r="D1649" t="inlineStr">
        <is>
          <t>JÄMTLANDS LÄN</t>
        </is>
      </c>
      <c r="E1649" t="inlineStr">
        <is>
          <t>STRÖMSUND</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37370-2025</t>
        </is>
      </c>
      <c r="B1650" s="1" t="n">
        <v>45877.34458333333</v>
      </c>
      <c r="C1650" s="1" t="n">
        <v>46033</v>
      </c>
      <c r="D1650" t="inlineStr">
        <is>
          <t>JÄMTLANDS LÄN</t>
        </is>
      </c>
      <c r="E1650" t="inlineStr">
        <is>
          <t>STRÖMSUND</t>
        </is>
      </c>
      <c r="F1650" t="inlineStr">
        <is>
          <t>SCA</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37395-2025</t>
        </is>
      </c>
      <c r="B1651" s="1" t="n">
        <v>45877.42790509259</v>
      </c>
      <c r="C1651" s="1" t="n">
        <v>46033</v>
      </c>
      <c r="D1651" t="inlineStr">
        <is>
          <t>JÄMTLANDS LÄN</t>
        </is>
      </c>
      <c r="E1651" t="inlineStr">
        <is>
          <t>STRÖMSUND</t>
        </is>
      </c>
      <c r="F1651" t="inlineStr">
        <is>
          <t>SCA</t>
        </is>
      </c>
      <c r="G1651" t="n">
        <v>12.1</v>
      </c>
      <c r="H1651" t="n">
        <v>0</v>
      </c>
      <c r="I1651" t="n">
        <v>0</v>
      </c>
      <c r="J1651" t="n">
        <v>0</v>
      </c>
      <c r="K1651" t="n">
        <v>0</v>
      </c>
      <c r="L1651" t="n">
        <v>0</v>
      </c>
      <c r="M1651" t="n">
        <v>0</v>
      </c>
      <c r="N1651" t="n">
        <v>0</v>
      </c>
      <c r="O1651" t="n">
        <v>0</v>
      </c>
      <c r="P1651" t="n">
        <v>0</v>
      </c>
      <c r="Q1651" t="n">
        <v>0</v>
      </c>
      <c r="R1651" s="2" t="inlineStr"/>
    </row>
    <row r="1652" ht="15" customHeight="1">
      <c r="A1652" t="inlineStr">
        <is>
          <t>A 37262-2025</t>
        </is>
      </c>
      <c r="B1652" s="1" t="n">
        <v>45876.45689814815</v>
      </c>
      <c r="C1652" s="1" t="n">
        <v>46033</v>
      </c>
      <c r="D1652" t="inlineStr">
        <is>
          <t>JÄMTLANDS LÄN</t>
        </is>
      </c>
      <c r="E1652" t="inlineStr">
        <is>
          <t>STRÖMSUND</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52151-2024</t>
        </is>
      </c>
      <c r="B1653" s="1" t="n">
        <v>45608</v>
      </c>
      <c r="C1653" s="1" t="n">
        <v>46033</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61625-2025</t>
        </is>
      </c>
      <c r="B1654" s="1" t="n">
        <v>46002.40075231482</v>
      </c>
      <c r="C1654" s="1" t="n">
        <v>46033</v>
      </c>
      <c r="D1654" t="inlineStr">
        <is>
          <t>JÄMTLANDS LÄN</t>
        </is>
      </c>
      <c r="E1654" t="inlineStr">
        <is>
          <t>STRÖMSUND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61630-2025</t>
        </is>
      </c>
      <c r="B1655" s="1" t="n">
        <v>46002.40526620371</v>
      </c>
      <c r="C1655" s="1" t="n">
        <v>46033</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61858-2025</t>
        </is>
      </c>
      <c r="B1656" s="1" t="n">
        <v>46003.38649305556</v>
      </c>
      <c r="C1656" s="1" t="n">
        <v>46033</v>
      </c>
      <c r="D1656" t="inlineStr">
        <is>
          <t>JÄMTLANDS LÄN</t>
        </is>
      </c>
      <c r="E1656" t="inlineStr">
        <is>
          <t>STRÖMSUND</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33104-2021</t>
        </is>
      </c>
      <c r="B1657" s="1" t="n">
        <v>44376</v>
      </c>
      <c r="C1657" s="1" t="n">
        <v>46033</v>
      </c>
      <c r="D1657" t="inlineStr">
        <is>
          <t>JÄMTLANDS LÄN</t>
        </is>
      </c>
      <c r="E1657" t="inlineStr">
        <is>
          <t>STRÖMSUND</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37302-2024</t>
        </is>
      </c>
      <c r="B1658" s="1" t="n">
        <v>45540.46631944444</v>
      </c>
      <c r="C1658" s="1" t="n">
        <v>46033</v>
      </c>
      <c r="D1658" t="inlineStr">
        <is>
          <t>JÄMTLANDS LÄN</t>
        </is>
      </c>
      <c r="E1658" t="inlineStr">
        <is>
          <t>STRÖMSUND</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37258-2025</t>
        </is>
      </c>
      <c r="B1659" s="1" t="n">
        <v>45876.44306712963</v>
      </c>
      <c r="C1659" s="1" t="n">
        <v>46033</v>
      </c>
      <c r="D1659" t="inlineStr">
        <is>
          <t>JÄMTLANDS LÄN</t>
        </is>
      </c>
      <c r="E1659" t="inlineStr">
        <is>
          <t>STRÖMSUND</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37305-2025</t>
        </is>
      </c>
      <c r="B1660" s="1" t="n">
        <v>45876.59471064815</v>
      </c>
      <c r="C1660" s="1" t="n">
        <v>46033</v>
      </c>
      <c r="D1660" t="inlineStr">
        <is>
          <t>JÄMTLANDS LÄN</t>
        </is>
      </c>
      <c r="E1660" t="inlineStr">
        <is>
          <t>STRÖMSUND</t>
        </is>
      </c>
      <c r="F1660" t="inlineStr">
        <is>
          <t>SCA</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37235-2025</t>
        </is>
      </c>
      <c r="B1661" s="1" t="n">
        <v>45876.35336805556</v>
      </c>
      <c r="C1661" s="1" t="n">
        <v>46033</v>
      </c>
      <c r="D1661" t="inlineStr">
        <is>
          <t>JÄMTLANDS LÄN</t>
        </is>
      </c>
      <c r="E1661" t="inlineStr">
        <is>
          <t>STRÖMSUND</t>
        </is>
      </c>
      <c r="G1661" t="n">
        <v>39.2</v>
      </c>
      <c r="H1661" t="n">
        <v>0</v>
      </c>
      <c r="I1661" t="n">
        <v>0</v>
      </c>
      <c r="J1661" t="n">
        <v>0</v>
      </c>
      <c r="K1661" t="n">
        <v>0</v>
      </c>
      <c r="L1661" t="n">
        <v>0</v>
      </c>
      <c r="M1661" t="n">
        <v>0</v>
      </c>
      <c r="N1661" t="n">
        <v>0</v>
      </c>
      <c r="O1661" t="n">
        <v>0</v>
      </c>
      <c r="P1661" t="n">
        <v>0</v>
      </c>
      <c r="Q1661" t="n">
        <v>0</v>
      </c>
      <c r="R1661" s="2" t="inlineStr"/>
    </row>
    <row r="1662" ht="15" customHeight="1">
      <c r="A1662" t="inlineStr">
        <is>
          <t>A 30818-2023</t>
        </is>
      </c>
      <c r="B1662" s="1" t="n">
        <v>45112</v>
      </c>
      <c r="C1662" s="1" t="n">
        <v>46033</v>
      </c>
      <c r="D1662" t="inlineStr">
        <is>
          <t>JÄMTLANDS LÄN</t>
        </is>
      </c>
      <c r="E1662" t="inlineStr">
        <is>
          <t>STRÖMSUND</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34512-2022</t>
        </is>
      </c>
      <c r="B1663" s="1" t="n">
        <v>44792.92616898148</v>
      </c>
      <c r="C1663" s="1" t="n">
        <v>46033</v>
      </c>
      <c r="D1663" t="inlineStr">
        <is>
          <t>JÄMTLANDS LÄN</t>
        </is>
      </c>
      <c r="E1663" t="inlineStr">
        <is>
          <t>STRÖMSUND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7964-2025</t>
        </is>
      </c>
      <c r="B1664" s="1" t="n">
        <v>45707.44858796296</v>
      </c>
      <c r="C1664" s="1" t="n">
        <v>46033</v>
      </c>
      <c r="D1664" t="inlineStr">
        <is>
          <t>JÄMTLANDS LÄN</t>
        </is>
      </c>
      <c r="E1664" t="inlineStr">
        <is>
          <t>STRÖMSUND</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57005-2022</t>
        </is>
      </c>
      <c r="B1665" s="1" t="n">
        <v>44894.95766203704</v>
      </c>
      <c r="C1665" s="1" t="n">
        <v>46033</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35010-2025</t>
        </is>
      </c>
      <c r="B1666" s="1" t="n">
        <v>45851</v>
      </c>
      <c r="C1666" s="1" t="n">
        <v>46033</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37619-2025</t>
        </is>
      </c>
      <c r="B1667" s="1" t="n">
        <v>45880.44827546296</v>
      </c>
      <c r="C1667" s="1" t="n">
        <v>46033</v>
      </c>
      <c r="D1667" t="inlineStr">
        <is>
          <t>JÄMTLANDS LÄN</t>
        </is>
      </c>
      <c r="E1667" t="inlineStr">
        <is>
          <t>STRÖMSUND</t>
        </is>
      </c>
      <c r="F1667" t="inlineStr">
        <is>
          <t>SCA</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36344-2024</t>
        </is>
      </c>
      <c r="B1668" s="1" t="n">
        <v>45534.64349537037</v>
      </c>
      <c r="C1668" s="1" t="n">
        <v>46033</v>
      </c>
      <c r="D1668" t="inlineStr">
        <is>
          <t>JÄMTLANDS LÄN</t>
        </is>
      </c>
      <c r="E1668" t="inlineStr">
        <is>
          <t>STRÖMSUND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36347-2024</t>
        </is>
      </c>
      <c r="B1669" s="1" t="n">
        <v>45534.64393518519</v>
      </c>
      <c r="C1669" s="1" t="n">
        <v>46033</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61979-2025</t>
        </is>
      </c>
      <c r="B1670" s="1" t="n">
        <v>46003.61501157407</v>
      </c>
      <c r="C1670" s="1" t="n">
        <v>46033</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62013-2025</t>
        </is>
      </c>
      <c r="B1671" s="1" t="n">
        <v>46003.67773148148</v>
      </c>
      <c r="C1671" s="1" t="n">
        <v>46033</v>
      </c>
      <c r="D1671" t="inlineStr">
        <is>
          <t>JÄMTLANDS LÄN</t>
        </is>
      </c>
      <c r="E1671" t="inlineStr">
        <is>
          <t>STRÖMSUND</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53580-2025</t>
        </is>
      </c>
      <c r="B1672" s="1" t="n">
        <v>45960</v>
      </c>
      <c r="C1672" s="1" t="n">
        <v>46033</v>
      </c>
      <c r="D1672" t="inlineStr">
        <is>
          <t>JÄMTLANDS LÄN</t>
        </is>
      </c>
      <c r="E1672" t="inlineStr">
        <is>
          <t>STRÖMSUND</t>
        </is>
      </c>
      <c r="F1672" t="inlineStr">
        <is>
          <t>SCA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32362-2022</t>
        </is>
      </c>
      <c r="B1673" s="1" t="n">
        <v>44781.94354166667</v>
      </c>
      <c r="C1673" s="1" t="n">
        <v>46033</v>
      </c>
      <c r="D1673" t="inlineStr">
        <is>
          <t>JÄMTLANDS LÄN</t>
        </is>
      </c>
      <c r="E1673" t="inlineStr">
        <is>
          <t>STRÖMSUND</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37708-2025</t>
        </is>
      </c>
      <c r="B1674" s="1" t="n">
        <v>45880.59440972222</v>
      </c>
      <c r="C1674" s="1" t="n">
        <v>46033</v>
      </c>
      <c r="D1674" t="inlineStr">
        <is>
          <t>JÄMTLANDS LÄN</t>
        </is>
      </c>
      <c r="E1674" t="inlineStr">
        <is>
          <t>STRÖMSUND</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13563-2021</t>
        </is>
      </c>
      <c r="B1675" s="1" t="n">
        <v>44273</v>
      </c>
      <c r="C1675" s="1" t="n">
        <v>46033</v>
      </c>
      <c r="D1675" t="inlineStr">
        <is>
          <t>JÄMTLANDS LÄN</t>
        </is>
      </c>
      <c r="E1675" t="inlineStr">
        <is>
          <t>STRÖMSUND</t>
        </is>
      </c>
      <c r="G1675" t="n">
        <v>27.1</v>
      </c>
      <c r="H1675" t="n">
        <v>0</v>
      </c>
      <c r="I1675" t="n">
        <v>0</v>
      </c>
      <c r="J1675" t="n">
        <v>0</v>
      </c>
      <c r="K1675" t="n">
        <v>0</v>
      </c>
      <c r="L1675" t="n">
        <v>0</v>
      </c>
      <c r="M1675" t="n">
        <v>0</v>
      </c>
      <c r="N1675" t="n">
        <v>0</v>
      </c>
      <c r="O1675" t="n">
        <v>0</v>
      </c>
      <c r="P1675" t="n">
        <v>0</v>
      </c>
      <c r="Q1675" t="n">
        <v>0</v>
      </c>
      <c r="R1675" s="2" t="inlineStr"/>
    </row>
    <row r="1676" ht="15" customHeight="1">
      <c r="A1676" t="inlineStr">
        <is>
          <t>A 18915-2024</t>
        </is>
      </c>
      <c r="B1676" s="1" t="n">
        <v>45426</v>
      </c>
      <c r="C1676" s="1" t="n">
        <v>46033</v>
      </c>
      <c r="D1676" t="inlineStr">
        <is>
          <t>JÄMTLANDS LÄN</t>
        </is>
      </c>
      <c r="E1676" t="inlineStr">
        <is>
          <t>STRÖMSUND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57804-2023</t>
        </is>
      </c>
      <c r="B1677" s="1" t="n">
        <v>45243</v>
      </c>
      <c r="C1677" s="1" t="n">
        <v>46033</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38453-2025</t>
        </is>
      </c>
      <c r="B1678" s="1" t="n">
        <v>45883.67828703704</v>
      </c>
      <c r="C1678" s="1" t="n">
        <v>46033</v>
      </c>
      <c r="D1678" t="inlineStr">
        <is>
          <t>JÄMTLANDS LÄN</t>
        </is>
      </c>
      <c r="E1678" t="inlineStr">
        <is>
          <t>STRÖMSUND</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38021-2025</t>
        </is>
      </c>
      <c r="B1679" s="1" t="n">
        <v>45882.34454861111</v>
      </c>
      <c r="C1679" s="1" t="n">
        <v>46033</v>
      </c>
      <c r="D1679" t="inlineStr">
        <is>
          <t>JÄMTLANDS LÄN</t>
        </is>
      </c>
      <c r="E1679" t="inlineStr">
        <is>
          <t>STRÖMSUND</t>
        </is>
      </c>
      <c r="F1679" t="inlineStr">
        <is>
          <t>SCA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38149-2025</t>
        </is>
      </c>
      <c r="B1680" s="1" t="n">
        <v>45882.59427083333</v>
      </c>
      <c r="C1680" s="1" t="n">
        <v>46033</v>
      </c>
      <c r="D1680" t="inlineStr">
        <is>
          <t>JÄMTLANDS LÄN</t>
        </is>
      </c>
      <c r="E1680" t="inlineStr">
        <is>
          <t>STRÖMSUND</t>
        </is>
      </c>
      <c r="F1680" t="inlineStr">
        <is>
          <t>SCA</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26348-2023</t>
        </is>
      </c>
      <c r="B1681" s="1" t="n">
        <v>45091.94203703704</v>
      </c>
      <c r="C1681" s="1" t="n">
        <v>46033</v>
      </c>
      <c r="D1681" t="inlineStr">
        <is>
          <t>JÄMTLANDS LÄN</t>
        </is>
      </c>
      <c r="E1681" t="inlineStr">
        <is>
          <t>STRÖMSUND</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38323-2025</t>
        </is>
      </c>
      <c r="B1682" s="1" t="n">
        <v>45883.49018518518</v>
      </c>
      <c r="C1682" s="1" t="n">
        <v>46033</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38331-2025</t>
        </is>
      </c>
      <c r="B1683" s="1" t="n">
        <v>45883.49135416667</v>
      </c>
      <c r="C1683" s="1" t="n">
        <v>46033</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38050-2025</t>
        </is>
      </c>
      <c r="B1684" s="1" t="n">
        <v>45882.40732638889</v>
      </c>
      <c r="C1684" s="1" t="n">
        <v>46033</v>
      </c>
      <c r="D1684" t="inlineStr">
        <is>
          <t>JÄMTLANDS LÄN</t>
        </is>
      </c>
      <c r="E1684" t="inlineStr">
        <is>
          <t>STRÖMSUND</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37947-2025</t>
        </is>
      </c>
      <c r="B1685" s="1" t="n">
        <v>45881.6153587963</v>
      </c>
      <c r="C1685" s="1" t="n">
        <v>46033</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38020-2025</t>
        </is>
      </c>
      <c r="B1686" s="1" t="n">
        <v>45882.3443287037</v>
      </c>
      <c r="C1686" s="1" t="n">
        <v>46033</v>
      </c>
      <c r="D1686" t="inlineStr">
        <is>
          <t>JÄMTLANDS LÄN</t>
        </is>
      </c>
      <c r="E1686" t="inlineStr">
        <is>
          <t>STRÖMSUND</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31675-2024</t>
        </is>
      </c>
      <c r="B1687" s="1" t="n">
        <v>45506.94854166666</v>
      </c>
      <c r="C1687" s="1" t="n">
        <v>46033</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53720-2025</t>
        </is>
      </c>
      <c r="B1688" s="1" t="n">
        <v>45960.62061342593</v>
      </c>
      <c r="C1688" s="1" t="n">
        <v>46033</v>
      </c>
      <c r="D1688" t="inlineStr">
        <is>
          <t>JÄMTLANDS LÄN</t>
        </is>
      </c>
      <c r="E1688" t="inlineStr">
        <is>
          <t>STRÖMSUND</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38048-2025</t>
        </is>
      </c>
      <c r="B1689" s="1" t="n">
        <v>45882.40670138889</v>
      </c>
      <c r="C1689" s="1" t="n">
        <v>46033</v>
      </c>
      <c r="D1689" t="inlineStr">
        <is>
          <t>JÄMTLANDS LÄN</t>
        </is>
      </c>
      <c r="E1689" t="inlineStr">
        <is>
          <t>STRÖMSUND</t>
        </is>
      </c>
      <c r="F1689" t="inlineStr">
        <is>
          <t>SCA</t>
        </is>
      </c>
      <c r="G1689" t="n">
        <v>12.6</v>
      </c>
      <c r="H1689" t="n">
        <v>0</v>
      </c>
      <c r="I1689" t="n">
        <v>0</v>
      </c>
      <c r="J1689" t="n">
        <v>0</v>
      </c>
      <c r="K1689" t="n">
        <v>0</v>
      </c>
      <c r="L1689" t="n">
        <v>0</v>
      </c>
      <c r="M1689" t="n">
        <v>0</v>
      </c>
      <c r="N1689" t="n">
        <v>0</v>
      </c>
      <c r="O1689" t="n">
        <v>0</v>
      </c>
      <c r="P1689" t="n">
        <v>0</v>
      </c>
      <c r="Q1689" t="n">
        <v>0</v>
      </c>
      <c r="R1689" s="2" t="inlineStr"/>
    </row>
    <row r="1690" ht="15" customHeight="1">
      <c r="A1690" t="inlineStr">
        <is>
          <t>A 38061-2025</t>
        </is>
      </c>
      <c r="B1690" s="1" t="n">
        <v>45882.42813657408</v>
      </c>
      <c r="C1690" s="1" t="n">
        <v>46033</v>
      </c>
      <c r="D1690" t="inlineStr">
        <is>
          <t>JÄMTLANDS LÄN</t>
        </is>
      </c>
      <c r="E1690" t="inlineStr">
        <is>
          <t>STRÖMSUND</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2686-2025</t>
        </is>
      </c>
      <c r="B1691" s="1" t="n">
        <v>45677.36503472222</v>
      </c>
      <c r="C1691" s="1" t="n">
        <v>46033</v>
      </c>
      <c r="D1691" t="inlineStr">
        <is>
          <t>JÄMTLANDS LÄN</t>
        </is>
      </c>
      <c r="E1691" t="inlineStr">
        <is>
          <t>STRÖMSUND</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60850-2023</t>
        </is>
      </c>
      <c r="B1692" s="1" t="n">
        <v>45260</v>
      </c>
      <c r="C1692" s="1" t="n">
        <v>46033</v>
      </c>
      <c r="D1692" t="inlineStr">
        <is>
          <t>JÄMTLANDS LÄN</t>
        </is>
      </c>
      <c r="E1692" t="inlineStr">
        <is>
          <t>STRÖMSUND</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6394-2021</t>
        </is>
      </c>
      <c r="B1693" s="1" t="n">
        <v>44232</v>
      </c>
      <c r="C1693" s="1" t="n">
        <v>46033</v>
      </c>
      <c r="D1693" t="inlineStr">
        <is>
          <t>JÄMTLANDS LÄN</t>
        </is>
      </c>
      <c r="E1693" t="inlineStr">
        <is>
          <t>STRÖMSUND</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38310-2025</t>
        </is>
      </c>
      <c r="B1694" s="1" t="n">
        <v>45883</v>
      </c>
      <c r="C1694" s="1" t="n">
        <v>46033</v>
      </c>
      <c r="D1694" t="inlineStr">
        <is>
          <t>JÄMTLANDS LÄN</t>
        </is>
      </c>
      <c r="E1694" t="inlineStr">
        <is>
          <t>STRÖMSUND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54228-2025</t>
        </is>
      </c>
      <c r="B1695" s="1" t="n">
        <v>45964.61509259259</v>
      </c>
      <c r="C1695" s="1" t="n">
        <v>46033</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38051-2025</t>
        </is>
      </c>
      <c r="B1696" s="1" t="n">
        <v>45882.40740740741</v>
      </c>
      <c r="C1696" s="1" t="n">
        <v>46033</v>
      </c>
      <c r="D1696" t="inlineStr">
        <is>
          <t>JÄMTLANDS LÄN</t>
        </is>
      </c>
      <c r="E1696" t="inlineStr">
        <is>
          <t>STRÖMSUND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24833-2023</t>
        </is>
      </c>
      <c r="B1697" s="1" t="n">
        <v>45084</v>
      </c>
      <c r="C1697" s="1" t="n">
        <v>46033</v>
      </c>
      <c r="D1697" t="inlineStr">
        <is>
          <t>JÄMTLANDS LÄN</t>
        </is>
      </c>
      <c r="E1697" t="inlineStr">
        <is>
          <t>STRÖMSUND</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38139-2025</t>
        </is>
      </c>
      <c r="B1698" s="1" t="n">
        <v>45882.57331018519</v>
      </c>
      <c r="C1698" s="1" t="n">
        <v>46033</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7545-2025</t>
        </is>
      </c>
      <c r="B1699" s="1" t="n">
        <v>45705.57388888889</v>
      </c>
      <c r="C1699" s="1" t="n">
        <v>46033</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40351-2024</t>
        </is>
      </c>
      <c r="B1700" s="1" t="n">
        <v>45555.36487268518</v>
      </c>
      <c r="C1700" s="1" t="n">
        <v>46033</v>
      </c>
      <c r="D1700" t="inlineStr">
        <is>
          <t>JÄMTLANDS LÄN</t>
        </is>
      </c>
      <c r="E1700" t="inlineStr">
        <is>
          <t>STRÖMSUND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62121-2025</t>
        </is>
      </c>
      <c r="B1701" s="1" t="n">
        <v>46006.44189814815</v>
      </c>
      <c r="C1701" s="1" t="n">
        <v>46033</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41916-2023</t>
        </is>
      </c>
      <c r="B1702" s="1" t="n">
        <v>45176.94403935185</v>
      </c>
      <c r="C1702" s="1" t="n">
        <v>46033</v>
      </c>
      <c r="D1702" t="inlineStr">
        <is>
          <t>JÄMTLANDS LÄN</t>
        </is>
      </c>
      <c r="E1702" t="inlineStr">
        <is>
          <t>STRÖMSUND</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38221-2025</t>
        </is>
      </c>
      <c r="B1703" s="1" t="n">
        <v>45883.34436342592</v>
      </c>
      <c r="C1703" s="1" t="n">
        <v>46033</v>
      </c>
      <c r="D1703" t="inlineStr">
        <is>
          <t>JÄMTLANDS LÄN</t>
        </is>
      </c>
      <c r="E1703" t="inlineStr">
        <is>
          <t>STRÖMSUND</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38115-2025</t>
        </is>
      </c>
      <c r="B1704" s="1" t="n">
        <v>45882.53181712963</v>
      </c>
      <c r="C1704" s="1" t="n">
        <v>46033</v>
      </c>
      <c r="D1704" t="inlineStr">
        <is>
          <t>JÄMTLANDS LÄN</t>
        </is>
      </c>
      <c r="E1704" t="inlineStr">
        <is>
          <t>STRÖMSUND</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54067-2025</t>
        </is>
      </c>
      <c r="B1705" s="1" t="n">
        <v>45964.3443287037</v>
      </c>
      <c r="C1705" s="1" t="n">
        <v>46033</v>
      </c>
      <c r="D1705" t="inlineStr">
        <is>
          <t>JÄMTLANDS LÄN</t>
        </is>
      </c>
      <c r="E1705" t="inlineStr">
        <is>
          <t>STRÖMSUND</t>
        </is>
      </c>
      <c r="F1705" t="inlineStr">
        <is>
          <t>SCA</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37946-2025</t>
        </is>
      </c>
      <c r="B1706" s="1" t="n">
        <v>45881.61520833334</v>
      </c>
      <c r="C1706" s="1" t="n">
        <v>46033</v>
      </c>
      <c r="D1706" t="inlineStr">
        <is>
          <t>JÄMTLANDS LÄN</t>
        </is>
      </c>
      <c r="E1706" t="inlineStr">
        <is>
          <t>STRÖMSUND</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54361-2025</t>
        </is>
      </c>
      <c r="B1707" s="1" t="n">
        <v>45965.39175925926</v>
      </c>
      <c r="C1707" s="1" t="n">
        <v>46033</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62213-2025</t>
        </is>
      </c>
      <c r="B1708" s="1" t="n">
        <v>46006.57347222222</v>
      </c>
      <c r="C1708" s="1" t="n">
        <v>46033</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c r="U1708">
        <f>HYPERLINK("https://klasma.github.io/Logging_2313/knärot/A 62213-2025 karta knärot.png", "A 62213-2025")</f>
        <v/>
      </c>
      <c r="V1708">
        <f>HYPERLINK("https://klasma.github.io/Logging_2313/klagomål/A 62213-2025 FSC-klagomål.docx", "A 62213-2025")</f>
        <v/>
      </c>
      <c r="W1708">
        <f>HYPERLINK("https://klasma.github.io/Logging_2313/klagomålsmail/A 62213-2025 FSC-klagomål mail.docx", "A 62213-2025")</f>
        <v/>
      </c>
      <c r="X1708">
        <f>HYPERLINK("https://klasma.github.io/Logging_2313/tillsyn/A 62213-2025 tillsynsbegäran.docx", "A 62213-2025")</f>
        <v/>
      </c>
      <c r="Y1708">
        <f>HYPERLINK("https://klasma.github.io/Logging_2313/tillsynsmail/A 62213-2025 tillsynsbegäran mail.docx", "A 62213-2025")</f>
        <v/>
      </c>
    </row>
    <row r="1709" ht="15" customHeight="1">
      <c r="A1709" t="inlineStr">
        <is>
          <t>A 54034-2025</t>
        </is>
      </c>
      <c r="B1709" s="1" t="n">
        <v>45963.38520833333</v>
      </c>
      <c r="C1709" s="1" t="n">
        <v>46033</v>
      </c>
      <c r="D1709" t="inlineStr">
        <is>
          <t>JÄMTLANDS LÄN</t>
        </is>
      </c>
      <c r="E1709" t="inlineStr">
        <is>
          <t>STRÖMSUND</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27638-2024</t>
        </is>
      </c>
      <c r="B1710" s="1" t="n">
        <v>45474.94664351852</v>
      </c>
      <c r="C1710" s="1" t="n">
        <v>46033</v>
      </c>
      <c r="D1710" t="inlineStr">
        <is>
          <t>JÄMTLANDS LÄN</t>
        </is>
      </c>
      <c r="E1710" t="inlineStr">
        <is>
          <t>STRÖMSUND</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27649-2024</t>
        </is>
      </c>
      <c r="B1711" s="1" t="n">
        <v>45474.94787037037</v>
      </c>
      <c r="C1711" s="1" t="n">
        <v>46033</v>
      </c>
      <c r="D1711" t="inlineStr">
        <is>
          <t>JÄMTLANDS LÄN</t>
        </is>
      </c>
      <c r="E1711" t="inlineStr">
        <is>
          <t>STRÖMSUND</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54551-2025</t>
        </is>
      </c>
      <c r="B1712" s="1" t="n">
        <v>45965</v>
      </c>
      <c r="C1712" s="1" t="n">
        <v>46033</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54556-2025</t>
        </is>
      </c>
      <c r="B1713" s="1" t="n">
        <v>45965</v>
      </c>
      <c r="C1713" s="1" t="n">
        <v>46033</v>
      </c>
      <c r="D1713" t="inlineStr">
        <is>
          <t>JÄMTLANDS LÄN</t>
        </is>
      </c>
      <c r="E1713" t="inlineStr">
        <is>
          <t>STRÖMSUND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54554-2025</t>
        </is>
      </c>
      <c r="B1714" s="1" t="n">
        <v>45965</v>
      </c>
      <c r="C1714" s="1" t="n">
        <v>46033</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54482-2023</t>
        </is>
      </c>
      <c r="B1715" s="1" t="n">
        <v>45233</v>
      </c>
      <c r="C1715" s="1" t="n">
        <v>46033</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62493-2025</t>
        </is>
      </c>
      <c r="B1716" s="1" t="n">
        <v>46007.57336805556</v>
      </c>
      <c r="C1716" s="1" t="n">
        <v>46033</v>
      </c>
      <c r="D1716" t="inlineStr">
        <is>
          <t>JÄMTLANDS LÄN</t>
        </is>
      </c>
      <c r="E1716" t="inlineStr">
        <is>
          <t>STRÖMSUND</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54294-2025</t>
        </is>
      </c>
      <c r="B1717" s="1" t="n">
        <v>45964.87017361111</v>
      </c>
      <c r="C1717" s="1" t="n">
        <v>46033</v>
      </c>
      <c r="D1717" t="inlineStr">
        <is>
          <t>JÄMTLANDS LÄN</t>
        </is>
      </c>
      <c r="E1717" t="inlineStr">
        <is>
          <t>STRÖMSUND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54322-2025</t>
        </is>
      </c>
      <c r="B1718" s="1" t="n">
        <v>45965.34436342592</v>
      </c>
      <c r="C1718" s="1" t="n">
        <v>46033</v>
      </c>
      <c r="D1718" t="inlineStr">
        <is>
          <t>JÄMTLANDS LÄN</t>
        </is>
      </c>
      <c r="E1718" t="inlineStr">
        <is>
          <t>STRÖMSUND</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27036-2022</t>
        </is>
      </c>
      <c r="B1719" s="1" t="n">
        <v>44740.94358796296</v>
      </c>
      <c r="C1719" s="1" t="n">
        <v>46033</v>
      </c>
      <c r="D1719" t="inlineStr">
        <is>
          <t>JÄMTLANDS LÄN</t>
        </is>
      </c>
      <c r="E1719" t="inlineStr">
        <is>
          <t>STRÖMSUND</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62346-2025</t>
        </is>
      </c>
      <c r="B1720" s="1" t="n">
        <v>46006.89364583333</v>
      </c>
      <c r="C1720" s="1" t="n">
        <v>46033</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35011-2023</t>
        </is>
      </c>
      <c r="B1721" s="1" t="n">
        <v>45142.95155092593</v>
      </c>
      <c r="C1721" s="1" t="n">
        <v>46033</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38529-2025</t>
        </is>
      </c>
      <c r="B1722" s="1" t="n">
        <v>45884.40726851852</v>
      </c>
      <c r="C1722" s="1" t="n">
        <v>46033</v>
      </c>
      <c r="D1722" t="inlineStr">
        <is>
          <t>JÄMTLANDS LÄN</t>
        </is>
      </c>
      <c r="E1722" t="inlineStr">
        <is>
          <t>STRÖMSUND</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1824-2025</t>
        </is>
      </c>
      <c r="B1723" s="1" t="n">
        <v>45671.53179398148</v>
      </c>
      <c r="C1723" s="1" t="n">
        <v>46033</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1878-2025</t>
        </is>
      </c>
      <c r="B1724" s="1" t="n">
        <v>45671.62234953704</v>
      </c>
      <c r="C1724" s="1" t="n">
        <v>46033</v>
      </c>
      <c r="D1724" t="inlineStr">
        <is>
          <t>JÄMTLANDS LÄN</t>
        </is>
      </c>
      <c r="E1724" t="inlineStr">
        <is>
          <t>STRÖMSUND</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54037-2025</t>
        </is>
      </c>
      <c r="B1725" s="1" t="n">
        <v>45963</v>
      </c>
      <c r="C1725" s="1" t="n">
        <v>46033</v>
      </c>
      <c r="D1725" t="inlineStr">
        <is>
          <t>JÄMTLANDS LÄN</t>
        </is>
      </c>
      <c r="E1725" t="inlineStr">
        <is>
          <t>STRÖMSUND</t>
        </is>
      </c>
      <c r="F1725" t="inlineStr">
        <is>
          <t>SCA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5327-2024</t>
        </is>
      </c>
      <c r="B1726" s="1" t="n">
        <v>45331.41613425926</v>
      </c>
      <c r="C1726" s="1" t="n">
        <v>46033</v>
      </c>
      <c r="D1726" t="inlineStr">
        <is>
          <t>JÄMTLANDS LÄN</t>
        </is>
      </c>
      <c r="E1726" t="inlineStr">
        <is>
          <t>STRÖMSUND</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54038-2025</t>
        </is>
      </c>
      <c r="B1727" s="1" t="n">
        <v>45963.71952546296</v>
      </c>
      <c r="C1727" s="1" t="n">
        <v>46033</v>
      </c>
      <c r="D1727" t="inlineStr">
        <is>
          <t>JÄMTLANDS LÄN</t>
        </is>
      </c>
      <c r="E1727" t="inlineStr">
        <is>
          <t>STRÖMSUND</t>
        </is>
      </c>
      <c r="F1727" t="inlineStr">
        <is>
          <t>SCA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62347-2025</t>
        </is>
      </c>
      <c r="B1728" s="1" t="n">
        <v>46006.90253472222</v>
      </c>
      <c r="C1728" s="1" t="n">
        <v>46033</v>
      </c>
      <c r="D1728" t="inlineStr">
        <is>
          <t>JÄMTLANDS LÄN</t>
        </is>
      </c>
      <c r="E1728" t="inlineStr">
        <is>
          <t>STRÖMSUND</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16848-2022</t>
        </is>
      </c>
      <c r="B1729" s="1" t="n">
        <v>44673.94145833333</v>
      </c>
      <c r="C1729" s="1" t="n">
        <v>46033</v>
      </c>
      <c r="D1729" t="inlineStr">
        <is>
          <t>JÄMTLANDS LÄN</t>
        </is>
      </c>
      <c r="E1729" t="inlineStr">
        <is>
          <t>STRÖMSUND</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47391-2022</t>
        </is>
      </c>
      <c r="B1730" s="1" t="n">
        <v>44853</v>
      </c>
      <c r="C1730" s="1" t="n">
        <v>46033</v>
      </c>
      <c r="D1730" t="inlineStr">
        <is>
          <t>JÄMTLANDS LÄN</t>
        </is>
      </c>
      <c r="E1730" t="inlineStr">
        <is>
          <t>STRÖMSUND</t>
        </is>
      </c>
      <c r="F1730" t="inlineStr">
        <is>
          <t>Holmen skog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58446-2023</t>
        </is>
      </c>
      <c r="B1731" s="1" t="n">
        <v>45250</v>
      </c>
      <c r="C1731" s="1" t="n">
        <v>46033</v>
      </c>
      <c r="D1731" t="inlineStr">
        <is>
          <t>JÄMTLANDS LÄN</t>
        </is>
      </c>
      <c r="E1731" t="inlineStr">
        <is>
          <t>STRÖMSUND</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54258-2025</t>
        </is>
      </c>
      <c r="B1732" s="1" t="n">
        <v>45964.65748842592</v>
      </c>
      <c r="C1732" s="1" t="n">
        <v>46033</v>
      </c>
      <c r="D1732" t="inlineStr">
        <is>
          <t>JÄMTLANDS LÄN</t>
        </is>
      </c>
      <c r="E1732" t="inlineStr">
        <is>
          <t>STRÖMSUND</t>
        </is>
      </c>
      <c r="F1732" t="inlineStr">
        <is>
          <t>SCA</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63754-2023</t>
        </is>
      </c>
      <c r="B1733" s="1" t="n">
        <v>45278.29936342593</v>
      </c>
      <c r="C1733" s="1" t="n">
        <v>46033</v>
      </c>
      <c r="D1733" t="inlineStr">
        <is>
          <t>JÄMTLANDS LÄN</t>
        </is>
      </c>
      <c r="E1733" t="inlineStr">
        <is>
          <t>STRÖMSUND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1823-2025</t>
        </is>
      </c>
      <c r="B1734" s="1" t="n">
        <v>45671.53167824074</v>
      </c>
      <c r="C1734" s="1" t="n">
        <v>46033</v>
      </c>
      <c r="D1734" t="inlineStr">
        <is>
          <t>JÄMTLANDS LÄN</t>
        </is>
      </c>
      <c r="E1734" t="inlineStr">
        <is>
          <t>STRÖMSUND</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40500-2024</t>
        </is>
      </c>
      <c r="B1735" s="1" t="n">
        <v>45555</v>
      </c>
      <c r="C1735" s="1" t="n">
        <v>46033</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55066-2025</t>
        </is>
      </c>
      <c r="B1736" s="1" t="n">
        <v>45967.72011574074</v>
      </c>
      <c r="C1736" s="1" t="n">
        <v>46033</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46259-2023</t>
        </is>
      </c>
      <c r="B1737" s="1" t="n">
        <v>45196.93831018519</v>
      </c>
      <c r="C1737" s="1" t="n">
        <v>46033</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38908-2025</t>
        </is>
      </c>
      <c r="B1738" s="1" t="n">
        <v>45887.61349537037</v>
      </c>
      <c r="C1738" s="1" t="n">
        <v>46033</v>
      </c>
      <c r="D1738" t="inlineStr">
        <is>
          <t>JÄMTLANDS LÄN</t>
        </is>
      </c>
      <c r="E1738" t="inlineStr">
        <is>
          <t>STRÖMSUND</t>
        </is>
      </c>
      <c r="G1738" t="n">
        <v>26.4</v>
      </c>
      <c r="H1738" t="n">
        <v>0</v>
      </c>
      <c r="I1738" t="n">
        <v>0</v>
      </c>
      <c r="J1738" t="n">
        <v>0</v>
      </c>
      <c r="K1738" t="n">
        <v>0</v>
      </c>
      <c r="L1738" t="n">
        <v>0</v>
      </c>
      <c r="M1738" t="n">
        <v>0</v>
      </c>
      <c r="N1738" t="n">
        <v>0</v>
      </c>
      <c r="O1738" t="n">
        <v>0</v>
      </c>
      <c r="P1738" t="n">
        <v>0</v>
      </c>
      <c r="Q1738" t="n">
        <v>0</v>
      </c>
      <c r="R1738" s="2" t="inlineStr"/>
    </row>
    <row r="1739" ht="15" customHeight="1">
      <c r="A1739" t="inlineStr">
        <is>
          <t>A 62764-2025</t>
        </is>
      </c>
      <c r="B1739" s="1" t="n">
        <v>46008.59451388889</v>
      </c>
      <c r="C1739" s="1" t="n">
        <v>46033</v>
      </c>
      <c r="D1739" t="inlineStr">
        <is>
          <t>JÄMTLANDS LÄN</t>
        </is>
      </c>
      <c r="E1739" t="inlineStr">
        <is>
          <t>STRÖMSUND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25328-2023</t>
        </is>
      </c>
      <c r="B1740" s="1" t="n">
        <v>45086.93983796296</v>
      </c>
      <c r="C1740" s="1" t="n">
        <v>46033</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38806-2025</t>
        </is>
      </c>
      <c r="B1741" s="1" t="n">
        <v>45887.46930555555</v>
      </c>
      <c r="C1741" s="1" t="n">
        <v>46033</v>
      </c>
      <c r="D1741" t="inlineStr">
        <is>
          <t>JÄMTLANDS LÄN</t>
        </is>
      </c>
      <c r="E1741" t="inlineStr">
        <is>
          <t>STRÖMSUND</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38785-2025</t>
        </is>
      </c>
      <c r="B1742" s="1" t="n">
        <v>45887.44844907407</v>
      </c>
      <c r="C1742" s="1" t="n">
        <v>46033</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61854-2024</t>
        </is>
      </c>
      <c r="B1743" s="1" t="n">
        <v>45649.67358796296</v>
      </c>
      <c r="C1743" s="1" t="n">
        <v>46033</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62634-2025</t>
        </is>
      </c>
      <c r="B1744" s="1" t="n">
        <v>46008.36510416667</v>
      </c>
      <c r="C1744" s="1" t="n">
        <v>46033</v>
      </c>
      <c r="D1744" t="inlineStr">
        <is>
          <t>JÄMTLANDS LÄN</t>
        </is>
      </c>
      <c r="E1744" t="inlineStr">
        <is>
          <t>STRÖMSUND</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38541-2025</t>
        </is>
      </c>
      <c r="B1745" s="1" t="n">
        <v>45884.42788194444</v>
      </c>
      <c r="C1745" s="1" t="n">
        <v>46033</v>
      </c>
      <c r="D1745" t="inlineStr">
        <is>
          <t>JÄMTLANDS LÄN</t>
        </is>
      </c>
      <c r="E1745" t="inlineStr">
        <is>
          <t>STRÖMSUND</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54952-2025</t>
        </is>
      </c>
      <c r="B1746" s="1" t="n">
        <v>45967.44914351852</v>
      </c>
      <c r="C1746" s="1" t="n">
        <v>46033</v>
      </c>
      <c r="D1746" t="inlineStr">
        <is>
          <t>JÄMTLANDS LÄN</t>
        </is>
      </c>
      <c r="E1746" t="inlineStr">
        <is>
          <t>STRÖMSUND</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61163-2024</t>
        </is>
      </c>
      <c r="B1747" s="1" t="n">
        <v>45645.59503472222</v>
      </c>
      <c r="C1747" s="1" t="n">
        <v>46033</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62635-2025</t>
        </is>
      </c>
      <c r="B1748" s="1" t="n">
        <v>46008.36527777778</v>
      </c>
      <c r="C1748" s="1" t="n">
        <v>46033</v>
      </c>
      <c r="D1748" t="inlineStr">
        <is>
          <t>JÄMTLANDS LÄN</t>
        </is>
      </c>
      <c r="E1748" t="inlineStr">
        <is>
          <t>STRÖMSUND</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62735-2025</t>
        </is>
      </c>
      <c r="B1749" s="1" t="n">
        <v>46008.56932870371</v>
      </c>
      <c r="C1749" s="1" t="n">
        <v>46033</v>
      </c>
      <c r="D1749" t="inlineStr">
        <is>
          <t>JÄMTLANDS LÄN</t>
        </is>
      </c>
      <c r="E1749" t="inlineStr">
        <is>
          <t>STRÖMSUND</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11578-2022</t>
        </is>
      </c>
      <c r="B1750" s="1" t="n">
        <v>44631</v>
      </c>
      <c r="C1750" s="1" t="n">
        <v>46033</v>
      </c>
      <c r="D1750" t="inlineStr">
        <is>
          <t>JÄMTLANDS LÄN</t>
        </is>
      </c>
      <c r="E1750" t="inlineStr">
        <is>
          <t>STRÖMSUND</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54916-2025</t>
        </is>
      </c>
      <c r="B1751" s="1" t="n">
        <v>45967.38577546296</v>
      </c>
      <c r="C1751" s="1" t="n">
        <v>46033</v>
      </c>
      <c r="D1751" t="inlineStr">
        <is>
          <t>JÄMTLANDS LÄN</t>
        </is>
      </c>
      <c r="E1751" t="inlineStr">
        <is>
          <t>STRÖMSUND</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55027-2025</t>
        </is>
      </c>
      <c r="B1752" s="1" t="n">
        <v>45967.6362962963</v>
      </c>
      <c r="C1752" s="1" t="n">
        <v>46033</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55041-2025</t>
        </is>
      </c>
      <c r="B1753" s="1" t="n">
        <v>45967.65684027778</v>
      </c>
      <c r="C1753" s="1" t="n">
        <v>46033</v>
      </c>
      <c r="D1753" t="inlineStr">
        <is>
          <t>JÄMTLANDS LÄN</t>
        </is>
      </c>
      <c r="E1753" t="inlineStr">
        <is>
          <t>STRÖMSUND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54884-2025</t>
        </is>
      </c>
      <c r="B1754" s="1" t="n">
        <v>45967.34452546296</v>
      </c>
      <c r="C1754" s="1" t="n">
        <v>46033</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54948-2025</t>
        </is>
      </c>
      <c r="B1755" s="1" t="n">
        <v>45967.4487037037</v>
      </c>
      <c r="C1755" s="1" t="n">
        <v>46033</v>
      </c>
      <c r="D1755" t="inlineStr">
        <is>
          <t>JÄMTLANDS LÄN</t>
        </is>
      </c>
      <c r="E1755" t="inlineStr">
        <is>
          <t>STRÖMSUND</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54665-2025</t>
        </is>
      </c>
      <c r="B1756" s="1" t="n">
        <v>45966.40744212963</v>
      </c>
      <c r="C1756" s="1" t="n">
        <v>46033</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32443-2024</t>
        </is>
      </c>
      <c r="B1757" s="1" t="n">
        <v>45512.95568287037</v>
      </c>
      <c r="C1757" s="1" t="n">
        <v>46033</v>
      </c>
      <c r="D1757" t="inlineStr">
        <is>
          <t>JÄMTLANDS LÄN</t>
        </is>
      </c>
      <c r="E1757" t="inlineStr">
        <is>
          <t>STRÖMSUND</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60911-2024</t>
        </is>
      </c>
      <c r="B1758" s="1" t="n">
        <v>45644</v>
      </c>
      <c r="C1758" s="1" t="n">
        <v>46033</v>
      </c>
      <c r="D1758" t="inlineStr">
        <is>
          <t>JÄMTLANDS LÄN</t>
        </is>
      </c>
      <c r="E1758" t="inlineStr">
        <is>
          <t>STRÖMSUND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60917-2024</t>
        </is>
      </c>
      <c r="B1759" s="1" t="n">
        <v>45644</v>
      </c>
      <c r="C1759" s="1" t="n">
        <v>46033</v>
      </c>
      <c r="D1759" t="inlineStr">
        <is>
          <t>JÄMTLANDS LÄN</t>
        </is>
      </c>
      <c r="E1759" t="inlineStr">
        <is>
          <t>STRÖMSUND</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41940-2024</t>
        </is>
      </c>
      <c r="B1760" s="1" t="n">
        <v>45561.57373842593</v>
      </c>
      <c r="C1760" s="1" t="n">
        <v>46033</v>
      </c>
      <c r="D1760" t="inlineStr">
        <is>
          <t>JÄMTLANDS LÄN</t>
        </is>
      </c>
      <c r="E1760" t="inlineStr">
        <is>
          <t>STRÖMSUND</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54618-2025</t>
        </is>
      </c>
      <c r="B1761" s="1" t="n">
        <v>45966.34445601852</v>
      </c>
      <c r="C1761" s="1" t="n">
        <v>46033</v>
      </c>
      <c r="D1761" t="inlineStr">
        <is>
          <t>JÄMTLANDS LÄN</t>
        </is>
      </c>
      <c r="E1761" t="inlineStr">
        <is>
          <t>STRÖMSUND</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54621-2025</t>
        </is>
      </c>
      <c r="B1762" s="1" t="n">
        <v>45966.34498842592</v>
      </c>
      <c r="C1762" s="1" t="n">
        <v>46033</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54640-2025</t>
        </is>
      </c>
      <c r="B1763" s="1" t="n">
        <v>45966.36534722222</v>
      </c>
      <c r="C1763" s="1" t="n">
        <v>46033</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54660-2025</t>
        </is>
      </c>
      <c r="B1764" s="1" t="n">
        <v>45966.40671296296</v>
      </c>
      <c r="C1764" s="1" t="n">
        <v>46033</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54662-2025</t>
        </is>
      </c>
      <c r="B1765" s="1" t="n">
        <v>45966.4071412037</v>
      </c>
      <c r="C1765" s="1" t="n">
        <v>46033</v>
      </c>
      <c r="D1765" t="inlineStr">
        <is>
          <t>JÄMTLANDS LÄN</t>
        </is>
      </c>
      <c r="E1765" t="inlineStr">
        <is>
          <t>STRÖMSUND</t>
        </is>
      </c>
      <c r="F1765" t="inlineStr">
        <is>
          <t>SCA</t>
        </is>
      </c>
      <c r="G1765" t="n">
        <v>25.8</v>
      </c>
      <c r="H1765" t="n">
        <v>0</v>
      </c>
      <c r="I1765" t="n">
        <v>0</v>
      </c>
      <c r="J1765" t="n">
        <v>0</v>
      </c>
      <c r="K1765" t="n">
        <v>0</v>
      </c>
      <c r="L1765" t="n">
        <v>0</v>
      </c>
      <c r="M1765" t="n">
        <v>0</v>
      </c>
      <c r="N1765" t="n">
        <v>0</v>
      </c>
      <c r="O1765" t="n">
        <v>0</v>
      </c>
      <c r="P1765" t="n">
        <v>0</v>
      </c>
      <c r="Q1765" t="n">
        <v>0</v>
      </c>
      <c r="R1765" s="2" t="inlineStr"/>
    </row>
    <row r="1766" ht="15" customHeight="1">
      <c r="A1766" t="inlineStr">
        <is>
          <t>A 24042-2024</t>
        </is>
      </c>
      <c r="B1766" s="1" t="n">
        <v>45456.48665509259</v>
      </c>
      <c r="C1766" s="1" t="n">
        <v>46033</v>
      </c>
      <c r="D1766" t="inlineStr">
        <is>
          <t>JÄMTLANDS LÄN</t>
        </is>
      </c>
      <c r="E1766" t="inlineStr">
        <is>
          <t>STRÖMSUND</t>
        </is>
      </c>
      <c r="F1766" t="inlineStr">
        <is>
          <t>Holmen skog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7854-2024</t>
        </is>
      </c>
      <c r="B1767" s="1" t="n">
        <v>45350.01711805556</v>
      </c>
      <c r="C1767" s="1" t="n">
        <v>46033</v>
      </c>
      <c r="D1767" t="inlineStr">
        <is>
          <t>JÄMTLANDS LÄN</t>
        </is>
      </c>
      <c r="E1767" t="inlineStr">
        <is>
          <t>STRÖMSUND</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54897-2025</t>
        </is>
      </c>
      <c r="B1768" s="1" t="n">
        <v>45967.36555555555</v>
      </c>
      <c r="C1768" s="1" t="n">
        <v>46033</v>
      </c>
      <c r="D1768" t="inlineStr">
        <is>
          <t>JÄMTLANDS LÄN</t>
        </is>
      </c>
      <c r="E1768" t="inlineStr">
        <is>
          <t>STRÖMSUND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55067-2025</t>
        </is>
      </c>
      <c r="B1769" s="1" t="n">
        <v>45967.72121527778</v>
      </c>
      <c r="C1769" s="1" t="n">
        <v>46033</v>
      </c>
      <c r="D1769" t="inlineStr">
        <is>
          <t>JÄMTLANDS LÄN</t>
        </is>
      </c>
      <c r="E1769" t="inlineStr">
        <is>
          <t>STRÖMSUND</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61675-2025</t>
        </is>
      </c>
      <c r="B1770" s="1" t="n">
        <v>46002</v>
      </c>
      <c r="C1770" s="1" t="n">
        <v>46033</v>
      </c>
      <c r="D1770" t="inlineStr">
        <is>
          <t>JÄMTLANDS LÄN</t>
        </is>
      </c>
      <c r="E1770" t="inlineStr">
        <is>
          <t>STRÖMSUND</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39286-2024</t>
        </is>
      </c>
      <c r="B1771" s="1" t="n">
        <v>45551.36491898148</v>
      </c>
      <c r="C1771" s="1" t="n">
        <v>46033</v>
      </c>
      <c r="D1771" t="inlineStr">
        <is>
          <t>JÄMTLANDS LÄN</t>
        </is>
      </c>
      <c r="E1771" t="inlineStr">
        <is>
          <t>STRÖMSUND</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54976-2025</t>
        </is>
      </c>
      <c r="B1772" s="1" t="n">
        <v>45967.5110300926</v>
      </c>
      <c r="C1772" s="1" t="n">
        <v>46033</v>
      </c>
      <c r="D1772" t="inlineStr">
        <is>
          <t>JÄMTLANDS LÄN</t>
        </is>
      </c>
      <c r="E1772" t="inlineStr">
        <is>
          <t>STRÖMSUND</t>
        </is>
      </c>
      <c r="F1772" t="inlineStr">
        <is>
          <t>SCA</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6494-2025</t>
        </is>
      </c>
      <c r="B1773" s="1" t="n">
        <v>45699.63442129629</v>
      </c>
      <c r="C1773" s="1" t="n">
        <v>46033</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55012-2025</t>
        </is>
      </c>
      <c r="B1774" s="1" t="n">
        <v>45967.61560185185</v>
      </c>
      <c r="C1774" s="1" t="n">
        <v>46033</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62359-2025</t>
        </is>
      </c>
      <c r="B1775" s="1" t="n">
        <v>46006</v>
      </c>
      <c r="C1775" s="1" t="n">
        <v>46033</v>
      </c>
      <c r="D1775" t="inlineStr">
        <is>
          <t>JÄMTLANDS LÄN</t>
        </is>
      </c>
      <c r="E1775" t="inlineStr">
        <is>
          <t>STRÖMSUND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62780-2025</t>
        </is>
      </c>
      <c r="B1776" s="1" t="n">
        <v>46008.61517361111</v>
      </c>
      <c r="C1776" s="1" t="n">
        <v>46033</v>
      </c>
      <c r="D1776" t="inlineStr">
        <is>
          <t>JÄMTLANDS LÄN</t>
        </is>
      </c>
      <c r="E1776" t="inlineStr">
        <is>
          <t>STRÖMSUND</t>
        </is>
      </c>
      <c r="F1776" t="inlineStr">
        <is>
          <t>SCA</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62784-2025</t>
        </is>
      </c>
      <c r="B1777" s="1" t="n">
        <v>46008.61606481481</v>
      </c>
      <c r="C1777" s="1" t="n">
        <v>46033</v>
      </c>
      <c r="D1777" t="inlineStr">
        <is>
          <t>JÄMTLANDS LÄN</t>
        </is>
      </c>
      <c r="E1777" t="inlineStr">
        <is>
          <t>STRÖMSUND</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62360-2025</t>
        </is>
      </c>
      <c r="B1778" s="1" t="n">
        <v>46006</v>
      </c>
      <c r="C1778" s="1" t="n">
        <v>46033</v>
      </c>
      <c r="D1778" t="inlineStr">
        <is>
          <t>JÄMTLANDS LÄN</t>
        </is>
      </c>
      <c r="E1778" t="inlineStr">
        <is>
          <t>STRÖMSUND</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67099-2021</t>
        </is>
      </c>
      <c r="B1779" s="1" t="n">
        <v>44522.94574074074</v>
      </c>
      <c r="C1779" s="1" t="n">
        <v>46033</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62117-2025</t>
        </is>
      </c>
      <c r="B1780" s="1" t="n">
        <v>46006.43877314815</v>
      </c>
      <c r="C1780" s="1" t="n">
        <v>46033</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54894-2025</t>
        </is>
      </c>
      <c r="B1781" s="1" t="n">
        <v>45967.36505787037</v>
      </c>
      <c r="C1781" s="1" t="n">
        <v>46033</v>
      </c>
      <c r="D1781" t="inlineStr">
        <is>
          <t>JÄMTLANDS LÄN</t>
        </is>
      </c>
      <c r="E1781" t="inlineStr">
        <is>
          <t>STRÖMSUND</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62581-2025</t>
        </is>
      </c>
      <c r="B1782" s="1" t="n">
        <v>46007</v>
      </c>
      <c r="C1782" s="1" t="n">
        <v>46033</v>
      </c>
      <c r="D1782" t="inlineStr">
        <is>
          <t>JÄMTLANDS LÄN</t>
        </is>
      </c>
      <c r="E1782" t="inlineStr">
        <is>
          <t>STRÖMSUND</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54661-2025</t>
        </is>
      </c>
      <c r="B1783" s="1" t="n">
        <v>45966.40692129629</v>
      </c>
      <c r="C1783" s="1" t="n">
        <v>46033</v>
      </c>
      <c r="D1783" t="inlineStr">
        <is>
          <t>JÄMTLANDS LÄN</t>
        </is>
      </c>
      <c r="E1783" t="inlineStr">
        <is>
          <t>STRÖMSUND</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54666-2025</t>
        </is>
      </c>
      <c r="B1784" s="1" t="n">
        <v>45966.40759259259</v>
      </c>
      <c r="C1784" s="1" t="n">
        <v>46033</v>
      </c>
      <c r="D1784" t="inlineStr">
        <is>
          <t>JÄMTLANDS LÄN</t>
        </is>
      </c>
      <c r="E1784" t="inlineStr">
        <is>
          <t>STRÖMSUND</t>
        </is>
      </c>
      <c r="F1784" t="inlineStr">
        <is>
          <t>SCA</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62580-2025</t>
        </is>
      </c>
      <c r="B1785" s="1" t="n">
        <v>46007</v>
      </c>
      <c r="C1785" s="1" t="n">
        <v>46033</v>
      </c>
      <c r="D1785" t="inlineStr">
        <is>
          <t>JÄMTLANDS LÄN</t>
        </is>
      </c>
      <c r="E1785" t="inlineStr">
        <is>
          <t>STRÖMSUND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63501-2025</t>
        </is>
      </c>
      <c r="B1786" s="1" t="n">
        <v>46013.49008101852</v>
      </c>
      <c r="C1786" s="1" t="n">
        <v>46033</v>
      </c>
      <c r="D1786" t="inlineStr">
        <is>
          <t>JÄMTLANDS LÄN</t>
        </is>
      </c>
      <c r="E1786" t="inlineStr">
        <is>
          <t>STRÖMSUND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63503-2025</t>
        </is>
      </c>
      <c r="B1787" s="1" t="n">
        <v>46013.49011574074</v>
      </c>
      <c r="C1787" s="1" t="n">
        <v>46033</v>
      </c>
      <c r="D1787" t="inlineStr">
        <is>
          <t>JÄMTLANDS LÄN</t>
        </is>
      </c>
      <c r="E1787" t="inlineStr">
        <is>
          <t>STRÖMSUND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35375-2022</t>
        </is>
      </c>
      <c r="B1788" s="1" t="n">
        <v>44798</v>
      </c>
      <c r="C1788" s="1" t="n">
        <v>46033</v>
      </c>
      <c r="D1788" t="inlineStr">
        <is>
          <t>JÄMTLANDS LÄN</t>
        </is>
      </c>
      <c r="E1788" t="inlineStr">
        <is>
          <t>STRÖMSUND</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58393-2024</t>
        </is>
      </c>
      <c r="B1789" s="1" t="n">
        <v>45633.78479166667</v>
      </c>
      <c r="C1789" s="1" t="n">
        <v>46033</v>
      </c>
      <c r="D1789" t="inlineStr">
        <is>
          <t>JÄMTLANDS LÄN</t>
        </is>
      </c>
      <c r="E1789" t="inlineStr">
        <is>
          <t>STRÖMSUND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63502-2025</t>
        </is>
      </c>
      <c r="B1790" s="1" t="n">
        <v>46013.49010416667</v>
      </c>
      <c r="C1790" s="1" t="n">
        <v>46033</v>
      </c>
      <c r="D1790" t="inlineStr">
        <is>
          <t>JÄMTLANDS LÄN</t>
        </is>
      </c>
      <c r="E1790" t="inlineStr">
        <is>
          <t>STRÖMSUND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55407-2025</t>
        </is>
      </c>
      <c r="B1791" s="1" t="n">
        <v>45971</v>
      </c>
      <c r="C1791" s="1" t="n">
        <v>46033</v>
      </c>
      <c r="D1791" t="inlineStr">
        <is>
          <t>JÄMTLANDS LÄN</t>
        </is>
      </c>
      <c r="E1791" t="inlineStr">
        <is>
          <t>STRÖMSUND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12822-2022</t>
        </is>
      </c>
      <c r="B1792" s="1" t="n">
        <v>44642</v>
      </c>
      <c r="C1792" s="1" t="n">
        <v>46033</v>
      </c>
      <c r="D1792" t="inlineStr">
        <is>
          <t>JÄMTLANDS LÄN</t>
        </is>
      </c>
      <c r="E1792" t="inlineStr">
        <is>
          <t>STRÖMSUND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55445-2025</t>
        </is>
      </c>
      <c r="B1793" s="1" t="n">
        <v>45971.5002662037</v>
      </c>
      <c r="C1793" s="1" t="n">
        <v>46033</v>
      </c>
      <c r="D1793" t="inlineStr">
        <is>
          <t>JÄMTLANDS LÄN</t>
        </is>
      </c>
      <c r="E1793" t="inlineStr">
        <is>
          <t>STRÖMSUND</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55461-2025</t>
        </is>
      </c>
      <c r="B1794" s="1" t="n">
        <v>45971.52135416667</v>
      </c>
      <c r="C1794" s="1" t="n">
        <v>46033</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63395-2025</t>
        </is>
      </c>
      <c r="B1795" s="1" t="n">
        <v>46012.39570601852</v>
      </c>
      <c r="C1795" s="1" t="n">
        <v>46033</v>
      </c>
      <c r="D1795" t="inlineStr">
        <is>
          <t>JÄMTLANDS LÄN</t>
        </is>
      </c>
      <c r="E1795" t="inlineStr">
        <is>
          <t>STRÖMSUND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55242-2025</t>
        </is>
      </c>
      <c r="B1796" s="1" t="n">
        <v>45968.61890046296</v>
      </c>
      <c r="C1796" s="1" t="n">
        <v>46033</v>
      </c>
      <c r="D1796" t="inlineStr">
        <is>
          <t>JÄMTLANDS LÄN</t>
        </is>
      </c>
      <c r="E1796" t="inlineStr">
        <is>
          <t>STRÖMSUND</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60035-2025</t>
        </is>
      </c>
      <c r="B1797" s="1" t="n">
        <v>45993.61509259259</v>
      </c>
      <c r="C1797" s="1" t="n">
        <v>46033</v>
      </c>
      <c r="D1797" t="inlineStr">
        <is>
          <t>JÄMTLANDS LÄN</t>
        </is>
      </c>
      <c r="E1797" t="inlineStr">
        <is>
          <t>STRÖMSUND</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5627-2025</t>
        </is>
      </c>
      <c r="B1798" s="1" t="n">
        <v>45693.64836805555</v>
      </c>
      <c r="C1798" s="1" t="n">
        <v>46033</v>
      </c>
      <c r="D1798" t="inlineStr">
        <is>
          <t>JÄMTLANDS LÄN</t>
        </is>
      </c>
      <c r="E1798" t="inlineStr">
        <is>
          <t>STRÖMSUND</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23780-2023</t>
        </is>
      </c>
      <c r="B1799" s="1" t="n">
        <v>45077.94703703704</v>
      </c>
      <c r="C1799" s="1" t="n">
        <v>46033</v>
      </c>
      <c r="D1799" t="inlineStr">
        <is>
          <t>JÄMTLANDS LÄN</t>
        </is>
      </c>
      <c r="E1799" t="inlineStr">
        <is>
          <t>STRÖMSUND</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37143-2023</t>
        </is>
      </c>
      <c r="B1800" s="1" t="n">
        <v>45155.58578703704</v>
      </c>
      <c r="C1800" s="1" t="n">
        <v>46033</v>
      </c>
      <c r="D1800" t="inlineStr">
        <is>
          <t>JÄMTLANDS LÄN</t>
        </is>
      </c>
      <c r="E1800" t="inlineStr">
        <is>
          <t>STRÖMSUND</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55361-2025</t>
        </is>
      </c>
      <c r="B1801" s="1" t="n">
        <v>45971.38615740741</v>
      </c>
      <c r="C1801" s="1" t="n">
        <v>46033</v>
      </c>
      <c r="D1801" t="inlineStr">
        <is>
          <t>JÄMTLANDS LÄN</t>
        </is>
      </c>
      <c r="E1801" t="inlineStr">
        <is>
          <t>STRÖMSUND</t>
        </is>
      </c>
      <c r="F1801" t="inlineStr">
        <is>
          <t>SCA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15463-2025</t>
        </is>
      </c>
      <c r="B1802" s="1" t="n">
        <v>45747.51116898148</v>
      </c>
      <c r="C1802" s="1" t="n">
        <v>46033</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16053-2024</t>
        </is>
      </c>
      <c r="B1803" s="1" t="n">
        <v>45406</v>
      </c>
      <c r="C1803" s="1" t="n">
        <v>46033</v>
      </c>
      <c r="D1803" t="inlineStr">
        <is>
          <t>JÄMTLANDS LÄN</t>
        </is>
      </c>
      <c r="E1803" t="inlineStr">
        <is>
          <t>STRÖMSUND</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63394-2025</t>
        </is>
      </c>
      <c r="B1804" s="1" t="n">
        <v>46012.3934837963</v>
      </c>
      <c r="C1804" s="1" t="n">
        <v>46033</v>
      </c>
      <c r="D1804" t="inlineStr">
        <is>
          <t>JÄMTLANDS LÄN</t>
        </is>
      </c>
      <c r="E1804" t="inlineStr">
        <is>
          <t>STRÖMSUND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55281-2025</t>
        </is>
      </c>
      <c r="B1805" s="1" t="n">
        <v>45968</v>
      </c>
      <c r="C1805" s="1" t="n">
        <v>46033</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55282-2025</t>
        </is>
      </c>
      <c r="B1806" s="1" t="n">
        <v>45968</v>
      </c>
      <c r="C1806" s="1" t="n">
        <v>46033</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55297-2025</t>
        </is>
      </c>
      <c r="B1807" s="1" t="n">
        <v>45969</v>
      </c>
      <c r="C1807" s="1" t="n">
        <v>46033</v>
      </c>
      <c r="D1807" t="inlineStr">
        <is>
          <t>JÄMTLANDS LÄN</t>
        </is>
      </c>
      <c r="E1807" t="inlineStr">
        <is>
          <t>STRÖMSUND</t>
        </is>
      </c>
      <c r="F1807" t="inlineStr">
        <is>
          <t>SCA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55259-2025</t>
        </is>
      </c>
      <c r="B1808" s="1" t="n">
        <v>45968.64603009259</v>
      </c>
      <c r="C1808" s="1" t="n">
        <v>46033</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35584-2024</t>
        </is>
      </c>
      <c r="B1809" s="1" t="n">
        <v>45531.6481712963</v>
      </c>
      <c r="C1809" s="1" t="n">
        <v>46033</v>
      </c>
      <c r="D1809" t="inlineStr">
        <is>
          <t>JÄMTLANDS LÄN</t>
        </is>
      </c>
      <c r="E1809" t="inlineStr">
        <is>
          <t>STRÖMSUND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63212-2025</t>
        </is>
      </c>
      <c r="B1810" s="1" t="n">
        <v>46010.48246527778</v>
      </c>
      <c r="C1810" s="1" t="n">
        <v>46033</v>
      </c>
      <c r="D1810" t="inlineStr">
        <is>
          <t>JÄMTLANDS LÄN</t>
        </is>
      </c>
      <c r="E1810" t="inlineStr">
        <is>
          <t>STRÖMSUND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60740-2022</t>
        </is>
      </c>
      <c r="B1811" s="1" t="n">
        <v>44913</v>
      </c>
      <c r="C1811" s="1" t="n">
        <v>46033</v>
      </c>
      <c r="D1811" t="inlineStr">
        <is>
          <t>JÄMTLANDS LÄN</t>
        </is>
      </c>
      <c r="E1811" t="inlineStr">
        <is>
          <t>STRÖMSUND</t>
        </is>
      </c>
      <c r="F1811" t="inlineStr">
        <is>
          <t>SCA</t>
        </is>
      </c>
      <c r="G1811" t="n">
        <v>16.7</v>
      </c>
      <c r="H1811" t="n">
        <v>0</v>
      </c>
      <c r="I1811" t="n">
        <v>0</v>
      </c>
      <c r="J1811" t="n">
        <v>0</v>
      </c>
      <c r="K1811" t="n">
        <v>0</v>
      </c>
      <c r="L1811" t="n">
        <v>0</v>
      </c>
      <c r="M1811" t="n">
        <v>0</v>
      </c>
      <c r="N1811" t="n">
        <v>0</v>
      </c>
      <c r="O1811" t="n">
        <v>0</v>
      </c>
      <c r="P1811" t="n">
        <v>0</v>
      </c>
      <c r="Q1811" t="n">
        <v>0</v>
      </c>
      <c r="R1811" s="2" t="inlineStr"/>
    </row>
    <row r="1812" ht="15" customHeight="1">
      <c r="A1812" t="inlineStr">
        <is>
          <t>A 63422-2025</t>
        </is>
      </c>
      <c r="B1812" s="1" t="n">
        <v>46013.3443287037</v>
      </c>
      <c r="C1812" s="1" t="n">
        <v>46033</v>
      </c>
      <c r="D1812" t="inlineStr">
        <is>
          <t>JÄMTLANDS LÄN</t>
        </is>
      </c>
      <c r="E1812" t="inlineStr">
        <is>
          <t>STRÖMSUND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63421-2025</t>
        </is>
      </c>
      <c r="B1813" s="1" t="n">
        <v>46013.34430555555</v>
      </c>
      <c r="C1813" s="1" t="n">
        <v>46033</v>
      </c>
      <c r="D1813" t="inlineStr">
        <is>
          <t>JÄMTLANDS LÄN</t>
        </is>
      </c>
      <c r="E1813" t="inlineStr">
        <is>
          <t>STRÖMSUND</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55441-2025</t>
        </is>
      </c>
      <c r="B1814" s="1" t="n">
        <v>45971</v>
      </c>
      <c r="C1814" s="1" t="n">
        <v>46033</v>
      </c>
      <c r="D1814" t="inlineStr">
        <is>
          <t>JÄMTLANDS LÄN</t>
        </is>
      </c>
      <c r="E1814" t="inlineStr">
        <is>
          <t>STRÖMSUND</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11733-2025</t>
        </is>
      </c>
      <c r="B1815" s="1" t="n">
        <v>45727</v>
      </c>
      <c r="C1815" s="1" t="n">
        <v>46033</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63243-2025</t>
        </is>
      </c>
      <c r="B1816" s="1" t="n">
        <v>46010.53164351852</v>
      </c>
      <c r="C1816" s="1" t="n">
        <v>46033</v>
      </c>
      <c r="D1816" t="inlineStr">
        <is>
          <t>JÄMTLANDS LÄN</t>
        </is>
      </c>
      <c r="E1816" t="inlineStr">
        <is>
          <t>STRÖMSUND</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55181-2025</t>
        </is>
      </c>
      <c r="B1817" s="1" t="n">
        <v>45968.531875</v>
      </c>
      <c r="C1817" s="1" t="n">
        <v>46033</v>
      </c>
      <c r="D1817" t="inlineStr">
        <is>
          <t>JÄMTLANDS LÄN</t>
        </is>
      </c>
      <c r="E1817" t="inlineStr">
        <is>
          <t>STRÖMSUND</t>
        </is>
      </c>
      <c r="F1817" t="inlineStr">
        <is>
          <t>SCA</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30828-2023</t>
        </is>
      </c>
      <c r="B1818" s="1" t="n">
        <v>45112.94333333334</v>
      </c>
      <c r="C1818" s="1" t="n">
        <v>46033</v>
      </c>
      <c r="D1818" t="inlineStr">
        <is>
          <t>JÄMTLANDS LÄN</t>
        </is>
      </c>
      <c r="E1818" t="inlineStr">
        <is>
          <t>STRÖMSUND</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36343-2024</t>
        </is>
      </c>
      <c r="B1819" s="1" t="n">
        <v>45534.64329861111</v>
      </c>
      <c r="C1819" s="1" t="n">
        <v>46033</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55452-2025</t>
        </is>
      </c>
      <c r="B1820" s="1" t="n">
        <v>45971.50884259259</v>
      </c>
      <c r="C1820" s="1" t="n">
        <v>46033</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63393-2025</t>
        </is>
      </c>
      <c r="B1821" s="1" t="n">
        <v>46011.97560185185</v>
      </c>
      <c r="C1821" s="1" t="n">
        <v>46033</v>
      </c>
      <c r="D1821" t="inlineStr">
        <is>
          <t>JÄMTLANDS LÄN</t>
        </is>
      </c>
      <c r="E1821" t="inlineStr">
        <is>
          <t>STRÖMSUND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55505-2025</t>
        </is>
      </c>
      <c r="B1822" s="1" t="n">
        <v>45971.59140046296</v>
      </c>
      <c r="C1822" s="1" t="n">
        <v>46033</v>
      </c>
      <c r="D1822" t="inlineStr">
        <is>
          <t>JÄMTLANDS LÄN</t>
        </is>
      </c>
      <c r="E1822" t="inlineStr">
        <is>
          <t>STRÖMSUND</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55468-2025</t>
        </is>
      </c>
      <c r="B1823" s="1" t="n">
        <v>45971.52802083334</v>
      </c>
      <c r="C1823" s="1" t="n">
        <v>46033</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36311-2024</t>
        </is>
      </c>
      <c r="B1824" s="1" t="n">
        <v>45534.63079861111</v>
      </c>
      <c r="C1824" s="1" t="n">
        <v>46033</v>
      </c>
      <c r="D1824" t="inlineStr">
        <is>
          <t>JÄMTLANDS LÄN</t>
        </is>
      </c>
      <c r="E1824" t="inlineStr">
        <is>
          <t>STRÖMSUND</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39698-2024</t>
        </is>
      </c>
      <c r="B1825" s="1" t="n">
        <v>45552.57326388889</v>
      </c>
      <c r="C1825" s="1" t="n">
        <v>46033</v>
      </c>
      <c r="D1825" t="inlineStr">
        <is>
          <t>JÄMTLANDS LÄN</t>
        </is>
      </c>
      <c r="E1825" t="inlineStr">
        <is>
          <t>STRÖMSUND</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32873-2023</t>
        </is>
      </c>
      <c r="B1826" s="1" t="n">
        <v>45112</v>
      </c>
      <c r="C1826" s="1" t="n">
        <v>46033</v>
      </c>
      <c r="D1826" t="inlineStr">
        <is>
          <t>JÄMTLANDS LÄN</t>
        </is>
      </c>
      <c r="E1826" t="inlineStr">
        <is>
          <t>STRÖMSUND</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41940-2023</t>
        </is>
      </c>
      <c r="B1827" s="1" t="n">
        <v>45176</v>
      </c>
      <c r="C1827" s="1" t="n">
        <v>46033</v>
      </c>
      <c r="D1827" t="inlineStr">
        <is>
          <t>JÄMTLANDS LÄN</t>
        </is>
      </c>
      <c r="E1827" t="inlineStr">
        <is>
          <t>STRÖMSUND</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55757-2025</t>
        </is>
      </c>
      <c r="B1828" s="1" t="n">
        <v>45972.59646990741</v>
      </c>
      <c r="C1828" s="1" t="n">
        <v>46033</v>
      </c>
      <c r="D1828" t="inlineStr">
        <is>
          <t>JÄMTLANDS LÄN</t>
        </is>
      </c>
      <c r="E1828" t="inlineStr">
        <is>
          <t>STRÖMSUND</t>
        </is>
      </c>
      <c r="F1828" t="inlineStr">
        <is>
          <t>Kyrkan</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40426-2024</t>
        </is>
      </c>
      <c r="B1829" s="1" t="n">
        <v>45555</v>
      </c>
      <c r="C1829" s="1" t="n">
        <v>46033</v>
      </c>
      <c r="D1829" t="inlineStr">
        <is>
          <t>JÄMTLANDS LÄN</t>
        </is>
      </c>
      <c r="E1829" t="inlineStr">
        <is>
          <t>STRÖMSUND</t>
        </is>
      </c>
      <c r="F1829" t="inlineStr">
        <is>
          <t>SCA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55804-2025</t>
        </is>
      </c>
      <c r="B1830" s="1" t="n">
        <v>45972.67773148148</v>
      </c>
      <c r="C1830" s="1" t="n">
        <v>46033</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55805-2025</t>
        </is>
      </c>
      <c r="B1831" s="1" t="n">
        <v>45972.67789351852</v>
      </c>
      <c r="C1831" s="1" t="n">
        <v>46033</v>
      </c>
      <c r="D1831" t="inlineStr">
        <is>
          <t>JÄMTLANDS LÄN</t>
        </is>
      </c>
      <c r="E1831" t="inlineStr">
        <is>
          <t>STRÖMSUND</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55811-2025</t>
        </is>
      </c>
      <c r="B1832" s="1" t="n">
        <v>45972.67873842592</v>
      </c>
      <c r="C1832" s="1" t="n">
        <v>46033</v>
      </c>
      <c r="D1832" t="inlineStr">
        <is>
          <t>JÄMTLANDS LÄN</t>
        </is>
      </c>
      <c r="E1832" t="inlineStr">
        <is>
          <t>STRÖMSUND</t>
        </is>
      </c>
      <c r="F1832" t="inlineStr">
        <is>
          <t>SCA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55827-2025</t>
        </is>
      </c>
      <c r="B1833" s="1" t="n">
        <v>45972.77940972222</v>
      </c>
      <c r="C1833" s="1" t="n">
        <v>46033</v>
      </c>
      <c r="D1833" t="inlineStr">
        <is>
          <t>JÄMTLANDS LÄN</t>
        </is>
      </c>
      <c r="E1833" t="inlineStr">
        <is>
          <t>STRÖMSUND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63696-2025</t>
        </is>
      </c>
      <c r="B1834" s="1" t="n">
        <v>46014.57327546296</v>
      </c>
      <c r="C1834" s="1" t="n">
        <v>46033</v>
      </c>
      <c r="D1834" t="inlineStr">
        <is>
          <t>JÄMTLANDS LÄN</t>
        </is>
      </c>
      <c r="E1834" t="inlineStr">
        <is>
          <t>STRÖMSUND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55672-2025</t>
        </is>
      </c>
      <c r="B1835" s="1" t="n">
        <v>45972.40719907408</v>
      </c>
      <c r="C1835" s="1" t="n">
        <v>46033</v>
      </c>
      <c r="D1835" t="inlineStr">
        <is>
          <t>JÄMTLANDS LÄN</t>
        </is>
      </c>
      <c r="E1835" t="inlineStr">
        <is>
          <t>STRÖMSUND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60801-2021</t>
        </is>
      </c>
      <c r="B1836" s="1" t="n">
        <v>44497.29736111111</v>
      </c>
      <c r="C1836" s="1" t="n">
        <v>46033</v>
      </c>
      <c r="D1836" t="inlineStr">
        <is>
          <t>JÄMTLANDS LÄN</t>
        </is>
      </c>
      <c r="E1836" t="inlineStr">
        <is>
          <t>STRÖMSUND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55927-2025</t>
        </is>
      </c>
      <c r="B1837" s="1" t="n">
        <v>45973.42837962963</v>
      </c>
      <c r="C1837" s="1" t="n">
        <v>46033</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55807-2025</t>
        </is>
      </c>
      <c r="B1838" s="1" t="n">
        <v>45972.67822916667</v>
      </c>
      <c r="C1838" s="1" t="n">
        <v>46033</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55690-2025</t>
        </is>
      </c>
      <c r="B1839" s="1" t="n">
        <v>45972.43295138889</v>
      </c>
      <c r="C1839" s="1" t="n">
        <v>46033</v>
      </c>
      <c r="D1839" t="inlineStr">
        <is>
          <t>JÄMTLANDS LÄN</t>
        </is>
      </c>
      <c r="E1839" t="inlineStr">
        <is>
          <t>STRÖMSUND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55806-2025</t>
        </is>
      </c>
      <c r="B1840" s="1" t="n">
        <v>45972.67806712963</v>
      </c>
      <c r="C1840" s="1" t="n">
        <v>46033</v>
      </c>
      <c r="D1840" t="inlineStr">
        <is>
          <t>JÄMTLANDS LÄN</t>
        </is>
      </c>
      <c r="E1840" t="inlineStr">
        <is>
          <t>STRÖMSUND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17030-2025</t>
        </is>
      </c>
      <c r="B1841" s="1" t="n">
        <v>45755.57325231482</v>
      </c>
      <c r="C1841" s="1" t="n">
        <v>46033</v>
      </c>
      <c r="D1841" t="inlineStr">
        <is>
          <t>JÄMTLANDS LÄN</t>
        </is>
      </c>
      <c r="E1841" t="inlineStr">
        <is>
          <t>STRÖMSUND</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15407-2022</t>
        </is>
      </c>
      <c r="B1842" s="1" t="n">
        <v>44662</v>
      </c>
      <c r="C1842" s="1" t="n">
        <v>46033</v>
      </c>
      <c r="D1842" t="inlineStr">
        <is>
          <t>JÄMTLANDS LÄN</t>
        </is>
      </c>
      <c r="E1842" t="inlineStr">
        <is>
          <t>STRÖMSUND</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6773-2023</t>
        </is>
      </c>
      <c r="B1843" s="1" t="n">
        <v>44966.93340277778</v>
      </c>
      <c r="C1843" s="1" t="n">
        <v>46033</v>
      </c>
      <c r="D1843" t="inlineStr">
        <is>
          <t>JÄMTLANDS LÄN</t>
        </is>
      </c>
      <c r="E1843" t="inlineStr">
        <is>
          <t>STRÖMSUND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53143-2022</t>
        </is>
      </c>
      <c r="B1844" s="1" t="n">
        <v>44876</v>
      </c>
      <c r="C1844" s="1" t="n">
        <v>46033</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22476-2023</t>
        </is>
      </c>
      <c r="B1845" s="1" t="n">
        <v>45070</v>
      </c>
      <c r="C1845" s="1" t="n">
        <v>46033</v>
      </c>
      <c r="D1845" t="inlineStr">
        <is>
          <t>JÄMTLANDS LÄN</t>
        </is>
      </c>
      <c r="E1845" t="inlineStr">
        <is>
          <t>STRÖMSUND</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48476-2023</t>
        </is>
      </c>
      <c r="B1846" s="1" t="n">
        <v>45206</v>
      </c>
      <c r="C1846" s="1" t="n">
        <v>46033</v>
      </c>
      <c r="D1846" t="inlineStr">
        <is>
          <t>JÄMTLANDS LÄN</t>
        </is>
      </c>
      <c r="E1846" t="inlineStr">
        <is>
          <t>STRÖMSUND</t>
        </is>
      </c>
      <c r="F1846" t="inlineStr">
        <is>
          <t>SCA</t>
        </is>
      </c>
      <c r="G1846" t="n">
        <v>16.7</v>
      </c>
      <c r="H1846" t="n">
        <v>0</v>
      </c>
      <c r="I1846" t="n">
        <v>0</v>
      </c>
      <c r="J1846" t="n">
        <v>0</v>
      </c>
      <c r="K1846" t="n">
        <v>0</v>
      </c>
      <c r="L1846" t="n">
        <v>0</v>
      </c>
      <c r="M1846" t="n">
        <v>0</v>
      </c>
      <c r="N1846" t="n">
        <v>0</v>
      </c>
      <c r="O1846" t="n">
        <v>0</v>
      </c>
      <c r="P1846" t="n">
        <v>0</v>
      </c>
      <c r="Q1846" t="n">
        <v>0</v>
      </c>
      <c r="R1846" s="2" t="inlineStr"/>
    </row>
    <row r="1847" ht="15" customHeight="1">
      <c r="A1847" t="inlineStr">
        <is>
          <t>A 44969-2023</t>
        </is>
      </c>
      <c r="B1847" s="1" t="n">
        <v>45190.92511574074</v>
      </c>
      <c r="C1847" s="1" t="n">
        <v>46033</v>
      </c>
      <c r="D1847" t="inlineStr">
        <is>
          <t>JÄMTLANDS LÄN</t>
        </is>
      </c>
      <c r="E1847" t="inlineStr">
        <is>
          <t>STRÖMSUND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44995-2023</t>
        </is>
      </c>
      <c r="B1848" s="1" t="n">
        <v>45190.95940972222</v>
      </c>
      <c r="C1848" s="1" t="n">
        <v>46033</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29069-2023</t>
        </is>
      </c>
      <c r="B1849" s="1" t="n">
        <v>45104.94112268519</v>
      </c>
      <c r="C1849" s="1" t="n">
        <v>46033</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56510-2025</t>
        </is>
      </c>
      <c r="B1850" s="1" t="n">
        <v>45975.44856481482</v>
      </c>
      <c r="C1850" s="1" t="n">
        <v>46033</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56540-2025</t>
        </is>
      </c>
      <c r="B1851" s="1" t="n">
        <v>45975</v>
      </c>
      <c r="C1851" s="1" t="n">
        <v>46033</v>
      </c>
      <c r="D1851" t="inlineStr">
        <is>
          <t>JÄMTLANDS LÄN</t>
        </is>
      </c>
      <c r="E1851" t="inlineStr">
        <is>
          <t>STRÖMSUND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56483-2025</t>
        </is>
      </c>
      <c r="B1852" s="1" t="n">
        <v>45975.40668981482</v>
      </c>
      <c r="C1852" s="1" t="n">
        <v>46033</v>
      </c>
      <c r="D1852" t="inlineStr">
        <is>
          <t>JÄMTLANDS LÄN</t>
        </is>
      </c>
      <c r="E1852" t="inlineStr">
        <is>
          <t>STRÖMSUND</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56485-2025</t>
        </is>
      </c>
      <c r="B1853" s="1" t="n">
        <v>45975.40730324074</v>
      </c>
      <c r="C1853" s="1" t="n">
        <v>46033</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48775-2023</t>
        </is>
      </c>
      <c r="B1854" s="1" t="n">
        <v>45208.949375</v>
      </c>
      <c r="C1854" s="1" t="n">
        <v>46033</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56509-2025</t>
        </is>
      </c>
      <c r="B1855" s="1" t="n">
        <v>45975.44837962963</v>
      </c>
      <c r="C1855" s="1" t="n">
        <v>46033</v>
      </c>
      <c r="D1855" t="inlineStr">
        <is>
          <t>JÄMTLANDS LÄN</t>
        </is>
      </c>
      <c r="E1855" t="inlineStr">
        <is>
          <t>STRÖMSUND</t>
        </is>
      </c>
      <c r="F1855" t="inlineStr">
        <is>
          <t>SCA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56626-2025</t>
        </is>
      </c>
      <c r="B1856" s="1" t="n">
        <v>45975.60625</v>
      </c>
      <c r="C1856" s="1" t="n">
        <v>46033</v>
      </c>
      <c r="D1856" t="inlineStr">
        <is>
          <t>JÄMTLANDS LÄN</t>
        </is>
      </c>
      <c r="E1856" t="inlineStr">
        <is>
          <t>STRÖMSUND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56145-2025</t>
        </is>
      </c>
      <c r="B1857" s="1" t="n">
        <v>45974.34473379629</v>
      </c>
      <c r="C1857" s="1" t="n">
        <v>46033</v>
      </c>
      <c r="D1857" t="inlineStr">
        <is>
          <t>JÄMTLANDS LÄN</t>
        </is>
      </c>
      <c r="E1857" t="inlineStr">
        <is>
          <t>STRÖMSUND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56486-2025</t>
        </is>
      </c>
      <c r="B1858" s="1" t="n">
        <v>45975.40746527778</v>
      </c>
      <c r="C1858" s="1" t="n">
        <v>46033</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43326-2024</t>
        </is>
      </c>
      <c r="B1859" s="1" t="n">
        <v>45568.47420138889</v>
      </c>
      <c r="C1859" s="1" t="n">
        <v>46033</v>
      </c>
      <c r="D1859" t="inlineStr">
        <is>
          <t>JÄMTLANDS LÄN</t>
        </is>
      </c>
      <c r="E1859" t="inlineStr">
        <is>
          <t>STRÖMSUND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56436-2025</t>
        </is>
      </c>
      <c r="B1860" s="1" t="n">
        <v>45975.34695601852</v>
      </c>
      <c r="C1860" s="1" t="n">
        <v>46033</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56144-2025</t>
        </is>
      </c>
      <c r="B1861" s="1" t="n">
        <v>45974.34472222222</v>
      </c>
      <c r="C1861" s="1" t="n">
        <v>46033</v>
      </c>
      <c r="D1861" t="inlineStr">
        <is>
          <t>JÄMTLANDS LÄN</t>
        </is>
      </c>
      <c r="E1861" t="inlineStr">
        <is>
          <t>STRÖMSUND</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39946-2023</t>
        </is>
      </c>
      <c r="B1862" s="1" t="n">
        <v>45168.5315625</v>
      </c>
      <c r="C1862" s="1" t="n">
        <v>46033</v>
      </c>
      <c r="D1862" t="inlineStr">
        <is>
          <t>JÄMTLANDS LÄN</t>
        </is>
      </c>
      <c r="E1862" t="inlineStr">
        <is>
          <t>STRÖMSUND</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16242-2024</t>
        </is>
      </c>
      <c r="B1863" s="1" t="n">
        <v>45407.05734953703</v>
      </c>
      <c r="C1863" s="1" t="n">
        <v>46033</v>
      </c>
      <c r="D1863" t="inlineStr">
        <is>
          <t>JÄMTLANDS LÄN</t>
        </is>
      </c>
      <c r="E1863" t="inlineStr">
        <is>
          <t>STRÖMSUND</t>
        </is>
      </c>
      <c r="F1863" t="inlineStr">
        <is>
          <t>SCA</t>
        </is>
      </c>
      <c r="G1863" t="n">
        <v>31.2</v>
      </c>
      <c r="H1863" t="n">
        <v>0</v>
      </c>
      <c r="I1863" t="n">
        <v>0</v>
      </c>
      <c r="J1863" t="n">
        <v>0</v>
      </c>
      <c r="K1863" t="n">
        <v>0</v>
      </c>
      <c r="L1863" t="n">
        <v>0</v>
      </c>
      <c r="M1863" t="n">
        <v>0</v>
      </c>
      <c r="N1863" t="n">
        <v>0</v>
      </c>
      <c r="O1863" t="n">
        <v>0</v>
      </c>
      <c r="P1863" t="n">
        <v>0</v>
      </c>
      <c r="Q1863" t="n">
        <v>0</v>
      </c>
      <c r="R1863" s="2" t="inlineStr"/>
    </row>
    <row r="1864" ht="15" customHeight="1">
      <c r="A1864" t="inlineStr">
        <is>
          <t>A 56706-2025</t>
        </is>
      </c>
      <c r="B1864" s="1" t="n">
        <v>45977.65686342592</v>
      </c>
      <c r="C1864" s="1" t="n">
        <v>46033</v>
      </c>
      <c r="D1864" t="inlineStr">
        <is>
          <t>JÄMTLANDS LÄN</t>
        </is>
      </c>
      <c r="E1864" t="inlineStr">
        <is>
          <t>STRÖMSUND</t>
        </is>
      </c>
      <c r="F1864" t="inlineStr">
        <is>
          <t>SCA</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56895-2025</t>
        </is>
      </c>
      <c r="B1865" s="1" t="n">
        <v>45978.56818287037</v>
      </c>
      <c r="C1865" s="1" t="n">
        <v>46033</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20144-2025</t>
        </is>
      </c>
      <c r="B1866" s="1" t="n">
        <v>45772.53158564815</v>
      </c>
      <c r="C1866" s="1" t="n">
        <v>46033</v>
      </c>
      <c r="D1866" t="inlineStr">
        <is>
          <t>JÄMTLANDS LÄN</t>
        </is>
      </c>
      <c r="E1866" t="inlineStr">
        <is>
          <t>STRÖMSUND</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6112-2024</t>
        </is>
      </c>
      <c r="B1867" s="1" t="n">
        <v>45337.39020833333</v>
      </c>
      <c r="C1867" s="1" t="n">
        <v>46033</v>
      </c>
      <c r="D1867" t="inlineStr">
        <is>
          <t>JÄMTLANDS LÄN</t>
        </is>
      </c>
      <c r="E1867" t="inlineStr">
        <is>
          <t>STRÖMSUND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15455-2023</t>
        </is>
      </c>
      <c r="B1868" s="1" t="n">
        <v>45019</v>
      </c>
      <c r="C1868" s="1" t="n">
        <v>46033</v>
      </c>
      <c r="D1868" t="inlineStr">
        <is>
          <t>JÄMTLANDS LÄN</t>
        </is>
      </c>
      <c r="E1868" t="inlineStr">
        <is>
          <t>STRÖMSUND</t>
        </is>
      </c>
      <c r="G1868" t="n">
        <v>20.3</v>
      </c>
      <c r="H1868" t="n">
        <v>0</v>
      </c>
      <c r="I1868" t="n">
        <v>0</v>
      </c>
      <c r="J1868" t="n">
        <v>0</v>
      </c>
      <c r="K1868" t="n">
        <v>0</v>
      </c>
      <c r="L1868" t="n">
        <v>0</v>
      </c>
      <c r="M1868" t="n">
        <v>0</v>
      </c>
      <c r="N1868" t="n">
        <v>0</v>
      </c>
      <c r="O1868" t="n">
        <v>0</v>
      </c>
      <c r="P1868" t="n">
        <v>0</v>
      </c>
      <c r="Q1868" t="n">
        <v>0</v>
      </c>
      <c r="R1868" s="2" t="inlineStr"/>
    </row>
    <row r="1869" ht="15" customHeight="1">
      <c r="A1869" t="inlineStr">
        <is>
          <t>A 25365-2024</t>
        </is>
      </c>
      <c r="B1869" s="1" t="n">
        <v>45462.95862268518</v>
      </c>
      <c r="C1869" s="1" t="n">
        <v>46033</v>
      </c>
      <c r="D1869" t="inlineStr">
        <is>
          <t>JÄMTLANDS LÄN</t>
        </is>
      </c>
      <c r="E1869" t="inlineStr">
        <is>
          <t>STRÖMSUND</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57040-2025</t>
        </is>
      </c>
      <c r="B1870" s="1" t="n">
        <v>45979.34563657407</v>
      </c>
      <c r="C1870" s="1" t="n">
        <v>46033</v>
      </c>
      <c r="D1870" t="inlineStr">
        <is>
          <t>JÄMTLANDS LÄN</t>
        </is>
      </c>
      <c r="E1870" t="inlineStr">
        <is>
          <t>STRÖMSUND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24801-2024</t>
        </is>
      </c>
      <c r="B1871" s="1" t="n">
        <v>45460.95300925926</v>
      </c>
      <c r="C1871" s="1" t="n">
        <v>46033</v>
      </c>
      <c r="D1871" t="inlineStr">
        <is>
          <t>JÄMTLANDS LÄN</t>
        </is>
      </c>
      <c r="E1871" t="inlineStr">
        <is>
          <t>STRÖMSUND</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59646-2022</t>
        </is>
      </c>
      <c r="B1872" s="1" t="n">
        <v>44907.96568287037</v>
      </c>
      <c r="C1872" s="1" t="n">
        <v>46033</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57208-2025</t>
        </is>
      </c>
      <c r="B1873" s="1" t="n">
        <v>45979</v>
      </c>
      <c r="C1873" s="1" t="n">
        <v>46033</v>
      </c>
      <c r="D1873" t="inlineStr">
        <is>
          <t>JÄMTLANDS LÄN</t>
        </is>
      </c>
      <c r="E1873" t="inlineStr">
        <is>
          <t>STRÖMSUND</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5807-2025</t>
        </is>
      </c>
      <c r="B1874" s="1" t="n">
        <v>45694.6984837963</v>
      </c>
      <c r="C1874" s="1" t="n">
        <v>46033</v>
      </c>
      <c r="D1874" t="inlineStr">
        <is>
          <t>JÄMTLANDS LÄN</t>
        </is>
      </c>
      <c r="E1874" t="inlineStr">
        <is>
          <t>STRÖMSUND</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8676-2023</t>
        </is>
      </c>
      <c r="B1875" s="1" t="n">
        <v>44977.98641203704</v>
      </c>
      <c r="C1875" s="1" t="n">
        <v>46033</v>
      </c>
      <c r="D1875" t="inlineStr">
        <is>
          <t>JÄMTLANDS LÄN</t>
        </is>
      </c>
      <c r="E1875" t="inlineStr">
        <is>
          <t>STRÖMSUND</t>
        </is>
      </c>
      <c r="F1875" t="inlineStr">
        <is>
          <t>SCA</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217-2025</t>
        </is>
      </c>
      <c r="B1876" s="1" t="n">
        <v>45660.34424768519</v>
      </c>
      <c r="C1876" s="1" t="n">
        <v>46033</v>
      </c>
      <c r="D1876" t="inlineStr">
        <is>
          <t>JÄMTLANDS LÄN</t>
        </is>
      </c>
      <c r="E1876" t="inlineStr">
        <is>
          <t>STRÖMSUND</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55942-2024</t>
        </is>
      </c>
      <c r="B1877" s="1" t="n">
        <v>45623.61278935185</v>
      </c>
      <c r="C1877" s="1" t="n">
        <v>46033</v>
      </c>
      <c r="D1877" t="inlineStr">
        <is>
          <t>JÄMTLANDS LÄN</t>
        </is>
      </c>
      <c r="E1877" t="inlineStr">
        <is>
          <t>STRÖMSUND</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63881-2025</t>
        </is>
      </c>
      <c r="B1878" s="1" t="n">
        <v>46020.57334490741</v>
      </c>
      <c r="C1878" s="1" t="n">
        <v>46033</v>
      </c>
      <c r="D1878" t="inlineStr">
        <is>
          <t>JÄMTLANDS LÄN</t>
        </is>
      </c>
      <c r="E1878" t="inlineStr">
        <is>
          <t>STRÖMSUND</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57557-2025</t>
        </is>
      </c>
      <c r="B1879" s="1" t="n">
        <v>45980.69466435185</v>
      </c>
      <c r="C1879" s="1" t="n">
        <v>46033</v>
      </c>
      <c r="D1879" t="inlineStr">
        <is>
          <t>JÄMTLANDS LÄN</t>
        </is>
      </c>
      <c r="E1879" t="inlineStr">
        <is>
          <t>STRÖMSUND</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60775-2022</t>
        </is>
      </c>
      <c r="B1880" s="1" t="n">
        <v>44907</v>
      </c>
      <c r="C1880" s="1" t="n">
        <v>46033</v>
      </c>
      <c r="D1880" t="inlineStr">
        <is>
          <t>JÄMTLANDS LÄN</t>
        </is>
      </c>
      <c r="E1880" t="inlineStr">
        <is>
          <t>STRÖMSUND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57547-2025</t>
        </is>
      </c>
      <c r="B1881" s="1" t="n">
        <v>45980.6568287037</v>
      </c>
      <c r="C1881" s="1" t="n">
        <v>46033</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57549-2025</t>
        </is>
      </c>
      <c r="B1882" s="1" t="n">
        <v>45980.6571875</v>
      </c>
      <c r="C1882" s="1" t="n">
        <v>46033</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57336-2025</t>
        </is>
      </c>
      <c r="B1883" s="1" t="n">
        <v>45980.34543981482</v>
      </c>
      <c r="C1883" s="1" t="n">
        <v>46033</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57335-2025</t>
        </is>
      </c>
      <c r="B1884" s="1" t="n">
        <v>45980.34537037037</v>
      </c>
      <c r="C1884" s="1" t="n">
        <v>46033</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38661-2022</t>
        </is>
      </c>
      <c r="B1885" s="1" t="n">
        <v>44813</v>
      </c>
      <c r="C1885" s="1" t="n">
        <v>46033</v>
      </c>
      <c r="D1885" t="inlineStr">
        <is>
          <t>JÄMTLANDS LÄN</t>
        </is>
      </c>
      <c r="E1885" t="inlineStr">
        <is>
          <t>STRÖMSUND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21735-2024</t>
        </is>
      </c>
      <c r="B1886" s="1" t="n">
        <v>45442.54158564815</v>
      </c>
      <c r="C1886" s="1" t="n">
        <v>46033</v>
      </c>
      <c r="D1886" t="inlineStr">
        <is>
          <t>JÄMTLANDS LÄN</t>
        </is>
      </c>
      <c r="E1886" t="inlineStr">
        <is>
          <t>STRÖMSUND</t>
        </is>
      </c>
      <c r="G1886" t="n">
        <v>15.1</v>
      </c>
      <c r="H1886" t="n">
        <v>0</v>
      </c>
      <c r="I1886" t="n">
        <v>0</v>
      </c>
      <c r="J1886" t="n">
        <v>0</v>
      </c>
      <c r="K1886" t="n">
        <v>0</v>
      </c>
      <c r="L1886" t="n">
        <v>0</v>
      </c>
      <c r="M1886" t="n">
        <v>0</v>
      </c>
      <c r="N1886" t="n">
        <v>0</v>
      </c>
      <c r="O1886" t="n">
        <v>0</v>
      </c>
      <c r="P1886" t="n">
        <v>0</v>
      </c>
      <c r="Q1886" t="n">
        <v>0</v>
      </c>
      <c r="R1886" s="2" t="inlineStr"/>
    </row>
    <row r="1887" ht="15" customHeight="1">
      <c r="A1887" t="inlineStr">
        <is>
          <t>A 57337-2025</t>
        </is>
      </c>
      <c r="B1887" s="1" t="n">
        <v>45980.34549768519</v>
      </c>
      <c r="C1887" s="1" t="n">
        <v>46033</v>
      </c>
      <c r="D1887" t="inlineStr">
        <is>
          <t>JÄMTLANDS LÄN</t>
        </is>
      </c>
      <c r="E1887" t="inlineStr">
        <is>
          <t>STRÖMSUND</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57704-2025</t>
        </is>
      </c>
      <c r="B1888" s="1" t="n">
        <v>45981.46940972222</v>
      </c>
      <c r="C1888" s="1" t="n">
        <v>46033</v>
      </c>
      <c r="D1888" t="inlineStr">
        <is>
          <t>JÄMTLANDS LÄN</t>
        </is>
      </c>
      <c r="E1888" t="inlineStr">
        <is>
          <t>STRÖMSUND</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57721-2025</t>
        </is>
      </c>
      <c r="B1889" s="1" t="n">
        <v>45981.4884837963</v>
      </c>
      <c r="C1889" s="1" t="n">
        <v>46033</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27365-2023</t>
        </is>
      </c>
      <c r="B1890" s="1" t="n">
        <v>45096.93800925926</v>
      </c>
      <c r="C1890" s="1" t="n">
        <v>46033</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57658-2025</t>
        </is>
      </c>
      <c r="B1891" s="1" t="n">
        <v>45981</v>
      </c>
      <c r="C1891" s="1" t="n">
        <v>46033</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57713-2025</t>
        </is>
      </c>
      <c r="B1892" s="1" t="n">
        <v>45981.4775</v>
      </c>
      <c r="C1892" s="1" t="n">
        <v>46033</v>
      </c>
      <c r="D1892" t="inlineStr">
        <is>
          <t>JÄMTLANDS LÄN</t>
        </is>
      </c>
      <c r="E1892" t="inlineStr">
        <is>
          <t>STRÖMSUND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57837-2025</t>
        </is>
      </c>
      <c r="B1893" s="1" t="n">
        <v>45981.61864583333</v>
      </c>
      <c r="C1893" s="1" t="n">
        <v>46033</v>
      </c>
      <c r="D1893" t="inlineStr">
        <is>
          <t>JÄMTLANDS LÄN</t>
        </is>
      </c>
      <c r="E1893" t="inlineStr">
        <is>
          <t>STRÖMSUND</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57851-2025</t>
        </is>
      </c>
      <c r="B1894" s="1" t="n">
        <v>45981.63633101852</v>
      </c>
      <c r="C1894" s="1" t="n">
        <v>46033</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57963-2024</t>
        </is>
      </c>
      <c r="B1895" s="1" t="n">
        <v>45631.59405092592</v>
      </c>
      <c r="C1895" s="1" t="n">
        <v>46033</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64081-2025</t>
        </is>
      </c>
      <c r="B1896" s="1" t="n">
        <v>46012</v>
      </c>
      <c r="C1896" s="1" t="n">
        <v>46033</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57717-2025</t>
        </is>
      </c>
      <c r="B1897" s="1" t="n">
        <v>45981.48142361111</v>
      </c>
      <c r="C1897" s="1" t="n">
        <v>46033</v>
      </c>
      <c r="D1897" t="inlineStr">
        <is>
          <t>JÄMTLANDS LÄN</t>
        </is>
      </c>
      <c r="E1897" t="inlineStr">
        <is>
          <t>STRÖMSUND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57498-2025</t>
        </is>
      </c>
      <c r="B1898" s="1" t="n">
        <v>45980</v>
      </c>
      <c r="C1898" s="1" t="n">
        <v>46033</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57853-2025</t>
        </is>
      </c>
      <c r="B1899" s="1" t="n">
        <v>45981.63655092593</v>
      </c>
      <c r="C1899" s="1" t="n">
        <v>46033</v>
      </c>
      <c r="D1899" t="inlineStr">
        <is>
          <t>JÄMTLANDS LÄN</t>
        </is>
      </c>
      <c r="E1899" t="inlineStr">
        <is>
          <t>STRÖMSUND</t>
        </is>
      </c>
      <c r="F1899" t="inlineStr">
        <is>
          <t>SCA</t>
        </is>
      </c>
      <c r="G1899" t="n">
        <v>19.1</v>
      </c>
      <c r="H1899" t="n">
        <v>0</v>
      </c>
      <c r="I1899" t="n">
        <v>0</v>
      </c>
      <c r="J1899" t="n">
        <v>0</v>
      </c>
      <c r="K1899" t="n">
        <v>0</v>
      </c>
      <c r="L1899" t="n">
        <v>0</v>
      </c>
      <c r="M1899" t="n">
        <v>0</v>
      </c>
      <c r="N1899" t="n">
        <v>0</v>
      </c>
      <c r="O1899" t="n">
        <v>0</v>
      </c>
      <c r="P1899" t="n">
        <v>0</v>
      </c>
      <c r="Q1899" t="n">
        <v>0</v>
      </c>
      <c r="R1899" s="2" t="inlineStr"/>
    </row>
    <row r="1900" ht="15" customHeight="1">
      <c r="A1900" t="inlineStr">
        <is>
          <t>A 57714-2025</t>
        </is>
      </c>
      <c r="B1900" s="1" t="n">
        <v>45981.47986111111</v>
      </c>
      <c r="C1900" s="1" t="n">
        <v>46033</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57720-2025</t>
        </is>
      </c>
      <c r="B1901" s="1" t="n">
        <v>45981.48717592593</v>
      </c>
      <c r="C1901" s="1" t="n">
        <v>46033</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53142-2023</t>
        </is>
      </c>
      <c r="B1902" s="1" t="n">
        <v>45229</v>
      </c>
      <c r="C1902" s="1" t="n">
        <v>46033</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57824-2025</t>
        </is>
      </c>
      <c r="B1903" s="1" t="n">
        <v>45981.60782407408</v>
      </c>
      <c r="C1903" s="1" t="n">
        <v>46033</v>
      </c>
      <c r="D1903" t="inlineStr">
        <is>
          <t>JÄMTLANDS LÄN</t>
        </is>
      </c>
      <c r="E1903" t="inlineStr">
        <is>
          <t>STRÖMSUND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10429-2025</t>
        </is>
      </c>
      <c r="B1904" s="1" t="n">
        <v>45720.65675925926</v>
      </c>
      <c r="C1904" s="1" t="n">
        <v>46033</v>
      </c>
      <c r="D1904" t="inlineStr">
        <is>
          <t>JÄMTLANDS LÄN</t>
        </is>
      </c>
      <c r="E1904" t="inlineStr">
        <is>
          <t>STRÖMSUND</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57889-2025</t>
        </is>
      </c>
      <c r="B1905" s="1" t="n">
        <v>45981.67798611111</v>
      </c>
      <c r="C1905" s="1" t="n">
        <v>46033</v>
      </c>
      <c r="D1905" t="inlineStr">
        <is>
          <t>JÄMTLANDS LÄN</t>
        </is>
      </c>
      <c r="E1905" t="inlineStr">
        <is>
          <t>STRÖMSUND</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61419-2021</t>
        </is>
      </c>
      <c r="B1906" s="1" t="n">
        <v>44500.93606481481</v>
      </c>
      <c r="C1906" s="1" t="n">
        <v>46033</v>
      </c>
      <c r="D1906" t="inlineStr">
        <is>
          <t>JÄMTLANDS LÄN</t>
        </is>
      </c>
      <c r="E1906" t="inlineStr">
        <is>
          <t>STRÖMSUND</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237-2026</t>
        </is>
      </c>
      <c r="B1907" s="1" t="n">
        <v>46027.36506944444</v>
      </c>
      <c r="C1907" s="1" t="n">
        <v>46033</v>
      </c>
      <c r="D1907" t="inlineStr">
        <is>
          <t>JÄMTLANDS LÄN</t>
        </is>
      </c>
      <c r="E1907" t="inlineStr">
        <is>
          <t>STRÖMSUND</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60014-2023</t>
        </is>
      </c>
      <c r="B1908" s="1" t="n">
        <v>45257.97363425926</v>
      </c>
      <c r="C1908" s="1" t="n">
        <v>46033</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58092-2025</t>
        </is>
      </c>
      <c r="B1909" s="1" t="n">
        <v>45982.57399305556</v>
      </c>
      <c r="C1909" s="1" t="n">
        <v>46033</v>
      </c>
      <c r="D1909" t="inlineStr">
        <is>
          <t>JÄMTLANDS LÄN</t>
        </is>
      </c>
      <c r="E1909" t="inlineStr">
        <is>
          <t>STRÖMSUND</t>
        </is>
      </c>
      <c r="F1909" t="inlineStr">
        <is>
          <t>SCA</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58159-2025</t>
        </is>
      </c>
      <c r="B1910" s="1" t="n">
        <v>45982</v>
      </c>
      <c r="C1910" s="1" t="n">
        <v>46033</v>
      </c>
      <c r="D1910" t="inlineStr">
        <is>
          <t>JÄMTLANDS LÄN</t>
        </is>
      </c>
      <c r="E1910" t="inlineStr">
        <is>
          <t>STRÖMSUND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58179-2025</t>
        </is>
      </c>
      <c r="B1911" s="1" t="n">
        <v>45982</v>
      </c>
      <c r="C1911" s="1" t="n">
        <v>46033</v>
      </c>
      <c r="D1911" t="inlineStr">
        <is>
          <t>JÄMTLANDS LÄN</t>
        </is>
      </c>
      <c r="E1911" t="inlineStr">
        <is>
          <t>STRÖMSUND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5047-2025</t>
        </is>
      </c>
      <c r="B1912" s="1" t="n">
        <v>45691.44754629629</v>
      </c>
      <c r="C1912" s="1" t="n">
        <v>46033</v>
      </c>
      <c r="D1912" t="inlineStr">
        <is>
          <t>JÄMTLANDS LÄN</t>
        </is>
      </c>
      <c r="E1912" t="inlineStr">
        <is>
          <t>STRÖMSUND</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30586-2024</t>
        </is>
      </c>
      <c r="B1913" s="1" t="n">
        <v>45492</v>
      </c>
      <c r="C1913" s="1" t="n">
        <v>46033</v>
      </c>
      <c r="D1913" t="inlineStr">
        <is>
          <t>JÄMTLANDS LÄN</t>
        </is>
      </c>
      <c r="E1913" t="inlineStr">
        <is>
          <t>STRÖMSUND</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4034-2025</t>
        </is>
      </c>
      <c r="B1914" s="1" t="n">
        <v>45684.59953703704</v>
      </c>
      <c r="C1914" s="1" t="n">
        <v>46033</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58162-2025</t>
        </is>
      </c>
      <c r="B1915" s="1" t="n">
        <v>45982</v>
      </c>
      <c r="C1915" s="1" t="n">
        <v>46033</v>
      </c>
      <c r="D1915" t="inlineStr">
        <is>
          <t>JÄMTLANDS LÄN</t>
        </is>
      </c>
      <c r="E1915" t="inlineStr">
        <is>
          <t>STRÖMSUND</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16722-2025</t>
        </is>
      </c>
      <c r="B1916" s="1" t="n">
        <v>45754.49059027778</v>
      </c>
      <c r="C1916" s="1" t="n">
        <v>46033</v>
      </c>
      <c r="D1916" t="inlineStr">
        <is>
          <t>JÄMTLANDS LÄN</t>
        </is>
      </c>
      <c r="E1916" t="inlineStr">
        <is>
          <t>STRÖMSUND</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57981-2025</t>
        </is>
      </c>
      <c r="B1917" s="1" t="n">
        <v>45982.40675925926</v>
      </c>
      <c r="C1917" s="1" t="n">
        <v>46033</v>
      </c>
      <c r="D1917" t="inlineStr">
        <is>
          <t>JÄMTLANDS LÄN</t>
        </is>
      </c>
      <c r="E1917" t="inlineStr">
        <is>
          <t>STRÖMSUND</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58285-2025</t>
        </is>
      </c>
      <c r="B1918" s="1" t="n">
        <v>45985.44381944444</v>
      </c>
      <c r="C1918" s="1" t="n">
        <v>46033</v>
      </c>
      <c r="D1918" t="inlineStr">
        <is>
          <t>JÄMTLANDS LÄN</t>
        </is>
      </c>
      <c r="E1918" t="inlineStr">
        <is>
          <t>STRÖMSUND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69132-2021</t>
        </is>
      </c>
      <c r="B1919" s="1" t="n">
        <v>44530</v>
      </c>
      <c r="C1919" s="1" t="n">
        <v>46033</v>
      </c>
      <c r="D1919" t="inlineStr">
        <is>
          <t>JÄMTLANDS LÄN</t>
        </is>
      </c>
      <c r="E1919" t="inlineStr">
        <is>
          <t>STRÖMSUND</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62579-2025</t>
        </is>
      </c>
      <c r="B1920" s="1" t="n">
        <v>46007</v>
      </c>
      <c r="C1920" s="1" t="n">
        <v>46033</v>
      </c>
      <c r="D1920" t="inlineStr">
        <is>
          <t>JÄMTLANDS LÄN</t>
        </is>
      </c>
      <c r="E1920" t="inlineStr">
        <is>
          <t>STRÖMSUND</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32530-2023</t>
        </is>
      </c>
      <c r="B1921" s="1" t="n">
        <v>45111</v>
      </c>
      <c r="C1921" s="1" t="n">
        <v>46033</v>
      </c>
      <c r="D1921" t="inlineStr">
        <is>
          <t>JÄMTLANDS LÄN</t>
        </is>
      </c>
      <c r="E1921" t="inlineStr">
        <is>
          <t>STRÖMSUND</t>
        </is>
      </c>
      <c r="F1921" t="inlineStr">
        <is>
          <t>Kommuner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58459-2025</t>
        </is>
      </c>
      <c r="B1922" s="1" t="n">
        <v>45985.63585648148</v>
      </c>
      <c r="C1922" s="1" t="n">
        <v>46033</v>
      </c>
      <c r="D1922" t="inlineStr">
        <is>
          <t>JÄMTLANDS LÄN</t>
        </is>
      </c>
      <c r="E1922" t="inlineStr">
        <is>
          <t>STRÖMSUND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58336-2025</t>
        </is>
      </c>
      <c r="B1923" s="1" t="n">
        <v>45982</v>
      </c>
      <c r="C1923" s="1" t="n">
        <v>46033</v>
      </c>
      <c r="D1923" t="inlineStr">
        <is>
          <t>JÄMTLANDS LÄN</t>
        </is>
      </c>
      <c r="E1923" t="inlineStr">
        <is>
          <t>STRÖMSUND</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58345-2025</t>
        </is>
      </c>
      <c r="B1924" s="1" t="n">
        <v>45982</v>
      </c>
      <c r="C1924" s="1" t="n">
        <v>46033</v>
      </c>
      <c r="D1924" t="inlineStr">
        <is>
          <t>JÄMTLANDS LÄN</t>
        </is>
      </c>
      <c r="E1924" t="inlineStr">
        <is>
          <t>STRÖMSUND</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58160-2025</t>
        </is>
      </c>
      <c r="B1925" s="1" t="n">
        <v>45982</v>
      </c>
      <c r="C1925" s="1" t="n">
        <v>46033</v>
      </c>
      <c r="D1925" t="inlineStr">
        <is>
          <t>JÄMTLANDS LÄN</t>
        </is>
      </c>
      <c r="E1925" t="inlineStr">
        <is>
          <t>STRÖMSUND</t>
        </is>
      </c>
      <c r="G1925" t="n">
        <v>20.8</v>
      </c>
      <c r="H1925" t="n">
        <v>0</v>
      </c>
      <c r="I1925" t="n">
        <v>0</v>
      </c>
      <c r="J1925" t="n">
        <v>0</v>
      </c>
      <c r="K1925" t="n">
        <v>0</v>
      </c>
      <c r="L1925" t="n">
        <v>0</v>
      </c>
      <c r="M1925" t="n">
        <v>0</v>
      </c>
      <c r="N1925" t="n">
        <v>0</v>
      </c>
      <c r="O1925" t="n">
        <v>0</v>
      </c>
      <c r="P1925" t="n">
        <v>0</v>
      </c>
      <c r="Q1925" t="n">
        <v>0</v>
      </c>
      <c r="R1925" s="2" t="inlineStr"/>
    </row>
    <row r="1926" ht="15" customHeight="1">
      <c r="A1926" t="inlineStr">
        <is>
          <t>A 58306-2025</t>
        </is>
      </c>
      <c r="B1926" s="1" t="n">
        <v>45985.46265046296</v>
      </c>
      <c r="C1926" s="1" t="n">
        <v>46033</v>
      </c>
      <c r="D1926" t="inlineStr">
        <is>
          <t>JÄMTLANDS LÄN</t>
        </is>
      </c>
      <c r="E1926" t="inlineStr">
        <is>
          <t>STRÖMSUND</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23779-2023</t>
        </is>
      </c>
      <c r="B1927" s="1" t="n">
        <v>45077.94695601852</v>
      </c>
      <c r="C1927" s="1" t="n">
        <v>46033</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23783-2023</t>
        </is>
      </c>
      <c r="B1928" s="1" t="n">
        <v>45077.94710648148</v>
      </c>
      <c r="C1928" s="1" t="n">
        <v>46033</v>
      </c>
      <c r="D1928" t="inlineStr">
        <is>
          <t>JÄMTLANDS LÄN</t>
        </is>
      </c>
      <c r="E1928" t="inlineStr">
        <is>
          <t>STRÖMSUND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36913-2024</t>
        </is>
      </c>
      <c r="B1929" s="1" t="n">
        <v>45538.63615740741</v>
      </c>
      <c r="C1929" s="1" t="n">
        <v>46033</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58506-2025</t>
        </is>
      </c>
      <c r="B1930" s="1" t="n">
        <v>45985.69854166666</v>
      </c>
      <c r="C1930" s="1" t="n">
        <v>46033</v>
      </c>
      <c r="D1930" t="inlineStr">
        <is>
          <t>JÄMTLANDS LÄN</t>
        </is>
      </c>
      <c r="E1930" t="inlineStr">
        <is>
          <t>STRÖMSUND</t>
        </is>
      </c>
      <c r="F1930" t="inlineStr">
        <is>
          <t>SCA</t>
        </is>
      </c>
      <c r="G1930" t="n">
        <v>47.5</v>
      </c>
      <c r="H1930" t="n">
        <v>0</v>
      </c>
      <c r="I1930" t="n">
        <v>0</v>
      </c>
      <c r="J1930" t="n">
        <v>0</v>
      </c>
      <c r="K1930" t="n">
        <v>0</v>
      </c>
      <c r="L1930" t="n">
        <v>0</v>
      </c>
      <c r="M1930" t="n">
        <v>0</v>
      </c>
      <c r="N1930" t="n">
        <v>0</v>
      </c>
      <c r="O1930" t="n">
        <v>0</v>
      </c>
      <c r="P1930" t="n">
        <v>0</v>
      </c>
      <c r="Q1930" t="n">
        <v>0</v>
      </c>
      <c r="R1930" s="2" t="inlineStr"/>
    </row>
    <row r="1931" ht="15" customHeight="1">
      <c r="A1931" t="inlineStr">
        <is>
          <t>A 58161-2025</t>
        </is>
      </c>
      <c r="B1931" s="1" t="n">
        <v>45982</v>
      </c>
      <c r="C1931" s="1" t="n">
        <v>46033</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48134-2024</t>
        </is>
      </c>
      <c r="B1932" s="1" t="n">
        <v>45589</v>
      </c>
      <c r="C1932" s="1" t="n">
        <v>46033</v>
      </c>
      <c r="D1932" t="inlineStr">
        <is>
          <t>JÄMTLANDS LÄN</t>
        </is>
      </c>
      <c r="E1932" t="inlineStr">
        <is>
          <t>STRÖMSUND</t>
        </is>
      </c>
      <c r="G1932" t="n">
        <v>27.3</v>
      </c>
      <c r="H1932" t="n">
        <v>0</v>
      </c>
      <c r="I1932" t="n">
        <v>0</v>
      </c>
      <c r="J1932" t="n">
        <v>0</v>
      </c>
      <c r="K1932" t="n">
        <v>0</v>
      </c>
      <c r="L1932" t="n">
        <v>0</v>
      </c>
      <c r="M1932" t="n">
        <v>0</v>
      </c>
      <c r="N1932" t="n">
        <v>0</v>
      </c>
      <c r="O1932" t="n">
        <v>0</v>
      </c>
      <c r="P1932" t="n">
        <v>0</v>
      </c>
      <c r="Q1932" t="n">
        <v>0</v>
      </c>
      <c r="R1932" s="2" t="inlineStr"/>
    </row>
    <row r="1933" ht="15" customHeight="1">
      <c r="A1933" t="inlineStr">
        <is>
          <t>A 58173-2025</t>
        </is>
      </c>
      <c r="B1933" s="1" t="n">
        <v>45982</v>
      </c>
      <c r="C1933" s="1" t="n">
        <v>46033</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308-2026</t>
        </is>
      </c>
      <c r="B1934" s="1" t="n">
        <v>46027.55262731481</v>
      </c>
      <c r="C1934" s="1" t="n">
        <v>46033</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58387-2025</t>
        </is>
      </c>
      <c r="B1935" s="1" t="n">
        <v>45985.54607638889</v>
      </c>
      <c r="C1935" s="1" t="n">
        <v>46033</v>
      </c>
      <c r="D1935" t="inlineStr">
        <is>
          <t>JÄMTLANDS LÄN</t>
        </is>
      </c>
      <c r="E1935" t="inlineStr">
        <is>
          <t>STRÖMSUND</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58269-2025</t>
        </is>
      </c>
      <c r="B1936" s="1" t="n">
        <v>45985</v>
      </c>
      <c r="C1936" s="1" t="n">
        <v>46033</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565-2026</t>
        </is>
      </c>
      <c r="B1937" s="1" t="n">
        <v>46029.46939814815</v>
      </c>
      <c r="C1937" s="1" t="n">
        <v>46033</v>
      </c>
      <c r="D1937" t="inlineStr">
        <is>
          <t>JÄMTLANDS LÄN</t>
        </is>
      </c>
      <c r="E1937" t="inlineStr">
        <is>
          <t>STRÖMSUND</t>
        </is>
      </c>
      <c r="F1937" t="inlineStr">
        <is>
          <t>SCA</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5910-2025</t>
        </is>
      </c>
      <c r="B1938" s="1" t="n">
        <v>45695.40684027778</v>
      </c>
      <c r="C1938" s="1" t="n">
        <v>46033</v>
      </c>
      <c r="D1938" t="inlineStr">
        <is>
          <t>JÄMTLANDS LÄN</t>
        </is>
      </c>
      <c r="E1938" t="inlineStr">
        <is>
          <t>STRÖMSUND</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58974-2025</t>
        </is>
      </c>
      <c r="B1939" s="1" t="n">
        <v>45987.61545138889</v>
      </c>
      <c r="C1939" s="1" t="n">
        <v>46033</v>
      </c>
      <c r="D1939" t="inlineStr">
        <is>
          <t>JÄMTLANDS LÄN</t>
        </is>
      </c>
      <c r="E1939" t="inlineStr">
        <is>
          <t>STRÖMSUND</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493-2026</t>
        </is>
      </c>
      <c r="B1940" s="1" t="n">
        <v>46029.42780092593</v>
      </c>
      <c r="C1940" s="1" t="n">
        <v>46033</v>
      </c>
      <c r="D1940" t="inlineStr">
        <is>
          <t>JÄMTLANDS LÄN</t>
        </is>
      </c>
      <c r="E1940" t="inlineStr">
        <is>
          <t>STRÖMSUND</t>
        </is>
      </c>
      <c r="F1940" t="inlineStr">
        <is>
          <t>SCA</t>
        </is>
      </c>
      <c r="G1940" t="n">
        <v>20.8</v>
      </c>
      <c r="H1940" t="n">
        <v>0</v>
      </c>
      <c r="I1940" t="n">
        <v>0</v>
      </c>
      <c r="J1940" t="n">
        <v>0</v>
      </c>
      <c r="K1940" t="n">
        <v>0</v>
      </c>
      <c r="L1940" t="n">
        <v>0</v>
      </c>
      <c r="M1940" t="n">
        <v>0</v>
      </c>
      <c r="N1940" t="n">
        <v>0</v>
      </c>
      <c r="O1940" t="n">
        <v>0</v>
      </c>
      <c r="P1940" t="n">
        <v>0</v>
      </c>
      <c r="Q1940" t="n">
        <v>0</v>
      </c>
      <c r="R1940" s="2" t="inlineStr"/>
    </row>
    <row r="1941" ht="15" customHeight="1">
      <c r="A1941" t="inlineStr">
        <is>
          <t>A 59461-2022</t>
        </is>
      </c>
      <c r="B1941" s="1" t="n">
        <v>44907</v>
      </c>
      <c r="C1941" s="1" t="n">
        <v>46033</v>
      </c>
      <c r="D1941" t="inlineStr">
        <is>
          <t>JÄMTLANDS LÄN</t>
        </is>
      </c>
      <c r="E1941" t="inlineStr">
        <is>
          <t>STRÖMSUND</t>
        </is>
      </c>
      <c r="G1941" t="n">
        <v>10.7</v>
      </c>
      <c r="H1941" t="n">
        <v>0</v>
      </c>
      <c r="I1941" t="n">
        <v>0</v>
      </c>
      <c r="J1941" t="n">
        <v>0</v>
      </c>
      <c r="K1941" t="n">
        <v>0</v>
      </c>
      <c r="L1941" t="n">
        <v>0</v>
      </c>
      <c r="M1941" t="n">
        <v>0</v>
      </c>
      <c r="N1941" t="n">
        <v>0</v>
      </c>
      <c r="O1941" t="n">
        <v>0</v>
      </c>
      <c r="P1941" t="n">
        <v>0</v>
      </c>
      <c r="Q1941" t="n">
        <v>0</v>
      </c>
      <c r="R1941" s="2" t="inlineStr"/>
    </row>
    <row r="1942" ht="15" customHeight="1">
      <c r="A1942" t="inlineStr">
        <is>
          <t>A 55675-2024</t>
        </is>
      </c>
      <c r="B1942" s="1" t="n">
        <v>45622.65668981482</v>
      </c>
      <c r="C1942" s="1" t="n">
        <v>46033</v>
      </c>
      <c r="D1942" t="inlineStr">
        <is>
          <t>JÄMTLANDS LÄN</t>
        </is>
      </c>
      <c r="E1942" t="inlineStr">
        <is>
          <t>STRÖMSUND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58703-2025</t>
        </is>
      </c>
      <c r="B1943" s="1" t="n">
        <v>45986.59430555555</v>
      </c>
      <c r="C1943" s="1" t="n">
        <v>46033</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58719-2025</t>
        </is>
      </c>
      <c r="B1944" s="1" t="n">
        <v>45986.61526620371</v>
      </c>
      <c r="C1944" s="1" t="n">
        <v>46033</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58720-2025</t>
        </is>
      </c>
      <c r="B1945" s="1" t="n">
        <v>45986.61543981481</v>
      </c>
      <c r="C1945" s="1" t="n">
        <v>46033</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44907.96560185185</v>
      </c>
      <c r="C1946" s="1" t="n">
        <v>46033</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8758-2025</t>
        </is>
      </c>
      <c r="B1947" s="1" t="n">
        <v>45712.57364583333</v>
      </c>
      <c r="C1947" s="1" t="n">
        <v>46033</v>
      </c>
      <c r="D1947" t="inlineStr">
        <is>
          <t>JÄMTLANDS LÄN</t>
        </is>
      </c>
      <c r="E1947" t="inlineStr">
        <is>
          <t>STRÖMSUND</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34344-2024</t>
        </is>
      </c>
      <c r="B1948" s="1" t="n">
        <v>45525</v>
      </c>
      <c r="C1948" s="1" t="n">
        <v>46033</v>
      </c>
      <c r="D1948" t="inlineStr">
        <is>
          <t>JÄMTLANDS LÄN</t>
        </is>
      </c>
      <c r="E1948" t="inlineStr">
        <is>
          <t>STRÖMSUND</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58955-2025</t>
        </is>
      </c>
      <c r="B1949" s="1" t="n">
        <v>45987.59428240741</v>
      </c>
      <c r="C1949" s="1" t="n">
        <v>46033</v>
      </c>
      <c r="D1949" t="inlineStr">
        <is>
          <t>JÄMTLANDS LÄN</t>
        </is>
      </c>
      <c r="E1949" t="inlineStr">
        <is>
          <t>STRÖMSUND</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629-2026</t>
        </is>
      </c>
      <c r="B1950" s="1" t="n">
        <v>46029.5528125</v>
      </c>
      <c r="C1950" s="1" t="n">
        <v>46033</v>
      </c>
      <c r="D1950" t="inlineStr">
        <is>
          <t>JÄMTLANDS LÄN</t>
        </is>
      </c>
      <c r="E1950" t="inlineStr">
        <is>
          <t>STRÖMSUND</t>
        </is>
      </c>
      <c r="F1950" t="inlineStr">
        <is>
          <t>SCA</t>
        </is>
      </c>
      <c r="G1950" t="n">
        <v>22.9</v>
      </c>
      <c r="H1950" t="n">
        <v>0</v>
      </c>
      <c r="I1950" t="n">
        <v>0</v>
      </c>
      <c r="J1950" t="n">
        <v>0</v>
      </c>
      <c r="K1950" t="n">
        <v>0</v>
      </c>
      <c r="L1950" t="n">
        <v>0</v>
      </c>
      <c r="M1950" t="n">
        <v>0</v>
      </c>
      <c r="N1950" t="n">
        <v>0</v>
      </c>
      <c r="O1950" t="n">
        <v>0</v>
      </c>
      <c r="P1950" t="n">
        <v>0</v>
      </c>
      <c r="Q1950" t="n">
        <v>0</v>
      </c>
      <c r="R1950" s="2" t="inlineStr"/>
    </row>
    <row r="1951" ht="15" customHeight="1">
      <c r="A1951" t="inlineStr">
        <is>
          <t>A 58959-2025</t>
        </is>
      </c>
      <c r="B1951" s="1" t="n">
        <v>45987.59555555556</v>
      </c>
      <c r="C1951" s="1" t="n">
        <v>46033</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52392-2023</t>
        </is>
      </c>
      <c r="B1952" s="1" t="n">
        <v>45224</v>
      </c>
      <c r="C1952" s="1" t="n">
        <v>46033</v>
      </c>
      <c r="D1952" t="inlineStr">
        <is>
          <t>JÄMTLANDS LÄN</t>
        </is>
      </c>
      <c r="E1952" t="inlineStr">
        <is>
          <t>STRÖMSUND</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18912-2024</t>
        </is>
      </c>
      <c r="B1953" s="1" t="n">
        <v>45426</v>
      </c>
      <c r="C1953" s="1" t="n">
        <v>46033</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58958-2025</t>
        </is>
      </c>
      <c r="B1954" s="1" t="n">
        <v>45987.59548611111</v>
      </c>
      <c r="C1954" s="1" t="n">
        <v>46033</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631-2026</t>
        </is>
      </c>
      <c r="B1955" s="1" t="n">
        <v>46029.55525462963</v>
      </c>
      <c r="C1955" s="1" t="n">
        <v>46033</v>
      </c>
      <c r="D1955" t="inlineStr">
        <is>
          <t>JÄMTLANDS LÄN</t>
        </is>
      </c>
      <c r="E1955" t="inlineStr">
        <is>
          <t>STRÖMSUND</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701-2026</t>
        </is>
      </c>
      <c r="B1956" s="1" t="n">
        <v>46029.61577546296</v>
      </c>
      <c r="C1956" s="1" t="n">
        <v>46033</v>
      </c>
      <c r="D1956" t="inlineStr">
        <is>
          <t>JÄMTLANDS LÄN</t>
        </is>
      </c>
      <c r="E1956" t="inlineStr">
        <is>
          <t>STRÖMSUND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58932-2025</t>
        </is>
      </c>
      <c r="B1957" s="1" t="n">
        <v>45986</v>
      </c>
      <c r="C1957" s="1" t="n">
        <v>46033</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528-2026</t>
        </is>
      </c>
      <c r="B1958" s="1" t="n">
        <v>46029.44922453703</v>
      </c>
      <c r="C1958" s="1" t="n">
        <v>46033</v>
      </c>
      <c r="D1958" t="inlineStr">
        <is>
          <t>JÄMTLANDS LÄN</t>
        </is>
      </c>
      <c r="E1958" t="inlineStr">
        <is>
          <t>STRÖMSUND</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566-2026</t>
        </is>
      </c>
      <c r="B1959" s="1" t="n">
        <v>46029.46950231482</v>
      </c>
      <c r="C1959" s="1" t="n">
        <v>46033</v>
      </c>
      <c r="D1959" t="inlineStr">
        <is>
          <t>JÄMTLANDS LÄN</t>
        </is>
      </c>
      <c r="E1959" t="inlineStr">
        <is>
          <t>STRÖMSUND</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5377-2025</t>
        </is>
      </c>
      <c r="B1960" s="1" t="n">
        <v>45692</v>
      </c>
      <c r="C1960" s="1" t="n">
        <v>46033</v>
      </c>
      <c r="D1960" t="inlineStr">
        <is>
          <t>JÄMTLANDS LÄN</t>
        </is>
      </c>
      <c r="E1960" t="inlineStr">
        <is>
          <t>STRÖMSUND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41942-2024</t>
        </is>
      </c>
      <c r="B1961" s="1" t="n">
        <v>45561.57388888889</v>
      </c>
      <c r="C1961" s="1" t="n">
        <v>46033</v>
      </c>
      <c r="D1961" t="inlineStr">
        <is>
          <t>JÄMTLANDS LÄN</t>
        </is>
      </c>
      <c r="E1961" t="inlineStr">
        <is>
          <t>STRÖMSUND</t>
        </is>
      </c>
      <c r="F1961" t="inlineStr">
        <is>
          <t>SCA</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41277-2025</t>
        </is>
      </c>
      <c r="B1962" s="1" t="n">
        <v>45898</v>
      </c>
      <c r="C1962" s="1" t="n">
        <v>46033</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58696-2025</t>
        </is>
      </c>
      <c r="B1963" s="1" t="n">
        <v>45986</v>
      </c>
      <c r="C1963" s="1" t="n">
        <v>46033</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696-2026</t>
        </is>
      </c>
      <c r="B1964" s="1" t="n">
        <v>46029.61527777778</v>
      </c>
      <c r="C1964" s="1" t="n">
        <v>46033</v>
      </c>
      <c r="D1964" t="inlineStr">
        <is>
          <t>JÄMTLANDS LÄN</t>
        </is>
      </c>
      <c r="E1964" t="inlineStr">
        <is>
          <t>STRÖMSUND</t>
        </is>
      </c>
      <c r="F1964" t="inlineStr">
        <is>
          <t>SCA</t>
        </is>
      </c>
      <c r="G1964" t="n">
        <v>24.1</v>
      </c>
      <c r="H1964" t="n">
        <v>0</v>
      </c>
      <c r="I1964" t="n">
        <v>0</v>
      </c>
      <c r="J1964" t="n">
        <v>0</v>
      </c>
      <c r="K1964" t="n">
        <v>0</v>
      </c>
      <c r="L1964" t="n">
        <v>0</v>
      </c>
      <c r="M1964" t="n">
        <v>0</v>
      </c>
      <c r="N1964" t="n">
        <v>0</v>
      </c>
      <c r="O1964" t="n">
        <v>0</v>
      </c>
      <c r="P1964" t="n">
        <v>0</v>
      </c>
      <c r="Q1964" t="n">
        <v>0</v>
      </c>
      <c r="R1964" s="2" t="inlineStr"/>
    </row>
    <row r="1965" ht="15" customHeight="1">
      <c r="A1965" t="inlineStr">
        <is>
          <t>A 700-2026</t>
        </is>
      </c>
      <c r="B1965" s="1" t="n">
        <v>46029.61557870371</v>
      </c>
      <c r="C1965" s="1" t="n">
        <v>46033</v>
      </c>
      <c r="D1965" t="inlineStr">
        <is>
          <t>JÄMTLANDS LÄN</t>
        </is>
      </c>
      <c r="E1965" t="inlineStr">
        <is>
          <t>STRÖMSUND</t>
        </is>
      </c>
      <c r="F1965" t="inlineStr">
        <is>
          <t>SCA</t>
        </is>
      </c>
      <c r="G1965" t="n">
        <v>32.7</v>
      </c>
      <c r="H1965" t="n">
        <v>0</v>
      </c>
      <c r="I1965" t="n">
        <v>0</v>
      </c>
      <c r="J1965" t="n">
        <v>0</v>
      </c>
      <c r="K1965" t="n">
        <v>0</v>
      </c>
      <c r="L1965" t="n">
        <v>0</v>
      </c>
      <c r="M1965" t="n">
        <v>0</v>
      </c>
      <c r="N1965" t="n">
        <v>0</v>
      </c>
      <c r="O1965" t="n">
        <v>0</v>
      </c>
      <c r="P1965" t="n">
        <v>0</v>
      </c>
      <c r="Q1965" t="n">
        <v>0</v>
      </c>
      <c r="R1965" s="2" t="inlineStr"/>
    </row>
    <row r="1966" ht="15" customHeight="1">
      <c r="A1966" t="inlineStr">
        <is>
          <t>A 58962-2025</t>
        </is>
      </c>
      <c r="B1966" s="1" t="n">
        <v>45987.5959375</v>
      </c>
      <c r="C1966" s="1" t="n">
        <v>46033</v>
      </c>
      <c r="D1966" t="inlineStr">
        <is>
          <t>JÄMTLANDS LÄN</t>
        </is>
      </c>
      <c r="E1966" t="inlineStr">
        <is>
          <t>STRÖMSUND</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39689-2022</t>
        </is>
      </c>
      <c r="B1967" s="1" t="n">
        <v>44818</v>
      </c>
      <c r="C1967" s="1" t="n">
        <v>46033</v>
      </c>
      <c r="D1967" t="inlineStr">
        <is>
          <t>JÄMTLANDS LÄN</t>
        </is>
      </c>
      <c r="E1967" t="inlineStr">
        <is>
          <t>STRÖMSUND</t>
        </is>
      </c>
      <c r="F1967" t="inlineStr">
        <is>
          <t>SCA</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523-2026</t>
        </is>
      </c>
      <c r="B1968" s="1" t="n">
        <v>46029.44899305556</v>
      </c>
      <c r="C1968" s="1" t="n">
        <v>46033</v>
      </c>
      <c r="D1968" t="inlineStr">
        <is>
          <t>JÄMTLANDS LÄN</t>
        </is>
      </c>
      <c r="E1968" t="inlineStr">
        <is>
          <t>STRÖMSUND</t>
        </is>
      </c>
      <c r="G1968" t="n">
        <v>23.5</v>
      </c>
      <c r="H1968" t="n">
        <v>0</v>
      </c>
      <c r="I1968" t="n">
        <v>0</v>
      </c>
      <c r="J1968" t="n">
        <v>0</v>
      </c>
      <c r="K1968" t="n">
        <v>0</v>
      </c>
      <c r="L1968" t="n">
        <v>0</v>
      </c>
      <c r="M1968" t="n">
        <v>0</v>
      </c>
      <c r="N1968" t="n">
        <v>0</v>
      </c>
      <c r="O1968" t="n">
        <v>0</v>
      </c>
      <c r="P1968" t="n">
        <v>0</v>
      </c>
      <c r="Q1968" t="n">
        <v>0</v>
      </c>
      <c r="R1968" s="2" t="inlineStr"/>
    </row>
    <row r="1969" ht="15" customHeight="1">
      <c r="A1969" t="inlineStr">
        <is>
          <t>A 9301-2023</t>
        </is>
      </c>
      <c r="B1969" s="1" t="n">
        <v>44977</v>
      </c>
      <c r="C1969" s="1" t="n">
        <v>46033</v>
      </c>
      <c r="D1969" t="inlineStr">
        <is>
          <t>JÄMTLANDS LÄN</t>
        </is>
      </c>
      <c r="E1969" t="inlineStr">
        <is>
          <t>STRÖMSUND</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2534-2025</t>
        </is>
      </c>
      <c r="B1970" s="1" t="n">
        <v>45674.61513888889</v>
      </c>
      <c r="C1970" s="1" t="n">
        <v>46033</v>
      </c>
      <c r="D1970" t="inlineStr">
        <is>
          <t>JÄMTLANDS LÄN</t>
        </is>
      </c>
      <c r="E1970" t="inlineStr">
        <is>
          <t>STRÖMSUND</t>
        </is>
      </c>
      <c r="F1970" t="inlineStr">
        <is>
          <t>SCA</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58821-2025</t>
        </is>
      </c>
      <c r="B1971" s="1" t="n">
        <v>45987.34473379629</v>
      </c>
      <c r="C1971" s="1" t="n">
        <v>46033</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34343-2024</t>
        </is>
      </c>
      <c r="B1972" s="1" t="n">
        <v>45525</v>
      </c>
      <c r="C1972" s="1" t="n">
        <v>46033</v>
      </c>
      <c r="D1972" t="inlineStr">
        <is>
          <t>JÄMTLANDS LÄN</t>
        </is>
      </c>
      <c r="E1972" t="inlineStr">
        <is>
          <t>STRÖMSUND</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58857-2025</t>
        </is>
      </c>
      <c r="B1973" s="1" t="n">
        <v>45987.41665509259</v>
      </c>
      <c r="C1973" s="1" t="n">
        <v>46033</v>
      </c>
      <c r="D1973" t="inlineStr">
        <is>
          <t>JÄMTLANDS LÄN</t>
        </is>
      </c>
      <c r="E1973" t="inlineStr">
        <is>
          <t>STRÖMSUND</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1351-2026</t>
        </is>
      </c>
      <c r="B1974" s="1" t="n">
        <v>46031.59424768519</v>
      </c>
      <c r="C1974" s="1" t="n">
        <v>46033</v>
      </c>
      <c r="D1974" t="inlineStr">
        <is>
          <t>JÄMTLANDS LÄN</t>
        </is>
      </c>
      <c r="E1974" t="inlineStr">
        <is>
          <t>STRÖMSUND</t>
        </is>
      </c>
      <c r="F1974" t="inlineStr">
        <is>
          <t>SCA</t>
        </is>
      </c>
      <c r="G1974" t="n">
        <v>33.4</v>
      </c>
      <c r="H1974" t="n">
        <v>0</v>
      </c>
      <c r="I1974" t="n">
        <v>0</v>
      </c>
      <c r="J1974" t="n">
        <v>0</v>
      </c>
      <c r="K1974" t="n">
        <v>0</v>
      </c>
      <c r="L1974" t="n">
        <v>0</v>
      </c>
      <c r="M1974" t="n">
        <v>0</v>
      </c>
      <c r="N1974" t="n">
        <v>0</v>
      </c>
      <c r="O1974" t="n">
        <v>0</v>
      </c>
      <c r="P1974" t="n">
        <v>0</v>
      </c>
      <c r="Q1974" t="n">
        <v>0</v>
      </c>
      <c r="R1974" s="2" t="inlineStr"/>
    </row>
    <row r="1975" ht="15" customHeight="1">
      <c r="A1975" t="inlineStr">
        <is>
          <t>A 49396-2024</t>
        </is>
      </c>
      <c r="B1975" s="1" t="n">
        <v>45595.67100694445</v>
      </c>
      <c r="C1975" s="1" t="n">
        <v>46033</v>
      </c>
      <c r="D1975" t="inlineStr">
        <is>
          <t>JÄMTLANDS LÄN</t>
        </is>
      </c>
      <c r="E1975" t="inlineStr">
        <is>
          <t>STRÖMSUND</t>
        </is>
      </c>
      <c r="F1975" t="inlineStr">
        <is>
          <t>SCA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59274-2025</t>
        </is>
      </c>
      <c r="B1976" s="1" t="n">
        <v>45988.69846064815</v>
      </c>
      <c r="C1976" s="1" t="n">
        <v>46033</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59358-2025</t>
        </is>
      </c>
      <c r="B1977" s="1" t="n">
        <v>45989.42762731481</v>
      </c>
      <c r="C1977" s="1" t="n">
        <v>46033</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59219-2025</t>
        </is>
      </c>
      <c r="B1978" s="1" t="n">
        <v>45988.61748842592</v>
      </c>
      <c r="C1978" s="1" t="n">
        <v>46033</v>
      </c>
      <c r="D1978" t="inlineStr">
        <is>
          <t>JÄMTLANDS LÄN</t>
        </is>
      </c>
      <c r="E1978" t="inlineStr">
        <is>
          <t>STRÖMSUND</t>
        </is>
      </c>
      <c r="F1978" t="inlineStr">
        <is>
          <t>SCA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59139-2025</t>
        </is>
      </c>
      <c r="B1979" s="1" t="n">
        <v>45988.50719907408</v>
      </c>
      <c r="C1979" s="1" t="n">
        <v>46033</v>
      </c>
      <c r="D1979" t="inlineStr">
        <is>
          <t>JÄMTLANDS LÄN</t>
        </is>
      </c>
      <c r="E1979" t="inlineStr">
        <is>
          <t>STRÖMSUND</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60310-2024</t>
        </is>
      </c>
      <c r="B1980" s="1" t="n">
        <v>45643.34416666667</v>
      </c>
      <c r="C1980" s="1" t="n">
        <v>46033</v>
      </c>
      <c r="D1980" t="inlineStr">
        <is>
          <t>JÄMTLANDS LÄN</t>
        </is>
      </c>
      <c r="E1980" t="inlineStr">
        <is>
          <t>STRÖMSUND</t>
        </is>
      </c>
      <c r="F1980" t="inlineStr">
        <is>
          <t>SCA</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13298-2025</t>
        </is>
      </c>
      <c r="B1981" s="1" t="n">
        <v>45735.57391203703</v>
      </c>
      <c r="C1981" s="1" t="n">
        <v>46033</v>
      </c>
      <c r="D1981" t="inlineStr">
        <is>
          <t>JÄMTLANDS LÄN</t>
        </is>
      </c>
      <c r="E1981" t="inlineStr">
        <is>
          <t>STRÖMSUND</t>
        </is>
      </c>
      <c r="F1981" t="inlineStr">
        <is>
          <t>SCA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59085-2025</t>
        </is>
      </c>
      <c r="B1982" s="1" t="n">
        <v>45988.44043981482</v>
      </c>
      <c r="C1982" s="1" t="n">
        <v>46033</v>
      </c>
      <c r="D1982" t="inlineStr">
        <is>
          <t>JÄMTLANDS LÄN</t>
        </is>
      </c>
      <c r="E1982" t="inlineStr">
        <is>
          <t>STRÖMSUND</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900-2026</t>
        </is>
      </c>
      <c r="B1983" s="1" t="n">
        <v>46030.46925925926</v>
      </c>
      <c r="C1983" s="1" t="n">
        <v>46033</v>
      </c>
      <c r="D1983" t="inlineStr">
        <is>
          <t>JÄMTLANDS LÄN</t>
        </is>
      </c>
      <c r="E1983" t="inlineStr">
        <is>
          <t>STRÖMSUND</t>
        </is>
      </c>
      <c r="F1983" t="inlineStr">
        <is>
          <t>SCA</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1084-2026</t>
        </is>
      </c>
      <c r="B1984" s="1" t="n">
        <v>46030.65706018519</v>
      </c>
      <c r="C1984" s="1" t="n">
        <v>46033</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56678-2024</t>
        </is>
      </c>
      <c r="B1985" s="1" t="n">
        <v>45627.48559027778</v>
      </c>
      <c r="C1985" s="1" t="n">
        <v>46033</v>
      </c>
      <c r="D1985" t="inlineStr">
        <is>
          <t>JÄMTLANDS LÄN</t>
        </is>
      </c>
      <c r="E1985" t="inlineStr">
        <is>
          <t>STRÖMSUND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30024-2022</t>
        </is>
      </c>
      <c r="B1986" s="1" t="n">
        <v>44756.9447337963</v>
      </c>
      <c r="C1986" s="1" t="n">
        <v>46033</v>
      </c>
      <c r="D1986" t="inlineStr">
        <is>
          <t>JÄMTLANDS LÄN</t>
        </is>
      </c>
      <c r="E1986" t="inlineStr">
        <is>
          <t>STRÖMSUND</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35585-2024</t>
        </is>
      </c>
      <c r="B1987" s="1" t="n">
        <v>45531.64827546296</v>
      </c>
      <c r="C1987" s="1" t="n">
        <v>46033</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37084-2022</t>
        </is>
      </c>
      <c r="B1988" s="1" t="n">
        <v>44806</v>
      </c>
      <c r="C1988" s="1" t="n">
        <v>46033</v>
      </c>
      <c r="D1988" t="inlineStr">
        <is>
          <t>JÄMTLANDS LÄN</t>
        </is>
      </c>
      <c r="E1988" t="inlineStr">
        <is>
          <t>STRÖMSUND</t>
        </is>
      </c>
      <c r="F1988" t="inlineStr">
        <is>
          <t>Kommuner</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37090-2022</t>
        </is>
      </c>
      <c r="B1989" s="1" t="n">
        <v>44806</v>
      </c>
      <c r="C1989" s="1" t="n">
        <v>46033</v>
      </c>
      <c r="D1989" t="inlineStr">
        <is>
          <t>JÄMTLANDS LÄN</t>
        </is>
      </c>
      <c r="E1989" t="inlineStr">
        <is>
          <t>STRÖMSUND</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58947-2024</t>
        </is>
      </c>
      <c r="B1990" s="1" t="n">
        <v>45636.55244212963</v>
      </c>
      <c r="C1990" s="1" t="n">
        <v>46033</v>
      </c>
      <c r="D1990" t="inlineStr">
        <is>
          <t>JÄMTLANDS LÄN</t>
        </is>
      </c>
      <c r="E1990" t="inlineStr">
        <is>
          <t>STRÖMSUND</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6-2024</t>
        </is>
      </c>
      <c r="B1991" s="1" t="n">
        <v>45293.33496527778</v>
      </c>
      <c r="C1991" s="1" t="n">
        <v>46033</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1228-2026</t>
        </is>
      </c>
      <c r="B1992" s="1" t="n">
        <v>46031.40701388889</v>
      </c>
      <c r="C1992" s="1" t="n">
        <v>46033</v>
      </c>
      <c r="D1992" t="inlineStr">
        <is>
          <t>JÄMTLANDS LÄN</t>
        </is>
      </c>
      <c r="E1992" t="inlineStr">
        <is>
          <t>STRÖMSUND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59213-2025</t>
        </is>
      </c>
      <c r="B1993" s="1" t="n">
        <v>45988.61596064815</v>
      </c>
      <c r="C1993" s="1" t="n">
        <v>46033</v>
      </c>
      <c r="D1993" t="inlineStr">
        <is>
          <t>JÄMTLANDS LÄN</t>
        </is>
      </c>
      <c r="E1993" t="inlineStr">
        <is>
          <t>STRÖMSUND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59217-2025</t>
        </is>
      </c>
      <c r="B1994" s="1" t="n">
        <v>45988.61693287037</v>
      </c>
      <c r="C1994" s="1" t="n">
        <v>46033</v>
      </c>
      <c r="D1994" t="inlineStr">
        <is>
          <t>JÄMTLANDS LÄN</t>
        </is>
      </c>
      <c r="E1994" t="inlineStr">
        <is>
          <t>STRÖMSUND</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941-2026</t>
        </is>
      </c>
      <c r="B1995" s="1" t="n">
        <v>46030.53171296296</v>
      </c>
      <c r="C1995" s="1" t="n">
        <v>46033</v>
      </c>
      <c r="D1995" t="inlineStr">
        <is>
          <t>JÄMTLANDS LÄN</t>
        </is>
      </c>
      <c r="E1995" t="inlineStr">
        <is>
          <t>STRÖMSUND</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942-2026</t>
        </is>
      </c>
      <c r="B1996" s="1" t="n">
        <v>46030.53194444445</v>
      </c>
      <c r="C1996" s="1" t="n">
        <v>46033</v>
      </c>
      <c r="D1996" t="inlineStr">
        <is>
          <t>JÄMTLANDS LÄN</t>
        </is>
      </c>
      <c r="E1996" t="inlineStr">
        <is>
          <t>STRÖMSUND</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33590-2023</t>
        </is>
      </c>
      <c r="B1997" s="1" t="n">
        <v>45131.94982638889</v>
      </c>
      <c r="C1997" s="1" t="n">
        <v>46033</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59258-2025</t>
        </is>
      </c>
      <c r="B1998" s="1" t="n">
        <v>45988.65729166667</v>
      </c>
      <c r="C1998" s="1" t="n">
        <v>46033</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16490-2024</t>
        </is>
      </c>
      <c r="B1999" s="1" t="n">
        <v>45408.3474074074</v>
      </c>
      <c r="C1999" s="1" t="n">
        <v>46033</v>
      </c>
      <c r="D1999" t="inlineStr">
        <is>
          <t>JÄMTLANDS LÄN</t>
        </is>
      </c>
      <c r="E1999" t="inlineStr">
        <is>
          <t>STRÖMSUND</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1229-2026</t>
        </is>
      </c>
      <c r="B2000" s="1" t="n">
        <v>46031.40704861111</v>
      </c>
      <c r="C2000" s="1" t="n">
        <v>46033</v>
      </c>
      <c r="D2000" t="inlineStr">
        <is>
          <t>JÄMTLANDS LÄN</t>
        </is>
      </c>
      <c r="E2000" t="inlineStr">
        <is>
          <t>STRÖMSUND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58989-2025</t>
        </is>
      </c>
      <c r="B2001" s="1" t="n">
        <v>45987</v>
      </c>
      <c r="C2001" s="1" t="n">
        <v>46033</v>
      </c>
      <c r="D2001" t="inlineStr">
        <is>
          <t>JÄMTLANDS LÄN</t>
        </is>
      </c>
      <c r="E2001" t="inlineStr">
        <is>
          <t>STRÖMSUND</t>
        </is>
      </c>
      <c r="F2001" t="inlineStr">
        <is>
          <t>SCA</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1000-2026</t>
        </is>
      </c>
      <c r="B2002" s="1" t="n">
        <v>46030.59482638889</v>
      </c>
      <c r="C2002" s="1" t="n">
        <v>46033</v>
      </c>
      <c r="D2002" t="inlineStr">
        <is>
          <t>JÄMTLANDS LÄN</t>
        </is>
      </c>
      <c r="E2002" t="inlineStr">
        <is>
          <t>STRÖMSUND</t>
        </is>
      </c>
      <c r="F2002" t="inlineStr">
        <is>
          <t>SCA</t>
        </is>
      </c>
      <c r="G2002" t="n">
        <v>32.2</v>
      </c>
      <c r="H2002" t="n">
        <v>0</v>
      </c>
      <c r="I2002" t="n">
        <v>0</v>
      </c>
      <c r="J2002" t="n">
        <v>0</v>
      </c>
      <c r="K2002" t="n">
        <v>0</v>
      </c>
      <c r="L2002" t="n">
        <v>0</v>
      </c>
      <c r="M2002" t="n">
        <v>0</v>
      </c>
      <c r="N2002" t="n">
        <v>0</v>
      </c>
      <c r="O2002" t="n">
        <v>0</v>
      </c>
      <c r="P2002" t="n">
        <v>0</v>
      </c>
      <c r="Q2002" t="n">
        <v>0</v>
      </c>
      <c r="R2002" s="2" t="inlineStr"/>
    </row>
    <row r="2003" ht="15" customHeight="1">
      <c r="A2003" t="inlineStr">
        <is>
          <t>A 24800-2024</t>
        </is>
      </c>
      <c r="B2003" s="1" t="n">
        <v>45460.95293981482</v>
      </c>
      <c r="C2003" s="1" t="n">
        <v>46033</v>
      </c>
      <c r="D2003" t="inlineStr">
        <is>
          <t>JÄMTLANDS LÄN</t>
        </is>
      </c>
      <c r="E2003" t="inlineStr">
        <is>
          <t>STRÖMSUND</t>
        </is>
      </c>
      <c r="F2003" t="inlineStr">
        <is>
          <t>SCA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35850-2022</t>
        </is>
      </c>
      <c r="B2004" s="1" t="n">
        <v>44802.41818287037</v>
      </c>
      <c r="C2004" s="1" t="n">
        <v>46033</v>
      </c>
      <c r="D2004" t="inlineStr">
        <is>
          <t>JÄMTLANDS LÄN</t>
        </is>
      </c>
      <c r="E2004" t="inlineStr">
        <is>
          <t>STRÖMSUND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12641-2025</t>
        </is>
      </c>
      <c r="B2005" s="1" t="n">
        <v>45733.38623842593</v>
      </c>
      <c r="C2005" s="1" t="n">
        <v>46033</v>
      </c>
      <c r="D2005" t="inlineStr">
        <is>
          <t>JÄMTLANDS LÄN</t>
        </is>
      </c>
      <c r="E2005" t="inlineStr">
        <is>
          <t>STRÖMSUND</t>
        </is>
      </c>
      <c r="F2005" t="inlineStr">
        <is>
          <t>SCA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846-2026</t>
        </is>
      </c>
      <c r="B2006" s="1" t="n">
        <v>46030.38630787037</v>
      </c>
      <c r="C2006" s="1" t="n">
        <v>46033</v>
      </c>
      <c r="D2006" t="inlineStr">
        <is>
          <t>JÄMTLANDS LÄN</t>
        </is>
      </c>
      <c r="E2006" t="inlineStr">
        <is>
          <t>STRÖMSUND</t>
        </is>
      </c>
      <c r="F2006" t="inlineStr">
        <is>
          <t>SCA</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43425-2024</t>
        </is>
      </c>
      <c r="B2007" s="1" t="n">
        <v>45568.63625</v>
      </c>
      <c r="C2007" s="1" t="n">
        <v>46033</v>
      </c>
      <c r="D2007" t="inlineStr">
        <is>
          <t>JÄMTLANDS LÄN</t>
        </is>
      </c>
      <c r="E2007" t="inlineStr">
        <is>
          <t>STRÖMSUND</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59058-2025</t>
        </is>
      </c>
      <c r="B2008" s="1" t="n">
        <v>45988.40060185185</v>
      </c>
      <c r="C2008" s="1" t="n">
        <v>46033</v>
      </c>
      <c r="D2008" t="inlineStr">
        <is>
          <t>JÄMTLANDS LÄN</t>
        </is>
      </c>
      <c r="E2008" t="inlineStr">
        <is>
          <t>STRÖMSUND</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49547-2024</t>
        </is>
      </c>
      <c r="B2009" s="1" t="n">
        <v>45596.44854166666</v>
      </c>
      <c r="C2009" s="1" t="n">
        <v>46033</v>
      </c>
      <c r="D2009" t="inlineStr">
        <is>
          <t>JÄMTLANDS LÄN</t>
        </is>
      </c>
      <c r="E2009" t="inlineStr">
        <is>
          <t>STRÖMSUND</t>
        </is>
      </c>
      <c r="F2009" t="inlineStr">
        <is>
          <t>SCA</t>
        </is>
      </c>
      <c r="G2009" t="n">
        <v>13.8</v>
      </c>
      <c r="H2009" t="n">
        <v>0</v>
      </c>
      <c r="I2009" t="n">
        <v>0</v>
      </c>
      <c r="J2009" t="n">
        <v>0</v>
      </c>
      <c r="K2009" t="n">
        <v>0</v>
      </c>
      <c r="L2009" t="n">
        <v>0</v>
      </c>
      <c r="M2009" t="n">
        <v>0</v>
      </c>
      <c r="N2009" t="n">
        <v>0</v>
      </c>
      <c r="O2009" t="n">
        <v>0</v>
      </c>
      <c r="P2009" t="n">
        <v>0</v>
      </c>
      <c r="Q2009" t="n">
        <v>0</v>
      </c>
      <c r="R2009" s="2" t="inlineStr"/>
    </row>
    <row r="2010" ht="15" customHeight="1">
      <c r="A2010" t="inlineStr">
        <is>
          <t>A 1189-2026</t>
        </is>
      </c>
      <c r="B2010" s="1" t="n">
        <v>46031.3650462963</v>
      </c>
      <c r="C2010" s="1" t="n">
        <v>46033</v>
      </c>
      <c r="D2010" t="inlineStr">
        <is>
          <t>JÄMTLANDS LÄN</t>
        </is>
      </c>
      <c r="E2010" t="inlineStr">
        <is>
          <t>STRÖMSUND</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20272-2024</t>
        </is>
      </c>
      <c r="B2011" s="1" t="n">
        <v>45434.94920138889</v>
      </c>
      <c r="C2011" s="1" t="n">
        <v>46033</v>
      </c>
      <c r="D2011" t="inlineStr">
        <is>
          <t>JÄMTLANDS LÄN</t>
        </is>
      </c>
      <c r="E2011" t="inlineStr">
        <is>
          <t>STRÖMSUND</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19027-2023</t>
        </is>
      </c>
      <c r="B2012" s="1" t="n">
        <v>45047</v>
      </c>
      <c r="C2012" s="1" t="n">
        <v>46033</v>
      </c>
      <c r="D2012" t="inlineStr">
        <is>
          <t>JÄMTLANDS LÄN</t>
        </is>
      </c>
      <c r="E2012" t="inlineStr">
        <is>
          <t>STRÖMSUND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5453-2024</t>
        </is>
      </c>
      <c r="B2013" s="1" t="n">
        <v>45331.95241898148</v>
      </c>
      <c r="C2013" s="1" t="n">
        <v>46033</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57638-2024</t>
        </is>
      </c>
      <c r="B2014" s="1" t="n">
        <v>45630.5733912037</v>
      </c>
      <c r="C2014" s="1" t="n">
        <v>46033</v>
      </c>
      <c r="D2014" t="inlineStr">
        <is>
          <t>JÄMTLANDS LÄN</t>
        </is>
      </c>
      <c r="E2014" t="inlineStr">
        <is>
          <t>STRÖMSUND</t>
        </is>
      </c>
      <c r="F2014" t="inlineStr">
        <is>
          <t>SCA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508-2024</t>
        </is>
      </c>
      <c r="B2015" s="1" t="n">
        <v>45299</v>
      </c>
      <c r="C2015" s="1" t="n">
        <v>46033</v>
      </c>
      <c r="D2015" t="inlineStr">
        <is>
          <t>JÄMTLANDS LÄN</t>
        </is>
      </c>
      <c r="E2015" t="inlineStr">
        <is>
          <t>STRÖMSUND</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46033</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11838-2025</t>
        </is>
      </c>
      <c r="B2017" s="1" t="n">
        <v>45728.36494212963</v>
      </c>
      <c r="C2017" s="1" t="n">
        <v>46033</v>
      </c>
      <c r="D2017" t="inlineStr">
        <is>
          <t>JÄMTLANDS LÄN</t>
        </is>
      </c>
      <c r="E2017" t="inlineStr">
        <is>
          <t>STRÖMSUND</t>
        </is>
      </c>
      <c r="F2017" t="inlineStr">
        <is>
          <t>SCA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18280-2025</t>
        </is>
      </c>
      <c r="B2018" s="1" t="n">
        <v>45762</v>
      </c>
      <c r="C2018" s="1" t="n">
        <v>46033</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14830-2025</t>
        </is>
      </c>
      <c r="B2019" s="1" t="n">
        <v>45743.37038194444</v>
      </c>
      <c r="C2019" s="1" t="n">
        <v>46033</v>
      </c>
      <c r="D2019" t="inlineStr">
        <is>
          <t>JÄMTLANDS LÄN</t>
        </is>
      </c>
      <c r="E2019" t="inlineStr">
        <is>
          <t>STRÖMSUND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44010-2024</t>
        </is>
      </c>
      <c r="B2020" s="1" t="n">
        <v>45572.5531712963</v>
      </c>
      <c r="C2020" s="1" t="n">
        <v>46033</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3629-2024</t>
        </is>
      </c>
      <c r="B2021" s="1" t="n">
        <v>45320.95350694445</v>
      </c>
      <c r="C2021" s="1" t="n">
        <v>46033</v>
      </c>
      <c r="D2021" t="inlineStr">
        <is>
          <t>JÄMTLANDS LÄN</t>
        </is>
      </c>
      <c r="E2021" t="inlineStr">
        <is>
          <t>STRÖMSUND</t>
        </is>
      </c>
      <c r="F2021" t="inlineStr">
        <is>
          <t>SCA</t>
        </is>
      </c>
      <c r="G2021" t="n">
        <v>29.9</v>
      </c>
      <c r="H2021" t="n">
        <v>0</v>
      </c>
      <c r="I2021" t="n">
        <v>0</v>
      </c>
      <c r="J2021" t="n">
        <v>0</v>
      </c>
      <c r="K2021" t="n">
        <v>0</v>
      </c>
      <c r="L2021" t="n">
        <v>0</v>
      </c>
      <c r="M2021" t="n">
        <v>0</v>
      </c>
      <c r="N2021" t="n">
        <v>0</v>
      </c>
      <c r="O2021" t="n">
        <v>0</v>
      </c>
      <c r="P2021" t="n">
        <v>0</v>
      </c>
      <c r="Q2021" t="n">
        <v>0</v>
      </c>
      <c r="R2021" s="2" t="inlineStr"/>
    </row>
    <row r="2022" ht="15" customHeight="1">
      <c r="A2022" t="inlineStr">
        <is>
          <t>A 41827-2022</t>
        </is>
      </c>
      <c r="B2022" s="1" t="n">
        <v>44827.94630787037</v>
      </c>
      <c r="C2022" s="1" t="n">
        <v>46033</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29113-2024</t>
        </is>
      </c>
      <c r="B2023" s="1" t="n">
        <v>45481.95314814815</v>
      </c>
      <c r="C2023" s="1" t="n">
        <v>46033</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52737-2023</t>
        </is>
      </c>
      <c r="B2024" s="1" t="n">
        <v>45225.96638888889</v>
      </c>
      <c r="C2024" s="1" t="n">
        <v>46033</v>
      </c>
      <c r="D2024" t="inlineStr">
        <is>
          <t>JÄMTLANDS LÄN</t>
        </is>
      </c>
      <c r="E2024" t="inlineStr">
        <is>
          <t>STRÖMSUND</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17098-2024</t>
        </is>
      </c>
      <c r="B2025" s="1" t="n">
        <v>45412</v>
      </c>
      <c r="C2025" s="1" t="n">
        <v>46033</v>
      </c>
      <c r="D2025" t="inlineStr">
        <is>
          <t>JÄMTLANDS LÄN</t>
        </is>
      </c>
      <c r="E2025" t="inlineStr">
        <is>
          <t>STRÖMSUND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51593-2024</t>
        </is>
      </c>
      <c r="B2026" s="1" t="n">
        <v>45604.64981481482</v>
      </c>
      <c r="C2026" s="1" t="n">
        <v>46033</v>
      </c>
      <c r="D2026" t="inlineStr">
        <is>
          <t>JÄMTLANDS LÄN</t>
        </is>
      </c>
      <c r="E2026" t="inlineStr">
        <is>
          <t>STRÖMSUND</t>
        </is>
      </c>
      <c r="F2026" t="inlineStr">
        <is>
          <t>Kommuner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53240-2024</t>
        </is>
      </c>
      <c r="B2027" s="1" t="n">
        <v>45613.86699074074</v>
      </c>
      <c r="C2027" s="1" t="n">
        <v>46033</v>
      </c>
      <c r="D2027" t="inlineStr">
        <is>
          <t>JÄMTLANDS LÄN</t>
        </is>
      </c>
      <c r="E2027" t="inlineStr">
        <is>
          <t>STRÖMSUND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46258-2023</t>
        </is>
      </c>
      <c r="B2028" s="1" t="n">
        <v>45196.93822916667</v>
      </c>
      <c r="C2028" s="1" t="n">
        <v>46033</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8419-2024</t>
        </is>
      </c>
      <c r="B2029" s="1" t="n">
        <v>45352</v>
      </c>
      <c r="C2029" s="1" t="n">
        <v>46033</v>
      </c>
      <c r="D2029" t="inlineStr">
        <is>
          <t>JÄMTLANDS LÄN</t>
        </is>
      </c>
      <c r="E2029" t="inlineStr">
        <is>
          <t>STRÖMSUND</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49194-2024</t>
        </is>
      </c>
      <c r="B2030" s="1" t="n">
        <v>45595.35122685185</v>
      </c>
      <c r="C2030" s="1" t="n">
        <v>46033</v>
      </c>
      <c r="D2030" t="inlineStr">
        <is>
          <t>JÄMTLANDS LÄN</t>
        </is>
      </c>
      <c r="E2030" t="inlineStr">
        <is>
          <t>STRÖMSUND</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35279-2023</t>
        </is>
      </c>
      <c r="B2031" s="1" t="n">
        <v>45145.95431712963</v>
      </c>
      <c r="C2031" s="1" t="n">
        <v>46033</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57274-2022</t>
        </is>
      </c>
      <c r="B2032" s="1" t="n">
        <v>44895.94886574074</v>
      </c>
      <c r="C2032" s="1" t="n">
        <v>46033</v>
      </c>
      <c r="D2032" t="inlineStr">
        <is>
          <t>JÄMTLANDS LÄN</t>
        </is>
      </c>
      <c r="E2032" t="inlineStr">
        <is>
          <t>STRÖMSUND</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34818-2024</t>
        </is>
      </c>
      <c r="B2033" s="1" t="n">
        <v>45526.70923611111</v>
      </c>
      <c r="C2033" s="1" t="n">
        <v>46033</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6386-2021</t>
        </is>
      </c>
      <c r="B2034" s="1" t="n">
        <v>44232</v>
      </c>
      <c r="C2034" s="1" t="n">
        <v>46033</v>
      </c>
      <c r="D2034" t="inlineStr">
        <is>
          <t>JÄMTLANDS LÄN</t>
        </is>
      </c>
      <c r="E2034" t="inlineStr">
        <is>
          <t>STRÖMSUND</t>
        </is>
      </c>
      <c r="F2034" t="inlineStr">
        <is>
          <t>Kommuner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25888-2021</t>
        </is>
      </c>
      <c r="B2035" s="1" t="n">
        <v>44344.3822337963</v>
      </c>
      <c r="C2035" s="1" t="n">
        <v>46033</v>
      </c>
      <c r="D2035" t="inlineStr">
        <is>
          <t>JÄMTLANDS LÄN</t>
        </is>
      </c>
      <c r="E2035" t="inlineStr">
        <is>
          <t>STRÖMSUND</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40440-2023</t>
        </is>
      </c>
      <c r="B2036" s="1" t="n">
        <v>45169.94126157407</v>
      </c>
      <c r="C2036" s="1" t="n">
        <v>46033</v>
      </c>
      <c r="D2036" t="inlineStr">
        <is>
          <t>JÄMTLANDS LÄN</t>
        </is>
      </c>
      <c r="E2036" t="inlineStr">
        <is>
          <t>STRÖMSUND</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72749-2021</t>
        </is>
      </c>
      <c r="B2037" s="1" t="n">
        <v>44546</v>
      </c>
      <c r="C2037" s="1" t="n">
        <v>46033</v>
      </c>
      <c r="D2037" t="inlineStr">
        <is>
          <t>JÄMTLANDS LÄN</t>
        </is>
      </c>
      <c r="E2037" t="inlineStr">
        <is>
          <t>STRÖMSUND</t>
        </is>
      </c>
      <c r="G2037" t="n">
        <v>35.6</v>
      </c>
      <c r="H2037" t="n">
        <v>0</v>
      </c>
      <c r="I2037" t="n">
        <v>0</v>
      </c>
      <c r="J2037" t="n">
        <v>0</v>
      </c>
      <c r="K2037" t="n">
        <v>0</v>
      </c>
      <c r="L2037" t="n">
        <v>0</v>
      </c>
      <c r="M2037" t="n">
        <v>0</v>
      </c>
      <c r="N2037" t="n">
        <v>0</v>
      </c>
      <c r="O2037" t="n">
        <v>0</v>
      </c>
      <c r="P2037" t="n">
        <v>0</v>
      </c>
      <c r="Q2037" t="n">
        <v>0</v>
      </c>
      <c r="R2037" s="2" t="inlineStr"/>
    </row>
    <row r="2038" ht="15" customHeight="1">
      <c r="A2038" t="inlineStr">
        <is>
          <t>A 23531-2024</t>
        </is>
      </c>
      <c r="B2038" s="1" t="n">
        <v>45453.95122685185</v>
      </c>
      <c r="C2038" s="1" t="n">
        <v>46033</v>
      </c>
      <c r="D2038" t="inlineStr">
        <is>
          <t>JÄMTLANDS LÄN</t>
        </is>
      </c>
      <c r="E2038" t="inlineStr">
        <is>
          <t>STRÖMSUND</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12866-2024</t>
        </is>
      </c>
      <c r="B2039" s="1" t="n">
        <v>45384.94175925926</v>
      </c>
      <c r="C2039" s="1" t="n">
        <v>46033</v>
      </c>
      <c r="D2039" t="inlineStr">
        <is>
          <t>JÄMTLANDS LÄN</t>
        </is>
      </c>
      <c r="E2039" t="inlineStr">
        <is>
          <t>STRÖMSUND</t>
        </is>
      </c>
      <c r="F2039" t="inlineStr">
        <is>
          <t>SCA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41579-2024</t>
        </is>
      </c>
      <c r="B2040" s="1" t="n">
        <v>45560.55297453704</v>
      </c>
      <c r="C2040" s="1" t="n">
        <v>46033</v>
      </c>
      <c r="D2040" t="inlineStr">
        <is>
          <t>JÄMTLANDS LÄN</t>
        </is>
      </c>
      <c r="E2040" t="inlineStr">
        <is>
          <t>STRÖMSUND</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21093-2021</t>
        </is>
      </c>
      <c r="B2041" s="1" t="n">
        <v>44319</v>
      </c>
      <c r="C2041" s="1" t="n">
        <v>46033</v>
      </c>
      <c r="D2041" t="inlineStr">
        <is>
          <t>JÄMTLANDS LÄN</t>
        </is>
      </c>
      <c r="E2041" t="inlineStr">
        <is>
          <t>STRÖMSUND</t>
        </is>
      </c>
      <c r="F2041" t="inlineStr">
        <is>
          <t>SCA</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40399-2023</t>
        </is>
      </c>
      <c r="B2042" s="1" t="n">
        <v>45169.93790509259</v>
      </c>
      <c r="C2042" s="1" t="n">
        <v>46033</v>
      </c>
      <c r="D2042" t="inlineStr">
        <is>
          <t>JÄMTLANDS LÄN</t>
        </is>
      </c>
      <c r="E2042" t="inlineStr">
        <is>
          <t>STRÖMSUND</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40407-2023</t>
        </is>
      </c>
      <c r="B2043" s="1" t="n">
        <v>45169.93855324074</v>
      </c>
      <c r="C2043" s="1" t="n">
        <v>46033</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18254-2025</t>
        </is>
      </c>
      <c r="B2044" s="1" t="n">
        <v>45762.34459490741</v>
      </c>
      <c r="C2044" s="1" t="n">
        <v>46033</v>
      </c>
      <c r="D2044" t="inlineStr">
        <is>
          <t>JÄMTLANDS LÄN</t>
        </is>
      </c>
      <c r="E2044" t="inlineStr">
        <is>
          <t>STRÖMSUND</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54763-2024</t>
        </is>
      </c>
      <c r="B2045" s="1" t="n">
        <v>45618.46903935185</v>
      </c>
      <c r="C2045" s="1" t="n">
        <v>46033</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57250-2024</t>
        </is>
      </c>
      <c r="B2046" s="1" t="n">
        <v>45628</v>
      </c>
      <c r="C2046" s="1" t="n">
        <v>46033</v>
      </c>
      <c r="D2046" t="inlineStr">
        <is>
          <t>JÄMTLANDS LÄN</t>
        </is>
      </c>
      <c r="E2046" t="inlineStr">
        <is>
          <t>STRÖMSUND</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57258-2024</t>
        </is>
      </c>
      <c r="B2047" s="1" t="n">
        <v>45628</v>
      </c>
      <c r="C2047" s="1" t="n">
        <v>46033</v>
      </c>
      <c r="D2047" t="inlineStr">
        <is>
          <t>JÄMTLANDS LÄN</t>
        </is>
      </c>
      <c r="E2047" t="inlineStr">
        <is>
          <t>STRÖMSUND</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70511-2021</t>
        </is>
      </c>
      <c r="B2048" s="1" t="n">
        <v>44536</v>
      </c>
      <c r="C2048" s="1" t="n">
        <v>46033</v>
      </c>
      <c r="D2048" t="inlineStr">
        <is>
          <t>JÄMTLANDS LÄN</t>
        </is>
      </c>
      <c r="E2048" t="inlineStr">
        <is>
          <t>STRÖMSUND</t>
        </is>
      </c>
      <c r="F2048" t="inlineStr">
        <is>
          <t>SCA</t>
        </is>
      </c>
      <c r="G2048" t="n">
        <v>401.6</v>
      </c>
      <c r="H2048" t="n">
        <v>0</v>
      </c>
      <c r="I2048" t="n">
        <v>0</v>
      </c>
      <c r="J2048" t="n">
        <v>0</v>
      </c>
      <c r="K2048" t="n">
        <v>0</v>
      </c>
      <c r="L2048" t="n">
        <v>0</v>
      </c>
      <c r="M2048" t="n">
        <v>0</v>
      </c>
      <c r="N2048" t="n">
        <v>0</v>
      </c>
      <c r="O2048" t="n">
        <v>0</v>
      </c>
      <c r="P2048" t="n">
        <v>0</v>
      </c>
      <c r="Q2048" t="n">
        <v>0</v>
      </c>
      <c r="R2048" s="2" t="inlineStr"/>
    </row>
    <row r="2049" ht="15" customHeight="1">
      <c r="A2049" t="inlineStr">
        <is>
          <t>A 30062-2024</t>
        </is>
      </c>
      <c r="B2049" s="1" t="n">
        <v>45488.94832175926</v>
      </c>
      <c r="C2049" s="1" t="n">
        <v>46033</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35308-2022</t>
        </is>
      </c>
      <c r="B2050" s="1" t="n">
        <v>44798</v>
      </c>
      <c r="C2050" s="1" t="n">
        <v>46033</v>
      </c>
      <c r="D2050" t="inlineStr">
        <is>
          <t>JÄMTLANDS LÄN</t>
        </is>
      </c>
      <c r="E2050" t="inlineStr">
        <is>
          <t>STRÖMSUND</t>
        </is>
      </c>
      <c r="F2050" t="inlineStr">
        <is>
          <t>Kommuner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32906-2023</t>
        </is>
      </c>
      <c r="B2051" s="1" t="n">
        <v>45124.95137731481</v>
      </c>
      <c r="C2051" s="1" t="n">
        <v>46033</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4464-2022</t>
        </is>
      </c>
      <c r="B2052" s="1" t="n">
        <v>44589</v>
      </c>
      <c r="C2052" s="1" t="n">
        <v>46033</v>
      </c>
      <c r="D2052" t="inlineStr">
        <is>
          <t>JÄMTLANDS LÄN</t>
        </is>
      </c>
      <c r="E2052" t="inlineStr">
        <is>
          <t>STRÖMSUND</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6371-2021</t>
        </is>
      </c>
      <c r="B2053" s="1" t="n">
        <v>44232</v>
      </c>
      <c r="C2053" s="1" t="n">
        <v>46033</v>
      </c>
      <c r="D2053" t="inlineStr">
        <is>
          <t>JÄMTLANDS LÄN</t>
        </is>
      </c>
      <c r="E2053" t="inlineStr">
        <is>
          <t>STRÖMSUND</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53556-2024</t>
        </is>
      </c>
      <c r="B2054" s="1" t="n">
        <v>45608</v>
      </c>
      <c r="C2054" s="1" t="n">
        <v>46033</v>
      </c>
      <c r="D2054" t="inlineStr">
        <is>
          <t>JÄMTLANDS LÄN</t>
        </is>
      </c>
      <c r="E2054" t="inlineStr">
        <is>
          <t>STRÖMSUND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10428-2025</t>
        </is>
      </c>
      <c r="B2055" s="1" t="n">
        <v>45720.65660879629</v>
      </c>
      <c r="C2055" s="1" t="n">
        <v>46033</v>
      </c>
      <c r="D2055" t="inlineStr">
        <is>
          <t>JÄMTLANDS LÄN</t>
        </is>
      </c>
      <c r="E2055" t="inlineStr">
        <is>
          <t>STRÖMSUND</t>
        </is>
      </c>
      <c r="F2055" t="inlineStr">
        <is>
          <t>SCA</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15273-2022</t>
        </is>
      </c>
      <c r="B2056" s="1" t="n">
        <v>44659</v>
      </c>
      <c r="C2056" s="1" t="n">
        <v>46033</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8325-2025</t>
        </is>
      </c>
      <c r="B2057" s="1" t="n">
        <v>45708.63638888889</v>
      </c>
      <c r="C2057" s="1" t="n">
        <v>46033</v>
      </c>
      <c r="D2057" t="inlineStr">
        <is>
          <t>JÄMTLANDS LÄN</t>
        </is>
      </c>
      <c r="E2057" t="inlineStr">
        <is>
          <t>STRÖMSUND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10504-2025</t>
        </is>
      </c>
      <c r="B2058" s="1" t="n">
        <v>45721.3862037037</v>
      </c>
      <c r="C2058" s="1" t="n">
        <v>46033</v>
      </c>
      <c r="D2058" t="inlineStr">
        <is>
          <t>JÄMTLANDS LÄN</t>
        </is>
      </c>
      <c r="E2058" t="inlineStr">
        <is>
          <t>STRÖMSUND</t>
        </is>
      </c>
      <c r="F2058" t="inlineStr">
        <is>
          <t>SCA</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17191-2025</t>
        </is>
      </c>
      <c r="B2059" s="1" t="n">
        <v>45756.39342592593</v>
      </c>
      <c r="C2059" s="1" t="n">
        <v>46033</v>
      </c>
      <c r="D2059" t="inlineStr">
        <is>
          <t>JÄMTLANDS LÄN</t>
        </is>
      </c>
      <c r="E2059" t="inlineStr">
        <is>
          <t>STRÖMSUND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17213-2025</t>
        </is>
      </c>
      <c r="B2060" s="1" t="n">
        <v>45756.44826388889</v>
      </c>
      <c r="C2060" s="1" t="n">
        <v>46033</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17256-2025</t>
        </is>
      </c>
      <c r="B2061" s="1" t="n">
        <v>45756.5315162037</v>
      </c>
      <c r="C2061" s="1" t="n">
        <v>46033</v>
      </c>
      <c r="D2061" t="inlineStr">
        <is>
          <t>JÄMTLANDS LÄN</t>
        </is>
      </c>
      <c r="E2061" t="inlineStr">
        <is>
          <t>STRÖMSUND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1271-2024</t>
        </is>
      </c>
      <c r="B2062" s="1" t="n">
        <v>45302.93324074074</v>
      </c>
      <c r="C2062" s="1" t="n">
        <v>46033</v>
      </c>
      <c r="D2062" t="inlineStr">
        <is>
          <t>JÄMTLANDS LÄN</t>
        </is>
      </c>
      <c r="E2062" t="inlineStr">
        <is>
          <t>STRÖMSUND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9799-2025</t>
        </is>
      </c>
      <c r="B2063" s="1" t="n">
        <v>45716.55253472222</v>
      </c>
      <c r="C2063" s="1" t="n">
        <v>46033</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5808-2025</t>
        </is>
      </c>
      <c r="B2064" s="1" t="n">
        <v>45694.6985300926</v>
      </c>
      <c r="C2064" s="1" t="n">
        <v>46033</v>
      </c>
      <c r="D2064" t="inlineStr">
        <is>
          <t>JÄMTLANDS LÄN</t>
        </is>
      </c>
      <c r="E2064" t="inlineStr">
        <is>
          <t>STRÖMSUND</t>
        </is>
      </c>
      <c r="F2064" t="inlineStr">
        <is>
          <t>SCA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18253-2025</t>
        </is>
      </c>
      <c r="B2065" s="1" t="n">
        <v>45762.34449074074</v>
      </c>
      <c r="C2065" s="1" t="n">
        <v>46033</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10093-2025</t>
        </is>
      </c>
      <c r="B2066" s="1" t="n">
        <v>45719.57422453703</v>
      </c>
      <c r="C2066" s="1" t="n">
        <v>46033</v>
      </c>
      <c r="D2066" t="inlineStr">
        <is>
          <t>JÄMTLANDS LÄN</t>
        </is>
      </c>
      <c r="E2066" t="inlineStr">
        <is>
          <t>STRÖMSUND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19412-2025</t>
        </is>
      </c>
      <c r="B2067" s="1" t="n">
        <v>45769.69847222222</v>
      </c>
      <c r="C2067" s="1" t="n">
        <v>46033</v>
      </c>
      <c r="D2067" t="inlineStr">
        <is>
          <t>JÄMTLANDS LÄN</t>
        </is>
      </c>
      <c r="E2067" t="inlineStr">
        <is>
          <t>STRÖMSUND</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62493-2023</t>
        </is>
      </c>
      <c r="B2068" s="1" t="n">
        <v>45268.59108796297</v>
      </c>
      <c r="C2068" s="1" t="n">
        <v>46033</v>
      </c>
      <c r="D2068" t="inlineStr">
        <is>
          <t>JÄMTLANDS LÄN</t>
        </is>
      </c>
      <c r="E2068" t="inlineStr">
        <is>
          <t>STRÖMSUND</t>
        </is>
      </c>
      <c r="F2068" t="inlineStr">
        <is>
          <t>Holmen skog AB</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1542-2025</t>
        </is>
      </c>
      <c r="B2069" s="1" t="n">
        <v>45670</v>
      </c>
      <c r="C2069" s="1" t="n">
        <v>46033</v>
      </c>
      <c r="D2069" t="inlineStr">
        <is>
          <t>JÄMTLANDS LÄN</t>
        </is>
      </c>
      <c r="E2069" t="inlineStr">
        <is>
          <t>STRÖMSUND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1543-2025</t>
        </is>
      </c>
      <c r="B2070" s="1" t="n">
        <v>45670</v>
      </c>
      <c r="C2070" s="1" t="n">
        <v>46033</v>
      </c>
      <c r="D2070" t="inlineStr">
        <is>
          <t>JÄMTLANDS LÄN</t>
        </is>
      </c>
      <c r="E2070" t="inlineStr">
        <is>
          <t>STRÖMSUND</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1544-2025</t>
        </is>
      </c>
      <c r="B2071" s="1" t="n">
        <v>45670</v>
      </c>
      <c r="C2071" s="1" t="n">
        <v>46033</v>
      </c>
      <c r="D2071" t="inlineStr">
        <is>
          <t>JÄMTLANDS LÄN</t>
        </is>
      </c>
      <c r="E2071" t="inlineStr">
        <is>
          <t>STRÖMSUND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1545-2025</t>
        </is>
      </c>
      <c r="B2072" s="1" t="n">
        <v>45670</v>
      </c>
      <c r="C2072" s="1" t="n">
        <v>46033</v>
      </c>
      <c r="D2072" t="inlineStr">
        <is>
          <t>JÄMTLANDS LÄN</t>
        </is>
      </c>
      <c r="E2072" t="inlineStr">
        <is>
          <t>STRÖMSUND</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1547-2025</t>
        </is>
      </c>
      <c r="B2073" s="1" t="n">
        <v>45670</v>
      </c>
      <c r="C2073" s="1" t="n">
        <v>46033</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44596-2024</t>
        </is>
      </c>
      <c r="B2074" s="1" t="n">
        <v>45574.5106712963</v>
      </c>
      <c r="C2074" s="1" t="n">
        <v>46033</v>
      </c>
      <c r="D2074" t="inlineStr">
        <is>
          <t>JÄMTLANDS LÄN</t>
        </is>
      </c>
      <c r="E2074" t="inlineStr">
        <is>
          <t>STRÖMSUND</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14294-2022</t>
        </is>
      </c>
      <c r="B2075" s="1" t="n">
        <v>44651.93856481482</v>
      </c>
      <c r="C2075" s="1" t="n">
        <v>46033</v>
      </c>
      <c r="D2075" t="inlineStr">
        <is>
          <t>JÄMTLANDS LÄN</t>
        </is>
      </c>
      <c r="E2075" t="inlineStr">
        <is>
          <t>STRÖMSUND</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40439-2023</t>
        </is>
      </c>
      <c r="B2076" s="1" t="n">
        <v>45169</v>
      </c>
      <c r="C2076" s="1" t="n">
        <v>46033</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15027-2025</t>
        </is>
      </c>
      <c r="B2077" s="1" t="n">
        <v>45743.65709490741</v>
      </c>
      <c r="C2077" s="1" t="n">
        <v>46033</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56997-2024</t>
        </is>
      </c>
      <c r="B2078" s="1" t="n">
        <v>45628.71888888889</v>
      </c>
      <c r="C2078" s="1" t="n">
        <v>46033</v>
      </c>
      <c r="D2078" t="inlineStr">
        <is>
          <t>JÄMTLANDS LÄN</t>
        </is>
      </c>
      <c r="E2078" t="inlineStr">
        <is>
          <t>STRÖMSUND</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19045-2025</t>
        </is>
      </c>
      <c r="B2079" s="1" t="n">
        <v>45764.71907407408</v>
      </c>
      <c r="C2079" s="1" t="n">
        <v>46033</v>
      </c>
      <c r="D2079" t="inlineStr">
        <is>
          <t>JÄMTLANDS LÄN</t>
        </is>
      </c>
      <c r="E2079" t="inlineStr">
        <is>
          <t>STRÖMSUND</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41902-2023</t>
        </is>
      </c>
      <c r="B2080" s="1" t="n">
        <v>45176.87350694444</v>
      </c>
      <c r="C2080" s="1" t="n">
        <v>46033</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41917-2023</t>
        </is>
      </c>
      <c r="B2081" s="1" t="n">
        <v>45176.9441087963</v>
      </c>
      <c r="C2081" s="1" t="n">
        <v>46033</v>
      </c>
      <c r="D2081" t="inlineStr">
        <is>
          <t>JÄMTLANDS LÄN</t>
        </is>
      </c>
      <c r="E2081" t="inlineStr">
        <is>
          <t>STRÖMSUND</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17514-2025</t>
        </is>
      </c>
      <c r="B2082" s="1" t="n">
        <v>45757.57347222222</v>
      </c>
      <c r="C2082" s="1" t="n">
        <v>46033</v>
      </c>
      <c r="D2082" t="inlineStr">
        <is>
          <t>JÄMTLANDS LÄN</t>
        </is>
      </c>
      <c r="E2082" t="inlineStr">
        <is>
          <t>STRÖMSUND</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1113-2024</t>
        </is>
      </c>
      <c r="B2083" s="1" t="n">
        <v>45302.42872685185</v>
      </c>
      <c r="C2083" s="1" t="n">
        <v>46033</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4388-2023</t>
        </is>
      </c>
      <c r="B2084" s="1" t="n">
        <v>44955.77467592592</v>
      </c>
      <c r="C2084" s="1" t="n">
        <v>46033</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10864-2025</t>
        </is>
      </c>
      <c r="B2085" s="1" t="n">
        <v>45722.61508101852</v>
      </c>
      <c r="C2085" s="1" t="n">
        <v>46033</v>
      </c>
      <c r="D2085" t="inlineStr">
        <is>
          <t>JÄMTLANDS LÄN</t>
        </is>
      </c>
      <c r="E2085" t="inlineStr">
        <is>
          <t>STRÖMSUND</t>
        </is>
      </c>
      <c r="F2085" t="inlineStr">
        <is>
          <t>SCA</t>
        </is>
      </c>
      <c r="G2085" t="n">
        <v>21.1</v>
      </c>
      <c r="H2085" t="n">
        <v>0</v>
      </c>
      <c r="I2085" t="n">
        <v>0</v>
      </c>
      <c r="J2085" t="n">
        <v>0</v>
      </c>
      <c r="K2085" t="n">
        <v>0</v>
      </c>
      <c r="L2085" t="n">
        <v>0</v>
      </c>
      <c r="M2085" t="n">
        <v>0</v>
      </c>
      <c r="N2085" t="n">
        <v>0</v>
      </c>
      <c r="O2085" t="n">
        <v>0</v>
      </c>
      <c r="P2085" t="n">
        <v>0</v>
      </c>
      <c r="Q2085" t="n">
        <v>0</v>
      </c>
      <c r="R2085" s="2" t="inlineStr"/>
    </row>
    <row r="2086" ht="15" customHeight="1">
      <c r="A2086" t="inlineStr">
        <is>
          <t>A 62668-2021</t>
        </is>
      </c>
      <c r="B2086" s="1" t="n">
        <v>44503.94444444445</v>
      </c>
      <c r="C2086" s="1" t="n">
        <v>46033</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14978-2024</t>
        </is>
      </c>
      <c r="B2087" s="1" t="n">
        <v>45398.9412962963</v>
      </c>
      <c r="C2087" s="1" t="n">
        <v>46033</v>
      </c>
      <c r="D2087" t="inlineStr">
        <is>
          <t>JÄMTLANDS LÄN</t>
        </is>
      </c>
      <c r="E2087" t="inlineStr">
        <is>
          <t>STRÖMSUND</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27298-2024</t>
        </is>
      </c>
      <c r="B2088" s="1" t="n">
        <v>45471.94336805555</v>
      </c>
      <c r="C2088" s="1" t="n">
        <v>46033</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55690-2024</t>
        </is>
      </c>
      <c r="B2089" s="1" t="n">
        <v>45622.67746527777</v>
      </c>
      <c r="C2089" s="1" t="n">
        <v>46033</v>
      </c>
      <c r="D2089" t="inlineStr">
        <is>
          <t>JÄMTLANDS LÄN</t>
        </is>
      </c>
      <c r="E2089" t="inlineStr">
        <is>
          <t>STRÖMSUND</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47934-2021</t>
        </is>
      </c>
      <c r="B2090" s="1" t="n">
        <v>44448</v>
      </c>
      <c r="C2090" s="1" t="n">
        <v>46033</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47941-2021</t>
        </is>
      </c>
      <c r="B2091" s="1" t="n">
        <v>44448.94142361111</v>
      </c>
      <c r="C2091" s="1" t="n">
        <v>46033</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44112-2024</t>
        </is>
      </c>
      <c r="B2092" s="1" t="n">
        <v>45572.63590277778</v>
      </c>
      <c r="C2092" s="1" t="n">
        <v>46033</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12731-2023</t>
        </is>
      </c>
      <c r="B2093" s="1" t="n">
        <v>45000.92390046296</v>
      </c>
      <c r="C2093" s="1" t="n">
        <v>46033</v>
      </c>
      <c r="D2093" t="inlineStr">
        <is>
          <t>JÄMTLANDS LÄN</t>
        </is>
      </c>
      <c r="E2093" t="inlineStr">
        <is>
          <t>STRÖMSUND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14347-2023</t>
        </is>
      </c>
      <c r="B2094" s="1" t="n">
        <v>45012</v>
      </c>
      <c r="C2094" s="1" t="n">
        <v>46033</v>
      </c>
      <c r="D2094" t="inlineStr">
        <is>
          <t>JÄMTLANDS LÄN</t>
        </is>
      </c>
      <c r="E2094" t="inlineStr">
        <is>
          <t>STRÖMSUND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40976-2024</t>
        </is>
      </c>
      <c r="B2095" s="1" t="n">
        <v>45558.68231481482</v>
      </c>
      <c r="C2095" s="1" t="n">
        <v>46033</v>
      </c>
      <c r="D2095" t="inlineStr">
        <is>
          <t>JÄMTLANDS LÄN</t>
        </is>
      </c>
      <c r="E2095" t="inlineStr">
        <is>
          <t>STRÖMSUND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2533-2025</t>
        </is>
      </c>
      <c r="B2096" s="1" t="n">
        <v>45674.61496527777</v>
      </c>
      <c r="C2096" s="1" t="n">
        <v>46033</v>
      </c>
      <c r="D2096" t="inlineStr">
        <is>
          <t>JÄMTLANDS LÄN</t>
        </is>
      </c>
      <c r="E2096" t="inlineStr">
        <is>
          <t>STRÖMSUND</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19346-2024</t>
        </is>
      </c>
      <c r="B2097" s="1" t="n">
        <v>45428.97195601852</v>
      </c>
      <c r="C2097" s="1" t="n">
        <v>46033</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11930-2025</t>
        </is>
      </c>
      <c r="B2098" s="1" t="n">
        <v>45728.5209375</v>
      </c>
      <c r="C2098" s="1" t="n">
        <v>46033</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62194-2021</t>
        </is>
      </c>
      <c r="B2099" s="1" t="n">
        <v>44502.92039351852</v>
      </c>
      <c r="C2099" s="1" t="n">
        <v>46033</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51404-2024</t>
        </is>
      </c>
      <c r="B2100" s="1" t="n">
        <v>45604.42777777778</v>
      </c>
      <c r="C2100" s="1" t="n">
        <v>46033</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23525-2023</t>
        </is>
      </c>
      <c r="B2101" s="1" t="n">
        <v>45076</v>
      </c>
      <c r="C2101" s="1" t="n">
        <v>46033</v>
      </c>
      <c r="D2101" t="inlineStr">
        <is>
          <t>JÄMTLANDS LÄN</t>
        </is>
      </c>
      <c r="E2101" t="inlineStr">
        <is>
          <t>STRÖMSUND</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45331.43344907407</v>
      </c>
      <c r="C2102" s="1" t="n">
        <v>46033</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46033</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32259-2021</t>
        </is>
      </c>
      <c r="B2104" s="1" t="n">
        <v>44371</v>
      </c>
      <c r="C2104" s="1" t="n">
        <v>46033</v>
      </c>
      <c r="D2104" t="inlineStr">
        <is>
          <t>JÄMTLANDS LÄN</t>
        </is>
      </c>
      <c r="E2104" t="inlineStr">
        <is>
          <t>STRÖMSUND</t>
        </is>
      </c>
      <c r="F2104" t="inlineStr">
        <is>
          <t>SCA</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55657-2023</t>
        </is>
      </c>
      <c r="B2105" s="1" t="n">
        <v>45238</v>
      </c>
      <c r="C2105" s="1" t="n">
        <v>46033</v>
      </c>
      <c r="D2105" t="inlineStr">
        <is>
          <t>JÄMTLANDS LÄN</t>
        </is>
      </c>
      <c r="E2105" t="inlineStr">
        <is>
          <t>STRÖMSUND</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32528-2022</t>
        </is>
      </c>
      <c r="B2106" s="1" t="n">
        <v>44782.94291666667</v>
      </c>
      <c r="C2106" s="1" t="n">
        <v>46033</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50638-2024</t>
        </is>
      </c>
      <c r="B2107" s="1" t="n">
        <v>45601.6775</v>
      </c>
      <c r="C2107" s="1" t="n">
        <v>46033</v>
      </c>
      <c r="D2107" t="inlineStr">
        <is>
          <t>JÄMTLANDS LÄN</t>
        </is>
      </c>
      <c r="E2107" t="inlineStr">
        <is>
          <t>STRÖMSUND</t>
        </is>
      </c>
      <c r="F2107" t="inlineStr">
        <is>
          <t>SCA</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13617-2025</t>
        </is>
      </c>
      <c r="B2108" s="1" t="n">
        <v>45736.62881944444</v>
      </c>
      <c r="C2108" s="1" t="n">
        <v>46033</v>
      </c>
      <c r="D2108" t="inlineStr">
        <is>
          <t>JÄMTLANDS LÄN</t>
        </is>
      </c>
      <c r="E2108" t="inlineStr">
        <is>
          <t>STRÖMSUND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13740-2025</t>
        </is>
      </c>
      <c r="B2109" s="1" t="n">
        <v>45736</v>
      </c>
      <c r="C2109" s="1" t="n">
        <v>46033</v>
      </c>
      <c r="D2109" t="inlineStr">
        <is>
          <t>JÄMTLANDS LÄN</t>
        </is>
      </c>
      <c r="E2109" t="inlineStr">
        <is>
          <t>STRÖMSUND</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13777-2025</t>
        </is>
      </c>
      <c r="B2110" s="1" t="n">
        <v>45736</v>
      </c>
      <c r="C2110" s="1" t="n">
        <v>46033</v>
      </c>
      <c r="D2110" t="inlineStr">
        <is>
          <t>JÄMTLANDS LÄN</t>
        </is>
      </c>
      <c r="E2110" t="inlineStr">
        <is>
          <t>STRÖMSUND</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41283-2024</t>
        </is>
      </c>
      <c r="B2111" s="1" t="n">
        <v>45559.59509259259</v>
      </c>
      <c r="C2111" s="1" t="n">
        <v>46033</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5174-2023</t>
        </is>
      </c>
      <c r="B2112" s="1" t="n">
        <v>44958</v>
      </c>
      <c r="C2112" s="1" t="n">
        <v>46033</v>
      </c>
      <c r="D2112" t="inlineStr">
        <is>
          <t>JÄMTLANDS LÄN</t>
        </is>
      </c>
      <c r="E2112" t="inlineStr">
        <is>
          <t>STRÖMSUND</t>
        </is>
      </c>
      <c r="F2112" t="inlineStr">
        <is>
          <t>SCA</t>
        </is>
      </c>
      <c r="G2112" t="n">
        <v>64.5</v>
      </c>
      <c r="H2112" t="n">
        <v>0</v>
      </c>
      <c r="I2112" t="n">
        <v>0</v>
      </c>
      <c r="J2112" t="n">
        <v>0</v>
      </c>
      <c r="K2112" t="n">
        <v>0</v>
      </c>
      <c r="L2112" t="n">
        <v>0</v>
      </c>
      <c r="M2112" t="n">
        <v>0</v>
      </c>
      <c r="N2112" t="n">
        <v>0</v>
      </c>
      <c r="O2112" t="n">
        <v>0</v>
      </c>
      <c r="P2112" t="n">
        <v>0</v>
      </c>
      <c r="Q2112" t="n">
        <v>0</v>
      </c>
      <c r="R2112" s="2" t="inlineStr"/>
    </row>
    <row r="2113" ht="15" customHeight="1">
      <c r="A2113" t="inlineStr">
        <is>
          <t>A 33223-2021</t>
        </is>
      </c>
      <c r="B2113" s="1" t="n">
        <v>44376.93822916667</v>
      </c>
      <c r="C2113" s="1" t="n">
        <v>46033</v>
      </c>
      <c r="D2113" t="inlineStr">
        <is>
          <t>JÄMTLANDS LÄN</t>
        </is>
      </c>
      <c r="E2113" t="inlineStr">
        <is>
          <t>STRÖMSUND</t>
        </is>
      </c>
      <c r="F2113" t="inlineStr">
        <is>
          <t>SCA</t>
        </is>
      </c>
      <c r="G2113" t="n">
        <v>17.8</v>
      </c>
      <c r="H2113" t="n">
        <v>0</v>
      </c>
      <c r="I2113" t="n">
        <v>0</v>
      </c>
      <c r="J2113" t="n">
        <v>0</v>
      </c>
      <c r="K2113" t="n">
        <v>0</v>
      </c>
      <c r="L2113" t="n">
        <v>0</v>
      </c>
      <c r="M2113" t="n">
        <v>0</v>
      </c>
      <c r="N2113" t="n">
        <v>0</v>
      </c>
      <c r="O2113" t="n">
        <v>0</v>
      </c>
      <c r="P2113" t="n">
        <v>0</v>
      </c>
      <c r="Q2113" t="n">
        <v>0</v>
      </c>
      <c r="R2113" s="2" t="inlineStr"/>
    </row>
    <row r="2114" ht="15" customHeight="1">
      <c r="A2114" t="inlineStr">
        <is>
          <t>A 30836-2023</t>
        </is>
      </c>
      <c r="B2114" s="1" t="n">
        <v>45112.94390046296</v>
      </c>
      <c r="C2114" s="1" t="n">
        <v>46033</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66488-2021</t>
        </is>
      </c>
      <c r="B2115" s="1" t="n">
        <v>44518.94496527778</v>
      </c>
      <c r="C2115" s="1" t="n">
        <v>46033</v>
      </c>
      <c r="D2115" t="inlineStr">
        <is>
          <t>JÄMTLANDS LÄN</t>
        </is>
      </c>
      <c r="E2115" t="inlineStr">
        <is>
          <t>STRÖMSUND</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15650-2021</t>
        </is>
      </c>
      <c r="B2116" s="1" t="n">
        <v>44285</v>
      </c>
      <c r="C2116" s="1" t="n">
        <v>46033</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14886-2025</t>
        </is>
      </c>
      <c r="B2117" s="1" t="n">
        <v>45743.46734953704</v>
      </c>
      <c r="C2117" s="1" t="n">
        <v>46033</v>
      </c>
      <c r="D2117" t="inlineStr">
        <is>
          <t>JÄMTLANDS LÄN</t>
        </is>
      </c>
      <c r="E2117" t="inlineStr">
        <is>
          <t>STRÖMSUND</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19063-2025</t>
        </is>
      </c>
      <c r="B2118" s="1" t="n">
        <v>45765.34429398148</v>
      </c>
      <c r="C2118" s="1" t="n">
        <v>46033</v>
      </c>
      <c r="D2118" t="inlineStr">
        <is>
          <t>JÄMTLANDS LÄN</t>
        </is>
      </c>
      <c r="E2118" t="inlineStr">
        <is>
          <t>STRÖMSUND</t>
        </is>
      </c>
      <c r="F2118" t="inlineStr">
        <is>
          <t>SCA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8812-2025</t>
        </is>
      </c>
      <c r="B2119" s="1" t="n">
        <v>45712.68813657408</v>
      </c>
      <c r="C2119" s="1" t="n">
        <v>46033</v>
      </c>
      <c r="D2119" t="inlineStr">
        <is>
          <t>JÄMTLANDS LÄN</t>
        </is>
      </c>
      <c r="E2119" t="inlineStr">
        <is>
          <t>STRÖMSUND</t>
        </is>
      </c>
      <c r="F2119" t="inlineStr">
        <is>
          <t>Kyrkan</t>
        </is>
      </c>
      <c r="G2119" t="n">
        <v>38.1</v>
      </c>
      <c r="H2119" t="n">
        <v>0</v>
      </c>
      <c r="I2119" t="n">
        <v>0</v>
      </c>
      <c r="J2119" t="n">
        <v>0</v>
      </c>
      <c r="K2119" t="n">
        <v>0</v>
      </c>
      <c r="L2119" t="n">
        <v>0</v>
      </c>
      <c r="M2119" t="n">
        <v>0</v>
      </c>
      <c r="N2119" t="n">
        <v>0</v>
      </c>
      <c r="O2119" t="n">
        <v>0</v>
      </c>
      <c r="P2119" t="n">
        <v>0</v>
      </c>
      <c r="Q2119" t="n">
        <v>0</v>
      </c>
      <c r="R2119" s="2" t="inlineStr"/>
    </row>
    <row r="2120" ht="15" customHeight="1">
      <c r="A2120" t="inlineStr">
        <is>
          <t>A 45249-2024</t>
        </is>
      </c>
      <c r="B2120" s="1" t="n">
        <v>45576.32144675926</v>
      </c>
      <c r="C2120" s="1" t="n">
        <v>46033</v>
      </c>
      <c r="D2120" t="inlineStr">
        <is>
          <t>JÄMTLANDS LÄN</t>
        </is>
      </c>
      <c r="E2120" t="inlineStr">
        <is>
          <t>STRÖMSUND</t>
        </is>
      </c>
      <c r="F2120" t="inlineStr">
        <is>
          <t>Sveaskog</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19026-2023</t>
        </is>
      </c>
      <c r="B2121" s="1" t="n">
        <v>45047</v>
      </c>
      <c r="C2121" s="1" t="n">
        <v>46033</v>
      </c>
      <c r="D2121" t="inlineStr">
        <is>
          <t>JÄMTLANDS LÄN</t>
        </is>
      </c>
      <c r="E2121" t="inlineStr">
        <is>
          <t>STRÖMSUND</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19029-2023</t>
        </is>
      </c>
      <c r="B2122" s="1" t="n">
        <v>45047</v>
      </c>
      <c r="C2122" s="1" t="n">
        <v>46033</v>
      </c>
      <c r="D2122" t="inlineStr">
        <is>
          <t>JÄMTLANDS LÄN</t>
        </is>
      </c>
      <c r="E2122" t="inlineStr">
        <is>
          <t>STRÖMSUND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45720-2022</t>
        </is>
      </c>
      <c r="B2123" s="1" t="n">
        <v>44845.95539351852</v>
      </c>
      <c r="C2123" s="1" t="n">
        <v>46033</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5261-2024</t>
        </is>
      </c>
      <c r="B2124" s="1" t="n">
        <v>45330.96133101852</v>
      </c>
      <c r="C2124" s="1" t="n">
        <v>46033</v>
      </c>
      <c r="D2124" t="inlineStr">
        <is>
          <t>JÄMTLANDS LÄN</t>
        </is>
      </c>
      <c r="E2124" t="inlineStr">
        <is>
          <t>STRÖMSUND</t>
        </is>
      </c>
      <c r="F2124" t="inlineStr">
        <is>
          <t>SCA</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2159-2021</t>
        </is>
      </c>
      <c r="B2125" s="1" t="n">
        <v>44211</v>
      </c>
      <c r="C2125" s="1" t="n">
        <v>46033</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43565-2023</t>
        </is>
      </c>
      <c r="B2126" s="1" t="n">
        <v>45181</v>
      </c>
      <c r="C2126" s="1" t="n">
        <v>46033</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33216-2021</t>
        </is>
      </c>
      <c r="B2127" s="1" t="n">
        <v>44376</v>
      </c>
      <c r="C2127" s="1" t="n">
        <v>46033</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43846-2021</t>
        </is>
      </c>
      <c r="B2128" s="1" t="n">
        <v>44433.94219907407</v>
      </c>
      <c r="C2128" s="1" t="n">
        <v>46033</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14460-2022</t>
        </is>
      </c>
      <c r="B2129" s="1" t="n">
        <v>44654.61942129629</v>
      </c>
      <c r="C2129" s="1" t="n">
        <v>46033</v>
      </c>
      <c r="D2129" t="inlineStr">
        <is>
          <t>JÄMTLANDS LÄN</t>
        </is>
      </c>
      <c r="E2129" t="inlineStr">
        <is>
          <t>STRÖMSUND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1798-2024</t>
        </is>
      </c>
      <c r="B2130" s="1" t="n">
        <v>45307</v>
      </c>
      <c r="C2130" s="1" t="n">
        <v>46033</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32673-2024</t>
        </is>
      </c>
      <c r="B2131" s="1" t="n">
        <v>45514.61270833333</v>
      </c>
      <c r="C2131" s="1" t="n">
        <v>46033</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9257-2025</t>
        </is>
      </c>
      <c r="B2132" s="1" t="n">
        <v>45714.59465277778</v>
      </c>
      <c r="C2132" s="1" t="n">
        <v>46033</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13924-2024</t>
        </is>
      </c>
      <c r="B2133" s="1" t="n">
        <v>45391.9315162037</v>
      </c>
      <c r="C2133" s="1" t="n">
        <v>46033</v>
      </c>
      <c r="D2133" t="inlineStr">
        <is>
          <t>JÄMTLANDS LÄN</t>
        </is>
      </c>
      <c r="E2133" t="inlineStr">
        <is>
          <t>STRÖMSUND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43146-2022</t>
        </is>
      </c>
      <c r="B2134" s="1" t="n">
        <v>44833</v>
      </c>
      <c r="C2134" s="1" t="n">
        <v>46033</v>
      </c>
      <c r="D2134" t="inlineStr">
        <is>
          <t>JÄMTLANDS LÄN</t>
        </is>
      </c>
      <c r="E2134" t="inlineStr">
        <is>
          <t>STRÖMSUND</t>
        </is>
      </c>
      <c r="F2134" t="inlineStr">
        <is>
          <t>SCA</t>
        </is>
      </c>
      <c r="G2134" t="n">
        <v>33.3</v>
      </c>
      <c r="H2134" t="n">
        <v>0</v>
      </c>
      <c r="I2134" t="n">
        <v>0</v>
      </c>
      <c r="J2134" t="n">
        <v>0</v>
      </c>
      <c r="K2134" t="n">
        <v>0</v>
      </c>
      <c r="L2134" t="n">
        <v>0</v>
      </c>
      <c r="M2134" t="n">
        <v>0</v>
      </c>
      <c r="N2134" t="n">
        <v>0</v>
      </c>
      <c r="O2134" t="n">
        <v>0</v>
      </c>
      <c r="P2134" t="n">
        <v>0</v>
      </c>
      <c r="Q2134" t="n">
        <v>0</v>
      </c>
      <c r="R2134" s="2" t="inlineStr"/>
    </row>
    <row r="2135" ht="15" customHeight="1">
      <c r="A2135" t="inlineStr">
        <is>
          <t>A 46980-2024</t>
        </is>
      </c>
      <c r="B2135" s="1" t="n">
        <v>45586.35054398148</v>
      </c>
      <c r="C2135" s="1" t="n">
        <v>46033</v>
      </c>
      <c r="D2135" t="inlineStr">
        <is>
          <t>JÄMTLANDS LÄN</t>
        </is>
      </c>
      <c r="E2135" t="inlineStr">
        <is>
          <t>STRÖMSUND</t>
        </is>
      </c>
      <c r="F2135" t="inlineStr">
        <is>
          <t>Holmen skog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34002-2023</t>
        </is>
      </c>
      <c r="B2136" s="1" t="n">
        <v>45134.95104166667</v>
      </c>
      <c r="C2136" s="1" t="n">
        <v>46033</v>
      </c>
      <c r="D2136" t="inlineStr">
        <is>
          <t>JÄMTLANDS LÄN</t>
        </is>
      </c>
      <c r="E2136" t="inlineStr">
        <is>
          <t>STRÖMSUND</t>
        </is>
      </c>
      <c r="F2136" t="inlineStr">
        <is>
          <t>SCA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30064-2024</t>
        </is>
      </c>
      <c r="B2137" s="1" t="n">
        <v>45488.94849537037</v>
      </c>
      <c r="C2137" s="1" t="n">
        <v>46033</v>
      </c>
      <c r="D2137" t="inlineStr">
        <is>
          <t>JÄMTLANDS LÄN</t>
        </is>
      </c>
      <c r="E2137" t="inlineStr">
        <is>
          <t>STRÖMSUND</t>
        </is>
      </c>
      <c r="F2137" t="inlineStr">
        <is>
          <t>SCA</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34723-2024</t>
        </is>
      </c>
      <c r="B2138" s="1" t="n">
        <v>45526.56865740741</v>
      </c>
      <c r="C2138" s="1" t="n">
        <v>46033</v>
      </c>
      <c r="D2138" t="inlineStr">
        <is>
          <t>JÄMTLANDS LÄN</t>
        </is>
      </c>
      <c r="E2138" t="inlineStr">
        <is>
          <t>STRÖMSUND</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8756-2025</t>
        </is>
      </c>
      <c r="B2139" s="1" t="n">
        <v>45712.57337962963</v>
      </c>
      <c r="C2139" s="1" t="n">
        <v>46033</v>
      </c>
      <c r="D2139" t="inlineStr">
        <is>
          <t>JÄMTLANDS LÄN</t>
        </is>
      </c>
      <c r="E2139" t="inlineStr">
        <is>
          <t>STRÖMSUND</t>
        </is>
      </c>
      <c r="F2139" t="inlineStr">
        <is>
          <t>SCA</t>
        </is>
      </c>
      <c r="G2139" t="n">
        <v>27.9</v>
      </c>
      <c r="H2139" t="n">
        <v>0</v>
      </c>
      <c r="I2139" t="n">
        <v>0</v>
      </c>
      <c r="J2139" t="n">
        <v>0</v>
      </c>
      <c r="K2139" t="n">
        <v>0</v>
      </c>
      <c r="L2139" t="n">
        <v>0</v>
      </c>
      <c r="M2139" t="n">
        <v>0</v>
      </c>
      <c r="N2139" t="n">
        <v>0</v>
      </c>
      <c r="O2139" t="n">
        <v>0</v>
      </c>
      <c r="P2139" t="n">
        <v>0</v>
      </c>
      <c r="Q2139" t="n">
        <v>0</v>
      </c>
      <c r="R2139" s="2" t="inlineStr"/>
    </row>
    <row r="2140" ht="15" customHeight="1">
      <c r="A2140" t="inlineStr">
        <is>
          <t>A 29841-2021</t>
        </is>
      </c>
      <c r="B2140" s="1" t="n">
        <v>44362</v>
      </c>
      <c r="C2140" s="1" t="n">
        <v>46033</v>
      </c>
      <c r="D2140" t="inlineStr">
        <is>
          <t>JÄMTLANDS LÄN</t>
        </is>
      </c>
      <c r="E2140" t="inlineStr">
        <is>
          <t>STRÖMSUND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37100-2022</t>
        </is>
      </c>
      <c r="B2141" s="1" t="n">
        <v>44806</v>
      </c>
      <c r="C2141" s="1" t="n">
        <v>46033</v>
      </c>
      <c r="D2141" t="inlineStr">
        <is>
          <t>JÄMTLANDS LÄN</t>
        </is>
      </c>
      <c r="E2141" t="inlineStr">
        <is>
          <t>STRÖMSUND</t>
        </is>
      </c>
      <c r="F2141" t="inlineStr">
        <is>
          <t>Kommuner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42005-2024</t>
        </is>
      </c>
      <c r="B2142" s="1" t="n">
        <v>45561.67761574074</v>
      </c>
      <c r="C2142" s="1" t="n">
        <v>46033</v>
      </c>
      <c r="D2142" t="inlineStr">
        <is>
          <t>JÄMTLANDS LÄN</t>
        </is>
      </c>
      <c r="E2142" t="inlineStr">
        <is>
          <t>STRÖMSUND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52818-2023</t>
        </is>
      </c>
      <c r="B2143" s="1" t="n">
        <v>45226.38400462963</v>
      </c>
      <c r="C2143" s="1" t="n">
        <v>46033</v>
      </c>
      <c r="D2143" t="inlineStr">
        <is>
          <t>JÄMTLANDS LÄN</t>
        </is>
      </c>
      <c r="E2143" t="inlineStr">
        <is>
          <t>STRÖMSUND</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52826-2023</t>
        </is>
      </c>
      <c r="B2144" s="1" t="n">
        <v>45226.40184027778</v>
      </c>
      <c r="C2144" s="1" t="n">
        <v>46033</v>
      </c>
      <c r="D2144" t="inlineStr">
        <is>
          <t>JÄMTLANDS LÄN</t>
        </is>
      </c>
      <c r="E2144" t="inlineStr">
        <is>
          <t>STRÖMSUND</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31491-2023</t>
        </is>
      </c>
      <c r="B2145" s="1" t="n">
        <v>45114</v>
      </c>
      <c r="C2145" s="1" t="n">
        <v>46033</v>
      </c>
      <c r="D2145" t="inlineStr">
        <is>
          <t>JÄMTLANDS LÄN</t>
        </is>
      </c>
      <c r="E2145" t="inlineStr">
        <is>
          <t>STRÖMSUND</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40936-2022</t>
        </is>
      </c>
      <c r="B2146" s="1" t="n">
        <v>44823</v>
      </c>
      <c r="C2146" s="1" t="n">
        <v>46033</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53884-2024</t>
        </is>
      </c>
      <c r="B2147" s="1" t="n">
        <v>45615.67789351852</v>
      </c>
      <c r="C2147" s="1" t="n">
        <v>46033</v>
      </c>
      <c r="D2147" t="inlineStr">
        <is>
          <t>JÄMTLANDS LÄN</t>
        </is>
      </c>
      <c r="E2147" t="inlineStr">
        <is>
          <t>STRÖMSUND</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28510-2024</t>
        </is>
      </c>
      <c r="B2148" s="1" t="n">
        <v>45477.94780092593</v>
      </c>
      <c r="C2148" s="1" t="n">
        <v>46033</v>
      </c>
      <c r="D2148" t="inlineStr">
        <is>
          <t>JÄMTLANDS LÄN</t>
        </is>
      </c>
      <c r="E2148" t="inlineStr">
        <is>
          <t>STRÖMSUND</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28511-2024</t>
        </is>
      </c>
      <c r="B2149" s="1" t="n">
        <v>45477.94787037037</v>
      </c>
      <c r="C2149" s="1" t="n">
        <v>46033</v>
      </c>
      <c r="D2149" t="inlineStr">
        <is>
          <t>JÄMTLANDS LÄN</t>
        </is>
      </c>
      <c r="E2149" t="inlineStr">
        <is>
          <t>STRÖMSUND</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51075-2023</t>
        </is>
      </c>
      <c r="B2150" s="1" t="n">
        <v>45211</v>
      </c>
      <c r="C2150" s="1" t="n">
        <v>46033</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44638-2024</t>
        </is>
      </c>
      <c r="B2151" s="1" t="n">
        <v>45574.51515046296</v>
      </c>
      <c r="C2151" s="1" t="n">
        <v>46033</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25378-2024</t>
        </is>
      </c>
      <c r="B2152" s="1" t="n">
        <v>45462.96231481482</v>
      </c>
      <c r="C2152" s="1" t="n">
        <v>46033</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30285-2023</t>
        </is>
      </c>
      <c r="B2153" s="1" t="n">
        <v>45110</v>
      </c>
      <c r="C2153" s="1" t="n">
        <v>46033</v>
      </c>
      <c r="D2153" t="inlineStr">
        <is>
          <t>JÄMTLANDS LÄN</t>
        </is>
      </c>
      <c r="E2153" t="inlineStr">
        <is>
          <t>STRÖMSUND</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26960-2024</t>
        </is>
      </c>
      <c r="B2154" s="1" t="n">
        <v>45470.97107638889</v>
      </c>
      <c r="C2154" s="1" t="n">
        <v>46033</v>
      </c>
      <c r="D2154" t="inlineStr">
        <is>
          <t>JÄMTLANDS LÄN</t>
        </is>
      </c>
      <c r="E2154" t="inlineStr">
        <is>
          <t>STRÖMSUND</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40408-2023</t>
        </is>
      </c>
      <c r="B2155" s="1" t="n">
        <v>45169.93861111111</v>
      </c>
      <c r="C2155" s="1" t="n">
        <v>46033</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61539-2024</t>
        </is>
      </c>
      <c r="B2156" s="1" t="n">
        <v>45646.59420138889</v>
      </c>
      <c r="C2156" s="1" t="n">
        <v>46033</v>
      </c>
      <c r="D2156" t="inlineStr">
        <is>
          <t>JÄMTLANDS LÄN</t>
        </is>
      </c>
      <c r="E2156" t="inlineStr">
        <is>
          <t>STRÖMSUND</t>
        </is>
      </c>
      <c r="F2156" t="inlineStr">
        <is>
          <t>SCA</t>
        </is>
      </c>
      <c r="G2156" t="n">
        <v>25.5</v>
      </c>
      <c r="H2156" t="n">
        <v>0</v>
      </c>
      <c r="I2156" t="n">
        <v>0</v>
      </c>
      <c r="J2156" t="n">
        <v>0</v>
      </c>
      <c r="K2156" t="n">
        <v>0</v>
      </c>
      <c r="L2156" t="n">
        <v>0</v>
      </c>
      <c r="M2156" t="n">
        <v>0</v>
      </c>
      <c r="N2156" t="n">
        <v>0</v>
      </c>
      <c r="O2156" t="n">
        <v>0</v>
      </c>
      <c r="P2156" t="n">
        <v>0</v>
      </c>
      <c r="Q2156" t="n">
        <v>0</v>
      </c>
      <c r="R2156" s="2" t="inlineStr"/>
    </row>
    <row r="2157" ht="15" customHeight="1">
      <c r="A2157" t="inlineStr">
        <is>
          <t>A 12188-2025</t>
        </is>
      </c>
      <c r="B2157" s="1" t="n">
        <v>45729.46936342592</v>
      </c>
      <c r="C2157" s="1" t="n">
        <v>46033</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56412-2022</t>
        </is>
      </c>
      <c r="B2158" s="1" t="n">
        <v>44890</v>
      </c>
      <c r="C2158" s="1" t="n">
        <v>46033</v>
      </c>
      <c r="D2158" t="inlineStr">
        <is>
          <t>JÄMTLANDS LÄN</t>
        </is>
      </c>
      <c r="E2158" t="inlineStr">
        <is>
          <t>STRÖMSUND</t>
        </is>
      </c>
      <c r="F2158" t="inlineStr">
        <is>
          <t>SCA</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39864-2024</t>
        </is>
      </c>
      <c r="B2159" s="1" t="n">
        <v>45553.4584375</v>
      </c>
      <c r="C2159" s="1" t="n">
        <v>46033</v>
      </c>
      <c r="D2159" t="inlineStr">
        <is>
          <t>JÄMTLANDS LÄN</t>
        </is>
      </c>
      <c r="E2159" t="inlineStr">
        <is>
          <t>STRÖMSUND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2624-2024</t>
        </is>
      </c>
      <c r="B2160" s="1" t="n">
        <v>45313</v>
      </c>
      <c r="C2160" s="1" t="n">
        <v>46033</v>
      </c>
      <c r="D2160" t="inlineStr">
        <is>
          <t>JÄMTLANDS LÄN</t>
        </is>
      </c>
      <c r="E2160" t="inlineStr">
        <is>
          <t>STRÖMSUND</t>
        </is>
      </c>
      <c r="F2160" t="inlineStr">
        <is>
          <t>SCA</t>
        </is>
      </c>
      <c r="G2160" t="n">
        <v>41.4</v>
      </c>
      <c r="H2160" t="n">
        <v>0</v>
      </c>
      <c r="I2160" t="n">
        <v>0</v>
      </c>
      <c r="J2160" t="n">
        <v>0</v>
      </c>
      <c r="K2160" t="n">
        <v>0</v>
      </c>
      <c r="L2160" t="n">
        <v>0</v>
      </c>
      <c r="M2160" t="n">
        <v>0</v>
      </c>
      <c r="N2160" t="n">
        <v>0</v>
      </c>
      <c r="O2160" t="n">
        <v>0</v>
      </c>
      <c r="P2160" t="n">
        <v>0</v>
      </c>
      <c r="Q2160" t="n">
        <v>0</v>
      </c>
      <c r="R2160" s="2" t="inlineStr"/>
    </row>
    <row r="2161" ht="15" customHeight="1">
      <c r="A2161" t="inlineStr">
        <is>
          <t>A 45411-2024</t>
        </is>
      </c>
      <c r="B2161" s="1" t="n">
        <v>45576.59405092592</v>
      </c>
      <c r="C2161" s="1" t="n">
        <v>46033</v>
      </c>
      <c r="D2161" t="inlineStr">
        <is>
          <t>JÄMTLANDS LÄN</t>
        </is>
      </c>
      <c r="E2161" t="inlineStr">
        <is>
          <t>STRÖMSUND</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58968-2024</t>
        </is>
      </c>
      <c r="B2162" s="1" t="n">
        <v>45636.59418981482</v>
      </c>
      <c r="C2162" s="1" t="n">
        <v>46033</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40354-2021</t>
        </is>
      </c>
      <c r="B2163" s="1" t="n">
        <v>44419</v>
      </c>
      <c r="C2163" s="1" t="n">
        <v>46033</v>
      </c>
      <c r="D2163" t="inlineStr">
        <is>
          <t>JÄMTLANDS LÄN</t>
        </is>
      </c>
      <c r="E2163" t="inlineStr">
        <is>
          <t>STRÖMSUND</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28754-2023</t>
        </is>
      </c>
      <c r="B2164" s="1" t="n">
        <v>45103.94185185185</v>
      </c>
      <c r="C2164" s="1" t="n">
        <v>46033</v>
      </c>
      <c r="D2164" t="inlineStr">
        <is>
          <t>JÄMTLANDS LÄN</t>
        </is>
      </c>
      <c r="E2164" t="inlineStr">
        <is>
          <t>STRÖMSUND</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50305-2022</t>
        </is>
      </c>
      <c r="B2165" s="1" t="n">
        <v>44865.92909722222</v>
      </c>
      <c r="C2165" s="1" t="n">
        <v>46033</v>
      </c>
      <c r="D2165" t="inlineStr">
        <is>
          <t>JÄMTLANDS LÄN</t>
        </is>
      </c>
      <c r="E2165" t="inlineStr">
        <is>
          <t>STRÖMSUND</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12666-2025</t>
        </is>
      </c>
      <c r="B2166" s="1" t="n">
        <v>45733.42768518518</v>
      </c>
      <c r="C2166" s="1" t="n">
        <v>46033</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44642-2023</t>
        </is>
      </c>
      <c r="B2167" s="1" t="n">
        <v>45184</v>
      </c>
      <c r="C2167" s="1" t="n">
        <v>46033</v>
      </c>
      <c r="D2167" t="inlineStr">
        <is>
          <t>JÄMTLANDS LÄN</t>
        </is>
      </c>
      <c r="E2167" t="inlineStr">
        <is>
          <t>STRÖMSUND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6836-2025</t>
        </is>
      </c>
      <c r="B2168" s="1" t="n">
        <v>45700.79859953704</v>
      </c>
      <c r="C2168" s="1" t="n">
        <v>46033</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56507-2024</t>
        </is>
      </c>
      <c r="B2169" s="1" t="n">
        <v>45625.51142361111</v>
      </c>
      <c r="C2169" s="1" t="n">
        <v>46033</v>
      </c>
      <c r="D2169" t="inlineStr">
        <is>
          <t>JÄMTLANDS LÄN</t>
        </is>
      </c>
      <c r="E2169" t="inlineStr">
        <is>
          <t>STRÖMSUND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56514-2024</t>
        </is>
      </c>
      <c r="B2170" s="1" t="n">
        <v>45625.53173611111</v>
      </c>
      <c r="C2170" s="1" t="n">
        <v>46033</v>
      </c>
      <c r="D2170" t="inlineStr">
        <is>
          <t>JÄMTLANDS LÄN</t>
        </is>
      </c>
      <c r="E2170" t="inlineStr">
        <is>
          <t>STRÖMSUND</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46033</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35185-2024</t>
        </is>
      </c>
      <c r="B2172" s="1" t="n">
        <v>45530.45151620371</v>
      </c>
      <c r="C2172" s="1" t="n">
        <v>46033</v>
      </c>
      <c r="D2172" t="inlineStr">
        <is>
          <t>JÄMTLANDS LÄN</t>
        </is>
      </c>
      <c r="E2172" t="inlineStr">
        <is>
          <t>STRÖMSUND</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43432-2022</t>
        </is>
      </c>
      <c r="B2173" s="1" t="n">
        <v>44834</v>
      </c>
      <c r="C2173" s="1" t="n">
        <v>46033</v>
      </c>
      <c r="D2173" t="inlineStr">
        <is>
          <t>JÄMTLANDS LÄN</t>
        </is>
      </c>
      <c r="E2173" t="inlineStr">
        <is>
          <t>STRÖMSUND</t>
        </is>
      </c>
      <c r="F2173" t="inlineStr">
        <is>
          <t>SCA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52736-2023</t>
        </is>
      </c>
      <c r="B2174" s="1" t="n">
        <v>45225.96627314815</v>
      </c>
      <c r="C2174" s="1" t="n">
        <v>46033</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57383-2023</t>
        </is>
      </c>
      <c r="B2175" s="1" t="n">
        <v>45245.92938657408</v>
      </c>
      <c r="C2175" s="1" t="n">
        <v>46033</v>
      </c>
      <c r="D2175" t="inlineStr">
        <is>
          <t>JÄMTLANDS LÄN</t>
        </is>
      </c>
      <c r="E2175" t="inlineStr">
        <is>
          <t>STRÖMSUND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44601-2024</t>
        </is>
      </c>
      <c r="B2176" s="1" t="n">
        <v>45574.51127314815</v>
      </c>
      <c r="C2176" s="1" t="n">
        <v>46033</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44615-2024</t>
        </is>
      </c>
      <c r="B2177" s="1" t="n">
        <v>45574.51277777777</v>
      </c>
      <c r="C2177" s="1" t="n">
        <v>46033</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c r="U2177">
        <f>HYPERLINK("https://klasma.github.io/Logging_2313/knärot/A 44615-2024 karta knärot.png", "A 44615-2024")</f>
        <v/>
      </c>
      <c r="V2177">
        <f>HYPERLINK("https://klasma.github.io/Logging_2313/klagomål/A 44615-2024 FSC-klagomål.docx", "A 44615-2024")</f>
        <v/>
      </c>
      <c r="W2177">
        <f>HYPERLINK("https://klasma.github.io/Logging_2313/klagomålsmail/A 44615-2024 FSC-klagomål mail.docx", "A 44615-2024")</f>
        <v/>
      </c>
      <c r="X2177">
        <f>HYPERLINK("https://klasma.github.io/Logging_2313/tillsyn/A 44615-2024 tillsynsbegäran.docx", "A 44615-2024")</f>
        <v/>
      </c>
      <c r="Y2177">
        <f>HYPERLINK("https://klasma.github.io/Logging_2313/tillsynsmail/A 44615-2024 tillsynsbegäran mail.docx", "A 44615-2024")</f>
        <v/>
      </c>
    </row>
    <row r="2178" ht="15" customHeight="1">
      <c r="A2178" t="inlineStr">
        <is>
          <t>A 44623-2024</t>
        </is>
      </c>
      <c r="B2178" s="1" t="n">
        <v>45574.51356481481</v>
      </c>
      <c r="C2178" s="1" t="n">
        <v>46033</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15522-2022</t>
        </is>
      </c>
      <c r="B2179" s="1" t="n">
        <v>44662</v>
      </c>
      <c r="C2179" s="1" t="n">
        <v>46033</v>
      </c>
      <c r="D2179" t="inlineStr">
        <is>
          <t>JÄMTLANDS LÄN</t>
        </is>
      </c>
      <c r="E2179" t="inlineStr">
        <is>
          <t>STRÖMSUND</t>
        </is>
      </c>
      <c r="G2179" t="n">
        <v>41.8</v>
      </c>
      <c r="H2179" t="n">
        <v>0</v>
      </c>
      <c r="I2179" t="n">
        <v>0</v>
      </c>
      <c r="J2179" t="n">
        <v>0</v>
      </c>
      <c r="K2179" t="n">
        <v>0</v>
      </c>
      <c r="L2179" t="n">
        <v>0</v>
      </c>
      <c r="M2179" t="n">
        <v>0</v>
      </c>
      <c r="N2179" t="n">
        <v>0</v>
      </c>
      <c r="O2179" t="n">
        <v>0</v>
      </c>
      <c r="P2179" t="n">
        <v>0</v>
      </c>
      <c r="Q2179" t="n">
        <v>0</v>
      </c>
      <c r="R2179" s="2" t="inlineStr"/>
    </row>
    <row r="2180" ht="15" customHeight="1">
      <c r="A2180" t="inlineStr">
        <is>
          <t>A 60002-2022</t>
        </is>
      </c>
      <c r="B2180" s="1" t="n">
        <v>44909</v>
      </c>
      <c r="C2180" s="1" t="n">
        <v>46033</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58449-2022</t>
        </is>
      </c>
      <c r="B2181" s="1" t="n">
        <v>44901.95508101852</v>
      </c>
      <c r="C2181" s="1" t="n">
        <v>46033</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42385-2024</t>
        </is>
      </c>
      <c r="B2182" s="1" t="n">
        <v>45562</v>
      </c>
      <c r="C2182" s="1" t="n">
        <v>46033</v>
      </c>
      <c r="D2182" t="inlineStr">
        <is>
          <t>JÄMTLANDS LÄN</t>
        </is>
      </c>
      <c r="E2182" t="inlineStr">
        <is>
          <t>STRÖMSUND</t>
        </is>
      </c>
      <c r="F2182" t="inlineStr">
        <is>
          <t>Övriga statliga verk och myndigheter</t>
        </is>
      </c>
      <c r="G2182" t="n">
        <v>4.1</v>
      </c>
      <c r="H2182" t="n">
        <v>0</v>
      </c>
      <c r="I2182" t="n">
        <v>0</v>
      </c>
      <c r="J2182" t="n">
        <v>0</v>
      </c>
      <c r="K2182" t="n">
        <v>0</v>
      </c>
      <c r="L2182" t="n">
        <v>0</v>
      </c>
      <c r="M2182" t="n">
        <v>0</v>
      </c>
      <c r="N2182" t="n">
        <v>0</v>
      </c>
      <c r="O2182" t="n">
        <v>0</v>
      </c>
      <c r="P2182" t="n">
        <v>0</v>
      </c>
      <c r="Q2182" t="n">
        <v>0</v>
      </c>
      <c r="R2182" s="2" t="inlineStr"/>
      <c r="T2182">
        <f>HYPERLINK("https://klasma.github.io/Logging_2313/kartor/A 42385-2024 karta.png", "A 42385-2024")</f>
        <v/>
      </c>
      <c r="V2182">
        <f>HYPERLINK("https://klasma.github.io/Logging_2313/klagomål/A 42385-2024 FSC-klagomål.docx", "A 42385-2024")</f>
        <v/>
      </c>
      <c r="W2182">
        <f>HYPERLINK("https://klasma.github.io/Logging_2313/klagomålsmail/A 42385-2024 FSC-klagomål mail.docx", "A 42385-2024")</f>
        <v/>
      </c>
      <c r="X2182">
        <f>HYPERLINK("https://klasma.github.io/Logging_2313/tillsyn/A 42385-2024 tillsynsbegäran.docx", "A 42385-2024")</f>
        <v/>
      </c>
      <c r="Y2182">
        <f>HYPERLINK("https://klasma.github.io/Logging_2313/tillsynsmail/A 42385-2024 tillsynsbegäran mail.docx", "A 42385-2024")</f>
        <v/>
      </c>
    </row>
    <row r="2183" ht="15" customHeight="1">
      <c r="A2183" t="inlineStr">
        <is>
          <t>A 24059-2024</t>
        </is>
      </c>
      <c r="B2183" s="1" t="n">
        <v>45456.53324074074</v>
      </c>
      <c r="C2183" s="1" t="n">
        <v>46033</v>
      </c>
      <c r="D2183" t="inlineStr">
        <is>
          <t>JÄMTLANDS LÄN</t>
        </is>
      </c>
      <c r="E2183" t="inlineStr">
        <is>
          <t>STRÖMSUND</t>
        </is>
      </c>
      <c r="F2183" t="inlineStr">
        <is>
          <t>Holmen skog AB</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59367-2022</t>
        </is>
      </c>
      <c r="B2184" s="1" t="n">
        <v>44904</v>
      </c>
      <c r="C2184" s="1" t="n">
        <v>46033</v>
      </c>
      <c r="D2184" t="inlineStr">
        <is>
          <t>JÄMTLANDS LÄN</t>
        </is>
      </c>
      <c r="E2184" t="inlineStr">
        <is>
          <t>STRÖMSUND</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10163-2025</t>
        </is>
      </c>
      <c r="B2185" s="1" t="n">
        <v>45719.64944444445</v>
      </c>
      <c r="C2185" s="1" t="n">
        <v>46033</v>
      </c>
      <c r="D2185" t="inlineStr">
        <is>
          <t>JÄMTLANDS LÄN</t>
        </is>
      </c>
      <c r="E2185" t="inlineStr">
        <is>
          <t>STRÖMSUND</t>
        </is>
      </c>
      <c r="F2185" t="inlineStr">
        <is>
          <t>Kyrkan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33787-2021</t>
        </is>
      </c>
      <c r="B2186" s="1" t="n">
        <v>44368</v>
      </c>
      <c r="C2186" s="1" t="n">
        <v>46033</v>
      </c>
      <c r="D2186" t="inlineStr">
        <is>
          <t>JÄMTLANDS LÄN</t>
        </is>
      </c>
      <c r="E2186" t="inlineStr">
        <is>
          <t>STRÖMSUND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63756-2023</t>
        </is>
      </c>
      <c r="B2187" s="1" t="n">
        <v>45278.30370370371</v>
      </c>
      <c r="C2187" s="1" t="n">
        <v>46033</v>
      </c>
      <c r="D2187" t="inlineStr">
        <is>
          <t>JÄMTLANDS LÄN</t>
        </is>
      </c>
      <c r="E2187" t="inlineStr">
        <is>
          <t>STRÖMSUND</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49370-2024</t>
        </is>
      </c>
      <c r="B2188" s="1" t="n">
        <v>45595.6412037037</v>
      </c>
      <c r="C2188" s="1" t="n">
        <v>46033</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18775-2023</t>
        </is>
      </c>
      <c r="B2189" s="1" t="n">
        <v>45043.94303240741</v>
      </c>
      <c r="C2189" s="1" t="n">
        <v>46033</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40140-2024</t>
        </is>
      </c>
      <c r="B2190" s="1" t="n">
        <v>45554</v>
      </c>
      <c r="C2190" s="1" t="n">
        <v>46033</v>
      </c>
      <c r="D2190" t="inlineStr">
        <is>
          <t>JÄMTLANDS LÄN</t>
        </is>
      </c>
      <c r="E2190" t="inlineStr">
        <is>
          <t>STRÖMSUND</t>
        </is>
      </c>
      <c r="F2190" t="inlineStr">
        <is>
          <t>Kyrkan</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1747-2023</t>
        </is>
      </c>
      <c r="B2191" s="1" t="n">
        <v>44936</v>
      </c>
      <c r="C2191" s="1" t="n">
        <v>46033</v>
      </c>
      <c r="D2191" t="inlineStr">
        <is>
          <t>JÄMTLANDS LÄN</t>
        </is>
      </c>
      <c r="E2191" t="inlineStr">
        <is>
          <t>STRÖMSUND</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41070-2024</t>
        </is>
      </c>
      <c r="B2192" s="1" t="n">
        <v>45559.39347222223</v>
      </c>
      <c r="C2192" s="1" t="n">
        <v>46033</v>
      </c>
      <c r="D2192" t="inlineStr">
        <is>
          <t>JÄMTLANDS LÄN</t>
        </is>
      </c>
      <c r="E2192" t="inlineStr">
        <is>
          <t>STRÖMSUND</t>
        </is>
      </c>
      <c r="F2192" t="inlineStr">
        <is>
          <t>Holmen skog AB</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59141-2024</t>
        </is>
      </c>
      <c r="B2193" s="1" t="n">
        <v>45637.44400462963</v>
      </c>
      <c r="C2193" s="1" t="n">
        <v>46033</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63140-2023</t>
        </is>
      </c>
      <c r="B2194" s="1" t="n">
        <v>45273.47074074074</v>
      </c>
      <c r="C2194" s="1" t="n">
        <v>46033</v>
      </c>
      <c r="D2194" t="inlineStr">
        <is>
          <t>JÄMTLANDS LÄN</t>
        </is>
      </c>
      <c r="E2194" t="inlineStr">
        <is>
          <t>STRÖMSUND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56961-2024</t>
        </is>
      </c>
      <c r="B2195" s="1" t="n">
        <v>45628.65688657408</v>
      </c>
      <c r="C2195" s="1" t="n">
        <v>46033</v>
      </c>
      <c r="D2195" t="inlineStr">
        <is>
          <t>JÄMTLANDS LÄN</t>
        </is>
      </c>
      <c r="E2195" t="inlineStr">
        <is>
          <t>STRÖMSUND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24197-2021</t>
        </is>
      </c>
      <c r="B2196" s="1" t="n">
        <v>44336</v>
      </c>
      <c r="C2196" s="1" t="n">
        <v>46033</v>
      </c>
      <c r="D2196" t="inlineStr">
        <is>
          <t>JÄMTLANDS LÄN</t>
        </is>
      </c>
      <c r="E2196" t="inlineStr">
        <is>
          <t>STRÖMSUND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61538-2024</t>
        </is>
      </c>
      <c r="B2197" s="1" t="n">
        <v>45646.5940625</v>
      </c>
      <c r="C2197" s="1" t="n">
        <v>46033</v>
      </c>
      <c r="D2197" t="inlineStr">
        <is>
          <t>JÄMTLANDS LÄN</t>
        </is>
      </c>
      <c r="E2197" t="inlineStr">
        <is>
          <t>STRÖMSUND</t>
        </is>
      </c>
      <c r="F2197" t="inlineStr">
        <is>
          <t>SCA</t>
        </is>
      </c>
      <c r="G2197" t="n">
        <v>24.4</v>
      </c>
      <c r="H2197" t="n">
        <v>0</v>
      </c>
      <c r="I2197" t="n">
        <v>0</v>
      </c>
      <c r="J2197" t="n">
        <v>0</v>
      </c>
      <c r="K2197" t="n">
        <v>0</v>
      </c>
      <c r="L2197" t="n">
        <v>0</v>
      </c>
      <c r="M2197" t="n">
        <v>0</v>
      </c>
      <c r="N2197" t="n">
        <v>0</v>
      </c>
      <c r="O2197" t="n">
        <v>0</v>
      </c>
      <c r="P2197" t="n">
        <v>0</v>
      </c>
      <c r="Q2197" t="n">
        <v>0</v>
      </c>
      <c r="R2197" s="2" t="inlineStr"/>
    </row>
    <row r="2198" ht="15" customHeight="1">
      <c r="A2198" t="inlineStr">
        <is>
          <t>A 52134-2023</t>
        </is>
      </c>
      <c r="B2198" s="1" t="n">
        <v>45223</v>
      </c>
      <c r="C2198" s="1" t="n">
        <v>46033</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1929-2024</t>
        </is>
      </c>
      <c r="B2199" s="1" t="n">
        <v>45308.45653935185</v>
      </c>
      <c r="C2199" s="1" t="n">
        <v>46033</v>
      </c>
      <c r="D2199" t="inlineStr">
        <is>
          <t>JÄMTLANDS LÄN</t>
        </is>
      </c>
      <c r="E2199" t="inlineStr">
        <is>
          <t>STRÖMSUND</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18146-2025</t>
        </is>
      </c>
      <c r="B2200" s="1" t="n">
        <v>45761.61534722222</v>
      </c>
      <c r="C2200" s="1" t="n">
        <v>46033</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52645-2024</t>
        </is>
      </c>
      <c r="B2201" s="1" t="n">
        <v>45610.34516203704</v>
      </c>
      <c r="C2201" s="1" t="n">
        <v>46033</v>
      </c>
      <c r="D2201" t="inlineStr">
        <is>
          <t>JÄMTLANDS LÄN</t>
        </is>
      </c>
      <c r="E2201" t="inlineStr">
        <is>
          <t>STRÖMSUND</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27643-2024</t>
        </is>
      </c>
      <c r="B2202" s="1" t="n">
        <v>45474.94711805556</v>
      </c>
      <c r="C2202" s="1" t="n">
        <v>46033</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57501-2023</t>
        </is>
      </c>
      <c r="B2203" s="1" t="n">
        <v>45246.42853009259</v>
      </c>
      <c r="C2203" s="1" t="n">
        <v>46033</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57504-2023</t>
        </is>
      </c>
      <c r="B2204" s="1" t="n">
        <v>45246.43067129629</v>
      </c>
      <c r="C2204" s="1" t="n">
        <v>46033</v>
      </c>
      <c r="D2204" t="inlineStr">
        <is>
          <t>JÄMTLANDS LÄN</t>
        </is>
      </c>
      <c r="E2204" t="inlineStr">
        <is>
          <t>STRÖMSUND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8743-2024</t>
        </is>
      </c>
      <c r="B2205" s="1" t="n">
        <v>45356</v>
      </c>
      <c r="C2205" s="1" t="n">
        <v>46033</v>
      </c>
      <c r="D2205" t="inlineStr">
        <is>
          <t>JÄMTLANDS LÄN</t>
        </is>
      </c>
      <c r="E2205" t="inlineStr">
        <is>
          <t>STRÖMSUND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29091-2024</t>
        </is>
      </c>
      <c r="B2206" s="1" t="n">
        <v>45481.93001157408</v>
      </c>
      <c r="C2206" s="1" t="n">
        <v>46033</v>
      </c>
      <c r="D2206" t="inlineStr">
        <is>
          <t>JÄMTLANDS LÄN</t>
        </is>
      </c>
      <c r="E2206" t="inlineStr">
        <is>
          <t>STRÖMSUND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29096-2024</t>
        </is>
      </c>
      <c r="B2207" s="1" t="n">
        <v>45481.9506712963</v>
      </c>
      <c r="C2207" s="1" t="n">
        <v>46033</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50335-2022</t>
        </is>
      </c>
      <c r="B2208" s="1" t="n">
        <v>44865.9521875</v>
      </c>
      <c r="C2208" s="1" t="n">
        <v>46033</v>
      </c>
      <c r="D2208" t="inlineStr">
        <is>
          <t>JÄMTLANDS LÄN</t>
        </is>
      </c>
      <c r="E2208" t="inlineStr">
        <is>
          <t>STRÖMSUND</t>
        </is>
      </c>
      <c r="F2208" t="inlineStr">
        <is>
          <t>SCA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293-2025</t>
        </is>
      </c>
      <c r="B2209" s="1" t="n">
        <v>45660.53192129629</v>
      </c>
      <c r="C2209" s="1" t="n">
        <v>46033</v>
      </c>
      <c r="D2209" t="inlineStr">
        <is>
          <t>JÄMTLANDS LÄN</t>
        </is>
      </c>
      <c r="E2209" t="inlineStr">
        <is>
          <t>STRÖMSUND</t>
        </is>
      </c>
      <c r="F2209" t="inlineStr">
        <is>
          <t>SCA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294-2025</t>
        </is>
      </c>
      <c r="B2210" s="1" t="n">
        <v>45660.53195601852</v>
      </c>
      <c r="C2210" s="1" t="n">
        <v>46033</v>
      </c>
      <c r="D2210" t="inlineStr">
        <is>
          <t>JÄMTLANDS LÄN</t>
        </is>
      </c>
      <c r="E2210" t="inlineStr">
        <is>
          <t>STRÖMSUND</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4315-2025</t>
        </is>
      </c>
      <c r="B2211" s="1" t="n">
        <v>45685.70465277778</v>
      </c>
      <c r="C2211" s="1" t="n">
        <v>46033</v>
      </c>
      <c r="D2211" t="inlineStr">
        <is>
          <t>JÄMTLANDS LÄN</t>
        </is>
      </c>
      <c r="E2211" t="inlineStr">
        <is>
          <t>STRÖMSUND</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25361-2024</t>
        </is>
      </c>
      <c r="B2212" s="1" t="n">
        <v>45462.95800925926</v>
      </c>
      <c r="C2212" s="1" t="n">
        <v>46033</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41939-2024</t>
        </is>
      </c>
      <c r="B2213" s="1" t="n">
        <v>45561.57342592593</v>
      </c>
      <c r="C2213" s="1" t="n">
        <v>46033</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51943-2024</t>
        </is>
      </c>
      <c r="B2214" s="1" t="n">
        <v>45607.63606481482</v>
      </c>
      <c r="C2214" s="1" t="n">
        <v>46033</v>
      </c>
      <c r="D2214" t="inlineStr">
        <is>
          <t>JÄMTLANDS LÄN</t>
        </is>
      </c>
      <c r="E2214" t="inlineStr">
        <is>
          <t>STRÖMSUND</t>
        </is>
      </c>
      <c r="F2214" t="inlineStr">
        <is>
          <t>SCA</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1546-2025</t>
        </is>
      </c>
      <c r="B2215" s="1" t="n">
        <v>45670</v>
      </c>
      <c r="C2215" s="1" t="n">
        <v>46033</v>
      </c>
      <c r="D2215" t="inlineStr">
        <is>
          <t>JÄMTLANDS LÄN</t>
        </is>
      </c>
      <c r="E2215" t="inlineStr">
        <is>
          <t>STRÖMSUND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57075-2024</t>
        </is>
      </c>
      <c r="B2216" s="1" t="n">
        <v>45629.35474537037</v>
      </c>
      <c r="C2216" s="1" t="n">
        <v>46033</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36959-2023</t>
        </is>
      </c>
      <c r="B2217" s="1" t="n">
        <v>45154.92638888889</v>
      </c>
      <c r="C2217" s="1" t="n">
        <v>46033</v>
      </c>
      <c r="D2217" t="inlineStr">
        <is>
          <t>JÄMTLANDS LÄN</t>
        </is>
      </c>
      <c r="E2217" t="inlineStr">
        <is>
          <t>STRÖMSUND</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27587-2024</t>
        </is>
      </c>
      <c r="B2218" s="1" t="n">
        <v>45474.66636574074</v>
      </c>
      <c r="C2218" s="1" t="n">
        <v>46033</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24488-2022</t>
        </is>
      </c>
      <c r="B2219" s="1" t="n">
        <v>44726</v>
      </c>
      <c r="C2219" s="1" t="n">
        <v>46033</v>
      </c>
      <c r="D2219" t="inlineStr">
        <is>
          <t>JÄMTLANDS LÄN</t>
        </is>
      </c>
      <c r="E2219" t="inlineStr">
        <is>
          <t>STRÖMSUND</t>
        </is>
      </c>
      <c r="G2219" t="n">
        <v>19.1</v>
      </c>
      <c r="H2219" t="n">
        <v>0</v>
      </c>
      <c r="I2219" t="n">
        <v>0</v>
      </c>
      <c r="J2219" t="n">
        <v>0</v>
      </c>
      <c r="K2219" t="n">
        <v>0</v>
      </c>
      <c r="L2219" t="n">
        <v>0</v>
      </c>
      <c r="M2219" t="n">
        <v>0</v>
      </c>
      <c r="N2219" t="n">
        <v>0</v>
      </c>
      <c r="O2219" t="n">
        <v>0</v>
      </c>
      <c r="P2219" t="n">
        <v>0</v>
      </c>
      <c r="Q2219" t="n">
        <v>0</v>
      </c>
      <c r="R2219" s="2" t="inlineStr"/>
    </row>
    <row r="2220" ht="15" customHeight="1">
      <c r="A2220" t="inlineStr">
        <is>
          <t>A 10583-2025</t>
        </is>
      </c>
      <c r="B2220" s="1" t="n">
        <v>45721</v>
      </c>
      <c r="C2220" s="1" t="n">
        <v>46033</v>
      </c>
      <c r="D2220" t="inlineStr">
        <is>
          <t>JÄMTLANDS LÄN</t>
        </is>
      </c>
      <c r="E2220" t="inlineStr">
        <is>
          <t>STRÖMSUND</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37632-2024</t>
        </is>
      </c>
      <c r="B2221" s="1" t="n">
        <v>45541</v>
      </c>
      <c r="C2221" s="1" t="n">
        <v>46033</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58027-2024</t>
        </is>
      </c>
      <c r="B2222" s="1" t="n">
        <v>45631</v>
      </c>
      <c r="C2222" s="1" t="n">
        <v>46033</v>
      </c>
      <c r="D2222" t="inlineStr">
        <is>
          <t>JÄMTLANDS LÄN</t>
        </is>
      </c>
      <c r="E2222" t="inlineStr">
        <is>
          <t>STRÖMSUND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13054-2025</t>
        </is>
      </c>
      <c r="B2223" s="1" t="n">
        <v>45734.59476851852</v>
      </c>
      <c r="C2223" s="1" t="n">
        <v>46033</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9956-2025</t>
        </is>
      </c>
      <c r="B2224" s="1" t="n">
        <v>45719.35915509259</v>
      </c>
      <c r="C2224" s="1" t="n">
        <v>46033</v>
      </c>
      <c r="D2224" t="inlineStr">
        <is>
          <t>JÄMTLANDS LÄN</t>
        </is>
      </c>
      <c r="E2224" t="inlineStr">
        <is>
          <t>STRÖMSUND</t>
        </is>
      </c>
      <c r="F2224" t="inlineStr">
        <is>
          <t>Holmen skog AB</t>
        </is>
      </c>
      <c r="G2224" t="n">
        <v>21.4</v>
      </c>
      <c r="H2224" t="n">
        <v>0</v>
      </c>
      <c r="I2224" t="n">
        <v>0</v>
      </c>
      <c r="J2224" t="n">
        <v>0</v>
      </c>
      <c r="K2224" t="n">
        <v>0</v>
      </c>
      <c r="L2224" t="n">
        <v>0</v>
      </c>
      <c r="M2224" t="n">
        <v>0</v>
      </c>
      <c r="N2224" t="n">
        <v>0</v>
      </c>
      <c r="O2224" t="n">
        <v>0</v>
      </c>
      <c r="P2224" t="n">
        <v>0</v>
      </c>
      <c r="Q2224" t="n">
        <v>0</v>
      </c>
      <c r="R2224" s="2" t="inlineStr"/>
    </row>
    <row r="2225" ht="15" customHeight="1">
      <c r="A2225" t="inlineStr">
        <is>
          <t>A 32907-2023</t>
        </is>
      </c>
      <c r="B2225" s="1" t="n">
        <v>45124</v>
      </c>
      <c r="C2225" s="1" t="n">
        <v>46033</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45124.95171296296</v>
      </c>
      <c r="C2226" s="1" t="n">
        <v>46033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53241-2024</t>
        </is>
      </c>
      <c r="B2227" s="1" t="n">
        <v>45613.87335648148</v>
      </c>
      <c r="C2227" s="1" t="n">
        <v>46033</v>
      </c>
      <c r="D2227" t="inlineStr">
        <is>
          <t>JÄMTLANDS LÄN</t>
        </is>
      </c>
      <c r="E2227" t="inlineStr">
        <is>
          <t>STRÖMSUND</t>
        </is>
      </c>
      <c r="G2227" t="n">
        <v>14.2</v>
      </c>
      <c r="H2227" t="n">
        <v>0</v>
      </c>
      <c r="I2227" t="n">
        <v>0</v>
      </c>
      <c r="J2227" t="n">
        <v>0</v>
      </c>
      <c r="K2227" t="n">
        <v>0</v>
      </c>
      <c r="L2227" t="n">
        <v>0</v>
      </c>
      <c r="M2227" t="n">
        <v>0</v>
      </c>
      <c r="N2227" t="n">
        <v>0</v>
      </c>
      <c r="O2227" t="n">
        <v>0</v>
      </c>
      <c r="P2227" t="n">
        <v>0</v>
      </c>
      <c r="Q2227" t="n">
        <v>0</v>
      </c>
      <c r="R2227" s="2" t="inlineStr"/>
    </row>
    <row r="2228" ht="15" customHeight="1">
      <c r="A2228" t="inlineStr">
        <is>
          <t>A 38301-2024</t>
        </is>
      </c>
      <c r="B2228" s="1" t="n">
        <v>45545.6360300926</v>
      </c>
      <c r="C2228" s="1" t="n">
        <v>46033</v>
      </c>
      <c r="D2228" t="inlineStr">
        <is>
          <t>JÄMTLANDS LÄN</t>
        </is>
      </c>
      <c r="E2228" t="inlineStr">
        <is>
          <t>STRÖMSUND</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14931-2025</t>
        </is>
      </c>
      <c r="B2229" s="1" t="n">
        <v>45743.55354166667</v>
      </c>
      <c r="C2229" s="1" t="n">
        <v>46033</v>
      </c>
      <c r="D2229" t="inlineStr">
        <is>
          <t>JÄMTLANDS LÄN</t>
        </is>
      </c>
      <c r="E2229" t="inlineStr">
        <is>
          <t>STRÖMSUND</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6583-2023</t>
        </is>
      </c>
      <c r="B2230" s="1" t="n">
        <v>44963</v>
      </c>
      <c r="C2230" s="1" t="n">
        <v>46033</v>
      </c>
      <c r="D2230" t="inlineStr">
        <is>
          <t>JÄMTLANDS LÄN</t>
        </is>
      </c>
      <c r="E2230" t="inlineStr">
        <is>
          <t>STRÖMSUND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33453-2023</t>
        </is>
      </c>
      <c r="B2231" s="1" t="n">
        <v>45130</v>
      </c>
      <c r="C2231" s="1" t="n">
        <v>46033</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50314-2022</t>
        </is>
      </c>
      <c r="B2232" s="1" t="n">
        <v>44865</v>
      </c>
      <c r="C2232" s="1" t="n">
        <v>46033</v>
      </c>
      <c r="D2232" t="inlineStr">
        <is>
          <t>JÄMTLANDS LÄN</t>
        </is>
      </c>
      <c r="E2232" t="inlineStr">
        <is>
          <t>STRÖMSUND</t>
        </is>
      </c>
      <c r="F2232" t="inlineStr">
        <is>
          <t>SCA</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36502-2023</t>
        </is>
      </c>
      <c r="B2233" s="1" t="n">
        <v>45152.95280092592</v>
      </c>
      <c r="C2233" s="1" t="n">
        <v>46033</v>
      </c>
      <c r="D2233" t="inlineStr">
        <is>
          <t>JÄMTLANDS LÄN</t>
        </is>
      </c>
      <c r="E2233" t="inlineStr">
        <is>
          <t>STRÖMSUND</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19726-2021</t>
        </is>
      </c>
      <c r="B2234" s="1" t="n">
        <v>44312</v>
      </c>
      <c r="C2234" s="1" t="n">
        <v>46033</v>
      </c>
      <c r="D2234" t="inlineStr">
        <is>
          <t>JÄMTLANDS LÄN</t>
        </is>
      </c>
      <c r="E2234" t="inlineStr">
        <is>
          <t>STRÖMSUND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45078.9421412037</v>
      </c>
      <c r="C2235" s="1" t="n">
        <v>46033</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40451-2024</t>
        </is>
      </c>
      <c r="B2236" s="1" t="n">
        <v>45555</v>
      </c>
      <c r="C2236" s="1" t="n">
        <v>46033</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22452-2024</t>
        </is>
      </c>
      <c r="B2237" s="1" t="n">
        <v>45446.94908564815</v>
      </c>
      <c r="C2237" s="1" t="n">
        <v>46033</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27160-2021</t>
        </is>
      </c>
      <c r="B2238" s="1" t="n">
        <v>44350</v>
      </c>
      <c r="C2238" s="1" t="n">
        <v>46033</v>
      </c>
      <c r="D2238" t="inlineStr">
        <is>
          <t>JÄMTLANDS LÄN</t>
        </is>
      </c>
      <c r="E2238" t="inlineStr">
        <is>
          <t>STRÖMSUND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26665-2023</t>
        </is>
      </c>
      <c r="B2239" s="1" t="n">
        <v>45092.94055555556</v>
      </c>
      <c r="C2239" s="1" t="n">
        <v>46033</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26666-2023</t>
        </is>
      </c>
      <c r="B2240" s="1" t="n">
        <v>45092.940625</v>
      </c>
      <c r="C2240" s="1" t="n">
        <v>46033</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57549-2023</t>
        </is>
      </c>
      <c r="B2241" s="1" t="n">
        <v>45246.48318287037</v>
      </c>
      <c r="C2241" s="1" t="n">
        <v>46033</v>
      </c>
      <c r="D2241" t="inlineStr">
        <is>
          <t>JÄMTLANDS LÄN</t>
        </is>
      </c>
      <c r="E2241" t="inlineStr">
        <is>
          <t>STRÖMSUND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46342-2022</t>
        </is>
      </c>
      <c r="B2242" s="1" t="n">
        <v>44847.9502199074</v>
      </c>
      <c r="C2242" s="1" t="n">
        <v>46033</v>
      </c>
      <c r="D2242" t="inlineStr">
        <is>
          <t>JÄMTLANDS LÄN</t>
        </is>
      </c>
      <c r="E2242" t="inlineStr">
        <is>
          <t>STRÖMSUND</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51757-2024</t>
        </is>
      </c>
      <c r="B2243" s="1" t="n">
        <v>45607.43525462963</v>
      </c>
      <c r="C2243" s="1" t="n">
        <v>46033</v>
      </c>
      <c r="D2243" t="inlineStr">
        <is>
          <t>JÄMTLANDS LÄN</t>
        </is>
      </c>
      <c r="E2243" t="inlineStr">
        <is>
          <t>STRÖMSUND</t>
        </is>
      </c>
      <c r="F2243" t="inlineStr">
        <is>
          <t>Kommuner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8660-2025</t>
        </is>
      </c>
      <c r="B2244" s="1" t="n">
        <v>45712.38979166667</v>
      </c>
      <c r="C2244" s="1" t="n">
        <v>46033</v>
      </c>
      <c r="D2244" t="inlineStr">
        <is>
          <t>JÄMTLANDS LÄN</t>
        </is>
      </c>
      <c r="E2244" t="inlineStr">
        <is>
          <t>STRÖMSUND</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63054-2023</t>
        </is>
      </c>
      <c r="B2245" s="1" t="n">
        <v>45272.92770833334</v>
      </c>
      <c r="C2245" s="1" t="n">
        <v>46033</v>
      </c>
      <c r="D2245" t="inlineStr">
        <is>
          <t>JÄMTLANDS LÄN</t>
        </is>
      </c>
      <c r="E2245" t="inlineStr">
        <is>
          <t>STRÖMSUND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53217-2024</t>
        </is>
      </c>
      <c r="B2246" s="1" t="n">
        <v>45612.83778935186</v>
      </c>
      <c r="C2246" s="1" t="n">
        <v>46033</v>
      </c>
      <c r="D2246" t="inlineStr">
        <is>
          <t>JÄMTLANDS LÄN</t>
        </is>
      </c>
      <c r="E2246" t="inlineStr">
        <is>
          <t>STRÖMSUND</t>
        </is>
      </c>
      <c r="G2246" t="n">
        <v>27.9</v>
      </c>
      <c r="H2246" t="n">
        <v>0</v>
      </c>
      <c r="I2246" t="n">
        <v>0</v>
      </c>
      <c r="J2246" t="n">
        <v>0</v>
      </c>
      <c r="K2246" t="n">
        <v>0</v>
      </c>
      <c r="L2246" t="n">
        <v>0</v>
      </c>
      <c r="M2246" t="n">
        <v>0</v>
      </c>
      <c r="N2246" t="n">
        <v>0</v>
      </c>
      <c r="O2246" t="n">
        <v>0</v>
      </c>
      <c r="P2246" t="n">
        <v>0</v>
      </c>
      <c r="Q2246" t="n">
        <v>0</v>
      </c>
      <c r="R2246" s="2" t="inlineStr"/>
    </row>
    <row r="2247" ht="15" customHeight="1">
      <c r="A2247" t="inlineStr">
        <is>
          <t>A 8050-2025</t>
        </is>
      </c>
      <c r="B2247" s="1" t="n">
        <v>45706</v>
      </c>
      <c r="C2247" s="1" t="n">
        <v>46033</v>
      </c>
      <c r="D2247" t="inlineStr">
        <is>
          <t>JÄMTLANDS LÄN</t>
        </is>
      </c>
      <c r="E2247" t="inlineStr">
        <is>
          <t>STRÖMSUND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31710-2024</t>
        </is>
      </c>
      <c r="B2248" s="1" t="n">
        <v>45508.9509837963</v>
      </c>
      <c r="C2248" s="1" t="n">
        <v>46033</v>
      </c>
      <c r="D2248" t="inlineStr">
        <is>
          <t>JÄMTLANDS LÄN</t>
        </is>
      </c>
      <c r="E2248" t="inlineStr">
        <is>
          <t>STRÖMSUND</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18252-2025</t>
        </is>
      </c>
      <c r="B2249" s="1" t="n">
        <v>45762.34435185185</v>
      </c>
      <c r="C2249" s="1" t="n">
        <v>46033</v>
      </c>
      <c r="D2249" t="inlineStr">
        <is>
          <t>JÄMTLANDS LÄN</t>
        </is>
      </c>
      <c r="E2249" t="inlineStr">
        <is>
          <t>STRÖMSUND</t>
        </is>
      </c>
      <c r="F2249" t="inlineStr">
        <is>
          <t>SCA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57083-2023</t>
        </is>
      </c>
      <c r="B2250" s="1" t="n">
        <v>45244</v>
      </c>
      <c r="C2250" s="1" t="n">
        <v>46033</v>
      </c>
      <c r="D2250" t="inlineStr">
        <is>
          <t>JÄMTLANDS LÄN</t>
        </is>
      </c>
      <c r="E2250" t="inlineStr">
        <is>
          <t>STRÖMSUND</t>
        </is>
      </c>
      <c r="F2250" t="inlineStr">
        <is>
          <t>SCA</t>
        </is>
      </c>
      <c r="G2250" t="n">
        <v>31.1</v>
      </c>
      <c r="H2250" t="n">
        <v>0</v>
      </c>
      <c r="I2250" t="n">
        <v>0</v>
      </c>
      <c r="J2250" t="n">
        <v>0</v>
      </c>
      <c r="K2250" t="n">
        <v>0</v>
      </c>
      <c r="L2250" t="n">
        <v>0</v>
      </c>
      <c r="M2250" t="n">
        <v>0</v>
      </c>
      <c r="N2250" t="n">
        <v>0</v>
      </c>
      <c r="O2250" t="n">
        <v>0</v>
      </c>
      <c r="P2250" t="n">
        <v>0</v>
      </c>
      <c r="Q2250" t="n">
        <v>0</v>
      </c>
      <c r="R2250" s="2" t="inlineStr"/>
    </row>
    <row r="2251" ht="15" customHeight="1">
      <c r="A2251" t="inlineStr">
        <is>
          <t>A 57476-2023</t>
        </is>
      </c>
      <c r="B2251" s="1" t="n">
        <v>45240</v>
      </c>
      <c r="C2251" s="1" t="n">
        <v>46033</v>
      </c>
      <c r="D2251" t="inlineStr">
        <is>
          <t>JÄMTLANDS LÄN</t>
        </is>
      </c>
      <c r="E2251" t="inlineStr">
        <is>
          <t>STRÖMSUND</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39939-2024</t>
        </is>
      </c>
      <c r="B2252" s="1" t="n">
        <v>45553</v>
      </c>
      <c r="C2252" s="1" t="n">
        <v>46033</v>
      </c>
      <c r="D2252" t="inlineStr">
        <is>
          <t>JÄMTLANDS LÄN</t>
        </is>
      </c>
      <c r="E2252" t="inlineStr">
        <is>
          <t>STRÖMSUND</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53328-2024</t>
        </is>
      </c>
      <c r="B2253" s="1" t="n">
        <v>45614.41456018519</v>
      </c>
      <c r="C2253" s="1" t="n">
        <v>46033</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49861-2023</t>
        </is>
      </c>
      <c r="B2254" s="1" t="n">
        <v>45212</v>
      </c>
      <c r="C2254" s="1" t="n">
        <v>46033</v>
      </c>
      <c r="D2254" t="inlineStr">
        <is>
          <t>JÄMTLANDS LÄN</t>
        </is>
      </c>
      <c r="E2254" t="inlineStr">
        <is>
          <t>STRÖMSUND</t>
        </is>
      </c>
      <c r="F2254" t="inlineStr">
        <is>
          <t>SCA</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55161-2024</t>
        </is>
      </c>
      <c r="B2255" s="1" t="n">
        <v>45621.51085648148</v>
      </c>
      <c r="C2255" s="1" t="n">
        <v>46033</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14671-2025</t>
        </is>
      </c>
      <c r="B2256" s="1" t="n">
        <v>45742</v>
      </c>
      <c r="C2256" s="1" t="n">
        <v>46033</v>
      </c>
      <c r="D2256" t="inlineStr">
        <is>
          <t>JÄMTLANDS LÄN</t>
        </is>
      </c>
      <c r="E2256" t="inlineStr">
        <is>
          <t>STRÖMSUND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57002-2022</t>
        </is>
      </c>
      <c r="B2257" s="1" t="n">
        <v>44894</v>
      </c>
      <c r="C2257" s="1" t="n">
        <v>46033</v>
      </c>
      <c r="D2257" t="inlineStr">
        <is>
          <t>JÄMTLANDS LÄN</t>
        </is>
      </c>
      <c r="E2257" t="inlineStr">
        <is>
          <t>STRÖMSUND</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54965-2024</t>
        </is>
      </c>
      <c r="B2258" s="1" t="n">
        <v>45620</v>
      </c>
      <c r="C2258" s="1" t="n">
        <v>46033</v>
      </c>
      <c r="D2258" t="inlineStr">
        <is>
          <t>JÄMTLANDS LÄN</t>
        </is>
      </c>
      <c r="E2258" t="inlineStr">
        <is>
          <t>STRÖMSUND</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60334-2023</t>
        </is>
      </c>
      <c r="B2259" s="1" t="n">
        <v>45258.95184027778</v>
      </c>
      <c r="C2259" s="1" t="n">
        <v>46033</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22966-2022</t>
        </is>
      </c>
      <c r="B2260" s="1" t="n">
        <v>44715.94222222222</v>
      </c>
      <c r="C2260" s="1" t="n">
        <v>46033</v>
      </c>
      <c r="D2260" t="inlineStr">
        <is>
          <t>JÄMTLANDS LÄN</t>
        </is>
      </c>
      <c r="E2260" t="inlineStr">
        <is>
          <t>STRÖMSUND</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38093-2024</t>
        </is>
      </c>
      <c r="B2261" s="1" t="n">
        <v>45545.34461805555</v>
      </c>
      <c r="C2261" s="1" t="n">
        <v>46033</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26048-2024</t>
        </is>
      </c>
      <c r="B2262" s="1" t="n">
        <v>45468.32363425926</v>
      </c>
      <c r="C2262" s="1" t="n">
        <v>46033</v>
      </c>
      <c r="D2262" t="inlineStr">
        <is>
          <t>JÄMTLANDS LÄN</t>
        </is>
      </c>
      <c r="E2262" t="inlineStr">
        <is>
          <t>STRÖMSUND</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40-2025</t>
        </is>
      </c>
      <c r="B2263" s="1" t="n">
        <v>45659.34428240741</v>
      </c>
      <c r="C2263" s="1" t="n">
        <v>46033</v>
      </c>
      <c r="D2263" t="inlineStr">
        <is>
          <t>JÄMTLANDS LÄN</t>
        </is>
      </c>
      <c r="E2263" t="inlineStr">
        <is>
          <t>STRÖMSUND</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7112-2024</t>
        </is>
      </c>
      <c r="B2264" s="1" t="n">
        <v>45343.95170138889</v>
      </c>
      <c r="C2264" s="1" t="n">
        <v>46033</v>
      </c>
      <c r="D2264" t="inlineStr">
        <is>
          <t>JÄMTLANDS LÄN</t>
        </is>
      </c>
      <c r="E2264" t="inlineStr">
        <is>
          <t>STRÖMSUND</t>
        </is>
      </c>
      <c r="F2264" t="inlineStr">
        <is>
          <t>SCA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30352-2024</t>
        </is>
      </c>
      <c r="B2265" s="1" t="n">
        <v>45490.95556712963</v>
      </c>
      <c r="C2265" s="1" t="n">
        <v>46033</v>
      </c>
      <c r="D2265" t="inlineStr">
        <is>
          <t>JÄMTLANDS LÄN</t>
        </is>
      </c>
      <c r="E2265" t="inlineStr">
        <is>
          <t>STRÖMSUND</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21546-2024</t>
        </is>
      </c>
      <c r="B2266" s="1" t="n">
        <v>45441.62353009259</v>
      </c>
      <c r="C2266" s="1" t="n">
        <v>46033</v>
      </c>
      <c r="D2266" t="inlineStr">
        <is>
          <t>JÄMTLANDS LÄN</t>
        </is>
      </c>
      <c r="E2266" t="inlineStr">
        <is>
          <t>STRÖMSUND</t>
        </is>
      </c>
      <c r="F2266" t="inlineStr">
        <is>
          <t>Holmen skog AB</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21551-2024</t>
        </is>
      </c>
      <c r="B2267" s="1" t="n">
        <v>45441.63265046296</v>
      </c>
      <c r="C2267" s="1" t="n">
        <v>46033</v>
      </c>
      <c r="D2267" t="inlineStr">
        <is>
          <t>JÄMTLANDS LÄN</t>
        </is>
      </c>
      <c r="E2267" t="inlineStr">
        <is>
          <t>STRÖMSUND</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26734-2022</t>
        </is>
      </c>
      <c r="B2268" s="1" t="n">
        <v>44739.94028935185</v>
      </c>
      <c r="C2268" s="1" t="n">
        <v>46033</v>
      </c>
      <c r="D2268" t="inlineStr">
        <is>
          <t>JÄMTLANDS LÄN</t>
        </is>
      </c>
      <c r="E2268" t="inlineStr">
        <is>
          <t>STRÖMSUND</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25960-2021</t>
        </is>
      </c>
      <c r="B2269" s="1" t="n">
        <v>44344.52144675926</v>
      </c>
      <c r="C2269" s="1" t="n">
        <v>46033</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41317-2024</t>
        </is>
      </c>
      <c r="B2270" s="1" t="n">
        <v>45559.63664351852</v>
      </c>
      <c r="C2270" s="1" t="n">
        <v>46033</v>
      </c>
      <c r="D2270" t="inlineStr">
        <is>
          <t>JÄMTLANDS LÄN</t>
        </is>
      </c>
      <c r="E2270" t="inlineStr">
        <is>
          <t>STRÖMSUND</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25371-2024</t>
        </is>
      </c>
      <c r="B2271" s="1" t="n">
        <v>45462.96038194445</v>
      </c>
      <c r="C2271" s="1" t="n">
        <v>46033</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51786-2023</t>
        </is>
      </c>
      <c r="B2272" s="1" t="n">
        <v>45222.83377314815</v>
      </c>
      <c r="C2272" s="1" t="n">
        <v>46033</v>
      </c>
      <c r="D2272" t="inlineStr">
        <is>
          <t>JÄMTLANDS LÄN</t>
        </is>
      </c>
      <c r="E2272" t="inlineStr">
        <is>
          <t>STRÖMSUND</t>
        </is>
      </c>
      <c r="F2272" t="inlineStr">
        <is>
          <t>Holmen skog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51795-2023</t>
        </is>
      </c>
      <c r="B2273" s="1" t="n">
        <v>45222</v>
      </c>
      <c r="C2273" s="1" t="n">
        <v>46033</v>
      </c>
      <c r="D2273" t="inlineStr">
        <is>
          <t>JÄMTLANDS LÄN</t>
        </is>
      </c>
      <c r="E2273" t="inlineStr">
        <is>
          <t>STRÖMSUND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1187-2023</t>
        </is>
      </c>
      <c r="B2274" s="1" t="n">
        <v>44930</v>
      </c>
      <c r="C2274" s="1" t="n">
        <v>46033</v>
      </c>
      <c r="D2274" t="inlineStr">
        <is>
          <t>JÄMTLANDS LÄN</t>
        </is>
      </c>
      <c r="E2274" t="inlineStr">
        <is>
          <t>STRÖMSUND</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536-2023</t>
        </is>
      </c>
      <c r="B2275" s="1" t="n">
        <v>44930</v>
      </c>
      <c r="C2275" s="1" t="n">
        <v>46033</v>
      </c>
      <c r="D2275" t="inlineStr">
        <is>
          <t>JÄMTLANDS LÄN</t>
        </is>
      </c>
      <c r="E2275" t="inlineStr">
        <is>
          <t>STRÖMSUND</t>
        </is>
      </c>
      <c r="G2275" t="n">
        <v>35.4</v>
      </c>
      <c r="H2275" t="n">
        <v>0</v>
      </c>
      <c r="I2275" t="n">
        <v>0</v>
      </c>
      <c r="J2275" t="n">
        <v>0</v>
      </c>
      <c r="K2275" t="n">
        <v>0</v>
      </c>
      <c r="L2275" t="n">
        <v>0</v>
      </c>
      <c r="M2275" t="n">
        <v>0</v>
      </c>
      <c r="N2275" t="n">
        <v>0</v>
      </c>
      <c r="O2275" t="n">
        <v>0</v>
      </c>
      <c r="P2275" t="n">
        <v>0</v>
      </c>
      <c r="Q2275" t="n">
        <v>0</v>
      </c>
      <c r="R2275" s="2" t="inlineStr"/>
    </row>
    <row r="2276" ht="15" customHeight="1">
      <c r="A2276" t="inlineStr">
        <is>
          <t>A 60905-2024</t>
        </is>
      </c>
      <c r="B2276" s="1" t="n">
        <v>45644</v>
      </c>
      <c r="C2276" s="1" t="n">
        <v>46033</v>
      </c>
      <c r="D2276" t="inlineStr">
        <is>
          <t>JÄMTLANDS LÄN</t>
        </is>
      </c>
      <c r="E2276" t="inlineStr">
        <is>
          <t>STRÖMSUND</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4045-2023</t>
        </is>
      </c>
      <c r="B2277" s="1" t="n">
        <v>44952.60439814815</v>
      </c>
      <c r="C2277" s="1" t="n">
        <v>46033</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20074-2025</t>
        </is>
      </c>
      <c r="B2278" s="1" t="n">
        <v>45772.44841435185</v>
      </c>
      <c r="C2278" s="1" t="n">
        <v>46033</v>
      </c>
      <c r="D2278" t="inlineStr">
        <is>
          <t>JÄMTLANDS LÄN</t>
        </is>
      </c>
      <c r="E2278" t="inlineStr">
        <is>
          <t>STRÖMSUND</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48564-2022</t>
        </is>
      </c>
      <c r="B2279" s="1" t="n">
        <v>44854</v>
      </c>
      <c r="C2279" s="1" t="n">
        <v>46033</v>
      </c>
      <c r="D2279" t="inlineStr">
        <is>
          <t>JÄMTLANDS LÄN</t>
        </is>
      </c>
      <c r="E2279" t="inlineStr">
        <is>
          <t>STRÖMSUND</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24965-2022</t>
        </is>
      </c>
      <c r="B2280" s="1" t="n">
        <v>44728</v>
      </c>
      <c r="C2280" s="1" t="n">
        <v>46033</v>
      </c>
      <c r="D2280" t="inlineStr">
        <is>
          <t>JÄMTLANDS LÄN</t>
        </is>
      </c>
      <c r="E2280" t="inlineStr">
        <is>
          <t>STRÖMSUND</t>
        </is>
      </c>
      <c r="G2280" t="n">
        <v>20.5</v>
      </c>
      <c r="H2280" t="n">
        <v>0</v>
      </c>
      <c r="I2280" t="n">
        <v>0</v>
      </c>
      <c r="J2280" t="n">
        <v>0</v>
      </c>
      <c r="K2280" t="n">
        <v>0</v>
      </c>
      <c r="L2280" t="n">
        <v>0</v>
      </c>
      <c r="M2280" t="n">
        <v>0</v>
      </c>
      <c r="N2280" t="n">
        <v>0</v>
      </c>
      <c r="O2280" t="n">
        <v>0</v>
      </c>
      <c r="P2280" t="n">
        <v>0</v>
      </c>
      <c r="Q2280" t="n">
        <v>0</v>
      </c>
      <c r="R2280" s="2" t="inlineStr"/>
    </row>
    <row r="2281" ht="15" customHeight="1">
      <c r="A2281" t="inlineStr">
        <is>
          <t>A 10144-2022</t>
        </is>
      </c>
      <c r="B2281" s="1" t="n">
        <v>44621</v>
      </c>
      <c r="C2281" s="1" t="n">
        <v>46033</v>
      </c>
      <c r="D2281" t="inlineStr">
        <is>
          <t>JÄMTLANDS LÄN</t>
        </is>
      </c>
      <c r="E2281" t="inlineStr">
        <is>
          <t>STRÖMSUND</t>
        </is>
      </c>
      <c r="F2281" t="inlineStr">
        <is>
          <t>SCA</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21146-2023</t>
        </is>
      </c>
      <c r="B2282" s="1" t="n">
        <v>45057</v>
      </c>
      <c r="C2282" s="1" t="n">
        <v>46033</v>
      </c>
      <c r="D2282" t="inlineStr">
        <is>
          <t>JÄMTLANDS LÄN</t>
        </is>
      </c>
      <c r="E2282" t="inlineStr">
        <is>
          <t>STRÖMSUND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58025-2022</t>
        </is>
      </c>
      <c r="B2283" s="1" t="n">
        <v>44893</v>
      </c>
      <c r="C2283" s="1" t="n">
        <v>46033</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60319-2021</t>
        </is>
      </c>
      <c r="B2284" s="1" t="n">
        <v>44495</v>
      </c>
      <c r="C2284" s="1" t="n">
        <v>46033</v>
      </c>
      <c r="D2284" t="inlineStr">
        <is>
          <t>JÄMTLANDS LÄN</t>
        </is>
      </c>
      <c r="E2284" t="inlineStr">
        <is>
          <t>STRÖMSUND</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9318-2025</t>
        </is>
      </c>
      <c r="B2285" s="1" t="n">
        <v>45714.71163194445</v>
      </c>
      <c r="C2285" s="1" t="n">
        <v>46033</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55156-2023</t>
        </is>
      </c>
      <c r="B2286" s="1" t="n">
        <v>45237</v>
      </c>
      <c r="C2286" s="1" t="n">
        <v>46033</v>
      </c>
      <c r="D2286" t="inlineStr">
        <is>
          <t>JÄMTLANDS LÄN</t>
        </is>
      </c>
      <c r="E2286" t="inlineStr">
        <is>
          <t>STRÖMSUND</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32153-2022</t>
        </is>
      </c>
      <c r="B2287" s="1" t="n">
        <v>44781</v>
      </c>
      <c r="C2287" s="1" t="n">
        <v>46033</v>
      </c>
      <c r="D2287" t="inlineStr">
        <is>
          <t>JÄMTLANDS LÄN</t>
        </is>
      </c>
      <c r="E2287" t="inlineStr">
        <is>
          <t>STRÖMSUND</t>
        </is>
      </c>
      <c r="G2287" t="n">
        <v>27.4</v>
      </c>
      <c r="H2287" t="n">
        <v>0</v>
      </c>
      <c r="I2287" t="n">
        <v>0</v>
      </c>
      <c r="J2287" t="n">
        <v>0</v>
      </c>
      <c r="K2287" t="n">
        <v>0</v>
      </c>
      <c r="L2287" t="n">
        <v>0</v>
      </c>
      <c r="M2287" t="n">
        <v>0</v>
      </c>
      <c r="N2287" t="n">
        <v>0</v>
      </c>
      <c r="O2287" t="n">
        <v>0</v>
      </c>
      <c r="P2287" t="n">
        <v>0</v>
      </c>
      <c r="Q2287" t="n">
        <v>0</v>
      </c>
      <c r="R2287" s="2" t="inlineStr"/>
    </row>
    <row r="2288" ht="15" customHeight="1">
      <c r="A2288" t="inlineStr">
        <is>
          <t>A 40090-2024</t>
        </is>
      </c>
      <c r="B2288" s="1" t="n">
        <v>45554</v>
      </c>
      <c r="C2288" s="1" t="n">
        <v>46033</v>
      </c>
      <c r="D2288" t="inlineStr">
        <is>
          <t>JÄMTLANDS LÄN</t>
        </is>
      </c>
      <c r="E2288" t="inlineStr">
        <is>
          <t>STRÖMSUND</t>
        </is>
      </c>
      <c r="F2288" t="inlineStr">
        <is>
          <t>Kyrkan</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34907-2023</t>
        </is>
      </c>
      <c r="B2289" s="1" t="n">
        <v>45141</v>
      </c>
      <c r="C2289" s="1" t="n">
        <v>46033</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35397-2024</t>
        </is>
      </c>
      <c r="B2290" s="1" t="n">
        <v>45531.40402777777</v>
      </c>
      <c r="C2290" s="1" t="n">
        <v>46033</v>
      </c>
      <c r="D2290" t="inlineStr">
        <is>
          <t>JÄMTLANDS LÄN</t>
        </is>
      </c>
      <c r="E2290" t="inlineStr">
        <is>
          <t>STRÖMSUND</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35410-2024</t>
        </is>
      </c>
      <c r="B2291" s="1" t="n">
        <v>45531.40701388889</v>
      </c>
      <c r="C2291" s="1" t="n">
        <v>46033</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48042-2023</t>
        </is>
      </c>
      <c r="B2292" s="1" t="n">
        <v>45204.82206018519</v>
      </c>
      <c r="C2292" s="1" t="n">
        <v>46033</v>
      </c>
      <c r="D2292" t="inlineStr">
        <is>
          <t>JÄMTLANDS LÄN</t>
        </is>
      </c>
      <c r="E2292" t="inlineStr">
        <is>
          <t>STRÖMSUND</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58584-2023</t>
        </is>
      </c>
      <c r="B2293" s="1" t="n">
        <v>45246</v>
      </c>
      <c r="C2293" s="1" t="n">
        <v>46033</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30809-2024</t>
        </is>
      </c>
      <c r="B2294" s="1" t="n">
        <v>45497</v>
      </c>
      <c r="C2294" s="1" t="n">
        <v>46033</v>
      </c>
      <c r="D2294" t="inlineStr">
        <is>
          <t>JÄMTLANDS LÄN</t>
        </is>
      </c>
      <c r="E2294" t="inlineStr">
        <is>
          <t>STRÖMSUND</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63362-2023</t>
        </is>
      </c>
      <c r="B2295" s="1" t="n">
        <v>45273</v>
      </c>
      <c r="C2295" s="1" t="n">
        <v>46033</v>
      </c>
      <c r="D2295" t="inlineStr">
        <is>
          <t>JÄMTLANDS LÄN</t>
        </is>
      </c>
      <c r="E2295" t="inlineStr">
        <is>
          <t>STRÖMSUND</t>
        </is>
      </c>
      <c r="G2295" t="n">
        <v>17.9</v>
      </c>
      <c r="H2295" t="n">
        <v>0</v>
      </c>
      <c r="I2295" t="n">
        <v>0</v>
      </c>
      <c r="J2295" t="n">
        <v>0</v>
      </c>
      <c r="K2295" t="n">
        <v>0</v>
      </c>
      <c r="L2295" t="n">
        <v>0</v>
      </c>
      <c r="M2295" t="n">
        <v>0</v>
      </c>
      <c r="N2295" t="n">
        <v>0</v>
      </c>
      <c r="O2295" t="n">
        <v>0</v>
      </c>
      <c r="P2295" t="n">
        <v>0</v>
      </c>
      <c r="Q2295" t="n">
        <v>0</v>
      </c>
      <c r="R2295" s="2" t="inlineStr"/>
    </row>
    <row r="2296" ht="15" customHeight="1">
      <c r="A2296" t="inlineStr">
        <is>
          <t>A 12097-2025</t>
        </is>
      </c>
      <c r="B2296" s="1" t="n">
        <v>45729.32767361111</v>
      </c>
      <c r="C2296" s="1" t="n">
        <v>46033</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12099-2025</t>
        </is>
      </c>
      <c r="B2297" s="1" t="n">
        <v>45729.32976851852</v>
      </c>
      <c r="C2297" s="1" t="n">
        <v>46033</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13494-2024</t>
        </is>
      </c>
      <c r="B2298" s="1" t="n">
        <v>45387</v>
      </c>
      <c r="C2298" s="1" t="n">
        <v>46033</v>
      </c>
      <c r="D2298" t="inlineStr">
        <is>
          <t>JÄMTLANDS LÄN</t>
        </is>
      </c>
      <c r="E2298" t="inlineStr">
        <is>
          <t>STRÖMSUND</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1126-2025</t>
        </is>
      </c>
      <c r="B2299" s="1" t="n">
        <v>45666.67743055556</v>
      </c>
      <c r="C2299" s="1" t="n">
        <v>46033</v>
      </c>
      <c r="D2299" t="inlineStr">
        <is>
          <t>JÄMTLANDS LÄN</t>
        </is>
      </c>
      <c r="E2299" t="inlineStr">
        <is>
          <t>STRÖMSUND</t>
        </is>
      </c>
      <c r="F2299" t="inlineStr">
        <is>
          <t>SCA</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41633-2024</t>
        </is>
      </c>
      <c r="B2300" s="1" t="n">
        <v>45560.61454861111</v>
      </c>
      <c r="C2300" s="1" t="n">
        <v>46033</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16236-2024</t>
        </is>
      </c>
      <c r="B2301" s="1" t="n">
        <v>45407.05668981482</v>
      </c>
      <c r="C2301" s="1" t="n">
        <v>46033</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54066-2023</t>
        </is>
      </c>
      <c r="B2302" s="1" t="n">
        <v>45231</v>
      </c>
      <c r="C2302" s="1" t="n">
        <v>46033</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33584-2024</t>
        </is>
      </c>
      <c r="B2303" s="1" t="n">
        <v>45520.34630787037</v>
      </c>
      <c r="C2303" s="1" t="n">
        <v>46033</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4514-2024</t>
        </is>
      </c>
      <c r="B2304" s="1" t="n">
        <v>45327</v>
      </c>
      <c r="C2304" s="1" t="n">
        <v>46033</v>
      </c>
      <c r="D2304" t="inlineStr">
        <is>
          <t>JÄMTLANDS LÄN</t>
        </is>
      </c>
      <c r="E2304" t="inlineStr">
        <is>
          <t>STRÖMSUND</t>
        </is>
      </c>
      <c r="F2304" t="inlineStr">
        <is>
          <t>Kyrkan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8364-2021</t>
        </is>
      </c>
      <c r="B2305" s="1" t="n">
        <v>44244</v>
      </c>
      <c r="C2305" s="1" t="n">
        <v>46033</v>
      </c>
      <c r="D2305" t="inlineStr">
        <is>
          <t>JÄMTLANDS LÄN</t>
        </is>
      </c>
      <c r="E2305" t="inlineStr">
        <is>
          <t>STRÖMSUND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64599-2023</t>
        </is>
      </c>
      <c r="B2306" s="1" t="n">
        <v>45281</v>
      </c>
      <c r="C2306" s="1" t="n">
        <v>46033</v>
      </c>
      <c r="D2306" t="inlineStr">
        <is>
          <t>JÄMTLANDS LÄN</t>
        </is>
      </c>
      <c r="E2306" t="inlineStr">
        <is>
          <t>STRÖMSUND</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56490-2023</t>
        </is>
      </c>
      <c r="B2307" s="1" t="n">
        <v>45237</v>
      </c>
      <c r="C2307" s="1" t="n">
        <v>46033</v>
      </c>
      <c r="D2307" t="inlineStr">
        <is>
          <t>JÄMTLANDS LÄN</t>
        </is>
      </c>
      <c r="E2307" t="inlineStr">
        <is>
          <t>STRÖMSUND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57894-2023</t>
        </is>
      </c>
      <c r="B2308" s="1" t="n">
        <v>45247.48508101852</v>
      </c>
      <c r="C2308" s="1" t="n">
        <v>46033</v>
      </c>
      <c r="D2308" t="inlineStr">
        <is>
          <t>JÄMTLANDS LÄN</t>
        </is>
      </c>
      <c r="E2308" t="inlineStr">
        <is>
          <t>STRÖMSUND</t>
        </is>
      </c>
      <c r="F2308" t="inlineStr">
        <is>
          <t>Kyrkan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48420-2023</t>
        </is>
      </c>
      <c r="B2309" s="1" t="n">
        <v>45205</v>
      </c>
      <c r="C2309" s="1" t="n">
        <v>46033</v>
      </c>
      <c r="D2309" t="inlineStr">
        <is>
          <t>JÄMTLANDS LÄN</t>
        </is>
      </c>
      <c r="E2309" t="inlineStr">
        <is>
          <t>STRÖMSUND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55459-2022</t>
        </is>
      </c>
      <c r="B2310" s="1" t="n">
        <v>44882</v>
      </c>
      <c r="C2310" s="1" t="n">
        <v>46033</v>
      </c>
      <c r="D2310" t="inlineStr">
        <is>
          <t>JÄMTLANDS LÄN</t>
        </is>
      </c>
      <c r="E2310" t="inlineStr">
        <is>
          <t>STRÖMSUND</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57431-2023</t>
        </is>
      </c>
      <c r="B2311" s="1" t="n">
        <v>45240</v>
      </c>
      <c r="C2311" s="1" t="n">
        <v>46033</v>
      </c>
      <c r="D2311" t="inlineStr">
        <is>
          <t>JÄMTLANDS LÄN</t>
        </is>
      </c>
      <c r="E2311" t="inlineStr">
        <is>
          <t>STRÖMSUND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34009-2023</t>
        </is>
      </c>
      <c r="B2312" s="1" t="n">
        <v>45134.95157407408</v>
      </c>
      <c r="C2312" s="1" t="n">
        <v>46033</v>
      </c>
      <c r="D2312" t="inlineStr">
        <is>
          <t>JÄMTLANDS LÄN</t>
        </is>
      </c>
      <c r="E2312" t="inlineStr">
        <is>
          <t>STRÖMSUND</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34010-2023</t>
        </is>
      </c>
      <c r="B2313" s="1" t="n">
        <v>45134</v>
      </c>
      <c r="C2313" s="1" t="n">
        <v>46033</v>
      </c>
      <c r="D2313" t="inlineStr">
        <is>
          <t>JÄMTLANDS LÄN</t>
        </is>
      </c>
      <c r="E2313" t="inlineStr">
        <is>
          <t>STRÖMSUND</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23310-2023</t>
        </is>
      </c>
      <c r="B2314" s="1" t="n">
        <v>45075</v>
      </c>
      <c r="C2314" s="1" t="n">
        <v>46033</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59568-2024</t>
        </is>
      </c>
      <c r="B2315" s="1" t="n">
        <v>45638.63901620371</v>
      </c>
      <c r="C2315" s="1" t="n">
        <v>46033</v>
      </c>
      <c r="D2315" t="inlineStr">
        <is>
          <t>JÄMTLANDS LÄN</t>
        </is>
      </c>
      <c r="E2315" t="inlineStr">
        <is>
          <t>STRÖMSUND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58183-2022</t>
        </is>
      </c>
      <c r="B2316" s="1" t="n">
        <v>44900.95614583333</v>
      </c>
      <c r="C2316" s="1" t="n">
        <v>46033</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52181-2022</t>
        </is>
      </c>
      <c r="B2317" s="1" t="n">
        <v>44868</v>
      </c>
      <c r="C2317" s="1" t="n">
        <v>46033</v>
      </c>
      <c r="D2317" t="inlineStr">
        <is>
          <t>JÄMTLANDS LÄN</t>
        </is>
      </c>
      <c r="E2317" t="inlineStr">
        <is>
          <t>STRÖMSUND</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51763-2024</t>
        </is>
      </c>
      <c r="B2318" s="1" t="n">
        <v>45607.44210648148</v>
      </c>
      <c r="C2318" s="1" t="n">
        <v>46033</v>
      </c>
      <c r="D2318" t="inlineStr">
        <is>
          <t>JÄMTLANDS LÄN</t>
        </is>
      </c>
      <c r="E2318" t="inlineStr">
        <is>
          <t>STRÖMSUND</t>
        </is>
      </c>
      <c r="F2318" t="inlineStr">
        <is>
          <t>Kommuner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51803-2024</t>
        </is>
      </c>
      <c r="B2319" s="1" t="n">
        <v>45607.47505787037</v>
      </c>
      <c r="C2319" s="1" t="n">
        <v>46033</v>
      </c>
      <c r="D2319" t="inlineStr">
        <is>
          <t>JÄMTLANDS LÄN</t>
        </is>
      </c>
      <c r="E2319" t="inlineStr">
        <is>
          <t>STRÖMSUND</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63875-2021</t>
        </is>
      </c>
      <c r="B2320" s="1" t="n">
        <v>44509</v>
      </c>
      <c r="C2320" s="1" t="n">
        <v>46033</v>
      </c>
      <c r="D2320" t="inlineStr">
        <is>
          <t>JÄMTLANDS LÄN</t>
        </is>
      </c>
      <c r="E2320" t="inlineStr">
        <is>
          <t>STRÖMSUND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22477-2023</t>
        </is>
      </c>
      <c r="B2321" s="1" t="n">
        <v>45070</v>
      </c>
      <c r="C2321" s="1" t="n">
        <v>46033</v>
      </c>
      <c r="D2321" t="inlineStr">
        <is>
          <t>JÄMTLANDS LÄN</t>
        </is>
      </c>
      <c r="E2321" t="inlineStr">
        <is>
          <t>STRÖMSUND</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42974-2024</t>
        </is>
      </c>
      <c r="B2322" s="1" t="n">
        <v>45567.37365740741</v>
      </c>
      <c r="C2322" s="1" t="n">
        <v>46033</v>
      </c>
      <c r="D2322" t="inlineStr">
        <is>
          <t>JÄMTLANDS LÄN</t>
        </is>
      </c>
      <c r="E2322" t="inlineStr">
        <is>
          <t>STRÖMSUND</t>
        </is>
      </c>
      <c r="F2322" t="inlineStr">
        <is>
          <t>SCA</t>
        </is>
      </c>
      <c r="G2322" t="n">
        <v>20.5</v>
      </c>
      <c r="H2322" t="n">
        <v>0</v>
      </c>
      <c r="I2322" t="n">
        <v>0</v>
      </c>
      <c r="J2322" t="n">
        <v>0</v>
      </c>
      <c r="K2322" t="n">
        <v>0</v>
      </c>
      <c r="L2322" t="n">
        <v>0</v>
      </c>
      <c r="M2322" t="n">
        <v>0</v>
      </c>
      <c r="N2322" t="n">
        <v>0</v>
      </c>
      <c r="O2322" t="n">
        <v>0</v>
      </c>
      <c r="P2322" t="n">
        <v>0</v>
      </c>
      <c r="Q2322" t="n">
        <v>0</v>
      </c>
      <c r="R2322" s="2" t="inlineStr"/>
    </row>
    <row r="2323" ht="15" customHeight="1">
      <c r="A2323" t="inlineStr">
        <is>
          <t>A 29040-2023</t>
        </is>
      </c>
      <c r="B2323" s="1" t="n">
        <v>45104.77545138889</v>
      </c>
      <c r="C2323" s="1" t="n">
        <v>46033</v>
      </c>
      <c r="D2323" t="inlineStr">
        <is>
          <t>JÄMTLANDS LÄN</t>
        </is>
      </c>
      <c r="E2323" t="inlineStr">
        <is>
          <t>STRÖMSUND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30832-2023</t>
        </is>
      </c>
      <c r="B2324" s="1" t="n">
        <v>45112</v>
      </c>
      <c r="C2324" s="1" t="n">
        <v>46033</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56513-2024</t>
        </is>
      </c>
      <c r="B2325" s="1" t="n">
        <v>45625.5315625</v>
      </c>
      <c r="C2325" s="1" t="n">
        <v>46033</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38283-2024</t>
        </is>
      </c>
      <c r="B2326" s="1" t="n">
        <v>45545.61560185185</v>
      </c>
      <c r="C2326" s="1" t="n">
        <v>46033</v>
      </c>
      <c r="D2326" t="inlineStr">
        <is>
          <t>JÄMTLANDS LÄN</t>
        </is>
      </c>
      <c r="E2326" t="inlineStr">
        <is>
          <t>STRÖMSUND</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15259-2022</t>
        </is>
      </c>
      <c r="B2327" s="1" t="n">
        <v>44659</v>
      </c>
      <c r="C2327" s="1" t="n">
        <v>46033</v>
      </c>
      <c r="D2327" t="inlineStr">
        <is>
          <t>JÄMTLANDS LÄN</t>
        </is>
      </c>
      <c r="E2327" t="inlineStr">
        <is>
          <t>STRÖMSUND</t>
        </is>
      </c>
      <c r="G2327" t="n">
        <v>52.4</v>
      </c>
      <c r="H2327" t="n">
        <v>0</v>
      </c>
      <c r="I2327" t="n">
        <v>0</v>
      </c>
      <c r="J2327" t="n">
        <v>0</v>
      </c>
      <c r="K2327" t="n">
        <v>0</v>
      </c>
      <c r="L2327" t="n">
        <v>0</v>
      </c>
      <c r="M2327" t="n">
        <v>0</v>
      </c>
      <c r="N2327" t="n">
        <v>0</v>
      </c>
      <c r="O2327" t="n">
        <v>0</v>
      </c>
      <c r="P2327" t="n">
        <v>0</v>
      </c>
      <c r="Q2327" t="n">
        <v>0</v>
      </c>
      <c r="R2327" s="2" t="inlineStr"/>
    </row>
    <row r="2328" ht="15" customHeight="1">
      <c r="A2328" t="inlineStr">
        <is>
          <t>A 23941-2024</t>
        </is>
      </c>
      <c r="B2328" s="1" t="n">
        <v>45455.9633912037</v>
      </c>
      <c r="C2328" s="1" t="n">
        <v>46033</v>
      </c>
      <c r="D2328" t="inlineStr">
        <is>
          <t>JÄMTLANDS LÄN</t>
        </is>
      </c>
      <c r="E2328" t="inlineStr">
        <is>
          <t>STRÖMSUND</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51074-2023</t>
        </is>
      </c>
      <c r="B2329" s="1" t="n">
        <v>45211</v>
      </c>
      <c r="C2329" s="1" t="n">
        <v>46033</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18236-2024</t>
        </is>
      </c>
      <c r="B2330" s="1" t="n">
        <v>45420</v>
      </c>
      <c r="C2330" s="1" t="n">
        <v>46033</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30842-2023</t>
        </is>
      </c>
      <c r="B2331" s="1" t="n">
        <v>45112.94435185185</v>
      </c>
      <c r="C2331" s="1" t="n">
        <v>46033</v>
      </c>
      <c r="D2331" t="inlineStr">
        <is>
          <t>JÄMTLANDS LÄN</t>
        </is>
      </c>
      <c r="E2331" t="inlineStr">
        <is>
          <t>STRÖMSUND</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52478-2023</t>
        </is>
      </c>
      <c r="B2332" s="1" t="n">
        <v>45225</v>
      </c>
      <c r="C2332" s="1" t="n">
        <v>46033</v>
      </c>
      <c r="D2332" t="inlineStr">
        <is>
          <t>JÄMTLANDS LÄN</t>
        </is>
      </c>
      <c r="E2332" t="inlineStr">
        <is>
          <t>STRÖMSUND</t>
        </is>
      </c>
      <c r="F2332" t="inlineStr">
        <is>
          <t>Holmen skog AB</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40398-2023</t>
        </is>
      </c>
      <c r="B2333" s="1" t="n">
        <v>45169.93782407408</v>
      </c>
      <c r="C2333" s="1" t="n">
        <v>46033</v>
      </c>
      <c r="D2333" t="inlineStr">
        <is>
          <t>JÄMTLANDS LÄN</t>
        </is>
      </c>
      <c r="E2333" t="inlineStr">
        <is>
          <t>STRÖMSUND</t>
        </is>
      </c>
      <c r="F2333" t="inlineStr">
        <is>
          <t>SCA</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58813-2024</t>
        </is>
      </c>
      <c r="B2334" s="1" t="n">
        <v>45636.34748842593</v>
      </c>
      <c r="C2334" s="1" t="n">
        <v>46033</v>
      </c>
      <c r="D2334" t="inlineStr">
        <is>
          <t>JÄMTLANDS LÄN</t>
        </is>
      </c>
      <c r="E2334" t="inlineStr">
        <is>
          <t>STRÖMSUND</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9798-2025</t>
        </is>
      </c>
      <c r="B2335" s="1" t="n">
        <v>45716.55252314815</v>
      </c>
      <c r="C2335" s="1" t="n">
        <v>46033</v>
      </c>
      <c r="D2335" t="inlineStr">
        <is>
          <t>JÄMTLANDS LÄN</t>
        </is>
      </c>
      <c r="E2335" t="inlineStr">
        <is>
          <t>STRÖMSUND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22346-2023</t>
        </is>
      </c>
      <c r="B2336" s="1" t="n">
        <v>45070.57097222222</v>
      </c>
      <c r="C2336" s="1" t="n">
        <v>46033</v>
      </c>
      <c r="D2336" t="inlineStr">
        <is>
          <t>JÄMTLANDS LÄN</t>
        </is>
      </c>
      <c r="E2336" t="inlineStr">
        <is>
          <t>STRÖMSUND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51696-2024</t>
        </is>
      </c>
      <c r="B2337" s="1" t="n">
        <v>45607.34748842593</v>
      </c>
      <c r="C2337" s="1" t="n">
        <v>46033</v>
      </c>
      <c r="D2337" t="inlineStr">
        <is>
          <t>JÄMTLANDS LÄN</t>
        </is>
      </c>
      <c r="E2337" t="inlineStr">
        <is>
          <t>STRÖMSUND</t>
        </is>
      </c>
      <c r="G2337" t="n">
        <v>11.7</v>
      </c>
      <c r="H2337" t="n">
        <v>0</v>
      </c>
      <c r="I2337" t="n">
        <v>0</v>
      </c>
      <c r="J2337" t="n">
        <v>0</v>
      </c>
      <c r="K2337" t="n">
        <v>0</v>
      </c>
      <c r="L2337" t="n">
        <v>0</v>
      </c>
      <c r="M2337" t="n">
        <v>0</v>
      </c>
      <c r="N2337" t="n">
        <v>0</v>
      </c>
      <c r="O2337" t="n">
        <v>0</v>
      </c>
      <c r="P2337" t="n">
        <v>0</v>
      </c>
      <c r="Q2337" t="n">
        <v>0</v>
      </c>
      <c r="R2337" s="2" t="inlineStr"/>
    </row>
    <row r="2338" ht="15" customHeight="1">
      <c r="A2338" t="inlineStr">
        <is>
          <t>A 19411-2025</t>
        </is>
      </c>
      <c r="B2338" s="1" t="n">
        <v>45769.69825231482</v>
      </c>
      <c r="C2338" s="1" t="n">
        <v>46033</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4523-2023</t>
        </is>
      </c>
      <c r="B2339" s="1" t="n">
        <v>44952</v>
      </c>
      <c r="C2339" s="1" t="n">
        <v>46033</v>
      </c>
      <c r="D2339" t="inlineStr">
        <is>
          <t>JÄMTLANDS LÄN</t>
        </is>
      </c>
      <c r="E2339" t="inlineStr">
        <is>
          <t>STRÖMSUND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4537-2023</t>
        </is>
      </c>
      <c r="B2340" s="1" t="n">
        <v>44952</v>
      </c>
      <c r="C2340" s="1" t="n">
        <v>46033</v>
      </c>
      <c r="D2340" t="inlineStr">
        <is>
          <t>JÄMTLANDS LÄN</t>
        </is>
      </c>
      <c r="E2340" t="inlineStr">
        <is>
          <t>STRÖMSUND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4621-2023</t>
        </is>
      </c>
      <c r="B2341" s="1" t="n">
        <v>44956.9399537037</v>
      </c>
      <c r="C2341" s="1" t="n">
        <v>46033</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5943-2025</t>
        </is>
      </c>
      <c r="B2342" s="1" t="n">
        <v>45695.46907407408</v>
      </c>
      <c r="C2342" s="1" t="n">
        <v>46033</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46033</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46033</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46033</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13782-2025</t>
        </is>
      </c>
      <c r="B2346" s="1" t="n">
        <v>45736</v>
      </c>
      <c r="C2346" s="1" t="n">
        <v>46033</v>
      </c>
      <c r="D2346" t="inlineStr">
        <is>
          <t>JÄMTLANDS LÄN</t>
        </is>
      </c>
      <c r="E2346" t="inlineStr">
        <is>
          <t>STRÖMSUND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10323-2022</t>
        </is>
      </c>
      <c r="B2347" s="1" t="n">
        <v>44622.94203703704</v>
      </c>
      <c r="C2347" s="1" t="n">
        <v>46033</v>
      </c>
      <c r="D2347" t="inlineStr">
        <is>
          <t>JÄMTLANDS LÄN</t>
        </is>
      </c>
      <c r="E2347" t="inlineStr">
        <is>
          <t>STRÖMSUND</t>
        </is>
      </c>
      <c r="F2347" t="inlineStr">
        <is>
          <t>SCA</t>
        </is>
      </c>
      <c r="G2347" t="n">
        <v>6.2</v>
      </c>
      <c r="H2347" t="n">
        <v>0</v>
      </c>
      <c r="I2347" t="n">
        <v>0</v>
      </c>
      <c r="J2347" t="n">
        <v>0</v>
      </c>
      <c r="K2347" t="n">
        <v>0</v>
      </c>
      <c r="L2347" t="n">
        <v>0</v>
      </c>
      <c r="M2347" t="n">
        <v>0</v>
      </c>
      <c r="N2347" t="n">
        <v>0</v>
      </c>
      <c r="O2347" t="n">
        <v>0</v>
      </c>
      <c r="P2347" t="n">
        <v>0</v>
      </c>
      <c r="Q2347" t="n">
        <v>0</v>
      </c>
      <c r="R2347" s="2" t="inlineStr"/>
      <c r="U2347">
        <f>HYPERLINK("https://klasma.github.io/Logging_2313/knärot/A 10323-2022 karta knärot.png", "A 10323-2022")</f>
        <v/>
      </c>
      <c r="V2347">
        <f>HYPERLINK("https://klasma.github.io/Logging_2313/klagomål/A 10323-2022 FSC-klagomål.docx", "A 10323-2022")</f>
        <v/>
      </c>
      <c r="W2347">
        <f>HYPERLINK("https://klasma.github.io/Logging_2313/klagomålsmail/A 10323-2022 FSC-klagomål mail.docx", "A 10323-2022")</f>
        <v/>
      </c>
      <c r="X2347">
        <f>HYPERLINK("https://klasma.github.io/Logging_2313/tillsyn/A 10323-2022 tillsynsbegäran.docx", "A 10323-2022")</f>
        <v/>
      </c>
      <c r="Y2347">
        <f>HYPERLINK("https://klasma.github.io/Logging_2313/tillsynsmail/A 10323-2022 tillsynsbegäran mail.docx", "A 10323-2022")</f>
        <v/>
      </c>
    </row>
    <row r="2348" ht="15" customHeight="1">
      <c r="A2348" t="inlineStr">
        <is>
          <t>A 13684-2023</t>
        </is>
      </c>
      <c r="B2348" s="1" t="n">
        <v>45006</v>
      </c>
      <c r="C2348" s="1" t="n">
        <v>46033</v>
      </c>
      <c r="D2348" t="inlineStr">
        <is>
          <t>JÄMTLANDS LÄN</t>
        </is>
      </c>
      <c r="E2348" t="inlineStr">
        <is>
          <t>STRÖMSUND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28405-2023</t>
        </is>
      </c>
      <c r="B2349" s="1" t="n">
        <v>45100.93861111111</v>
      </c>
      <c r="C2349" s="1" t="n">
        <v>46033</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9195-2025</t>
        </is>
      </c>
      <c r="B2350" s="1" t="n">
        <v>45714.46916666667</v>
      </c>
      <c r="C2350" s="1" t="n">
        <v>46033</v>
      </c>
      <c r="D2350" t="inlineStr">
        <is>
          <t>JÄMTLANDS LÄN</t>
        </is>
      </c>
      <c r="E2350" t="inlineStr">
        <is>
          <t>STRÖMSUND</t>
        </is>
      </c>
      <c r="F2350" t="inlineStr">
        <is>
          <t>SCA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55219-2024</t>
        </is>
      </c>
      <c r="B2351" s="1" t="n">
        <v>45621.57325231482</v>
      </c>
      <c r="C2351" s="1" t="n">
        <v>46033</v>
      </c>
      <c r="D2351" t="inlineStr">
        <is>
          <t>JÄMTLANDS LÄN</t>
        </is>
      </c>
      <c r="E2351" t="inlineStr">
        <is>
          <t>STRÖMSUND</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13654-2025</t>
        </is>
      </c>
      <c r="B2352" s="1" t="n">
        <v>45736.71942129629</v>
      </c>
      <c r="C2352" s="1" t="n">
        <v>46033</v>
      </c>
      <c r="D2352" t="inlineStr">
        <is>
          <t>JÄMTLANDS LÄN</t>
        </is>
      </c>
      <c r="E2352" t="inlineStr">
        <is>
          <t>STRÖMSUND</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3027-2023</t>
        </is>
      </c>
      <c r="B2353" s="1" t="n">
        <v>44945</v>
      </c>
      <c r="C2353" s="1" t="n">
        <v>46033</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54478-2023</t>
        </is>
      </c>
      <c r="B2354" s="1" t="n">
        <v>45233</v>
      </c>
      <c r="C2354" s="1" t="n">
        <v>46033</v>
      </c>
      <c r="D2354" t="inlineStr">
        <is>
          <t>JÄMTLANDS LÄN</t>
        </is>
      </c>
      <c r="E2354" t="inlineStr">
        <is>
          <t>STRÖMSUND</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13146-2025</t>
        </is>
      </c>
      <c r="B2355" s="1" t="n">
        <v>45734</v>
      </c>
      <c r="C2355" s="1" t="n">
        <v>46033</v>
      </c>
      <c r="D2355" t="inlineStr">
        <is>
          <t>JÄMTLANDS LÄN</t>
        </is>
      </c>
      <c r="E2355" t="inlineStr">
        <is>
          <t>STRÖMSUND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55177-2023</t>
        </is>
      </c>
      <c r="B2356" s="1" t="n">
        <v>45237</v>
      </c>
      <c r="C2356" s="1" t="n">
        <v>46033</v>
      </c>
      <c r="D2356" t="inlineStr">
        <is>
          <t>JÄMTLANDS LÄN</t>
        </is>
      </c>
      <c r="E2356" t="inlineStr">
        <is>
          <t>STRÖMSUND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36914-2024</t>
        </is>
      </c>
      <c r="B2357" s="1" t="n">
        <v>45538.63628472222</v>
      </c>
      <c r="C2357" s="1" t="n">
        <v>46033</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12042-2023</t>
        </is>
      </c>
      <c r="B2358" s="1" t="n">
        <v>44995.98364583333</v>
      </c>
      <c r="C2358" s="1" t="n">
        <v>46033</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15207-2023</t>
        </is>
      </c>
      <c r="B2359" s="1" t="n">
        <v>45018</v>
      </c>
      <c r="C2359" s="1" t="n">
        <v>46033</v>
      </c>
      <c r="D2359" t="inlineStr">
        <is>
          <t>JÄMTLANDS LÄN</t>
        </is>
      </c>
      <c r="E2359" t="inlineStr">
        <is>
          <t>STRÖMSUND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16310-2025</t>
        </is>
      </c>
      <c r="B2360" s="1" t="n">
        <v>45751.34716435185</v>
      </c>
      <c r="C2360" s="1" t="n">
        <v>46033</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5451-2024</t>
        </is>
      </c>
      <c r="B2361" s="1" t="n">
        <v>45331.95231481481</v>
      </c>
      <c r="C2361" s="1" t="n">
        <v>46033</v>
      </c>
      <c r="D2361" t="inlineStr">
        <is>
          <t>JÄMTLANDS LÄN</t>
        </is>
      </c>
      <c r="E2361" t="inlineStr">
        <is>
          <t>STRÖMSUND</t>
        </is>
      </c>
      <c r="F2361" t="inlineStr">
        <is>
          <t>SCA</t>
        </is>
      </c>
      <c r="G2361" t="n">
        <v>13.5</v>
      </c>
      <c r="H2361" t="n">
        <v>0</v>
      </c>
      <c r="I2361" t="n">
        <v>0</v>
      </c>
      <c r="J2361" t="n">
        <v>0</v>
      </c>
      <c r="K2361" t="n">
        <v>0</v>
      </c>
      <c r="L2361" t="n">
        <v>0</v>
      </c>
      <c r="M2361" t="n">
        <v>0</v>
      </c>
      <c r="N2361" t="n">
        <v>0</v>
      </c>
      <c r="O2361" t="n">
        <v>0</v>
      </c>
      <c r="P2361" t="n">
        <v>0</v>
      </c>
      <c r="Q2361" t="n">
        <v>0</v>
      </c>
      <c r="R2361" s="2" t="inlineStr"/>
    </row>
    <row r="2362" ht="15" customHeight="1">
      <c r="A2362" t="inlineStr">
        <is>
          <t>A 37441-2024</t>
        </is>
      </c>
      <c r="B2362" s="1" t="n">
        <v>45540</v>
      </c>
      <c r="C2362" s="1" t="n">
        <v>46033</v>
      </c>
      <c r="D2362" t="inlineStr">
        <is>
          <t>JÄMTLANDS LÄN</t>
        </is>
      </c>
      <c r="E2362" t="inlineStr">
        <is>
          <t>STRÖMSUND</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28705-2022</t>
        </is>
      </c>
      <c r="B2363" s="1" t="n">
        <v>44748.90450231481</v>
      </c>
      <c r="C2363" s="1" t="n">
        <v>46033</v>
      </c>
      <c r="D2363" t="inlineStr">
        <is>
          <t>JÄMTLANDS LÄN</t>
        </is>
      </c>
      <c r="E2363" t="inlineStr">
        <is>
          <t>STRÖMSUND</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6566-2024</t>
        </is>
      </c>
      <c r="B2364" s="1" t="n">
        <v>45341.46119212963</v>
      </c>
      <c r="C2364" s="1" t="n">
        <v>46033</v>
      </c>
      <c r="D2364" t="inlineStr">
        <is>
          <t>JÄMTLANDS LÄN</t>
        </is>
      </c>
      <c r="E2364" t="inlineStr">
        <is>
          <t>STRÖMSUND</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6961-2024</t>
        </is>
      </c>
      <c r="B2365" s="1" t="n">
        <v>45343</v>
      </c>
      <c r="C2365" s="1" t="n">
        <v>46033</v>
      </c>
      <c r="D2365" t="inlineStr">
        <is>
          <t>JÄMTLANDS LÄN</t>
        </is>
      </c>
      <c r="E2365" t="inlineStr">
        <is>
          <t>STRÖMSUND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5642-2022</t>
        </is>
      </c>
      <c r="B2366" s="1" t="n">
        <v>44595.92322916666</v>
      </c>
      <c r="C2366" s="1" t="n">
        <v>46033</v>
      </c>
      <c r="D2366" t="inlineStr">
        <is>
          <t>JÄMTLANDS LÄN</t>
        </is>
      </c>
      <c r="E2366" t="inlineStr">
        <is>
          <t>STRÖMSUND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53218-2024</t>
        </is>
      </c>
      <c r="B2367" s="1" t="n">
        <v>45612.84146990741</v>
      </c>
      <c r="C2367" s="1" t="n">
        <v>46033</v>
      </c>
      <c r="D2367" t="inlineStr">
        <is>
          <t>JÄMTLANDS LÄN</t>
        </is>
      </c>
      <c r="E2367" t="inlineStr">
        <is>
          <t>STRÖMSUND</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20274-2024</t>
        </is>
      </c>
      <c r="B2368" s="1" t="n">
        <v>45434.949375</v>
      </c>
      <c r="C2368" s="1" t="n">
        <v>46033</v>
      </c>
      <c r="D2368" t="inlineStr">
        <is>
          <t>JÄMTLANDS LÄN</t>
        </is>
      </c>
      <c r="E2368" t="inlineStr">
        <is>
          <t>STRÖMSUND</t>
        </is>
      </c>
      <c r="F2368" t="inlineStr">
        <is>
          <t>SCA</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8720-2025</t>
        </is>
      </c>
      <c r="B2369" s="1" t="n">
        <v>45712.50850694445</v>
      </c>
      <c r="C2369" s="1" t="n">
        <v>46033</v>
      </c>
      <c r="D2369" t="inlineStr">
        <is>
          <t>JÄMTLANDS LÄN</t>
        </is>
      </c>
      <c r="E2369" t="inlineStr">
        <is>
          <t>STRÖMSUND</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13899-2025</t>
        </is>
      </c>
      <c r="B2370" s="1" t="n">
        <v>45737</v>
      </c>
      <c r="C2370" s="1" t="n">
        <v>46033</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1952-2023</t>
        </is>
      </c>
      <c r="B2371" s="1" t="n">
        <v>44938</v>
      </c>
      <c r="C2371" s="1" t="n">
        <v>46033</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24301-2023</t>
        </is>
      </c>
      <c r="B2372" s="1" t="n">
        <v>45079.94189814815</v>
      </c>
      <c r="C2372" s="1" t="n">
        <v>46033</v>
      </c>
      <c r="D2372" t="inlineStr">
        <is>
          <t>JÄMTLANDS LÄN</t>
        </is>
      </c>
      <c r="E2372" t="inlineStr">
        <is>
          <t>STRÖMSUND</t>
        </is>
      </c>
      <c r="F2372" t="inlineStr">
        <is>
          <t>SCA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32231-2023</t>
        </is>
      </c>
      <c r="B2373" s="1" t="n">
        <v>45119.94349537037</v>
      </c>
      <c r="C2373" s="1" t="n">
        <v>46033</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9514-2024</t>
        </is>
      </c>
      <c r="B2374" s="1" t="n">
        <v>45359</v>
      </c>
      <c r="C2374" s="1" t="n">
        <v>46033</v>
      </c>
      <c r="D2374" t="inlineStr">
        <is>
          <t>JÄMTLANDS LÄN</t>
        </is>
      </c>
      <c r="E2374" t="inlineStr">
        <is>
          <t>STRÖMSUND</t>
        </is>
      </c>
      <c r="G2374" t="n">
        <v>15.9</v>
      </c>
      <c r="H2374" t="n">
        <v>0</v>
      </c>
      <c r="I2374" t="n">
        <v>0</v>
      </c>
      <c r="J2374" t="n">
        <v>0</v>
      </c>
      <c r="K2374" t="n">
        <v>0</v>
      </c>
      <c r="L2374" t="n">
        <v>0</v>
      </c>
      <c r="M2374" t="n">
        <v>0</v>
      </c>
      <c r="N2374" t="n">
        <v>0</v>
      </c>
      <c r="O2374" t="n">
        <v>0</v>
      </c>
      <c r="P2374" t="n">
        <v>0</v>
      </c>
      <c r="Q2374" t="n">
        <v>0</v>
      </c>
      <c r="R2374" s="2" t="inlineStr"/>
    </row>
    <row r="2375" ht="15" customHeight="1">
      <c r="A2375" t="inlineStr">
        <is>
          <t>A 17994-2025</t>
        </is>
      </c>
      <c r="B2375" s="1" t="n">
        <v>45761.40689814815</v>
      </c>
      <c r="C2375" s="1" t="n">
        <v>46033</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58493-2024</t>
        </is>
      </c>
      <c r="B2376" s="1" t="n">
        <v>45635.40935185185</v>
      </c>
      <c r="C2376" s="1" t="n">
        <v>46033</v>
      </c>
      <c r="D2376" t="inlineStr">
        <is>
          <t>JÄMTLANDS LÄN</t>
        </is>
      </c>
      <c r="E2376" t="inlineStr">
        <is>
          <t>STRÖMSUND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17158-2025</t>
        </is>
      </c>
      <c r="B2377" s="1" t="n">
        <v>45756.34439814815</v>
      </c>
      <c r="C2377" s="1" t="n">
        <v>46033</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20263-2025</t>
        </is>
      </c>
      <c r="B2378" s="1" t="n">
        <v>45773.38578703703</v>
      </c>
      <c r="C2378" s="1" t="n">
        <v>46033</v>
      </c>
      <c r="D2378" t="inlineStr">
        <is>
          <t>JÄMTLANDS LÄN</t>
        </is>
      </c>
      <c r="E2378" t="inlineStr">
        <is>
          <t>STRÖMSUND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45091-2023</t>
        </is>
      </c>
      <c r="B2379" s="1" t="n">
        <v>45191</v>
      </c>
      <c r="C2379" s="1" t="n">
        <v>46033</v>
      </c>
      <c r="D2379" t="inlineStr">
        <is>
          <t>JÄMTLANDS LÄN</t>
        </is>
      </c>
      <c r="E2379" t="inlineStr">
        <is>
          <t>STRÖMSUND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19413-2025</t>
        </is>
      </c>
      <c r="B2380" s="1" t="n">
        <v>45769.69850694444</v>
      </c>
      <c r="C2380" s="1" t="n">
        <v>46033</v>
      </c>
      <c r="D2380" t="inlineStr">
        <is>
          <t>JÄMTLANDS LÄN</t>
        </is>
      </c>
      <c r="E2380" t="inlineStr">
        <is>
          <t>STRÖMSUND</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6347-2025</t>
        </is>
      </c>
      <c r="B2381" s="1" t="n">
        <v>45699.34438657408</v>
      </c>
      <c r="C2381" s="1" t="n">
        <v>46033</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36346-2024</t>
        </is>
      </c>
      <c r="B2382" s="1" t="n">
        <v>45534.64390046296</v>
      </c>
      <c r="C2382" s="1" t="n">
        <v>46033</v>
      </c>
      <c r="D2382" t="inlineStr">
        <is>
          <t>JÄMTLANDS LÄN</t>
        </is>
      </c>
      <c r="E2382" t="inlineStr">
        <is>
          <t>STRÖMSUND</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4910-2025</t>
        </is>
      </c>
      <c r="B2383" s="1" t="n">
        <v>45688.68138888889</v>
      </c>
      <c r="C2383" s="1" t="n">
        <v>46033</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20256-2025</t>
        </is>
      </c>
      <c r="B2384" s="1" t="n">
        <v>45772.93064814815</v>
      </c>
      <c r="C2384" s="1" t="n">
        <v>46033</v>
      </c>
      <c r="D2384" t="inlineStr">
        <is>
          <t>JÄMTLANDS LÄN</t>
        </is>
      </c>
      <c r="E2384" t="inlineStr">
        <is>
          <t>STRÖMSUND</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20262-2025</t>
        </is>
      </c>
      <c r="B2385" s="1" t="n">
        <v>45773.38086805555</v>
      </c>
      <c r="C2385" s="1" t="n">
        <v>46033</v>
      </c>
      <c r="D2385" t="inlineStr">
        <is>
          <t>JÄMTLANDS LÄN</t>
        </is>
      </c>
      <c r="E2385" t="inlineStr">
        <is>
          <t>STRÖMSUND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5262-2024</t>
        </is>
      </c>
      <c r="B2386" s="1" t="n">
        <v>45330</v>
      </c>
      <c r="C2386" s="1" t="n">
        <v>46033</v>
      </c>
      <c r="D2386" t="inlineStr">
        <is>
          <t>JÄMTLANDS LÄN</t>
        </is>
      </c>
      <c r="E2386" t="inlineStr">
        <is>
          <t>STRÖMSUND</t>
        </is>
      </c>
      <c r="F2386" t="inlineStr">
        <is>
          <t>SCA</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5930-2024</t>
        </is>
      </c>
      <c r="B2387" s="1" t="n">
        <v>45336</v>
      </c>
      <c r="C2387" s="1" t="n">
        <v>46033</v>
      </c>
      <c r="D2387" t="inlineStr">
        <is>
          <t>JÄMTLANDS LÄN</t>
        </is>
      </c>
      <c r="E2387" t="inlineStr">
        <is>
          <t>STRÖMSUND</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46033</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46033</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46033</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46033</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46033</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46033</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46033</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46033</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46033</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46033</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46033</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46033</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46033</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46033</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46033</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46033</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46033</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46033</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46033</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46033</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46033</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46033</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46033</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46033</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46033</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46033</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46033</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46033</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46033</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46033</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46033</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46033</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46033</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46033</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46033</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46033</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46033</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46033</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46033</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46033</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46033</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46033</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46033</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46033</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46033</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46033</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46033</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46033</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46033</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46033</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46033</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46033</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46033</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46033</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46033</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46033</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46033</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46033</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46033</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46033</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46033</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46033</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46033</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46033</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46033</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46033</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46033</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46033</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46033</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46033</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46033</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46033</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46033</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46033</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46033</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46033</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46033</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46033</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46033</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46033</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46033</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46033</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46033</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46033</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46033</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46033</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46033</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46033</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c r="A2476" t="inlineStr">
        <is>
          <t>A 21353-2025</t>
        </is>
      </c>
      <c r="B2476" s="1" t="n">
        <v>45782.41182870371</v>
      </c>
      <c r="C2476" s="1" t="n">
        <v>46033</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2026-01-11T10:49:54Z</dcterms:created>
  <dcterms:modified xmlns:dcterms="http://purl.org/dc/terms/" xmlns:xsi="http://www.w3.org/2001/XMLSchema-instance" xsi:type="dcterms:W3CDTF">2026-01-11T10:49:57Z</dcterms:modified>
</cp:coreProperties>
</file>