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45734</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45734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45734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45734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45734</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45734</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45734</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45734</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45734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45734</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45734</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45734</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45734</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45734</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45734</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45734</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45734</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45734</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45734</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45734</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45734</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45734</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45734</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45734</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45734</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45734</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45734</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45734</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45734</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45734</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45734</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45734</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45734</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45734</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45734</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45734</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45734</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45734</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45734</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45734</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45734</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45734</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45734</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45734</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45734</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45734</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45734</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45734</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45734</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45734</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45734</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45734</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45734</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45734</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45734</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45734</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45734</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45734</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45734</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45734</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45734</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45734</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45734</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45734</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45734</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45734</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45734</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45734</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45734</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45734</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45734</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45734</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45734</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45734</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45734</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45734</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45734</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45734</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45734</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45734</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45734</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45734</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45734</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45734</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45734</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45734</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45734</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45734</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45734</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45734</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45734</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45734</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45734</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45734</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45734</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45734</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45734</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45734</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45734</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45734</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45734</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45734</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45734</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45734</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45734</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45734</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45734</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45734</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45734</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45734</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45734</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45734</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45734</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45734</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45734</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45734</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45734</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45734</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45734</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45734</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45734</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45734</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45734</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45734</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45734</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45734</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45734</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45734</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45734</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45734</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45734</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45734</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45734</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45734</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45734</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45734</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45734</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45734</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45734</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45734</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45734</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45734</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45734</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45734</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45734</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45734</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45734</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45734</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45734</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45734</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45734</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45734</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45734</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45734</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45734</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45734</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45734</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45734</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45734</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45734</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45734</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45734</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45734</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45734</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45734</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45734</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45734</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45734</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45734</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45734</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45734</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45734</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45734</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45734</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45734</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45734</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45734</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45734</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45734</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45734</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45734</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45734</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45734</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45734</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45734</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45734</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45734</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45734</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45734</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45734</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45734</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45734</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45734</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45734</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45734</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45734</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45734</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45734</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45734</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45734</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45734</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45734</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45734</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45734</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45734</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45734</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45734</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45734</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45734</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45734</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45734</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45734</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45734</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45734</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45734</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45734</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45734</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45734</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45734</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45734</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45734</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45734</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45734</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45734</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45734</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45734</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45734</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45734</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45734</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45734</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45734</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45734</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45734</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45734</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45734</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45734</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45734</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45734</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45734</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45734</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45734</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45734</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45734</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45734</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45734</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45734</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45734</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45734</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45734</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45734</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45734</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45734</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45734</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45734</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45734</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45734</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45734</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45734</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45734</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45734</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45734</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45734</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45734</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45734</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45734</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45734</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45734</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45734</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45734</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45734</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45734</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45734</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45734</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45734</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45734</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45734</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45734</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45734</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45734</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45734</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45734</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45734</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45734</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45734</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45734</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45734</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45734</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45734</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45734</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45734</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45734</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45734</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45734</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45734</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45734</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45734</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45734</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45734</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45734</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45734</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45734</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45734</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45734</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45734</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45734</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45734</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45734</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45734</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45734</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45734</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45734</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45734</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45734</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45734</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45734</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45734</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45734</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45734</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45734</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45734</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45734</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45734</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45734</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45734</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45734</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45734</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45734</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45734</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45734</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45734</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45734</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45734</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45734</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45734</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45734</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45734</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45734</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45734</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45734</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45734</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45734</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45734</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45734</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45734</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45734</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45734</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45734</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45734</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45734</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45734</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45734</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45734</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45734</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45734</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45734</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45734</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45734</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45734</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45734</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45734</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45734</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45734</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45734</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45734</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45734</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45734</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45734</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45734</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45734</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45734</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45734</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45734</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45734</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45734</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45734</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45734</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45734</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45734</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45734</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45734</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45734</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45734</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45734</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45734</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45734</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45734</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45734</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45734</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45734</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45734</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45734</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45734</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45734</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45734</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45734</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45734</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45734</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45734</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45734</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45734</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45734</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45734</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45734</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45734</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45734</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45734</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45734</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45734</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45734</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45734</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45734</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45734</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45734</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45734</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45734</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45734</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45734</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45734</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45734</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45734</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45734</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45734</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45734</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45734</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45734</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45734</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45734</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45734</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45734</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45734</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45734</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45734</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45734</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45734</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45734</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45734</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45734</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45734</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45734</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45734</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45734</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45734</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45734</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45734</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45734</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45734</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45734</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45734</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45734</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45734</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45734</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45734</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45734</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45734</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45734</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45734</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45734</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45734</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45734</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45734</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45734</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45734</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45734</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45734</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45734</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45734</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45734</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45734</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45734</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45734</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45734</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45734</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45734</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45734</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45734</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45734</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45734</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45734</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45734</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45734</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45734</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45734</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45734</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45734</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45734</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45734</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45734</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45734</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45734</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45734</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45734</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45734</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10401-2025</t>
        </is>
      </c>
      <c r="B494" s="1" t="n">
        <v>45720</v>
      </c>
      <c r="C494" s="1" t="n">
        <v>45734</v>
      </c>
      <c r="D494" t="inlineStr">
        <is>
          <t>JÄMTLANDS LÄN</t>
        </is>
      </c>
      <c r="E494" t="inlineStr">
        <is>
          <t>STRÖMSUND</t>
        </is>
      </c>
      <c r="F494" t="inlineStr">
        <is>
          <t>SCA</t>
        </is>
      </c>
      <c r="G494" t="n">
        <v>9.800000000000001</v>
      </c>
      <c r="H494" t="n">
        <v>0</v>
      </c>
      <c r="I494" t="n">
        <v>0</v>
      </c>
      <c r="J494" t="n">
        <v>1</v>
      </c>
      <c r="K494" t="n">
        <v>0</v>
      </c>
      <c r="L494" t="n">
        <v>0</v>
      </c>
      <c r="M494" t="n">
        <v>0</v>
      </c>
      <c r="N494" t="n">
        <v>0</v>
      </c>
      <c r="O494" t="n">
        <v>1</v>
      </c>
      <c r="P494" t="n">
        <v>0</v>
      </c>
      <c r="Q494" t="n">
        <v>1</v>
      </c>
      <c r="R494" s="2" t="inlineStr">
        <is>
          <t>Gammelgransskål</t>
        </is>
      </c>
      <c r="S494">
        <f>HYPERLINK("https://klasma.github.io/Logging_2313/artfynd/A 10401-2025 artfynd.xlsx", "A 10401-2025")</f>
        <v/>
      </c>
      <c r="T494">
        <f>HYPERLINK("https://klasma.github.io/Logging_2313/kartor/A 10401-2025 karta.png", "A 10401-2025")</f>
        <v/>
      </c>
      <c r="V494">
        <f>HYPERLINK("https://klasma.github.io/Logging_2313/klagomål/A 10401-2025 FSC-klagomål.docx", "A 10401-2025")</f>
        <v/>
      </c>
      <c r="W494">
        <f>HYPERLINK("https://klasma.github.io/Logging_2313/klagomålsmail/A 10401-2025 FSC-klagomål mail.docx", "A 10401-2025")</f>
        <v/>
      </c>
      <c r="X494">
        <f>HYPERLINK("https://klasma.github.io/Logging_2313/tillsyn/A 10401-2025 tillsynsbegäran.docx", "A 10401-2025")</f>
        <v/>
      </c>
      <c r="Y494">
        <f>HYPERLINK("https://klasma.github.io/Logging_2313/tillsynsmail/A 10401-2025 tillsynsbegäran mail.docx", "A 10401-2025")</f>
        <v/>
      </c>
    </row>
    <row r="495" ht="15" customHeight="1">
      <c r="A495" t="inlineStr">
        <is>
          <t>A 18058-2019</t>
        </is>
      </c>
      <c r="B495" s="1" t="n">
        <v>43557</v>
      </c>
      <c r="C495" s="1" t="n">
        <v>45734</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18057-2019</t>
        </is>
      </c>
      <c r="B496" s="1" t="n">
        <v>43557</v>
      </c>
      <c r="C496" s="1" t="n">
        <v>45734</v>
      </c>
      <c r="D496" t="inlineStr">
        <is>
          <t>JÄMTLANDS LÄN</t>
        </is>
      </c>
      <c r="E496" t="inlineStr">
        <is>
          <t>STRÖMSUND</t>
        </is>
      </c>
      <c r="G496" t="n">
        <v>1.3</v>
      </c>
      <c r="H496" t="n">
        <v>0</v>
      </c>
      <c r="I496" t="n">
        <v>0</v>
      </c>
      <c r="J496" t="n">
        <v>0</v>
      </c>
      <c r="K496" t="n">
        <v>0</v>
      </c>
      <c r="L496" t="n">
        <v>0</v>
      </c>
      <c r="M496" t="n">
        <v>0</v>
      </c>
      <c r="N496" t="n">
        <v>0</v>
      </c>
      <c r="O496" t="n">
        <v>0</v>
      </c>
      <c r="P496" t="n">
        <v>0</v>
      </c>
      <c r="Q496" t="n">
        <v>0</v>
      </c>
      <c r="R496" s="2" t="inlineStr"/>
    </row>
    <row r="497" ht="15" customHeight="1">
      <c r="A497" t="inlineStr">
        <is>
          <t>A 20569-2019</t>
        </is>
      </c>
      <c r="B497" s="1" t="n">
        <v>43572</v>
      </c>
      <c r="C497" s="1" t="n">
        <v>45734</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21702-2019</t>
        </is>
      </c>
      <c r="B498" s="1" t="n">
        <v>43581</v>
      </c>
      <c r="C498" s="1" t="n">
        <v>45734</v>
      </c>
      <c r="D498" t="inlineStr">
        <is>
          <t>JÄMTLANDS LÄN</t>
        </is>
      </c>
      <c r="E498" t="inlineStr">
        <is>
          <t>STRÖMSUND</t>
        </is>
      </c>
      <c r="G498" t="n">
        <v>1.6</v>
      </c>
      <c r="H498" t="n">
        <v>0</v>
      </c>
      <c r="I498" t="n">
        <v>0</v>
      </c>
      <c r="J498" t="n">
        <v>0</v>
      </c>
      <c r="K498" t="n">
        <v>0</v>
      </c>
      <c r="L498" t="n">
        <v>0</v>
      </c>
      <c r="M498" t="n">
        <v>0</v>
      </c>
      <c r="N498" t="n">
        <v>0</v>
      </c>
      <c r="O498" t="n">
        <v>0</v>
      </c>
      <c r="P498" t="n">
        <v>0</v>
      </c>
      <c r="Q498" t="n">
        <v>0</v>
      </c>
      <c r="R498" s="2" t="inlineStr"/>
    </row>
    <row r="499" ht="15" customHeight="1">
      <c r="A499" t="inlineStr">
        <is>
          <t>A 21676-2019</t>
        </is>
      </c>
      <c r="B499" s="1" t="n">
        <v>43581</v>
      </c>
      <c r="C499" s="1" t="n">
        <v>45734</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21696-2019</t>
        </is>
      </c>
      <c r="B500" s="1" t="n">
        <v>43581</v>
      </c>
      <c r="C500" s="1" t="n">
        <v>45734</v>
      </c>
      <c r="D500" t="inlineStr">
        <is>
          <t>JÄMTLANDS LÄN</t>
        </is>
      </c>
      <c r="E500" t="inlineStr">
        <is>
          <t>STRÖMSUND</t>
        </is>
      </c>
      <c r="G500" t="n">
        <v>1.5</v>
      </c>
      <c r="H500" t="n">
        <v>0</v>
      </c>
      <c r="I500" t="n">
        <v>0</v>
      </c>
      <c r="J500" t="n">
        <v>0</v>
      </c>
      <c r="K500" t="n">
        <v>0</v>
      </c>
      <c r="L500" t="n">
        <v>0</v>
      </c>
      <c r="M500" t="n">
        <v>0</v>
      </c>
      <c r="N500" t="n">
        <v>0</v>
      </c>
      <c r="O500" t="n">
        <v>0</v>
      </c>
      <c r="P500" t="n">
        <v>0</v>
      </c>
      <c r="Q500" t="n">
        <v>0</v>
      </c>
      <c r="R500" s="2" t="inlineStr"/>
    </row>
    <row r="501" ht="15" customHeight="1">
      <c r="A501" t="inlineStr">
        <is>
          <t>A 21763-2019</t>
        </is>
      </c>
      <c r="B501" s="1" t="n">
        <v>43581</v>
      </c>
      <c r="C501" s="1" t="n">
        <v>45734</v>
      </c>
      <c r="D501" t="inlineStr">
        <is>
          <t>JÄMTLANDS LÄN</t>
        </is>
      </c>
      <c r="E501" t="inlineStr">
        <is>
          <t>STRÖMSUND</t>
        </is>
      </c>
      <c r="G501" t="n">
        <v>12.7</v>
      </c>
      <c r="H501" t="n">
        <v>0</v>
      </c>
      <c r="I501" t="n">
        <v>0</v>
      </c>
      <c r="J501" t="n">
        <v>0</v>
      </c>
      <c r="K501" t="n">
        <v>0</v>
      </c>
      <c r="L501" t="n">
        <v>0</v>
      </c>
      <c r="M501" t="n">
        <v>0</v>
      </c>
      <c r="N501" t="n">
        <v>0</v>
      </c>
      <c r="O501" t="n">
        <v>0</v>
      </c>
      <c r="P501" t="n">
        <v>0</v>
      </c>
      <c r="Q501" t="n">
        <v>0</v>
      </c>
      <c r="R501" s="2" t="inlineStr"/>
    </row>
    <row r="502" ht="15" customHeight="1">
      <c r="A502" t="inlineStr">
        <is>
          <t>A 22113-2019</t>
        </is>
      </c>
      <c r="B502" s="1" t="n">
        <v>43584</v>
      </c>
      <c r="C502" s="1" t="n">
        <v>45734</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c r="U502">
        <f>HYPERLINK("https://klasma.github.io/Logging_2313/knärot/A 22113-2019 karta knärot.png", "A 22113-2019")</f>
        <v/>
      </c>
      <c r="V502">
        <f>HYPERLINK("https://klasma.github.io/Logging_2313/klagomål/A 22113-2019 FSC-klagomål.docx", "A 22113-2019")</f>
        <v/>
      </c>
      <c r="W502">
        <f>HYPERLINK("https://klasma.github.io/Logging_2313/klagomålsmail/A 22113-2019 FSC-klagomål mail.docx", "A 22113-2019")</f>
        <v/>
      </c>
      <c r="X502">
        <f>HYPERLINK("https://klasma.github.io/Logging_2313/tillsyn/A 22113-2019 tillsynsbegäran.docx", "A 22113-2019")</f>
        <v/>
      </c>
      <c r="Y502">
        <f>HYPERLINK("https://klasma.github.io/Logging_2313/tillsynsmail/A 22113-2019 tillsynsbegäran mail.docx", "A 22113-2019")</f>
        <v/>
      </c>
    </row>
    <row r="503" ht="15" customHeight="1">
      <c r="A503" t="inlineStr">
        <is>
          <t>A 22293-2019</t>
        </is>
      </c>
      <c r="B503" s="1" t="n">
        <v>43585</v>
      </c>
      <c r="C503" s="1" t="n">
        <v>45734</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22305-2019</t>
        </is>
      </c>
      <c r="B504" s="1" t="n">
        <v>43585</v>
      </c>
      <c r="C504" s="1" t="n">
        <v>45734</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22291-2019</t>
        </is>
      </c>
      <c r="B505" s="1" t="n">
        <v>43585</v>
      </c>
      <c r="C505" s="1" t="n">
        <v>45734</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22777-2019</t>
        </is>
      </c>
      <c r="B506" s="1" t="n">
        <v>43589</v>
      </c>
      <c r="C506" s="1" t="n">
        <v>45734</v>
      </c>
      <c r="D506" t="inlineStr">
        <is>
          <t>JÄMTLANDS LÄN</t>
        </is>
      </c>
      <c r="E506" t="inlineStr">
        <is>
          <t>STRÖMSUND</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23040-2019</t>
        </is>
      </c>
      <c r="B507" s="1" t="n">
        <v>43591</v>
      </c>
      <c r="C507" s="1" t="n">
        <v>45734</v>
      </c>
      <c r="D507" t="inlineStr">
        <is>
          <t>JÄMTLANDS LÄN</t>
        </is>
      </c>
      <c r="E507" t="inlineStr">
        <is>
          <t>STRÖMSUND</t>
        </is>
      </c>
      <c r="G507" t="n">
        <v>30.4</v>
      </c>
      <c r="H507" t="n">
        <v>0</v>
      </c>
      <c r="I507" t="n">
        <v>0</v>
      </c>
      <c r="J507" t="n">
        <v>0</v>
      </c>
      <c r="K507" t="n">
        <v>0</v>
      </c>
      <c r="L507" t="n">
        <v>0</v>
      </c>
      <c r="M507" t="n">
        <v>0</v>
      </c>
      <c r="N507" t="n">
        <v>0</v>
      </c>
      <c r="O507" t="n">
        <v>0</v>
      </c>
      <c r="P507" t="n">
        <v>0</v>
      </c>
      <c r="Q507" t="n">
        <v>0</v>
      </c>
      <c r="R507" s="2" t="inlineStr"/>
    </row>
    <row r="508" ht="15" customHeight="1">
      <c r="A508" t="inlineStr">
        <is>
          <t>A 23481-2019</t>
        </is>
      </c>
      <c r="B508" s="1" t="n">
        <v>43593</v>
      </c>
      <c r="C508" s="1" t="n">
        <v>45734</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23941-2019</t>
        </is>
      </c>
      <c r="B509" s="1" t="n">
        <v>43595</v>
      </c>
      <c r="C509" s="1" t="n">
        <v>45734</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23945-2019</t>
        </is>
      </c>
      <c r="B510" s="1" t="n">
        <v>43596</v>
      </c>
      <c r="C510" s="1" t="n">
        <v>45734</v>
      </c>
      <c r="D510" t="inlineStr">
        <is>
          <t>JÄMTLANDS LÄN</t>
        </is>
      </c>
      <c r="E510" t="inlineStr">
        <is>
          <t>STRÖMSUND</t>
        </is>
      </c>
      <c r="G510" t="n">
        <v>0.4</v>
      </c>
      <c r="H510" t="n">
        <v>0</v>
      </c>
      <c r="I510" t="n">
        <v>0</v>
      </c>
      <c r="J510" t="n">
        <v>0</v>
      </c>
      <c r="K510" t="n">
        <v>0</v>
      </c>
      <c r="L510" t="n">
        <v>0</v>
      </c>
      <c r="M510" t="n">
        <v>0</v>
      </c>
      <c r="N510" t="n">
        <v>0</v>
      </c>
      <c r="O510" t="n">
        <v>0</v>
      </c>
      <c r="P510" t="n">
        <v>0</v>
      </c>
      <c r="Q510" t="n">
        <v>0</v>
      </c>
      <c r="R510" s="2" t="inlineStr"/>
    </row>
    <row r="511" ht="15" customHeight="1">
      <c r="A511" t="inlineStr">
        <is>
          <t>A 23958-2019</t>
        </is>
      </c>
      <c r="B511" s="1" t="n">
        <v>43597</v>
      </c>
      <c r="C511" s="1" t="n">
        <v>45734</v>
      </c>
      <c r="D511" t="inlineStr">
        <is>
          <t>JÄMTLANDS LÄN</t>
        </is>
      </c>
      <c r="E511" t="inlineStr">
        <is>
          <t>STRÖMSUND</t>
        </is>
      </c>
      <c r="G511" t="n">
        <v>20.7</v>
      </c>
      <c r="H511" t="n">
        <v>0</v>
      </c>
      <c r="I511" t="n">
        <v>0</v>
      </c>
      <c r="J511" t="n">
        <v>0</v>
      </c>
      <c r="K511" t="n">
        <v>0</v>
      </c>
      <c r="L511" t="n">
        <v>0</v>
      </c>
      <c r="M511" t="n">
        <v>0</v>
      </c>
      <c r="N511" t="n">
        <v>0</v>
      </c>
      <c r="O511" t="n">
        <v>0</v>
      </c>
      <c r="P511" t="n">
        <v>0</v>
      </c>
      <c r="Q511" t="n">
        <v>0</v>
      </c>
      <c r="R511" s="2" t="inlineStr"/>
    </row>
    <row r="512" ht="15" customHeight="1">
      <c r="A512" t="inlineStr">
        <is>
          <t>A 24525-2019</t>
        </is>
      </c>
      <c r="B512" s="1" t="n">
        <v>43598</v>
      </c>
      <c r="C512" s="1" t="n">
        <v>45734</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24162-2019</t>
        </is>
      </c>
      <c r="B513" s="1" t="n">
        <v>43598</v>
      </c>
      <c r="C513" s="1" t="n">
        <v>45734</v>
      </c>
      <c r="D513" t="inlineStr">
        <is>
          <t>JÄMTLANDS LÄN</t>
        </is>
      </c>
      <c r="E513" t="inlineStr">
        <is>
          <t>STRÖMSUND</t>
        </is>
      </c>
      <c r="F513" t="inlineStr">
        <is>
          <t>SCA</t>
        </is>
      </c>
      <c r="G513" t="n">
        <v>18.9</v>
      </c>
      <c r="H513" t="n">
        <v>0</v>
      </c>
      <c r="I513" t="n">
        <v>0</v>
      </c>
      <c r="J513" t="n">
        <v>0</v>
      </c>
      <c r="K513" t="n">
        <v>0</v>
      </c>
      <c r="L513" t="n">
        <v>0</v>
      </c>
      <c r="M513" t="n">
        <v>0</v>
      </c>
      <c r="N513" t="n">
        <v>0</v>
      </c>
      <c r="O513" t="n">
        <v>0</v>
      </c>
      <c r="P513" t="n">
        <v>0</v>
      </c>
      <c r="Q513" t="n">
        <v>0</v>
      </c>
      <c r="R513" s="2" t="inlineStr"/>
    </row>
    <row r="514" ht="15" customHeight="1">
      <c r="A514" t="inlineStr">
        <is>
          <t>A 24787-2019</t>
        </is>
      </c>
      <c r="B514" s="1" t="n">
        <v>43601</v>
      </c>
      <c r="C514" s="1" t="n">
        <v>45734</v>
      </c>
      <c r="D514" t="inlineStr">
        <is>
          <t>JÄMTLANDS LÄN</t>
        </is>
      </c>
      <c r="E514" t="inlineStr">
        <is>
          <t>STRÖMSUND</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25923-2019</t>
        </is>
      </c>
      <c r="B515" s="1" t="n">
        <v>43608</v>
      </c>
      <c r="C515" s="1" t="n">
        <v>45734</v>
      </c>
      <c r="D515" t="inlineStr">
        <is>
          <t>JÄMTLANDS LÄN</t>
        </is>
      </c>
      <c r="E515" t="inlineStr">
        <is>
          <t>STRÖMSUND</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25915-2019</t>
        </is>
      </c>
      <c r="B516" s="1" t="n">
        <v>43608</v>
      </c>
      <c r="C516" s="1" t="n">
        <v>45734</v>
      </c>
      <c r="D516" t="inlineStr">
        <is>
          <t>JÄMTLANDS LÄN</t>
        </is>
      </c>
      <c r="E516" t="inlineStr">
        <is>
          <t>STRÖMSUND</t>
        </is>
      </c>
      <c r="F516" t="inlineStr">
        <is>
          <t>Kommuner</t>
        </is>
      </c>
      <c r="G516" t="n">
        <v>5.7</v>
      </c>
      <c r="H516" t="n">
        <v>0</v>
      </c>
      <c r="I516" t="n">
        <v>0</v>
      </c>
      <c r="J516" t="n">
        <v>0</v>
      </c>
      <c r="K516" t="n">
        <v>0</v>
      </c>
      <c r="L516" t="n">
        <v>0</v>
      </c>
      <c r="M516" t="n">
        <v>0</v>
      </c>
      <c r="N516" t="n">
        <v>0</v>
      </c>
      <c r="O516" t="n">
        <v>0</v>
      </c>
      <c r="P516" t="n">
        <v>0</v>
      </c>
      <c r="Q516" t="n">
        <v>0</v>
      </c>
      <c r="R516" s="2" t="inlineStr"/>
    </row>
    <row r="517" ht="15" customHeight="1">
      <c r="A517" t="inlineStr">
        <is>
          <t>A 25925-2019</t>
        </is>
      </c>
      <c r="B517" s="1" t="n">
        <v>43608</v>
      </c>
      <c r="C517" s="1" t="n">
        <v>45734</v>
      </c>
      <c r="D517" t="inlineStr">
        <is>
          <t>JÄMTLANDS LÄN</t>
        </is>
      </c>
      <c r="E517" t="inlineStr">
        <is>
          <t>STRÖMSUND</t>
        </is>
      </c>
      <c r="F517" t="inlineStr">
        <is>
          <t>Kommuner</t>
        </is>
      </c>
      <c r="G517" t="n">
        <v>12.6</v>
      </c>
      <c r="H517" t="n">
        <v>0</v>
      </c>
      <c r="I517" t="n">
        <v>0</v>
      </c>
      <c r="J517" t="n">
        <v>0</v>
      </c>
      <c r="K517" t="n">
        <v>0</v>
      </c>
      <c r="L517" t="n">
        <v>0</v>
      </c>
      <c r="M517" t="n">
        <v>0</v>
      </c>
      <c r="N517" t="n">
        <v>0</v>
      </c>
      <c r="O517" t="n">
        <v>0</v>
      </c>
      <c r="P517" t="n">
        <v>0</v>
      </c>
      <c r="Q517" t="n">
        <v>0</v>
      </c>
      <c r="R517" s="2" t="inlineStr"/>
    </row>
    <row r="518" ht="15" customHeight="1">
      <c r="A518" t="inlineStr">
        <is>
          <t>A 25910-2019</t>
        </is>
      </c>
      <c r="B518" s="1" t="n">
        <v>43608</v>
      </c>
      <c r="C518" s="1" t="n">
        <v>45734</v>
      </c>
      <c r="D518" t="inlineStr">
        <is>
          <t>JÄMTLANDS LÄN</t>
        </is>
      </c>
      <c r="E518" t="inlineStr">
        <is>
          <t>STRÖMSUND</t>
        </is>
      </c>
      <c r="F518" t="inlineStr">
        <is>
          <t>Kommuner</t>
        </is>
      </c>
      <c r="G518" t="n">
        <v>7</v>
      </c>
      <c r="H518" t="n">
        <v>0</v>
      </c>
      <c r="I518" t="n">
        <v>0</v>
      </c>
      <c r="J518" t="n">
        <v>0</v>
      </c>
      <c r="K518" t="n">
        <v>0</v>
      </c>
      <c r="L518" t="n">
        <v>0</v>
      </c>
      <c r="M518" t="n">
        <v>0</v>
      </c>
      <c r="N518" t="n">
        <v>0</v>
      </c>
      <c r="O518" t="n">
        <v>0</v>
      </c>
      <c r="P518" t="n">
        <v>0</v>
      </c>
      <c r="Q518" t="n">
        <v>0</v>
      </c>
      <c r="R518" s="2" t="inlineStr"/>
    </row>
    <row r="519" ht="15" customHeight="1">
      <c r="A519" t="inlineStr">
        <is>
          <t>A 25918-2019</t>
        </is>
      </c>
      <c r="B519" s="1" t="n">
        <v>43608</v>
      </c>
      <c r="C519" s="1" t="n">
        <v>45734</v>
      </c>
      <c r="D519" t="inlineStr">
        <is>
          <t>JÄMTLANDS LÄN</t>
        </is>
      </c>
      <c r="E519" t="inlineStr">
        <is>
          <t>STRÖMSUND</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25950-2019</t>
        </is>
      </c>
      <c r="B520" s="1" t="n">
        <v>43608</v>
      </c>
      <c r="C520" s="1" t="n">
        <v>45734</v>
      </c>
      <c r="D520" t="inlineStr">
        <is>
          <t>JÄMTLANDS LÄN</t>
        </is>
      </c>
      <c r="E520" t="inlineStr">
        <is>
          <t>STRÖMSUND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26012-2019</t>
        </is>
      </c>
      <c r="B521" s="1" t="n">
        <v>43608</v>
      </c>
      <c r="C521" s="1" t="n">
        <v>45734</v>
      </c>
      <c r="D521" t="inlineStr">
        <is>
          <t>JÄMTLANDS LÄN</t>
        </is>
      </c>
      <c r="E521" t="inlineStr">
        <is>
          <t>STRÖMSUND</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25921-2019</t>
        </is>
      </c>
      <c r="B522" s="1" t="n">
        <v>43608</v>
      </c>
      <c r="C522" s="1" t="n">
        <v>45734</v>
      </c>
      <c r="D522" t="inlineStr">
        <is>
          <t>JÄMTLANDS LÄN</t>
        </is>
      </c>
      <c r="E522" t="inlineStr">
        <is>
          <t>STRÖMSUND</t>
        </is>
      </c>
      <c r="F522" t="inlineStr">
        <is>
          <t>Kommuner</t>
        </is>
      </c>
      <c r="G522" t="n">
        <v>23.9</v>
      </c>
      <c r="H522" t="n">
        <v>0</v>
      </c>
      <c r="I522" t="n">
        <v>0</v>
      </c>
      <c r="J522" t="n">
        <v>0</v>
      </c>
      <c r="K522" t="n">
        <v>0</v>
      </c>
      <c r="L522" t="n">
        <v>0</v>
      </c>
      <c r="M522" t="n">
        <v>0</v>
      </c>
      <c r="N522" t="n">
        <v>0</v>
      </c>
      <c r="O522" t="n">
        <v>0</v>
      </c>
      <c r="P522" t="n">
        <v>0</v>
      </c>
      <c r="Q522" t="n">
        <v>0</v>
      </c>
      <c r="R522" s="2" t="inlineStr"/>
    </row>
    <row r="523" ht="15" customHeight="1">
      <c r="A523" t="inlineStr">
        <is>
          <t>A 25984-2019</t>
        </is>
      </c>
      <c r="B523" s="1" t="n">
        <v>43608</v>
      </c>
      <c r="C523" s="1" t="n">
        <v>45734</v>
      </c>
      <c r="D523" t="inlineStr">
        <is>
          <t>JÄMTLANDS LÄN</t>
        </is>
      </c>
      <c r="E523" t="inlineStr">
        <is>
          <t>STRÖMSUND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26252-2019</t>
        </is>
      </c>
      <c r="B524" s="1" t="n">
        <v>43609</v>
      </c>
      <c r="C524" s="1" t="n">
        <v>45734</v>
      </c>
      <c r="D524" t="inlineStr">
        <is>
          <t>JÄMTLANDS LÄN</t>
        </is>
      </c>
      <c r="E524" t="inlineStr">
        <is>
          <t>STRÖMSUND</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26251-2019</t>
        </is>
      </c>
      <c r="B525" s="1" t="n">
        <v>43609</v>
      </c>
      <c r="C525" s="1" t="n">
        <v>45734</v>
      </c>
      <c r="D525" t="inlineStr">
        <is>
          <t>JÄMTLANDS LÄN</t>
        </is>
      </c>
      <c r="E525" t="inlineStr">
        <is>
          <t>STRÖMSUND</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27536-2019</t>
        </is>
      </c>
      <c r="B526" s="1" t="n">
        <v>43612</v>
      </c>
      <c r="C526" s="1" t="n">
        <v>45734</v>
      </c>
      <c r="D526" t="inlineStr">
        <is>
          <t>JÄMTLANDS LÄN</t>
        </is>
      </c>
      <c r="E526" t="inlineStr">
        <is>
          <t>STRÖMSUND</t>
        </is>
      </c>
      <c r="G526" t="n">
        <v>1.3</v>
      </c>
      <c r="H526" t="n">
        <v>0</v>
      </c>
      <c r="I526" t="n">
        <v>0</v>
      </c>
      <c r="J526" t="n">
        <v>0</v>
      </c>
      <c r="K526" t="n">
        <v>0</v>
      </c>
      <c r="L526" t="n">
        <v>0</v>
      </c>
      <c r="M526" t="n">
        <v>0</v>
      </c>
      <c r="N526" t="n">
        <v>0</v>
      </c>
      <c r="O526" t="n">
        <v>0</v>
      </c>
      <c r="P526" t="n">
        <v>0</v>
      </c>
      <c r="Q526" t="n">
        <v>0</v>
      </c>
      <c r="R526" s="2" t="inlineStr"/>
    </row>
    <row r="527" ht="15" customHeight="1">
      <c r="A527" t="inlineStr">
        <is>
          <t>A 26937-2019</t>
        </is>
      </c>
      <c r="B527" s="1" t="n">
        <v>43613</v>
      </c>
      <c r="C527" s="1" t="n">
        <v>45734</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27249-2019</t>
        </is>
      </c>
      <c r="B528" s="1" t="n">
        <v>43614</v>
      </c>
      <c r="C528" s="1" t="n">
        <v>45734</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27367-2019</t>
        </is>
      </c>
      <c r="B529" s="1" t="n">
        <v>43616</v>
      </c>
      <c r="C529" s="1" t="n">
        <v>45734</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27514-2019</t>
        </is>
      </c>
      <c r="B530" s="1" t="n">
        <v>43619</v>
      </c>
      <c r="C530" s="1" t="n">
        <v>45734</v>
      </c>
      <c r="D530" t="inlineStr">
        <is>
          <t>JÄMTLANDS LÄN</t>
        </is>
      </c>
      <c r="E530" t="inlineStr">
        <is>
          <t>STRÖMSUND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27817-2019</t>
        </is>
      </c>
      <c r="B531" s="1" t="n">
        <v>43620</v>
      </c>
      <c r="C531" s="1" t="n">
        <v>45734</v>
      </c>
      <c r="D531" t="inlineStr">
        <is>
          <t>JÄMTLANDS LÄN</t>
        </is>
      </c>
      <c r="E531" t="inlineStr">
        <is>
          <t>STRÖMSUND</t>
        </is>
      </c>
      <c r="G531" t="n">
        <v>0.7</v>
      </c>
      <c r="H531" t="n">
        <v>0</v>
      </c>
      <c r="I531" t="n">
        <v>0</v>
      </c>
      <c r="J531" t="n">
        <v>0</v>
      </c>
      <c r="K531" t="n">
        <v>0</v>
      </c>
      <c r="L531" t="n">
        <v>0</v>
      </c>
      <c r="M531" t="n">
        <v>0</v>
      </c>
      <c r="N531" t="n">
        <v>0</v>
      </c>
      <c r="O531" t="n">
        <v>0</v>
      </c>
      <c r="P531" t="n">
        <v>0</v>
      </c>
      <c r="Q531" t="n">
        <v>0</v>
      </c>
      <c r="R531" s="2" t="inlineStr"/>
    </row>
    <row r="532" ht="15" customHeight="1">
      <c r="A532" t="inlineStr">
        <is>
          <t>A 28215-2019</t>
        </is>
      </c>
      <c r="B532" s="1" t="n">
        <v>43622</v>
      </c>
      <c r="C532" s="1" t="n">
        <v>45734</v>
      </c>
      <c r="D532" t="inlineStr">
        <is>
          <t>JÄMTLANDS LÄN</t>
        </is>
      </c>
      <c r="E532" t="inlineStr">
        <is>
          <t>STRÖMSUND</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28766-2019</t>
        </is>
      </c>
      <c r="B533" s="1" t="n">
        <v>43627</v>
      </c>
      <c r="C533" s="1" t="n">
        <v>45734</v>
      </c>
      <c r="D533" t="inlineStr">
        <is>
          <t>JÄMTLANDS LÄN</t>
        </is>
      </c>
      <c r="E533" t="inlineStr">
        <is>
          <t>STRÖMSUND</t>
        </is>
      </c>
      <c r="G533" t="n">
        <v>19.8</v>
      </c>
      <c r="H533" t="n">
        <v>0</v>
      </c>
      <c r="I533" t="n">
        <v>0</v>
      </c>
      <c r="J533" t="n">
        <v>0</v>
      </c>
      <c r="K533" t="n">
        <v>0</v>
      </c>
      <c r="L533" t="n">
        <v>0</v>
      </c>
      <c r="M533" t="n">
        <v>0</v>
      </c>
      <c r="N533" t="n">
        <v>0</v>
      </c>
      <c r="O533" t="n">
        <v>0</v>
      </c>
      <c r="P533" t="n">
        <v>0</v>
      </c>
      <c r="Q533" t="n">
        <v>0</v>
      </c>
      <c r="R533" s="2" t="inlineStr"/>
    </row>
    <row r="534" ht="15" customHeight="1">
      <c r="A534" t="inlineStr">
        <is>
          <t>A 28671-2019</t>
        </is>
      </c>
      <c r="B534" s="1" t="n">
        <v>43627</v>
      </c>
      <c r="C534" s="1" t="n">
        <v>45734</v>
      </c>
      <c r="D534" t="inlineStr">
        <is>
          <t>JÄMTLANDS LÄN</t>
        </is>
      </c>
      <c r="E534" t="inlineStr">
        <is>
          <t>STRÖMSUND</t>
        </is>
      </c>
      <c r="G534" t="n">
        <v>21.3</v>
      </c>
      <c r="H534" t="n">
        <v>0</v>
      </c>
      <c r="I534" t="n">
        <v>0</v>
      </c>
      <c r="J534" t="n">
        <v>0</v>
      </c>
      <c r="K534" t="n">
        <v>0</v>
      </c>
      <c r="L534" t="n">
        <v>0</v>
      </c>
      <c r="M534" t="n">
        <v>0</v>
      </c>
      <c r="N534" t="n">
        <v>0</v>
      </c>
      <c r="O534" t="n">
        <v>0</v>
      </c>
      <c r="P534" t="n">
        <v>0</v>
      </c>
      <c r="Q534" t="n">
        <v>0</v>
      </c>
      <c r="R534" s="2" t="inlineStr"/>
    </row>
    <row r="535" ht="15" customHeight="1">
      <c r="A535" t="inlineStr">
        <is>
          <t>A 29166-2019</t>
        </is>
      </c>
      <c r="B535" s="1" t="n">
        <v>43628</v>
      </c>
      <c r="C535" s="1" t="n">
        <v>45734</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29359-2019</t>
        </is>
      </c>
      <c r="B536" s="1" t="n">
        <v>43629</v>
      </c>
      <c r="C536" s="1" t="n">
        <v>45734</v>
      </c>
      <c r="D536" t="inlineStr">
        <is>
          <t>JÄMTLANDS LÄN</t>
        </is>
      </c>
      <c r="E536" t="inlineStr">
        <is>
          <t>STRÖMSUND</t>
        </is>
      </c>
      <c r="G536" t="n">
        <v>3</v>
      </c>
      <c r="H536" t="n">
        <v>0</v>
      </c>
      <c r="I536" t="n">
        <v>0</v>
      </c>
      <c r="J536" t="n">
        <v>0</v>
      </c>
      <c r="K536" t="n">
        <v>0</v>
      </c>
      <c r="L536" t="n">
        <v>0</v>
      </c>
      <c r="M536" t="n">
        <v>0</v>
      </c>
      <c r="N536" t="n">
        <v>0</v>
      </c>
      <c r="O536" t="n">
        <v>0</v>
      </c>
      <c r="P536" t="n">
        <v>0</v>
      </c>
      <c r="Q536" t="n">
        <v>0</v>
      </c>
      <c r="R536" s="2" t="inlineStr"/>
    </row>
    <row r="537" ht="15" customHeight="1">
      <c r="A537" t="inlineStr">
        <is>
          <t>A 29378-2019</t>
        </is>
      </c>
      <c r="B537" s="1" t="n">
        <v>43629</v>
      </c>
      <c r="C537" s="1" t="n">
        <v>45734</v>
      </c>
      <c r="D537" t="inlineStr">
        <is>
          <t>JÄMTLANDS LÄN</t>
        </is>
      </c>
      <c r="E537" t="inlineStr">
        <is>
          <t>STRÖMSUND</t>
        </is>
      </c>
      <c r="G537" t="n">
        <v>33.5</v>
      </c>
      <c r="H537" t="n">
        <v>0</v>
      </c>
      <c r="I537" t="n">
        <v>0</v>
      </c>
      <c r="J537" t="n">
        <v>0</v>
      </c>
      <c r="K537" t="n">
        <v>0</v>
      </c>
      <c r="L537" t="n">
        <v>0</v>
      </c>
      <c r="M537" t="n">
        <v>0</v>
      </c>
      <c r="N537" t="n">
        <v>0</v>
      </c>
      <c r="O537" t="n">
        <v>0</v>
      </c>
      <c r="P537" t="n">
        <v>0</v>
      </c>
      <c r="Q537" t="n">
        <v>0</v>
      </c>
      <c r="R537" s="2" t="inlineStr"/>
    </row>
    <row r="538" ht="15" customHeight="1">
      <c r="A538" t="inlineStr">
        <is>
          <t>A 29740-2019</t>
        </is>
      </c>
      <c r="B538" s="1" t="n">
        <v>43630</v>
      </c>
      <c r="C538" s="1" t="n">
        <v>45734</v>
      </c>
      <c r="D538" t="inlineStr">
        <is>
          <t>JÄMTLANDS LÄN</t>
        </is>
      </c>
      <c r="E538" t="inlineStr">
        <is>
          <t>STRÖMSUND</t>
        </is>
      </c>
      <c r="F538" t="inlineStr">
        <is>
          <t>SCA</t>
        </is>
      </c>
      <c r="G538" t="n">
        <v>62.8</v>
      </c>
      <c r="H538" t="n">
        <v>0</v>
      </c>
      <c r="I538" t="n">
        <v>0</v>
      </c>
      <c r="J538" t="n">
        <v>0</v>
      </c>
      <c r="K538" t="n">
        <v>0</v>
      </c>
      <c r="L538" t="n">
        <v>0</v>
      </c>
      <c r="M538" t="n">
        <v>0</v>
      </c>
      <c r="N538" t="n">
        <v>0</v>
      </c>
      <c r="O538" t="n">
        <v>0</v>
      </c>
      <c r="P538" t="n">
        <v>0</v>
      </c>
      <c r="Q538" t="n">
        <v>0</v>
      </c>
      <c r="R538" s="2" t="inlineStr"/>
    </row>
    <row r="539" ht="15" customHeight="1">
      <c r="A539" t="inlineStr">
        <is>
          <t>A 30136-2019</t>
        </is>
      </c>
      <c r="B539" s="1" t="n">
        <v>43634</v>
      </c>
      <c r="C539" s="1" t="n">
        <v>45734</v>
      </c>
      <c r="D539" t="inlineStr">
        <is>
          <t>JÄMTLANDS LÄN</t>
        </is>
      </c>
      <c r="E539" t="inlineStr">
        <is>
          <t>STRÖMSUND</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30378-2019</t>
        </is>
      </c>
      <c r="B540" s="1" t="n">
        <v>43634</v>
      </c>
      <c r="C540" s="1" t="n">
        <v>45734</v>
      </c>
      <c r="D540" t="inlineStr">
        <is>
          <t>JÄMTLANDS LÄN</t>
        </is>
      </c>
      <c r="E540" t="inlineStr">
        <is>
          <t>STRÖMSUND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30139-2019</t>
        </is>
      </c>
      <c r="B541" s="1" t="n">
        <v>43634</v>
      </c>
      <c r="C541" s="1" t="n">
        <v>45734</v>
      </c>
      <c r="D541" t="inlineStr">
        <is>
          <t>JÄMTLANDS LÄN</t>
        </is>
      </c>
      <c r="E541" t="inlineStr">
        <is>
          <t>STRÖMSUND</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30915-2019</t>
        </is>
      </c>
      <c r="B542" s="1" t="n">
        <v>43636</v>
      </c>
      <c r="C542" s="1" t="n">
        <v>45734</v>
      </c>
      <c r="D542" t="inlineStr">
        <is>
          <t>JÄMTLANDS LÄN</t>
        </is>
      </c>
      <c r="E542" t="inlineStr">
        <is>
          <t>STRÖMSUND</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32482-2019</t>
        </is>
      </c>
      <c r="B543" s="1" t="n">
        <v>43644</v>
      </c>
      <c r="C543" s="1" t="n">
        <v>45734</v>
      </c>
      <c r="D543" t="inlineStr">
        <is>
          <t>JÄMTLANDS LÄN</t>
        </is>
      </c>
      <c r="E543" t="inlineStr">
        <is>
          <t>STRÖMSUND</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32739-2019</t>
        </is>
      </c>
      <c r="B544" s="1" t="n">
        <v>43647</v>
      </c>
      <c r="C544" s="1" t="n">
        <v>45734</v>
      </c>
      <c r="D544" t="inlineStr">
        <is>
          <t>JÄMTLANDS LÄN</t>
        </is>
      </c>
      <c r="E544" t="inlineStr">
        <is>
          <t>STRÖMSUND</t>
        </is>
      </c>
      <c r="F544" t="inlineStr">
        <is>
          <t>SCA</t>
        </is>
      </c>
      <c r="G544" t="n">
        <v>174.6</v>
      </c>
      <c r="H544" t="n">
        <v>0</v>
      </c>
      <c r="I544" t="n">
        <v>0</v>
      </c>
      <c r="J544" t="n">
        <v>0</v>
      </c>
      <c r="K544" t="n">
        <v>0</v>
      </c>
      <c r="L544" t="n">
        <v>0</v>
      </c>
      <c r="M544" t="n">
        <v>0</v>
      </c>
      <c r="N544" t="n">
        <v>0</v>
      </c>
      <c r="O544" t="n">
        <v>0</v>
      </c>
      <c r="P544" t="n">
        <v>0</v>
      </c>
      <c r="Q544" t="n">
        <v>0</v>
      </c>
      <c r="R544" s="2" t="inlineStr"/>
    </row>
    <row r="545" ht="15" customHeight="1">
      <c r="A545" t="inlineStr">
        <is>
          <t>A 32748-2019</t>
        </is>
      </c>
      <c r="B545" s="1" t="n">
        <v>43647</v>
      </c>
      <c r="C545" s="1" t="n">
        <v>45734</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32974-2019</t>
        </is>
      </c>
      <c r="B546" s="1" t="n">
        <v>43648</v>
      </c>
      <c r="C546" s="1" t="n">
        <v>45734</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32973-2019</t>
        </is>
      </c>
      <c r="B547" s="1" t="n">
        <v>43648</v>
      </c>
      <c r="C547" s="1" t="n">
        <v>45734</v>
      </c>
      <c r="D547" t="inlineStr">
        <is>
          <t>JÄMTLANDS LÄN</t>
        </is>
      </c>
      <c r="E547" t="inlineStr">
        <is>
          <t>STRÖMSUND</t>
        </is>
      </c>
      <c r="G547" t="n">
        <v>3.5</v>
      </c>
      <c r="H547" t="n">
        <v>0</v>
      </c>
      <c r="I547" t="n">
        <v>0</v>
      </c>
      <c r="J547" t="n">
        <v>0</v>
      </c>
      <c r="K547" t="n">
        <v>0</v>
      </c>
      <c r="L547" t="n">
        <v>0</v>
      </c>
      <c r="M547" t="n">
        <v>0</v>
      </c>
      <c r="N547" t="n">
        <v>0</v>
      </c>
      <c r="O547" t="n">
        <v>0</v>
      </c>
      <c r="P547" t="n">
        <v>0</v>
      </c>
      <c r="Q547" t="n">
        <v>0</v>
      </c>
      <c r="R547" s="2" t="inlineStr"/>
    </row>
    <row r="548" ht="15" customHeight="1">
      <c r="A548" t="inlineStr">
        <is>
          <t>A 32971-2019</t>
        </is>
      </c>
      <c r="B548" s="1" t="n">
        <v>43648</v>
      </c>
      <c r="C548" s="1" t="n">
        <v>45734</v>
      </c>
      <c r="D548" t="inlineStr">
        <is>
          <t>JÄMTLANDS LÄN</t>
        </is>
      </c>
      <c r="E548" t="inlineStr">
        <is>
          <t>STRÖMSUND</t>
        </is>
      </c>
      <c r="G548" t="n">
        <v>0.9</v>
      </c>
      <c r="H548" t="n">
        <v>0</v>
      </c>
      <c r="I548" t="n">
        <v>0</v>
      </c>
      <c r="J548" t="n">
        <v>0</v>
      </c>
      <c r="K548" t="n">
        <v>0</v>
      </c>
      <c r="L548" t="n">
        <v>0</v>
      </c>
      <c r="M548" t="n">
        <v>0</v>
      </c>
      <c r="N548" t="n">
        <v>0</v>
      </c>
      <c r="O548" t="n">
        <v>0</v>
      </c>
      <c r="P548" t="n">
        <v>0</v>
      </c>
      <c r="Q548" t="n">
        <v>0</v>
      </c>
      <c r="R548" s="2" t="inlineStr"/>
    </row>
    <row r="549" ht="15" customHeight="1">
      <c r="A549" t="inlineStr">
        <is>
          <t>A 32975-2019</t>
        </is>
      </c>
      <c r="B549" s="1" t="n">
        <v>43648</v>
      </c>
      <c r="C549" s="1" t="n">
        <v>45734</v>
      </c>
      <c r="D549" t="inlineStr">
        <is>
          <t>JÄMTLANDS LÄN</t>
        </is>
      </c>
      <c r="E549" t="inlineStr">
        <is>
          <t>STRÖMSUND</t>
        </is>
      </c>
      <c r="G549" t="n">
        <v>2.3</v>
      </c>
      <c r="H549" t="n">
        <v>0</v>
      </c>
      <c r="I549" t="n">
        <v>0</v>
      </c>
      <c r="J549" t="n">
        <v>0</v>
      </c>
      <c r="K549" t="n">
        <v>0</v>
      </c>
      <c r="L549" t="n">
        <v>0</v>
      </c>
      <c r="M549" t="n">
        <v>0</v>
      </c>
      <c r="N549" t="n">
        <v>0</v>
      </c>
      <c r="O549" t="n">
        <v>0</v>
      </c>
      <c r="P549" t="n">
        <v>0</v>
      </c>
      <c r="Q549" t="n">
        <v>0</v>
      </c>
      <c r="R549" s="2" t="inlineStr"/>
    </row>
    <row r="550" ht="15" customHeight="1">
      <c r="A550" t="inlineStr">
        <is>
          <t>A 34758-2019</t>
        </is>
      </c>
      <c r="B550" s="1" t="n">
        <v>43649</v>
      </c>
      <c r="C550" s="1" t="n">
        <v>45734</v>
      </c>
      <c r="D550" t="inlineStr">
        <is>
          <t>JÄMTLANDS LÄN</t>
        </is>
      </c>
      <c r="E550" t="inlineStr">
        <is>
          <t>STRÖMSUND</t>
        </is>
      </c>
      <c r="G550" t="n">
        <v>2.2</v>
      </c>
      <c r="H550" t="n">
        <v>0</v>
      </c>
      <c r="I550" t="n">
        <v>0</v>
      </c>
      <c r="J550" t="n">
        <v>0</v>
      </c>
      <c r="K550" t="n">
        <v>0</v>
      </c>
      <c r="L550" t="n">
        <v>0</v>
      </c>
      <c r="M550" t="n">
        <v>0</v>
      </c>
      <c r="N550" t="n">
        <v>0</v>
      </c>
      <c r="O550" t="n">
        <v>0</v>
      </c>
      <c r="P550" t="n">
        <v>0</v>
      </c>
      <c r="Q550" t="n">
        <v>0</v>
      </c>
      <c r="R550" s="2" t="inlineStr"/>
    </row>
    <row r="551" ht="15" customHeight="1">
      <c r="A551" t="inlineStr">
        <is>
          <t>A 33538-2019</t>
        </is>
      </c>
      <c r="B551" s="1" t="n">
        <v>43651</v>
      </c>
      <c r="C551" s="1" t="n">
        <v>45734</v>
      </c>
      <c r="D551" t="inlineStr">
        <is>
          <t>JÄMTLANDS LÄN</t>
        </is>
      </c>
      <c r="E551" t="inlineStr">
        <is>
          <t>STRÖMSUND</t>
        </is>
      </c>
      <c r="F551" t="inlineStr">
        <is>
          <t>Holmen skog AB</t>
        </is>
      </c>
      <c r="G551" t="n">
        <v>15.6</v>
      </c>
      <c r="H551" t="n">
        <v>0</v>
      </c>
      <c r="I551" t="n">
        <v>0</v>
      </c>
      <c r="J551" t="n">
        <v>0</v>
      </c>
      <c r="K551" t="n">
        <v>0</v>
      </c>
      <c r="L551" t="n">
        <v>0</v>
      </c>
      <c r="M551" t="n">
        <v>0</v>
      </c>
      <c r="N551" t="n">
        <v>0</v>
      </c>
      <c r="O551" t="n">
        <v>0</v>
      </c>
      <c r="P551" t="n">
        <v>0</v>
      </c>
      <c r="Q551" t="n">
        <v>0</v>
      </c>
      <c r="R551" s="2" t="inlineStr"/>
    </row>
    <row r="552" ht="15" customHeight="1">
      <c r="A552" t="inlineStr">
        <is>
          <t>A 33701-2019</t>
        </is>
      </c>
      <c r="B552" s="1" t="n">
        <v>43651</v>
      </c>
      <c r="C552" s="1" t="n">
        <v>45734</v>
      </c>
      <c r="D552" t="inlineStr">
        <is>
          <t>JÄMTLANDS LÄN</t>
        </is>
      </c>
      <c r="E552" t="inlineStr">
        <is>
          <t>STRÖMSUND</t>
        </is>
      </c>
      <c r="F552" t="inlineStr">
        <is>
          <t>Holmen skog AB</t>
        </is>
      </c>
      <c r="G552" t="n">
        <v>21.7</v>
      </c>
      <c r="H552" t="n">
        <v>0</v>
      </c>
      <c r="I552" t="n">
        <v>0</v>
      </c>
      <c r="J552" t="n">
        <v>0</v>
      </c>
      <c r="K552" t="n">
        <v>0</v>
      </c>
      <c r="L552" t="n">
        <v>0</v>
      </c>
      <c r="M552" t="n">
        <v>0</v>
      </c>
      <c r="N552" t="n">
        <v>0</v>
      </c>
      <c r="O552" t="n">
        <v>0</v>
      </c>
      <c r="P552" t="n">
        <v>0</v>
      </c>
      <c r="Q552" t="n">
        <v>0</v>
      </c>
      <c r="R552" s="2" t="inlineStr"/>
    </row>
    <row r="553" ht="15" customHeight="1">
      <c r="A553" t="inlineStr">
        <is>
          <t>A 33825-2019</t>
        </is>
      </c>
      <c r="B553" s="1" t="n">
        <v>43651</v>
      </c>
      <c r="C553" s="1" t="n">
        <v>45734</v>
      </c>
      <c r="D553" t="inlineStr">
        <is>
          <t>JÄMTLANDS LÄN</t>
        </is>
      </c>
      <c r="E553" t="inlineStr">
        <is>
          <t>STRÖMSUND</t>
        </is>
      </c>
      <c r="F553" t="inlineStr">
        <is>
          <t>SCA</t>
        </is>
      </c>
      <c r="G553" t="n">
        <v>15.6</v>
      </c>
      <c r="H553" t="n">
        <v>0</v>
      </c>
      <c r="I553" t="n">
        <v>0</v>
      </c>
      <c r="J553" t="n">
        <v>0</v>
      </c>
      <c r="K553" t="n">
        <v>0</v>
      </c>
      <c r="L553" t="n">
        <v>0</v>
      </c>
      <c r="M553" t="n">
        <v>0</v>
      </c>
      <c r="N553" t="n">
        <v>0</v>
      </c>
      <c r="O553" t="n">
        <v>0</v>
      </c>
      <c r="P553" t="n">
        <v>0</v>
      </c>
      <c r="Q553" t="n">
        <v>0</v>
      </c>
      <c r="R553" s="2" t="inlineStr"/>
    </row>
    <row r="554" ht="15" customHeight="1">
      <c r="A554" t="inlineStr">
        <is>
          <t>A 33552-2019</t>
        </is>
      </c>
      <c r="B554" s="1" t="n">
        <v>43651</v>
      </c>
      <c r="C554" s="1" t="n">
        <v>45734</v>
      </c>
      <c r="D554" t="inlineStr">
        <is>
          <t>JÄMTLANDS LÄN</t>
        </is>
      </c>
      <c r="E554" t="inlineStr">
        <is>
          <t>STRÖMSUND</t>
        </is>
      </c>
      <c r="F554" t="inlineStr">
        <is>
          <t>Holmen skog AB</t>
        </is>
      </c>
      <c r="G554" t="n">
        <v>15.9</v>
      </c>
      <c r="H554" t="n">
        <v>0</v>
      </c>
      <c r="I554" t="n">
        <v>0</v>
      </c>
      <c r="J554" t="n">
        <v>0</v>
      </c>
      <c r="K554" t="n">
        <v>0</v>
      </c>
      <c r="L554" t="n">
        <v>0</v>
      </c>
      <c r="M554" t="n">
        <v>0</v>
      </c>
      <c r="N554" t="n">
        <v>0</v>
      </c>
      <c r="O554" t="n">
        <v>0</v>
      </c>
      <c r="P554" t="n">
        <v>0</v>
      </c>
      <c r="Q554" t="n">
        <v>0</v>
      </c>
      <c r="R554" s="2" t="inlineStr"/>
    </row>
    <row r="555" ht="15" customHeight="1">
      <c r="A555" t="inlineStr">
        <is>
          <t>A 34125-2019</t>
        </is>
      </c>
      <c r="B555" s="1" t="n">
        <v>43654</v>
      </c>
      <c r="C555" s="1" t="n">
        <v>45734</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34144-2019</t>
        </is>
      </c>
      <c r="B556" s="1" t="n">
        <v>43655</v>
      </c>
      <c r="C556" s="1" t="n">
        <v>45734</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34156-2019</t>
        </is>
      </c>
      <c r="B557" s="1" t="n">
        <v>43655</v>
      </c>
      <c r="C557" s="1" t="n">
        <v>45734</v>
      </c>
      <c r="D557" t="inlineStr">
        <is>
          <t>JÄMTLANDS LÄN</t>
        </is>
      </c>
      <c r="E557" t="inlineStr">
        <is>
          <t>STRÖMSUND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34152-2019</t>
        </is>
      </c>
      <c r="B558" s="1" t="n">
        <v>43655</v>
      </c>
      <c r="C558" s="1" t="n">
        <v>45734</v>
      </c>
      <c r="D558" t="inlineStr">
        <is>
          <t>JÄMTLANDS LÄN</t>
        </is>
      </c>
      <c r="E558" t="inlineStr">
        <is>
          <t>STRÖMSUND</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34233-2019</t>
        </is>
      </c>
      <c r="B559" s="1" t="n">
        <v>43655</v>
      </c>
      <c r="C559" s="1" t="n">
        <v>45734</v>
      </c>
      <c r="D559" t="inlineStr">
        <is>
          <t>JÄMTLANDS LÄN</t>
        </is>
      </c>
      <c r="E559" t="inlineStr">
        <is>
          <t>STRÖMSUND</t>
        </is>
      </c>
      <c r="G559" t="n">
        <v>3.1</v>
      </c>
      <c r="H559" t="n">
        <v>0</v>
      </c>
      <c r="I559" t="n">
        <v>0</v>
      </c>
      <c r="J559" t="n">
        <v>0</v>
      </c>
      <c r="K559" t="n">
        <v>0</v>
      </c>
      <c r="L559" t="n">
        <v>0</v>
      </c>
      <c r="M559" t="n">
        <v>0</v>
      </c>
      <c r="N559" t="n">
        <v>0</v>
      </c>
      <c r="O559" t="n">
        <v>0</v>
      </c>
      <c r="P559" t="n">
        <v>0</v>
      </c>
      <c r="Q559" t="n">
        <v>0</v>
      </c>
      <c r="R559" s="2" t="inlineStr"/>
    </row>
    <row r="560" ht="15" customHeight="1">
      <c r="A560" t="inlineStr">
        <is>
          <t>A 34146-2019</t>
        </is>
      </c>
      <c r="B560" s="1" t="n">
        <v>43655</v>
      </c>
      <c r="C560" s="1" t="n">
        <v>45734</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35674-2019</t>
        </is>
      </c>
      <c r="B561" s="1" t="n">
        <v>43655</v>
      </c>
      <c r="C561" s="1" t="n">
        <v>45734</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34219-2019</t>
        </is>
      </c>
      <c r="B562" s="1" t="n">
        <v>43655</v>
      </c>
      <c r="C562" s="1" t="n">
        <v>45734</v>
      </c>
      <c r="D562" t="inlineStr">
        <is>
          <t>JÄMTLANDS LÄN</t>
        </is>
      </c>
      <c r="E562" t="inlineStr">
        <is>
          <t>STRÖMSUND</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34741-2019</t>
        </is>
      </c>
      <c r="B563" s="1" t="n">
        <v>43657</v>
      </c>
      <c r="C563" s="1" t="n">
        <v>45734</v>
      </c>
      <c r="D563" t="inlineStr">
        <is>
          <t>JÄMTLANDS LÄN</t>
        </is>
      </c>
      <c r="E563" t="inlineStr">
        <is>
          <t>STRÖMSUND</t>
        </is>
      </c>
      <c r="F563" t="inlineStr">
        <is>
          <t>SCA</t>
        </is>
      </c>
      <c r="G563" t="n">
        <v>11.3</v>
      </c>
      <c r="H563" t="n">
        <v>0</v>
      </c>
      <c r="I563" t="n">
        <v>0</v>
      </c>
      <c r="J563" t="n">
        <v>0</v>
      </c>
      <c r="K563" t="n">
        <v>0</v>
      </c>
      <c r="L563" t="n">
        <v>0</v>
      </c>
      <c r="M563" t="n">
        <v>0</v>
      </c>
      <c r="N563" t="n">
        <v>0</v>
      </c>
      <c r="O563" t="n">
        <v>0</v>
      </c>
      <c r="P563" t="n">
        <v>0</v>
      </c>
      <c r="Q563" t="n">
        <v>0</v>
      </c>
      <c r="R563" s="2" t="inlineStr"/>
    </row>
    <row r="564" ht="15" customHeight="1">
      <c r="A564" t="inlineStr">
        <is>
          <t>A 36193-2019</t>
        </is>
      </c>
      <c r="B564" s="1" t="n">
        <v>43657</v>
      </c>
      <c r="C564" s="1" t="n">
        <v>45734</v>
      </c>
      <c r="D564" t="inlineStr">
        <is>
          <t>JÄMTLANDS LÄN</t>
        </is>
      </c>
      <c r="E564" t="inlineStr">
        <is>
          <t>STRÖMSUND</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34794-2019</t>
        </is>
      </c>
      <c r="B565" s="1" t="n">
        <v>43658</v>
      </c>
      <c r="C565" s="1" t="n">
        <v>45734</v>
      </c>
      <c r="D565" t="inlineStr">
        <is>
          <t>JÄMTLANDS LÄN</t>
        </is>
      </c>
      <c r="E565" t="inlineStr">
        <is>
          <t>STRÖMSUND</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35323-2019</t>
        </is>
      </c>
      <c r="B566" s="1" t="n">
        <v>43662</v>
      </c>
      <c r="C566" s="1" t="n">
        <v>45734</v>
      </c>
      <c r="D566" t="inlineStr">
        <is>
          <t>JÄMTLANDS LÄN</t>
        </is>
      </c>
      <c r="E566" t="inlineStr">
        <is>
          <t>STRÖMSUND</t>
        </is>
      </c>
      <c r="F566" t="inlineStr">
        <is>
          <t>SCA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35472-2019</t>
        </is>
      </c>
      <c r="B567" s="1" t="n">
        <v>43663</v>
      </c>
      <c r="C567" s="1" t="n">
        <v>45734</v>
      </c>
      <c r="D567" t="inlineStr">
        <is>
          <t>JÄMTLANDS LÄN</t>
        </is>
      </c>
      <c r="E567" t="inlineStr">
        <is>
          <t>STRÖMSUND</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35442-2019</t>
        </is>
      </c>
      <c r="B568" s="1" t="n">
        <v>43663</v>
      </c>
      <c r="C568" s="1" t="n">
        <v>45734</v>
      </c>
      <c r="D568" t="inlineStr">
        <is>
          <t>JÄMTLANDS LÄN</t>
        </is>
      </c>
      <c r="E568" t="inlineStr">
        <is>
          <t>STRÖMSUND</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35621-2019</t>
        </is>
      </c>
      <c r="B569" s="1" t="n">
        <v>43664</v>
      </c>
      <c r="C569" s="1" t="n">
        <v>45734</v>
      </c>
      <c r="D569" t="inlineStr">
        <is>
          <t>JÄMTLANDS LÄN</t>
        </is>
      </c>
      <c r="E569" t="inlineStr">
        <is>
          <t>STRÖMSUND</t>
        </is>
      </c>
      <c r="G569" t="n">
        <v>35.5</v>
      </c>
      <c r="H569" t="n">
        <v>0</v>
      </c>
      <c r="I569" t="n">
        <v>0</v>
      </c>
      <c r="J569" t="n">
        <v>0</v>
      </c>
      <c r="K569" t="n">
        <v>0</v>
      </c>
      <c r="L569" t="n">
        <v>0</v>
      </c>
      <c r="M569" t="n">
        <v>0</v>
      </c>
      <c r="N569" t="n">
        <v>0</v>
      </c>
      <c r="O569" t="n">
        <v>0</v>
      </c>
      <c r="P569" t="n">
        <v>0</v>
      </c>
      <c r="Q569" t="n">
        <v>0</v>
      </c>
      <c r="R569" s="2" t="inlineStr"/>
    </row>
    <row r="570" ht="15" customHeight="1">
      <c r="A570" t="inlineStr">
        <is>
          <t>A 37879-2019</t>
        </is>
      </c>
      <c r="B570" s="1" t="n">
        <v>43682</v>
      </c>
      <c r="C570" s="1" t="n">
        <v>45734</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37880-2019</t>
        </is>
      </c>
      <c r="B571" s="1" t="n">
        <v>43682</v>
      </c>
      <c r="C571" s="1" t="n">
        <v>45734</v>
      </c>
      <c r="D571" t="inlineStr">
        <is>
          <t>JÄMTLANDS LÄN</t>
        </is>
      </c>
      <c r="E571" t="inlineStr">
        <is>
          <t>STRÖMSUND</t>
        </is>
      </c>
      <c r="G571" t="n">
        <v>3.9</v>
      </c>
      <c r="H571" t="n">
        <v>0</v>
      </c>
      <c r="I571" t="n">
        <v>0</v>
      </c>
      <c r="J571" t="n">
        <v>0</v>
      </c>
      <c r="K571" t="n">
        <v>0</v>
      </c>
      <c r="L571" t="n">
        <v>0</v>
      </c>
      <c r="M571" t="n">
        <v>0</v>
      </c>
      <c r="N571" t="n">
        <v>0</v>
      </c>
      <c r="O571" t="n">
        <v>0</v>
      </c>
      <c r="P571" t="n">
        <v>0</v>
      </c>
      <c r="Q571" t="n">
        <v>0</v>
      </c>
      <c r="R571" s="2" t="inlineStr"/>
    </row>
    <row r="572" ht="15" customHeight="1">
      <c r="A572" t="inlineStr">
        <is>
          <t>A 38122-2019</t>
        </is>
      </c>
      <c r="B572" s="1" t="n">
        <v>43683</v>
      </c>
      <c r="C572" s="1" t="n">
        <v>45734</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38312-2019</t>
        </is>
      </c>
      <c r="B573" s="1" t="n">
        <v>43684</v>
      </c>
      <c r="C573" s="1" t="n">
        <v>45734</v>
      </c>
      <c r="D573" t="inlineStr">
        <is>
          <t>JÄMTLANDS LÄN</t>
        </is>
      </c>
      <c r="E573" t="inlineStr">
        <is>
          <t>STRÖMSUND</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38578-2019</t>
        </is>
      </c>
      <c r="B574" s="1" t="n">
        <v>43685</v>
      </c>
      <c r="C574" s="1" t="n">
        <v>45734</v>
      </c>
      <c r="D574" t="inlineStr">
        <is>
          <t>JÄMTLANDS LÄN</t>
        </is>
      </c>
      <c r="E574" t="inlineStr">
        <is>
          <t>STRÖMSUND</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38577-2019</t>
        </is>
      </c>
      <c r="B575" s="1" t="n">
        <v>43685</v>
      </c>
      <c r="C575" s="1" t="n">
        <v>45734</v>
      </c>
      <c r="D575" t="inlineStr">
        <is>
          <t>JÄMTLANDS LÄN</t>
        </is>
      </c>
      <c r="E575" t="inlineStr">
        <is>
          <t>STRÖMSUND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39129-2019</t>
        </is>
      </c>
      <c r="B576" s="1" t="n">
        <v>43689</v>
      </c>
      <c r="C576" s="1" t="n">
        <v>45734</v>
      </c>
      <c r="D576" t="inlineStr">
        <is>
          <t>JÄMTLANDS LÄN</t>
        </is>
      </c>
      <c r="E576" t="inlineStr">
        <is>
          <t>STRÖMSUND</t>
        </is>
      </c>
      <c r="F576" t="inlineStr">
        <is>
          <t>SCA</t>
        </is>
      </c>
      <c r="G576" t="n">
        <v>67.2</v>
      </c>
      <c r="H576" t="n">
        <v>0</v>
      </c>
      <c r="I576" t="n">
        <v>0</v>
      </c>
      <c r="J576" t="n">
        <v>0</v>
      </c>
      <c r="K576" t="n">
        <v>0</v>
      </c>
      <c r="L576" t="n">
        <v>0</v>
      </c>
      <c r="M576" t="n">
        <v>0</v>
      </c>
      <c r="N576" t="n">
        <v>0</v>
      </c>
      <c r="O576" t="n">
        <v>0</v>
      </c>
      <c r="P576" t="n">
        <v>0</v>
      </c>
      <c r="Q576" t="n">
        <v>0</v>
      </c>
      <c r="R576" s="2" t="inlineStr"/>
    </row>
    <row r="577" ht="15" customHeight="1">
      <c r="A577" t="inlineStr">
        <is>
          <t>A 39226-2019</t>
        </is>
      </c>
      <c r="B577" s="1" t="n">
        <v>43690</v>
      </c>
      <c r="C577" s="1" t="n">
        <v>45734</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39282-2019</t>
        </is>
      </c>
      <c r="B578" s="1" t="n">
        <v>43690</v>
      </c>
      <c r="C578" s="1" t="n">
        <v>45734</v>
      </c>
      <c r="D578" t="inlineStr">
        <is>
          <t>JÄMTLANDS LÄN</t>
        </is>
      </c>
      <c r="E578" t="inlineStr">
        <is>
          <t>STRÖMSUND</t>
        </is>
      </c>
      <c r="F578" t="inlineStr">
        <is>
          <t>Holmen skog AB</t>
        </is>
      </c>
      <c r="G578" t="n">
        <v>21.2</v>
      </c>
      <c r="H578" t="n">
        <v>0</v>
      </c>
      <c r="I578" t="n">
        <v>0</v>
      </c>
      <c r="J578" t="n">
        <v>0</v>
      </c>
      <c r="K578" t="n">
        <v>0</v>
      </c>
      <c r="L578" t="n">
        <v>0</v>
      </c>
      <c r="M578" t="n">
        <v>0</v>
      </c>
      <c r="N578" t="n">
        <v>0</v>
      </c>
      <c r="O578" t="n">
        <v>0</v>
      </c>
      <c r="P578" t="n">
        <v>0</v>
      </c>
      <c r="Q578" t="n">
        <v>0</v>
      </c>
      <c r="R578" s="2" t="inlineStr"/>
    </row>
    <row r="579" ht="15" customHeight="1">
      <c r="A579" t="inlineStr">
        <is>
          <t>A 40509-2019</t>
        </is>
      </c>
      <c r="B579" s="1" t="n">
        <v>43696</v>
      </c>
      <c r="C579" s="1" t="n">
        <v>45734</v>
      </c>
      <c r="D579" t="inlineStr">
        <is>
          <t>JÄMTLANDS LÄN</t>
        </is>
      </c>
      <c r="E579" t="inlineStr">
        <is>
          <t>STRÖMSUND</t>
        </is>
      </c>
      <c r="G579" t="n">
        <v>16.4</v>
      </c>
      <c r="H579" t="n">
        <v>0</v>
      </c>
      <c r="I579" t="n">
        <v>0</v>
      </c>
      <c r="J579" t="n">
        <v>0</v>
      </c>
      <c r="K579" t="n">
        <v>0</v>
      </c>
      <c r="L579" t="n">
        <v>0</v>
      </c>
      <c r="M579" t="n">
        <v>0</v>
      </c>
      <c r="N579" t="n">
        <v>0</v>
      </c>
      <c r="O579" t="n">
        <v>0</v>
      </c>
      <c r="P579" t="n">
        <v>0</v>
      </c>
      <c r="Q579" t="n">
        <v>0</v>
      </c>
      <c r="R579" s="2" t="inlineStr"/>
    </row>
    <row r="580" ht="15" customHeight="1">
      <c r="A580" t="inlineStr">
        <is>
          <t>A 40661-2019</t>
        </is>
      </c>
      <c r="B580" s="1" t="n">
        <v>43696</v>
      </c>
      <c r="C580" s="1" t="n">
        <v>45734</v>
      </c>
      <c r="D580" t="inlineStr">
        <is>
          <t>JÄMTLANDS LÄN</t>
        </is>
      </c>
      <c r="E580" t="inlineStr">
        <is>
          <t>STRÖMSUND</t>
        </is>
      </c>
      <c r="G580" t="n">
        <v>2.9</v>
      </c>
      <c r="H580" t="n">
        <v>0</v>
      </c>
      <c r="I580" t="n">
        <v>0</v>
      </c>
      <c r="J580" t="n">
        <v>0</v>
      </c>
      <c r="K580" t="n">
        <v>0</v>
      </c>
      <c r="L580" t="n">
        <v>0</v>
      </c>
      <c r="M580" t="n">
        <v>0</v>
      </c>
      <c r="N580" t="n">
        <v>0</v>
      </c>
      <c r="O580" t="n">
        <v>0</v>
      </c>
      <c r="P580" t="n">
        <v>0</v>
      </c>
      <c r="Q580" t="n">
        <v>0</v>
      </c>
      <c r="R580" s="2" t="inlineStr"/>
    </row>
    <row r="581" ht="15" customHeight="1">
      <c r="A581" t="inlineStr">
        <is>
          <t>A 40670-2019</t>
        </is>
      </c>
      <c r="B581" s="1" t="n">
        <v>43696</v>
      </c>
      <c r="C581" s="1" t="n">
        <v>45734</v>
      </c>
      <c r="D581" t="inlineStr">
        <is>
          <t>JÄMTLANDS LÄN</t>
        </is>
      </c>
      <c r="E581" t="inlineStr">
        <is>
          <t>STRÖMSUND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40508-2019</t>
        </is>
      </c>
      <c r="B582" s="1" t="n">
        <v>43696</v>
      </c>
      <c r="C582" s="1" t="n">
        <v>45734</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41007-2019</t>
        </is>
      </c>
      <c r="B583" s="1" t="n">
        <v>43697</v>
      </c>
      <c r="C583" s="1" t="n">
        <v>45734</v>
      </c>
      <c r="D583" t="inlineStr">
        <is>
          <t>JÄMTLANDS LÄN</t>
        </is>
      </c>
      <c r="E583" t="inlineStr">
        <is>
          <t>STRÖMSUND</t>
        </is>
      </c>
      <c r="G583" t="n">
        <v>7.2</v>
      </c>
      <c r="H583" t="n">
        <v>0</v>
      </c>
      <c r="I583" t="n">
        <v>0</v>
      </c>
      <c r="J583" t="n">
        <v>0</v>
      </c>
      <c r="K583" t="n">
        <v>0</v>
      </c>
      <c r="L583" t="n">
        <v>0</v>
      </c>
      <c r="M583" t="n">
        <v>0</v>
      </c>
      <c r="N583" t="n">
        <v>0</v>
      </c>
      <c r="O583" t="n">
        <v>0</v>
      </c>
      <c r="P583" t="n">
        <v>0</v>
      </c>
      <c r="Q583" t="n">
        <v>0</v>
      </c>
      <c r="R583" s="2" t="inlineStr"/>
    </row>
    <row r="584" ht="15" customHeight="1">
      <c r="A584" t="inlineStr">
        <is>
          <t>A 41042-2019</t>
        </is>
      </c>
      <c r="B584" s="1" t="n">
        <v>43697</v>
      </c>
      <c r="C584" s="1" t="n">
        <v>45734</v>
      </c>
      <c r="D584" t="inlineStr">
        <is>
          <t>JÄMTLANDS LÄN</t>
        </is>
      </c>
      <c r="E584" t="inlineStr">
        <is>
          <t>STRÖMSUND</t>
        </is>
      </c>
      <c r="F584" t="inlineStr">
        <is>
          <t>SCA</t>
        </is>
      </c>
      <c r="G584" t="n">
        <v>58.2</v>
      </c>
      <c r="H584" t="n">
        <v>0</v>
      </c>
      <c r="I584" t="n">
        <v>0</v>
      </c>
      <c r="J584" t="n">
        <v>0</v>
      </c>
      <c r="K584" t="n">
        <v>0</v>
      </c>
      <c r="L584" t="n">
        <v>0</v>
      </c>
      <c r="M584" t="n">
        <v>0</v>
      </c>
      <c r="N584" t="n">
        <v>0</v>
      </c>
      <c r="O584" t="n">
        <v>0</v>
      </c>
      <c r="P584" t="n">
        <v>0</v>
      </c>
      <c r="Q584" t="n">
        <v>0</v>
      </c>
      <c r="R584" s="2" t="inlineStr"/>
    </row>
    <row r="585" ht="15" customHeight="1">
      <c r="A585" t="inlineStr">
        <is>
          <t>A 42420-2019</t>
        </is>
      </c>
      <c r="B585" s="1" t="n">
        <v>43703</v>
      </c>
      <c r="C585" s="1" t="n">
        <v>45734</v>
      </c>
      <c r="D585" t="inlineStr">
        <is>
          <t>JÄMTLANDS LÄN</t>
        </is>
      </c>
      <c r="E585" t="inlineStr">
        <is>
          <t>STRÖMSUND</t>
        </is>
      </c>
      <c r="G585" t="n">
        <v>8.4</v>
      </c>
      <c r="H585" t="n">
        <v>0</v>
      </c>
      <c r="I585" t="n">
        <v>0</v>
      </c>
      <c r="J585" t="n">
        <v>0</v>
      </c>
      <c r="K585" t="n">
        <v>0</v>
      </c>
      <c r="L585" t="n">
        <v>0</v>
      </c>
      <c r="M585" t="n">
        <v>0</v>
      </c>
      <c r="N585" t="n">
        <v>0</v>
      </c>
      <c r="O585" t="n">
        <v>0</v>
      </c>
      <c r="P585" t="n">
        <v>0</v>
      </c>
      <c r="Q585" t="n">
        <v>0</v>
      </c>
      <c r="R585" s="2" t="inlineStr"/>
    </row>
    <row r="586" ht="15" customHeight="1">
      <c r="A586" t="inlineStr">
        <is>
          <t>A 43180-2019</t>
        </is>
      </c>
      <c r="B586" s="1" t="n">
        <v>43705</v>
      </c>
      <c r="C586" s="1" t="n">
        <v>45734</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43707-2019</t>
        </is>
      </c>
      <c r="B587" s="1" t="n">
        <v>43707</v>
      </c>
      <c r="C587" s="1" t="n">
        <v>45734</v>
      </c>
      <c r="D587" t="inlineStr">
        <is>
          <t>JÄMTLANDS LÄN</t>
        </is>
      </c>
      <c r="E587" t="inlineStr">
        <is>
          <t>STRÖMSUND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43943-2019</t>
        </is>
      </c>
      <c r="B588" s="1" t="n">
        <v>43707</v>
      </c>
      <c r="C588" s="1" t="n">
        <v>45734</v>
      </c>
      <c r="D588" t="inlineStr">
        <is>
          <t>JÄMTLANDS LÄN</t>
        </is>
      </c>
      <c r="E588" t="inlineStr">
        <is>
          <t>STRÖMSUND</t>
        </is>
      </c>
      <c r="F588" t="inlineStr">
        <is>
          <t>SCA</t>
        </is>
      </c>
      <c r="G588" t="n">
        <v>11.9</v>
      </c>
      <c r="H588" t="n">
        <v>0</v>
      </c>
      <c r="I588" t="n">
        <v>0</v>
      </c>
      <c r="J588" t="n">
        <v>0</v>
      </c>
      <c r="K588" t="n">
        <v>0</v>
      </c>
      <c r="L588" t="n">
        <v>0</v>
      </c>
      <c r="M588" t="n">
        <v>0</v>
      </c>
      <c r="N588" t="n">
        <v>0</v>
      </c>
      <c r="O588" t="n">
        <v>0</v>
      </c>
      <c r="P588" t="n">
        <v>0</v>
      </c>
      <c r="Q588" t="n">
        <v>0</v>
      </c>
      <c r="R588" s="2" t="inlineStr"/>
    </row>
    <row r="589" ht="15" customHeight="1">
      <c r="A589" t="inlineStr">
        <is>
          <t>A 43793-2019</t>
        </is>
      </c>
      <c r="B589" s="1" t="n">
        <v>43707</v>
      </c>
      <c r="C589" s="1" t="n">
        <v>45734</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45171-2019</t>
        </is>
      </c>
      <c r="B590" s="1" t="n">
        <v>43707</v>
      </c>
      <c r="C590" s="1" t="n">
        <v>45734</v>
      </c>
      <c r="D590" t="inlineStr">
        <is>
          <t>JÄMTLANDS LÄN</t>
        </is>
      </c>
      <c r="E590" t="inlineStr">
        <is>
          <t>STRÖMSUND</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44010-2019</t>
        </is>
      </c>
      <c r="B591" s="1" t="n">
        <v>43709</v>
      </c>
      <c r="C591" s="1" t="n">
        <v>45734</v>
      </c>
      <c r="D591" t="inlineStr">
        <is>
          <t>JÄMTLANDS LÄN</t>
        </is>
      </c>
      <c r="E591" t="inlineStr">
        <is>
          <t>STRÖMSUND</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44535-2019</t>
        </is>
      </c>
      <c r="B592" s="1" t="n">
        <v>43711</v>
      </c>
      <c r="C592" s="1" t="n">
        <v>45734</v>
      </c>
      <c r="D592" t="inlineStr">
        <is>
          <t>JÄMTLANDS LÄN</t>
        </is>
      </c>
      <c r="E592" t="inlineStr">
        <is>
          <t>STRÖMSUND</t>
        </is>
      </c>
      <c r="G592" t="n">
        <v>23.8</v>
      </c>
      <c r="H592" t="n">
        <v>0</v>
      </c>
      <c r="I592" t="n">
        <v>0</v>
      </c>
      <c r="J592" t="n">
        <v>0</v>
      </c>
      <c r="K592" t="n">
        <v>0</v>
      </c>
      <c r="L592" t="n">
        <v>0</v>
      </c>
      <c r="M592" t="n">
        <v>0</v>
      </c>
      <c r="N592" t="n">
        <v>0</v>
      </c>
      <c r="O592" t="n">
        <v>0</v>
      </c>
      <c r="P592" t="n">
        <v>0</v>
      </c>
      <c r="Q592" t="n">
        <v>0</v>
      </c>
      <c r="R592" s="2" t="inlineStr"/>
    </row>
    <row r="593" ht="15" customHeight="1">
      <c r="A593" t="inlineStr">
        <is>
          <t>A 44604-2019</t>
        </is>
      </c>
      <c r="B593" s="1" t="n">
        <v>43711</v>
      </c>
      <c r="C593" s="1" t="n">
        <v>45734</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45773-2019</t>
        </is>
      </c>
      <c r="B594" s="1" t="n">
        <v>43711</v>
      </c>
      <c r="C594" s="1" t="n">
        <v>45734</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44605-2019</t>
        </is>
      </c>
      <c r="B595" s="1" t="n">
        <v>43711</v>
      </c>
      <c r="C595" s="1" t="n">
        <v>45734</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45737-2019</t>
        </is>
      </c>
      <c r="B596" s="1" t="n">
        <v>43711</v>
      </c>
      <c r="C596" s="1" t="n">
        <v>45734</v>
      </c>
      <c r="D596" t="inlineStr">
        <is>
          <t>JÄMTLANDS LÄN</t>
        </is>
      </c>
      <c r="E596" t="inlineStr">
        <is>
          <t>STRÖMSUND</t>
        </is>
      </c>
      <c r="F596" t="inlineStr">
        <is>
          <t>Holmen skog AB</t>
        </is>
      </c>
      <c r="G596" t="n">
        <v>9.5</v>
      </c>
      <c r="H596" t="n">
        <v>0</v>
      </c>
      <c r="I596" t="n">
        <v>0</v>
      </c>
      <c r="J596" t="n">
        <v>0</v>
      </c>
      <c r="K596" t="n">
        <v>0</v>
      </c>
      <c r="L596" t="n">
        <v>0</v>
      </c>
      <c r="M596" t="n">
        <v>0</v>
      </c>
      <c r="N596" t="n">
        <v>0</v>
      </c>
      <c r="O596" t="n">
        <v>0</v>
      </c>
      <c r="P596" t="n">
        <v>0</v>
      </c>
      <c r="Q596" t="n">
        <v>0</v>
      </c>
      <c r="R596" s="2" t="inlineStr"/>
    </row>
    <row r="597" ht="15" customHeight="1">
      <c r="A597" t="inlineStr">
        <is>
          <t>A 45776-2019</t>
        </is>
      </c>
      <c r="B597" s="1" t="n">
        <v>43711</v>
      </c>
      <c r="C597" s="1" t="n">
        <v>45734</v>
      </c>
      <c r="D597" t="inlineStr">
        <is>
          <t>JÄMTLANDS LÄN</t>
        </is>
      </c>
      <c r="E597" t="inlineStr">
        <is>
          <t>STRÖMSUND</t>
        </is>
      </c>
      <c r="G597" t="n">
        <v>3.6</v>
      </c>
      <c r="H597" t="n">
        <v>0</v>
      </c>
      <c r="I597" t="n">
        <v>0</v>
      </c>
      <c r="J597" t="n">
        <v>0</v>
      </c>
      <c r="K597" t="n">
        <v>0</v>
      </c>
      <c r="L597" t="n">
        <v>0</v>
      </c>
      <c r="M597" t="n">
        <v>0</v>
      </c>
      <c r="N597" t="n">
        <v>0</v>
      </c>
      <c r="O597" t="n">
        <v>0</v>
      </c>
      <c r="P597" t="n">
        <v>0</v>
      </c>
      <c r="Q597" t="n">
        <v>0</v>
      </c>
      <c r="R597" s="2" t="inlineStr"/>
    </row>
    <row r="598" ht="15" customHeight="1">
      <c r="A598" t="inlineStr">
        <is>
          <t>A 44774-2019</t>
        </is>
      </c>
      <c r="B598" s="1" t="n">
        <v>43712</v>
      </c>
      <c r="C598" s="1" t="n">
        <v>45734</v>
      </c>
      <c r="D598" t="inlineStr">
        <is>
          <t>JÄMTLANDS LÄN</t>
        </is>
      </c>
      <c r="E598" t="inlineStr">
        <is>
          <t>STRÖMSUND</t>
        </is>
      </c>
      <c r="G598" t="n">
        <v>4.6</v>
      </c>
      <c r="H598" t="n">
        <v>0</v>
      </c>
      <c r="I598" t="n">
        <v>0</v>
      </c>
      <c r="J598" t="n">
        <v>0</v>
      </c>
      <c r="K598" t="n">
        <v>0</v>
      </c>
      <c r="L598" t="n">
        <v>0</v>
      </c>
      <c r="M598" t="n">
        <v>0</v>
      </c>
      <c r="N598" t="n">
        <v>0</v>
      </c>
      <c r="O598" t="n">
        <v>0</v>
      </c>
      <c r="P598" t="n">
        <v>0</v>
      </c>
      <c r="Q598" t="n">
        <v>0</v>
      </c>
      <c r="R598" s="2" t="inlineStr"/>
    </row>
    <row r="599" ht="15" customHeight="1">
      <c r="A599" t="inlineStr">
        <is>
          <t>A 44809-2019</t>
        </is>
      </c>
      <c r="B599" s="1" t="n">
        <v>43712</v>
      </c>
      <c r="C599" s="1" t="n">
        <v>45734</v>
      </c>
      <c r="D599" t="inlineStr">
        <is>
          <t>JÄMTLANDS LÄN</t>
        </is>
      </c>
      <c r="E599" t="inlineStr">
        <is>
          <t>STRÖMSUND</t>
        </is>
      </c>
      <c r="F599" t="inlineStr">
        <is>
          <t>Kommuner</t>
        </is>
      </c>
      <c r="G599" t="n">
        <v>13.4</v>
      </c>
      <c r="H599" t="n">
        <v>0</v>
      </c>
      <c r="I599" t="n">
        <v>0</v>
      </c>
      <c r="J599" t="n">
        <v>0</v>
      </c>
      <c r="K599" t="n">
        <v>0</v>
      </c>
      <c r="L599" t="n">
        <v>0</v>
      </c>
      <c r="M599" t="n">
        <v>0</v>
      </c>
      <c r="N599" t="n">
        <v>0</v>
      </c>
      <c r="O599" t="n">
        <v>0</v>
      </c>
      <c r="P599" t="n">
        <v>0</v>
      </c>
      <c r="Q599" t="n">
        <v>0</v>
      </c>
      <c r="R599" s="2" t="inlineStr"/>
    </row>
    <row r="600" ht="15" customHeight="1">
      <c r="A600" t="inlineStr">
        <is>
          <t>A 44882-2019</t>
        </is>
      </c>
      <c r="B600" s="1" t="n">
        <v>43712</v>
      </c>
      <c r="C600" s="1" t="n">
        <v>45734</v>
      </c>
      <c r="D600" t="inlineStr">
        <is>
          <t>JÄMTLANDS LÄN</t>
        </is>
      </c>
      <c r="E600" t="inlineStr">
        <is>
          <t>STRÖMSUND</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44956-2019</t>
        </is>
      </c>
      <c r="B601" s="1" t="n">
        <v>43713</v>
      </c>
      <c r="C601" s="1" t="n">
        <v>45734</v>
      </c>
      <c r="D601" t="inlineStr">
        <is>
          <t>JÄMTLANDS LÄN</t>
        </is>
      </c>
      <c r="E601" t="inlineStr">
        <is>
          <t>STRÖMSUND</t>
        </is>
      </c>
      <c r="G601" t="n">
        <v>2.4</v>
      </c>
      <c r="H601" t="n">
        <v>0</v>
      </c>
      <c r="I601" t="n">
        <v>0</v>
      </c>
      <c r="J601" t="n">
        <v>0</v>
      </c>
      <c r="K601" t="n">
        <v>0</v>
      </c>
      <c r="L601" t="n">
        <v>0</v>
      </c>
      <c r="M601" t="n">
        <v>0</v>
      </c>
      <c r="N601" t="n">
        <v>0</v>
      </c>
      <c r="O601" t="n">
        <v>0</v>
      </c>
      <c r="P601" t="n">
        <v>0</v>
      </c>
      <c r="Q601" t="n">
        <v>0</v>
      </c>
      <c r="R601" s="2" t="inlineStr"/>
    </row>
    <row r="602" ht="15" customHeight="1">
      <c r="A602" t="inlineStr">
        <is>
          <t>A 45165-2019</t>
        </is>
      </c>
      <c r="B602" s="1" t="n">
        <v>43713</v>
      </c>
      <c r="C602" s="1" t="n">
        <v>45734</v>
      </c>
      <c r="D602" t="inlineStr">
        <is>
          <t>JÄMTLANDS LÄN</t>
        </is>
      </c>
      <c r="E602" t="inlineStr">
        <is>
          <t>STRÖMSUND</t>
        </is>
      </c>
      <c r="F602" t="inlineStr">
        <is>
          <t>Holmen skog AB</t>
        </is>
      </c>
      <c r="G602" t="n">
        <v>25.4</v>
      </c>
      <c r="H602" t="n">
        <v>0</v>
      </c>
      <c r="I602" t="n">
        <v>0</v>
      </c>
      <c r="J602" t="n">
        <v>0</v>
      </c>
      <c r="K602" t="n">
        <v>0</v>
      </c>
      <c r="L602" t="n">
        <v>0</v>
      </c>
      <c r="M602" t="n">
        <v>0</v>
      </c>
      <c r="N602" t="n">
        <v>0</v>
      </c>
      <c r="O602" t="n">
        <v>0</v>
      </c>
      <c r="P602" t="n">
        <v>0</v>
      </c>
      <c r="Q602" t="n">
        <v>0</v>
      </c>
      <c r="R602" s="2" t="inlineStr"/>
    </row>
    <row r="603" ht="15" customHeight="1">
      <c r="A603" t="inlineStr">
        <is>
          <t>A 45362-2019</t>
        </is>
      </c>
      <c r="B603" s="1" t="n">
        <v>43714</v>
      </c>
      <c r="C603" s="1" t="n">
        <v>45734</v>
      </c>
      <c r="D603" t="inlineStr">
        <is>
          <t>JÄMTLANDS LÄN</t>
        </is>
      </c>
      <c r="E603" t="inlineStr">
        <is>
          <t>STRÖMSUND</t>
        </is>
      </c>
      <c r="G603" t="n">
        <v>4.2</v>
      </c>
      <c r="H603" t="n">
        <v>0</v>
      </c>
      <c r="I603" t="n">
        <v>0</v>
      </c>
      <c r="J603" t="n">
        <v>0</v>
      </c>
      <c r="K603" t="n">
        <v>0</v>
      </c>
      <c r="L603" t="n">
        <v>0</v>
      </c>
      <c r="M603" t="n">
        <v>0</v>
      </c>
      <c r="N603" t="n">
        <v>0</v>
      </c>
      <c r="O603" t="n">
        <v>0</v>
      </c>
      <c r="P603" t="n">
        <v>0</v>
      </c>
      <c r="Q603" t="n">
        <v>0</v>
      </c>
      <c r="R603" s="2" t="inlineStr"/>
    </row>
    <row r="604" ht="15" customHeight="1">
      <c r="A604" t="inlineStr">
        <is>
          <t>A 45649-2019</t>
        </is>
      </c>
      <c r="B604" s="1" t="n">
        <v>43717</v>
      </c>
      <c r="C604" s="1" t="n">
        <v>45734</v>
      </c>
      <c r="D604" t="inlineStr">
        <is>
          <t>JÄMTLANDS LÄN</t>
        </is>
      </c>
      <c r="E604" t="inlineStr">
        <is>
          <t>STRÖMSUND</t>
        </is>
      </c>
      <c r="F604" t="inlineStr">
        <is>
          <t>Holmen skog AB</t>
        </is>
      </c>
      <c r="G604" t="n">
        <v>24.2</v>
      </c>
      <c r="H604" t="n">
        <v>0</v>
      </c>
      <c r="I604" t="n">
        <v>0</v>
      </c>
      <c r="J604" t="n">
        <v>0</v>
      </c>
      <c r="K604" t="n">
        <v>0</v>
      </c>
      <c r="L604" t="n">
        <v>0</v>
      </c>
      <c r="M604" t="n">
        <v>0</v>
      </c>
      <c r="N604" t="n">
        <v>0</v>
      </c>
      <c r="O604" t="n">
        <v>0</v>
      </c>
      <c r="P604" t="n">
        <v>0</v>
      </c>
      <c r="Q604" t="n">
        <v>0</v>
      </c>
      <c r="R604" s="2" t="inlineStr"/>
    </row>
    <row r="605" ht="15" customHeight="1">
      <c r="A605" t="inlineStr">
        <is>
          <t>A 45918-2019</t>
        </is>
      </c>
      <c r="B605" s="1" t="n">
        <v>43717</v>
      </c>
      <c r="C605" s="1" t="n">
        <v>45734</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45917-2019</t>
        </is>
      </c>
      <c r="B606" s="1" t="n">
        <v>43717</v>
      </c>
      <c r="C606" s="1" t="n">
        <v>45734</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45835-2019</t>
        </is>
      </c>
      <c r="B607" s="1" t="n">
        <v>43717</v>
      </c>
      <c r="C607" s="1" t="n">
        <v>45734</v>
      </c>
      <c r="D607" t="inlineStr">
        <is>
          <t>JÄMTLANDS LÄN</t>
        </is>
      </c>
      <c r="E607" t="inlineStr">
        <is>
          <t>STRÖMSUND</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45963-2019</t>
        </is>
      </c>
      <c r="B608" s="1" t="n">
        <v>43718</v>
      </c>
      <c r="C608" s="1" t="n">
        <v>45734</v>
      </c>
      <c r="D608" t="inlineStr">
        <is>
          <t>JÄMTLANDS LÄN</t>
        </is>
      </c>
      <c r="E608" t="inlineStr">
        <is>
          <t>STRÖMSUND</t>
        </is>
      </c>
      <c r="F608" t="inlineStr">
        <is>
          <t>Holmen skog AB</t>
        </is>
      </c>
      <c r="G608" t="n">
        <v>11.8</v>
      </c>
      <c r="H608" t="n">
        <v>0</v>
      </c>
      <c r="I608" t="n">
        <v>0</v>
      </c>
      <c r="J608" t="n">
        <v>0</v>
      </c>
      <c r="K608" t="n">
        <v>0</v>
      </c>
      <c r="L608" t="n">
        <v>0</v>
      </c>
      <c r="M608" t="n">
        <v>0</v>
      </c>
      <c r="N608" t="n">
        <v>0</v>
      </c>
      <c r="O608" t="n">
        <v>0</v>
      </c>
      <c r="P608" t="n">
        <v>0</v>
      </c>
      <c r="Q608" t="n">
        <v>0</v>
      </c>
      <c r="R608" s="2" t="inlineStr"/>
    </row>
    <row r="609" ht="15" customHeight="1">
      <c r="A609" t="inlineStr">
        <is>
          <t>A 47082-2019</t>
        </is>
      </c>
      <c r="B609" s="1" t="n">
        <v>43720</v>
      </c>
      <c r="C609" s="1" t="n">
        <v>45734</v>
      </c>
      <c r="D609" t="inlineStr">
        <is>
          <t>JÄMTLANDS LÄN</t>
        </is>
      </c>
      <c r="E609" t="inlineStr">
        <is>
          <t>STRÖMSUND</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47410-2019</t>
        </is>
      </c>
      <c r="B610" s="1" t="n">
        <v>43723</v>
      </c>
      <c r="C610" s="1" t="n">
        <v>45734</v>
      </c>
      <c r="D610" t="inlineStr">
        <is>
          <t>JÄMTLANDS LÄN</t>
        </is>
      </c>
      <c r="E610" t="inlineStr">
        <is>
          <t>STRÖMSUND</t>
        </is>
      </c>
      <c r="G610" t="n">
        <v>5.4</v>
      </c>
      <c r="H610" t="n">
        <v>0</v>
      </c>
      <c r="I610" t="n">
        <v>0</v>
      </c>
      <c r="J610" t="n">
        <v>0</v>
      </c>
      <c r="K610" t="n">
        <v>0</v>
      </c>
      <c r="L610" t="n">
        <v>0</v>
      </c>
      <c r="M610" t="n">
        <v>0</v>
      </c>
      <c r="N610" t="n">
        <v>0</v>
      </c>
      <c r="O610" t="n">
        <v>0</v>
      </c>
      <c r="P610" t="n">
        <v>0</v>
      </c>
      <c r="Q610" t="n">
        <v>0</v>
      </c>
      <c r="R610" s="2" t="inlineStr"/>
    </row>
    <row r="611" ht="15" customHeight="1">
      <c r="A611" t="inlineStr">
        <is>
          <t>A 47531-2019</t>
        </is>
      </c>
      <c r="B611" s="1" t="n">
        <v>43724</v>
      </c>
      <c r="C611" s="1" t="n">
        <v>45734</v>
      </c>
      <c r="D611" t="inlineStr">
        <is>
          <t>JÄMTLANDS LÄN</t>
        </is>
      </c>
      <c r="E611" t="inlineStr">
        <is>
          <t>STRÖMSUND</t>
        </is>
      </c>
      <c r="G611" t="n">
        <v>30.4</v>
      </c>
      <c r="H611" t="n">
        <v>0</v>
      </c>
      <c r="I611" t="n">
        <v>0</v>
      </c>
      <c r="J611" t="n">
        <v>0</v>
      </c>
      <c r="K611" t="n">
        <v>0</v>
      </c>
      <c r="L611" t="n">
        <v>0</v>
      </c>
      <c r="M611" t="n">
        <v>0</v>
      </c>
      <c r="N611" t="n">
        <v>0</v>
      </c>
      <c r="O611" t="n">
        <v>0</v>
      </c>
      <c r="P611" t="n">
        <v>0</v>
      </c>
      <c r="Q611" t="n">
        <v>0</v>
      </c>
      <c r="R611" s="2" t="inlineStr"/>
    </row>
    <row r="612" ht="15" customHeight="1">
      <c r="A612" t="inlineStr">
        <is>
          <t>A 47811-2019</t>
        </is>
      </c>
      <c r="B612" s="1" t="n">
        <v>43724</v>
      </c>
      <c r="C612" s="1" t="n">
        <v>45734</v>
      </c>
      <c r="D612" t="inlineStr">
        <is>
          <t>JÄMTLANDS LÄN</t>
        </is>
      </c>
      <c r="E612" t="inlineStr">
        <is>
          <t>STRÖMSUND</t>
        </is>
      </c>
      <c r="F612" t="inlineStr">
        <is>
          <t>SCA</t>
        </is>
      </c>
      <c r="G612" t="n">
        <v>14.6</v>
      </c>
      <c r="H612" t="n">
        <v>0</v>
      </c>
      <c r="I612" t="n">
        <v>0</v>
      </c>
      <c r="J612" t="n">
        <v>0</v>
      </c>
      <c r="K612" t="n">
        <v>0</v>
      </c>
      <c r="L612" t="n">
        <v>0</v>
      </c>
      <c r="M612" t="n">
        <v>0</v>
      </c>
      <c r="N612" t="n">
        <v>0</v>
      </c>
      <c r="O612" t="n">
        <v>0</v>
      </c>
      <c r="P612" t="n">
        <v>0</v>
      </c>
      <c r="Q612" t="n">
        <v>0</v>
      </c>
      <c r="R612" s="2" t="inlineStr"/>
    </row>
    <row r="613" ht="15" customHeight="1">
      <c r="A613" t="inlineStr">
        <is>
          <t>A 48052-2019</t>
        </is>
      </c>
      <c r="B613" s="1" t="n">
        <v>43725</v>
      </c>
      <c r="C613" s="1" t="n">
        <v>45734</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48578-2019</t>
        </is>
      </c>
      <c r="B614" s="1" t="n">
        <v>43727</v>
      </c>
      <c r="C614" s="1" t="n">
        <v>45734</v>
      </c>
      <c r="D614" t="inlineStr">
        <is>
          <t>JÄMTLANDS LÄN</t>
        </is>
      </c>
      <c r="E614" t="inlineStr">
        <is>
          <t>STRÖMSUND</t>
        </is>
      </c>
      <c r="G614" t="n">
        <v>20.8</v>
      </c>
      <c r="H614" t="n">
        <v>0</v>
      </c>
      <c r="I614" t="n">
        <v>0</v>
      </c>
      <c r="J614" t="n">
        <v>0</v>
      </c>
      <c r="K614" t="n">
        <v>0</v>
      </c>
      <c r="L614" t="n">
        <v>0</v>
      </c>
      <c r="M614" t="n">
        <v>0</v>
      </c>
      <c r="N614" t="n">
        <v>0</v>
      </c>
      <c r="O614" t="n">
        <v>0</v>
      </c>
      <c r="P614" t="n">
        <v>0</v>
      </c>
      <c r="Q614" t="n">
        <v>0</v>
      </c>
      <c r="R614" s="2" t="inlineStr"/>
    </row>
    <row r="615" ht="15" customHeight="1">
      <c r="A615" t="inlineStr">
        <is>
          <t>A 48565-2019</t>
        </is>
      </c>
      <c r="B615" s="1" t="n">
        <v>43727</v>
      </c>
      <c r="C615" s="1" t="n">
        <v>45734</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48620-2019</t>
        </is>
      </c>
      <c r="B616" s="1" t="n">
        <v>43727</v>
      </c>
      <c r="C616" s="1" t="n">
        <v>45734</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48573-2019</t>
        </is>
      </c>
      <c r="B617" s="1" t="n">
        <v>43727</v>
      </c>
      <c r="C617" s="1" t="n">
        <v>45734</v>
      </c>
      <c r="D617" t="inlineStr">
        <is>
          <t>JÄMTLANDS LÄN</t>
        </is>
      </c>
      <c r="E617" t="inlineStr">
        <is>
          <t>STRÖMSUND</t>
        </is>
      </c>
      <c r="G617" t="n">
        <v>7.5</v>
      </c>
      <c r="H617" t="n">
        <v>0</v>
      </c>
      <c r="I617" t="n">
        <v>0</v>
      </c>
      <c r="J617" t="n">
        <v>0</v>
      </c>
      <c r="K617" t="n">
        <v>0</v>
      </c>
      <c r="L617" t="n">
        <v>0</v>
      </c>
      <c r="M617" t="n">
        <v>0</v>
      </c>
      <c r="N617" t="n">
        <v>0</v>
      </c>
      <c r="O617" t="n">
        <v>0</v>
      </c>
      <c r="P617" t="n">
        <v>0</v>
      </c>
      <c r="Q617" t="n">
        <v>0</v>
      </c>
      <c r="R617" s="2" t="inlineStr"/>
    </row>
    <row r="618" ht="15" customHeight="1">
      <c r="A618" t="inlineStr">
        <is>
          <t>A 48951-2019</t>
        </is>
      </c>
      <c r="B618" s="1" t="n">
        <v>43728</v>
      </c>
      <c r="C618" s="1" t="n">
        <v>45734</v>
      </c>
      <c r="D618" t="inlineStr">
        <is>
          <t>JÄMTLANDS LÄN</t>
        </is>
      </c>
      <c r="E618" t="inlineStr">
        <is>
          <t>STRÖMSUND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48965-2019</t>
        </is>
      </c>
      <c r="B619" s="1" t="n">
        <v>43728</v>
      </c>
      <c r="C619" s="1" t="n">
        <v>45734</v>
      </c>
      <c r="D619" t="inlineStr">
        <is>
          <t>JÄMTLANDS LÄN</t>
        </is>
      </c>
      <c r="E619" t="inlineStr">
        <is>
          <t>STRÖMSUND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49291-2019</t>
        </is>
      </c>
      <c r="B620" s="1" t="n">
        <v>43731</v>
      </c>
      <c r="C620" s="1" t="n">
        <v>45734</v>
      </c>
      <c r="D620" t="inlineStr">
        <is>
          <t>JÄMTLANDS LÄN</t>
        </is>
      </c>
      <c r="E620" t="inlineStr">
        <is>
          <t>STRÖMSUND</t>
        </is>
      </c>
      <c r="G620" t="n">
        <v>20.7</v>
      </c>
      <c r="H620" t="n">
        <v>0</v>
      </c>
      <c r="I620" t="n">
        <v>0</v>
      </c>
      <c r="J620" t="n">
        <v>0</v>
      </c>
      <c r="K620" t="n">
        <v>0</v>
      </c>
      <c r="L620" t="n">
        <v>0</v>
      </c>
      <c r="M620" t="n">
        <v>0</v>
      </c>
      <c r="N620" t="n">
        <v>0</v>
      </c>
      <c r="O620" t="n">
        <v>0</v>
      </c>
      <c r="P620" t="n">
        <v>0</v>
      </c>
      <c r="Q620" t="n">
        <v>0</v>
      </c>
      <c r="R620" s="2" t="inlineStr"/>
    </row>
    <row r="621" ht="15" customHeight="1">
      <c r="A621" t="inlineStr">
        <is>
          <t>A 49316-2019</t>
        </is>
      </c>
      <c r="B621" s="1" t="n">
        <v>43731</v>
      </c>
      <c r="C621" s="1" t="n">
        <v>45734</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50001-2019</t>
        </is>
      </c>
      <c r="B622" s="1" t="n">
        <v>43733</v>
      </c>
      <c r="C622" s="1" t="n">
        <v>45734</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50305-2019</t>
        </is>
      </c>
      <c r="B623" s="1" t="n">
        <v>43734</v>
      </c>
      <c r="C623" s="1" t="n">
        <v>45734</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50302-2019</t>
        </is>
      </c>
      <c r="B624" s="1" t="n">
        <v>43734</v>
      </c>
      <c r="C624" s="1" t="n">
        <v>45734</v>
      </c>
      <c r="D624" t="inlineStr">
        <is>
          <t>JÄMTLANDS LÄN</t>
        </is>
      </c>
      <c r="E624" t="inlineStr">
        <is>
          <t>STRÖMSUND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51008-2019</t>
        </is>
      </c>
      <c r="B625" s="1" t="n">
        <v>43738</v>
      </c>
      <c r="C625" s="1" t="n">
        <v>45734</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51183-2019</t>
        </is>
      </c>
      <c r="B626" s="1" t="n">
        <v>43739</v>
      </c>
      <c r="C626" s="1" t="n">
        <v>45734</v>
      </c>
      <c r="D626" t="inlineStr">
        <is>
          <t>JÄMTLANDS LÄN</t>
        </is>
      </c>
      <c r="E626" t="inlineStr">
        <is>
          <t>STRÖMSUND</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51015-2019</t>
        </is>
      </c>
      <c r="B627" s="1" t="n">
        <v>43739</v>
      </c>
      <c r="C627" s="1" t="n">
        <v>45734</v>
      </c>
      <c r="D627" t="inlineStr">
        <is>
          <t>JÄMTLANDS LÄN</t>
        </is>
      </c>
      <c r="E627" t="inlineStr">
        <is>
          <t>STRÖMSUND</t>
        </is>
      </c>
      <c r="G627" t="n">
        <v>2.1</v>
      </c>
      <c r="H627" t="n">
        <v>0</v>
      </c>
      <c r="I627" t="n">
        <v>0</v>
      </c>
      <c r="J627" t="n">
        <v>0</v>
      </c>
      <c r="K627" t="n">
        <v>0</v>
      </c>
      <c r="L627" t="n">
        <v>0</v>
      </c>
      <c r="M627" t="n">
        <v>0</v>
      </c>
      <c r="N627" t="n">
        <v>0</v>
      </c>
      <c r="O627" t="n">
        <v>0</v>
      </c>
      <c r="P627" t="n">
        <v>0</v>
      </c>
      <c r="Q627" t="n">
        <v>0</v>
      </c>
      <c r="R627" s="2" t="inlineStr"/>
    </row>
    <row r="628" ht="15" customHeight="1">
      <c r="A628" t="inlineStr">
        <is>
          <t>A 51951-2019</t>
        </is>
      </c>
      <c r="B628" s="1" t="n">
        <v>43741</v>
      </c>
      <c r="C628" s="1" t="n">
        <v>45734</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52258-2019</t>
        </is>
      </c>
      <c r="B629" s="1" t="n">
        <v>43742</v>
      </c>
      <c r="C629" s="1" t="n">
        <v>45734</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52384-2019</t>
        </is>
      </c>
      <c r="B630" s="1" t="n">
        <v>43745</v>
      </c>
      <c r="C630" s="1" t="n">
        <v>45734</v>
      </c>
      <c r="D630" t="inlineStr">
        <is>
          <t>JÄMTLANDS LÄN</t>
        </is>
      </c>
      <c r="E630" t="inlineStr">
        <is>
          <t>STRÖMSUND</t>
        </is>
      </c>
      <c r="G630" t="n">
        <v>3.7</v>
      </c>
      <c r="H630" t="n">
        <v>0</v>
      </c>
      <c r="I630" t="n">
        <v>0</v>
      </c>
      <c r="J630" t="n">
        <v>0</v>
      </c>
      <c r="K630" t="n">
        <v>0</v>
      </c>
      <c r="L630" t="n">
        <v>0</v>
      </c>
      <c r="M630" t="n">
        <v>0</v>
      </c>
      <c r="N630" t="n">
        <v>0</v>
      </c>
      <c r="O630" t="n">
        <v>0</v>
      </c>
      <c r="P630" t="n">
        <v>0</v>
      </c>
      <c r="Q630" t="n">
        <v>0</v>
      </c>
      <c r="R630" s="2" t="inlineStr"/>
    </row>
    <row r="631" ht="15" customHeight="1">
      <c r="A631" t="inlineStr">
        <is>
          <t>A 53874-2019</t>
        </is>
      </c>
      <c r="B631" s="1" t="n">
        <v>43745</v>
      </c>
      <c r="C631" s="1" t="n">
        <v>45734</v>
      </c>
      <c r="D631" t="inlineStr">
        <is>
          <t>JÄMTLANDS LÄN</t>
        </is>
      </c>
      <c r="E631" t="inlineStr">
        <is>
          <t>STRÖMSUND</t>
        </is>
      </c>
      <c r="G631" t="n">
        <v>10.1</v>
      </c>
      <c r="H631" t="n">
        <v>0</v>
      </c>
      <c r="I631" t="n">
        <v>0</v>
      </c>
      <c r="J631" t="n">
        <v>0</v>
      </c>
      <c r="K631" t="n">
        <v>0</v>
      </c>
      <c r="L631" t="n">
        <v>0</v>
      </c>
      <c r="M631" t="n">
        <v>0</v>
      </c>
      <c r="N631" t="n">
        <v>0</v>
      </c>
      <c r="O631" t="n">
        <v>0</v>
      </c>
      <c r="P631" t="n">
        <v>0</v>
      </c>
      <c r="Q631" t="n">
        <v>0</v>
      </c>
      <c r="R631" s="2" t="inlineStr"/>
    </row>
    <row r="632" ht="15" customHeight="1">
      <c r="A632" t="inlineStr">
        <is>
          <t>A 53886-2019</t>
        </is>
      </c>
      <c r="B632" s="1" t="n">
        <v>43745</v>
      </c>
      <c r="C632" s="1" t="n">
        <v>45734</v>
      </c>
      <c r="D632" t="inlineStr">
        <is>
          <t>JÄMTLANDS LÄN</t>
        </is>
      </c>
      <c r="E632" t="inlineStr">
        <is>
          <t>STRÖMSUND</t>
        </is>
      </c>
      <c r="G632" t="n">
        <v>15.2</v>
      </c>
      <c r="H632" t="n">
        <v>0</v>
      </c>
      <c r="I632" t="n">
        <v>0</v>
      </c>
      <c r="J632" t="n">
        <v>0</v>
      </c>
      <c r="K632" t="n">
        <v>0</v>
      </c>
      <c r="L632" t="n">
        <v>0</v>
      </c>
      <c r="M632" t="n">
        <v>0</v>
      </c>
      <c r="N632" t="n">
        <v>0</v>
      </c>
      <c r="O632" t="n">
        <v>0</v>
      </c>
      <c r="P632" t="n">
        <v>0</v>
      </c>
      <c r="Q632" t="n">
        <v>0</v>
      </c>
      <c r="R632" s="2" t="inlineStr"/>
    </row>
    <row r="633" ht="15" customHeight="1">
      <c r="A633" t="inlineStr">
        <is>
          <t>A 53483-2019</t>
        </is>
      </c>
      <c r="B633" s="1" t="n">
        <v>43748</v>
      </c>
      <c r="C633" s="1" t="n">
        <v>45734</v>
      </c>
      <c r="D633" t="inlineStr">
        <is>
          <t>JÄMTLANDS LÄN</t>
        </is>
      </c>
      <c r="E633" t="inlineStr">
        <is>
          <t>STRÖMSUND</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54235-2019</t>
        </is>
      </c>
      <c r="B634" s="1" t="n">
        <v>43748</v>
      </c>
      <c r="C634" s="1" t="n">
        <v>45734</v>
      </c>
      <c r="D634" t="inlineStr">
        <is>
          <t>JÄMTLANDS LÄN</t>
        </is>
      </c>
      <c r="E634" t="inlineStr">
        <is>
          <t>STRÖMSUND</t>
        </is>
      </c>
      <c r="G634" t="n">
        <v>0.9</v>
      </c>
      <c r="H634" t="n">
        <v>0</v>
      </c>
      <c r="I634" t="n">
        <v>0</v>
      </c>
      <c r="J634" t="n">
        <v>0</v>
      </c>
      <c r="K634" t="n">
        <v>0</v>
      </c>
      <c r="L634" t="n">
        <v>0</v>
      </c>
      <c r="M634" t="n">
        <v>0</v>
      </c>
      <c r="N634" t="n">
        <v>0</v>
      </c>
      <c r="O634" t="n">
        <v>0</v>
      </c>
      <c r="P634" t="n">
        <v>0</v>
      </c>
      <c r="Q634" t="n">
        <v>0</v>
      </c>
      <c r="R634" s="2" t="inlineStr"/>
    </row>
    <row r="635" ht="15" customHeight="1">
      <c r="A635" t="inlineStr">
        <is>
          <t>A 57227-2019</t>
        </is>
      </c>
      <c r="B635" s="1" t="n">
        <v>43748</v>
      </c>
      <c r="C635" s="1" t="n">
        <v>45734</v>
      </c>
      <c r="D635" t="inlineStr">
        <is>
          <t>JÄMTLANDS LÄN</t>
        </is>
      </c>
      <c r="E635" t="inlineStr">
        <is>
          <t>STRÖMSUND</t>
        </is>
      </c>
      <c r="G635" t="n">
        <v>1.1</v>
      </c>
      <c r="H635" t="n">
        <v>0</v>
      </c>
      <c r="I635" t="n">
        <v>0</v>
      </c>
      <c r="J635" t="n">
        <v>0</v>
      </c>
      <c r="K635" t="n">
        <v>0</v>
      </c>
      <c r="L635" t="n">
        <v>0</v>
      </c>
      <c r="M635" t="n">
        <v>0</v>
      </c>
      <c r="N635" t="n">
        <v>0</v>
      </c>
      <c r="O635" t="n">
        <v>0</v>
      </c>
      <c r="P635" t="n">
        <v>0</v>
      </c>
      <c r="Q635" t="n">
        <v>0</v>
      </c>
      <c r="R635" s="2" t="inlineStr"/>
    </row>
    <row r="636" ht="15" customHeight="1">
      <c r="A636" t="inlineStr">
        <is>
          <t>A 53898-2019</t>
        </is>
      </c>
      <c r="B636" s="1" t="n">
        <v>43748</v>
      </c>
      <c r="C636" s="1" t="n">
        <v>45734</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53482-2019</t>
        </is>
      </c>
      <c r="B637" s="1" t="n">
        <v>43748</v>
      </c>
      <c r="C637" s="1" t="n">
        <v>45734</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53895-2019</t>
        </is>
      </c>
      <c r="B638" s="1" t="n">
        <v>43748</v>
      </c>
      <c r="C638" s="1" t="n">
        <v>45734</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54672-2019</t>
        </is>
      </c>
      <c r="B639" s="1" t="n">
        <v>43754</v>
      </c>
      <c r="C639" s="1" t="n">
        <v>45734</v>
      </c>
      <c r="D639" t="inlineStr">
        <is>
          <t>JÄMTLANDS LÄN</t>
        </is>
      </c>
      <c r="E639" t="inlineStr">
        <is>
          <t>STRÖMSUND</t>
        </is>
      </c>
      <c r="F639" t="inlineStr">
        <is>
          <t>SCA</t>
        </is>
      </c>
      <c r="G639" t="n">
        <v>15.7</v>
      </c>
      <c r="H639" t="n">
        <v>0</v>
      </c>
      <c r="I639" t="n">
        <v>0</v>
      </c>
      <c r="J639" t="n">
        <v>0</v>
      </c>
      <c r="K639" t="n">
        <v>0</v>
      </c>
      <c r="L639" t="n">
        <v>0</v>
      </c>
      <c r="M639" t="n">
        <v>0</v>
      </c>
      <c r="N639" t="n">
        <v>0</v>
      </c>
      <c r="O639" t="n">
        <v>0</v>
      </c>
      <c r="P639" t="n">
        <v>0</v>
      </c>
      <c r="Q639" t="n">
        <v>0</v>
      </c>
      <c r="R639" s="2" t="inlineStr"/>
    </row>
    <row r="640" ht="15" customHeight="1">
      <c r="A640" t="inlineStr">
        <is>
          <t>A 55028-2019</t>
        </is>
      </c>
      <c r="B640" s="1" t="n">
        <v>43755</v>
      </c>
      <c r="C640" s="1" t="n">
        <v>45734</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56155-2019</t>
        </is>
      </c>
      <c r="B641" s="1" t="n">
        <v>43756</v>
      </c>
      <c r="C641" s="1" t="n">
        <v>45734</v>
      </c>
      <c r="D641" t="inlineStr">
        <is>
          <t>JÄMTLANDS LÄN</t>
        </is>
      </c>
      <c r="E641" t="inlineStr">
        <is>
          <t>STRÖMSUND</t>
        </is>
      </c>
      <c r="G641" t="n">
        <v>4.7</v>
      </c>
      <c r="H641" t="n">
        <v>0</v>
      </c>
      <c r="I641" t="n">
        <v>0</v>
      </c>
      <c r="J641" t="n">
        <v>0</v>
      </c>
      <c r="K641" t="n">
        <v>0</v>
      </c>
      <c r="L641" t="n">
        <v>0</v>
      </c>
      <c r="M641" t="n">
        <v>0</v>
      </c>
      <c r="N641" t="n">
        <v>0</v>
      </c>
      <c r="O641" t="n">
        <v>0</v>
      </c>
      <c r="P641" t="n">
        <v>0</v>
      </c>
      <c r="Q641" t="n">
        <v>0</v>
      </c>
      <c r="R641" s="2" t="inlineStr"/>
    </row>
    <row r="642" ht="15" customHeight="1">
      <c r="A642" t="inlineStr">
        <is>
          <t>A 23225-2020</t>
        </is>
      </c>
      <c r="B642" s="1" t="n">
        <v>43756</v>
      </c>
      <c r="C642" s="1" t="n">
        <v>45734</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55663-2019</t>
        </is>
      </c>
      <c r="B643" s="1" t="n">
        <v>43760</v>
      </c>
      <c r="C643" s="1" t="n">
        <v>45734</v>
      </c>
      <c r="D643" t="inlineStr">
        <is>
          <t>JÄMTLANDS LÄN</t>
        </is>
      </c>
      <c r="E643" t="inlineStr">
        <is>
          <t>STRÖMSUND</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55675-2019</t>
        </is>
      </c>
      <c r="B644" s="1" t="n">
        <v>43760</v>
      </c>
      <c r="C644" s="1" t="n">
        <v>45734</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55728-2019</t>
        </is>
      </c>
      <c r="B645" s="1" t="n">
        <v>43760</v>
      </c>
      <c r="C645" s="1" t="n">
        <v>45734</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55725-2019</t>
        </is>
      </c>
      <c r="B646" s="1" t="n">
        <v>43760</v>
      </c>
      <c r="C646" s="1" t="n">
        <v>45734</v>
      </c>
      <c r="D646" t="inlineStr">
        <is>
          <t>JÄMTLANDS LÄN</t>
        </is>
      </c>
      <c r="E646" t="inlineStr">
        <is>
          <t>STRÖMSUND</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56798-2019</t>
        </is>
      </c>
      <c r="B647" s="1" t="n">
        <v>43763</v>
      </c>
      <c r="C647" s="1" t="n">
        <v>45734</v>
      </c>
      <c r="D647" t="inlineStr">
        <is>
          <t>JÄMTLANDS LÄN</t>
        </is>
      </c>
      <c r="E647" t="inlineStr">
        <is>
          <t>STRÖMSUND</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56797-2019</t>
        </is>
      </c>
      <c r="B648" s="1" t="n">
        <v>43763</v>
      </c>
      <c r="C648" s="1" t="n">
        <v>45734</v>
      </c>
      <c r="D648" t="inlineStr">
        <is>
          <t>JÄMTLANDS LÄN</t>
        </is>
      </c>
      <c r="E648" t="inlineStr">
        <is>
          <t>STRÖMSUND</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56801-2019</t>
        </is>
      </c>
      <c r="B649" s="1" t="n">
        <v>43763</v>
      </c>
      <c r="C649" s="1" t="n">
        <v>45734</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56800-2019</t>
        </is>
      </c>
      <c r="B650" s="1" t="n">
        <v>43763</v>
      </c>
      <c r="C650" s="1" t="n">
        <v>45734</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56799-2019</t>
        </is>
      </c>
      <c r="B651" s="1" t="n">
        <v>43763</v>
      </c>
      <c r="C651" s="1" t="n">
        <v>45734</v>
      </c>
      <c r="D651" t="inlineStr">
        <is>
          <t>JÄMTLANDS LÄN</t>
        </is>
      </c>
      <c r="E651" t="inlineStr">
        <is>
          <t>STRÖMSUND</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56692-2019</t>
        </is>
      </c>
      <c r="B652" s="1" t="n">
        <v>43763</v>
      </c>
      <c r="C652" s="1" t="n">
        <v>45734</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56808-2019</t>
        </is>
      </c>
      <c r="B653" s="1" t="n">
        <v>43763</v>
      </c>
      <c r="C653" s="1" t="n">
        <v>45734</v>
      </c>
      <c r="D653" t="inlineStr">
        <is>
          <t>JÄMTLANDS LÄN</t>
        </is>
      </c>
      <c r="E653" t="inlineStr">
        <is>
          <t>STRÖMSUND</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56809-2019</t>
        </is>
      </c>
      <c r="B654" s="1" t="n">
        <v>43763</v>
      </c>
      <c r="C654" s="1" t="n">
        <v>45734</v>
      </c>
      <c r="D654" t="inlineStr">
        <is>
          <t>JÄMTLANDS LÄN</t>
        </is>
      </c>
      <c r="E654" t="inlineStr">
        <is>
          <t>STRÖMSUND</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57546-2019</t>
        </is>
      </c>
      <c r="B655" s="1" t="n">
        <v>43767</v>
      </c>
      <c r="C655" s="1" t="n">
        <v>45734</v>
      </c>
      <c r="D655" t="inlineStr">
        <is>
          <t>JÄMTLANDS LÄN</t>
        </is>
      </c>
      <c r="E655" t="inlineStr">
        <is>
          <t>STRÖMSUND</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58662-2019</t>
        </is>
      </c>
      <c r="B656" s="1" t="n">
        <v>43767</v>
      </c>
      <c r="C656" s="1" t="n">
        <v>45734</v>
      </c>
      <c r="D656" t="inlineStr">
        <is>
          <t>JÄMTLANDS LÄN</t>
        </is>
      </c>
      <c r="E656" t="inlineStr">
        <is>
          <t>STRÖMSUND</t>
        </is>
      </c>
      <c r="G656" t="n">
        <v>18.4</v>
      </c>
      <c r="H656" t="n">
        <v>0</v>
      </c>
      <c r="I656" t="n">
        <v>0</v>
      </c>
      <c r="J656" t="n">
        <v>0</v>
      </c>
      <c r="K656" t="n">
        <v>0</v>
      </c>
      <c r="L656" t="n">
        <v>0</v>
      </c>
      <c r="M656" t="n">
        <v>0</v>
      </c>
      <c r="N656" t="n">
        <v>0</v>
      </c>
      <c r="O656" t="n">
        <v>0</v>
      </c>
      <c r="P656" t="n">
        <v>0</v>
      </c>
      <c r="Q656" t="n">
        <v>0</v>
      </c>
      <c r="R656" s="2" t="inlineStr"/>
    </row>
    <row r="657" ht="15" customHeight="1">
      <c r="A657" t="inlineStr">
        <is>
          <t>A 57547-2019</t>
        </is>
      </c>
      <c r="B657" s="1" t="n">
        <v>43767</v>
      </c>
      <c r="C657" s="1" t="n">
        <v>45734</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57552-2019</t>
        </is>
      </c>
      <c r="B658" s="1" t="n">
        <v>43767</v>
      </c>
      <c r="C658" s="1" t="n">
        <v>45734</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57873-2019</t>
        </is>
      </c>
      <c r="B659" s="1" t="n">
        <v>43768</v>
      </c>
      <c r="C659" s="1" t="n">
        <v>45734</v>
      </c>
      <c r="D659" t="inlineStr">
        <is>
          <t>JÄMTLANDS LÄN</t>
        </is>
      </c>
      <c r="E659" t="inlineStr">
        <is>
          <t>STRÖMSUND</t>
        </is>
      </c>
      <c r="G659" t="n">
        <v>2.5</v>
      </c>
      <c r="H659" t="n">
        <v>0</v>
      </c>
      <c r="I659" t="n">
        <v>0</v>
      </c>
      <c r="J659" t="n">
        <v>0</v>
      </c>
      <c r="K659" t="n">
        <v>0</v>
      </c>
      <c r="L659" t="n">
        <v>0</v>
      </c>
      <c r="M659" t="n">
        <v>0</v>
      </c>
      <c r="N659" t="n">
        <v>0</v>
      </c>
      <c r="O659" t="n">
        <v>0</v>
      </c>
      <c r="P659" t="n">
        <v>0</v>
      </c>
      <c r="Q659" t="n">
        <v>0</v>
      </c>
      <c r="R659" s="2" t="inlineStr"/>
    </row>
    <row r="660" ht="15" customHeight="1">
      <c r="A660" t="inlineStr">
        <is>
          <t>A 57872-2019</t>
        </is>
      </c>
      <c r="B660" s="1" t="n">
        <v>43768</v>
      </c>
      <c r="C660" s="1" t="n">
        <v>45734</v>
      </c>
      <c r="D660" t="inlineStr">
        <is>
          <t>JÄMTLANDS LÄN</t>
        </is>
      </c>
      <c r="E660" t="inlineStr">
        <is>
          <t>STRÖMSUND</t>
        </is>
      </c>
      <c r="G660" t="n">
        <v>47.2</v>
      </c>
      <c r="H660" t="n">
        <v>0</v>
      </c>
      <c r="I660" t="n">
        <v>0</v>
      </c>
      <c r="J660" t="n">
        <v>0</v>
      </c>
      <c r="K660" t="n">
        <v>0</v>
      </c>
      <c r="L660" t="n">
        <v>0</v>
      </c>
      <c r="M660" t="n">
        <v>0</v>
      </c>
      <c r="N660" t="n">
        <v>0</v>
      </c>
      <c r="O660" t="n">
        <v>0</v>
      </c>
      <c r="P660" t="n">
        <v>0</v>
      </c>
      <c r="Q660" t="n">
        <v>0</v>
      </c>
      <c r="R660" s="2" t="inlineStr"/>
    </row>
    <row r="661" ht="15" customHeight="1">
      <c r="A661" t="inlineStr">
        <is>
          <t>A 58844-2019</t>
        </is>
      </c>
      <c r="B661" s="1" t="n">
        <v>43768</v>
      </c>
      <c r="C661" s="1" t="n">
        <v>45734</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58172-2019</t>
        </is>
      </c>
      <c r="B662" s="1" t="n">
        <v>43769</v>
      </c>
      <c r="C662" s="1" t="n">
        <v>45734</v>
      </c>
      <c r="D662" t="inlineStr">
        <is>
          <t>JÄMTLANDS LÄN</t>
        </is>
      </c>
      <c r="E662" t="inlineStr">
        <is>
          <t>STRÖMSUND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59543-2019</t>
        </is>
      </c>
      <c r="B663" s="1" t="n">
        <v>43773</v>
      </c>
      <c r="C663" s="1" t="n">
        <v>45734</v>
      </c>
      <c r="D663" t="inlineStr">
        <is>
          <t>JÄMTLANDS LÄN</t>
        </is>
      </c>
      <c r="E663" t="inlineStr">
        <is>
          <t>STRÖMSUND</t>
        </is>
      </c>
      <c r="G663" t="n">
        <v>6.3</v>
      </c>
      <c r="H663" t="n">
        <v>0</v>
      </c>
      <c r="I663" t="n">
        <v>0</v>
      </c>
      <c r="J663" t="n">
        <v>0</v>
      </c>
      <c r="K663" t="n">
        <v>0</v>
      </c>
      <c r="L663" t="n">
        <v>0</v>
      </c>
      <c r="M663" t="n">
        <v>0</v>
      </c>
      <c r="N663" t="n">
        <v>0</v>
      </c>
      <c r="O663" t="n">
        <v>0</v>
      </c>
      <c r="P663" t="n">
        <v>0</v>
      </c>
      <c r="Q663" t="n">
        <v>0</v>
      </c>
      <c r="R663" s="2" t="inlineStr"/>
    </row>
    <row r="664" ht="15" customHeight="1">
      <c r="A664" t="inlineStr">
        <is>
          <t>A 59425-2019</t>
        </is>
      </c>
      <c r="B664" s="1" t="n">
        <v>43775</v>
      </c>
      <c r="C664" s="1" t="n">
        <v>45734</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59456-2019</t>
        </is>
      </c>
      <c r="B665" s="1" t="n">
        <v>43776</v>
      </c>
      <c r="C665" s="1" t="n">
        <v>45734</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61411-2019</t>
        </is>
      </c>
      <c r="B666" s="1" t="n">
        <v>43780</v>
      </c>
      <c r="C666" s="1" t="n">
        <v>45734</v>
      </c>
      <c r="D666" t="inlineStr">
        <is>
          <t>JÄMTLANDS LÄN</t>
        </is>
      </c>
      <c r="E666" t="inlineStr">
        <is>
          <t>STRÖMSUND</t>
        </is>
      </c>
      <c r="G666" t="n">
        <v>2.3</v>
      </c>
      <c r="H666" t="n">
        <v>0</v>
      </c>
      <c r="I666" t="n">
        <v>0</v>
      </c>
      <c r="J666" t="n">
        <v>0</v>
      </c>
      <c r="K666" t="n">
        <v>0</v>
      </c>
      <c r="L666" t="n">
        <v>0</v>
      </c>
      <c r="M666" t="n">
        <v>0</v>
      </c>
      <c r="N666" t="n">
        <v>0</v>
      </c>
      <c r="O666" t="n">
        <v>0</v>
      </c>
      <c r="P666" t="n">
        <v>0</v>
      </c>
      <c r="Q666" t="n">
        <v>0</v>
      </c>
      <c r="R666" s="2" t="inlineStr"/>
    </row>
    <row r="667" ht="15" customHeight="1">
      <c r="A667" t="inlineStr">
        <is>
          <t>A 61703-2019</t>
        </is>
      </c>
      <c r="B667" s="1" t="n">
        <v>43780</v>
      </c>
      <c r="C667" s="1" t="n">
        <v>45734</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61705-2019</t>
        </is>
      </c>
      <c r="B668" s="1" t="n">
        <v>43780</v>
      </c>
      <c r="C668" s="1" t="n">
        <v>45734</v>
      </c>
      <c r="D668" t="inlineStr">
        <is>
          <t>JÄMTLANDS LÄN</t>
        </is>
      </c>
      <c r="E668" t="inlineStr">
        <is>
          <t>STRÖMSUND</t>
        </is>
      </c>
      <c r="G668" t="n">
        <v>6.4</v>
      </c>
      <c r="H668" t="n">
        <v>0</v>
      </c>
      <c r="I668" t="n">
        <v>0</v>
      </c>
      <c r="J668" t="n">
        <v>0</v>
      </c>
      <c r="K668" t="n">
        <v>0</v>
      </c>
      <c r="L668" t="n">
        <v>0</v>
      </c>
      <c r="M668" t="n">
        <v>0</v>
      </c>
      <c r="N668" t="n">
        <v>0</v>
      </c>
      <c r="O668" t="n">
        <v>0</v>
      </c>
      <c r="P668" t="n">
        <v>0</v>
      </c>
      <c r="Q668" t="n">
        <v>0</v>
      </c>
      <c r="R668" s="2" t="inlineStr"/>
    </row>
    <row r="669" ht="15" customHeight="1">
      <c r="A669" t="inlineStr">
        <is>
          <t>A 60569-2019</t>
        </is>
      </c>
      <c r="B669" s="1" t="n">
        <v>43781</v>
      </c>
      <c r="C669" s="1" t="n">
        <v>45734</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60536-2019</t>
        </is>
      </c>
      <c r="B670" s="1" t="n">
        <v>43781</v>
      </c>
      <c r="C670" s="1" t="n">
        <v>45734</v>
      </c>
      <c r="D670" t="inlineStr">
        <is>
          <t>JÄMTLANDS LÄN</t>
        </is>
      </c>
      <c r="E670" t="inlineStr">
        <is>
          <t>STRÖMSUND</t>
        </is>
      </c>
      <c r="G670" t="n">
        <v>0.2</v>
      </c>
      <c r="H670" t="n">
        <v>0</v>
      </c>
      <c r="I670" t="n">
        <v>0</v>
      </c>
      <c r="J670" t="n">
        <v>0</v>
      </c>
      <c r="K670" t="n">
        <v>0</v>
      </c>
      <c r="L670" t="n">
        <v>0</v>
      </c>
      <c r="M670" t="n">
        <v>0</v>
      </c>
      <c r="N670" t="n">
        <v>0</v>
      </c>
      <c r="O670" t="n">
        <v>0</v>
      </c>
      <c r="P670" t="n">
        <v>0</v>
      </c>
      <c r="Q670" t="n">
        <v>0</v>
      </c>
      <c r="R670" s="2" t="inlineStr"/>
    </row>
    <row r="671" ht="15" customHeight="1">
      <c r="A671" t="inlineStr">
        <is>
          <t>A 61122-2019</t>
        </is>
      </c>
      <c r="B671" s="1" t="n">
        <v>43782</v>
      </c>
      <c r="C671" s="1" t="n">
        <v>45734</v>
      </c>
      <c r="D671" t="inlineStr">
        <is>
          <t>JÄMTLANDS LÄN</t>
        </is>
      </c>
      <c r="E671" t="inlineStr">
        <is>
          <t>STRÖMSUND</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62256-2019</t>
        </is>
      </c>
      <c r="B672" s="1" t="n">
        <v>43782</v>
      </c>
      <c r="C672" s="1" t="n">
        <v>45734</v>
      </c>
      <c r="D672" t="inlineStr">
        <is>
          <t>JÄMTLANDS LÄN</t>
        </is>
      </c>
      <c r="E672" t="inlineStr">
        <is>
          <t>STRÖMSUND</t>
        </is>
      </c>
      <c r="G672" t="n">
        <v>1.6</v>
      </c>
      <c r="H672" t="n">
        <v>0</v>
      </c>
      <c r="I672" t="n">
        <v>0</v>
      </c>
      <c r="J672" t="n">
        <v>0</v>
      </c>
      <c r="K672" t="n">
        <v>0</v>
      </c>
      <c r="L672" t="n">
        <v>0</v>
      </c>
      <c r="M672" t="n">
        <v>0</v>
      </c>
      <c r="N672" t="n">
        <v>0</v>
      </c>
      <c r="O672" t="n">
        <v>0</v>
      </c>
      <c r="P672" t="n">
        <v>0</v>
      </c>
      <c r="Q672" t="n">
        <v>0</v>
      </c>
      <c r="R672" s="2" t="inlineStr"/>
    </row>
    <row r="673" ht="15" customHeight="1">
      <c r="A673" t="inlineStr">
        <is>
          <t>A 60955-2019</t>
        </is>
      </c>
      <c r="B673" s="1" t="n">
        <v>43782</v>
      </c>
      <c r="C673" s="1" t="n">
        <v>45734</v>
      </c>
      <c r="D673" t="inlineStr">
        <is>
          <t>JÄMTLANDS LÄN</t>
        </is>
      </c>
      <c r="E673" t="inlineStr">
        <is>
          <t>STRÖMSUND</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61690-2019</t>
        </is>
      </c>
      <c r="B674" s="1" t="n">
        <v>43784</v>
      </c>
      <c r="C674" s="1" t="n">
        <v>45734</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61778-2019</t>
        </is>
      </c>
      <c r="B675" s="1" t="n">
        <v>43784</v>
      </c>
      <c r="C675" s="1" t="n">
        <v>45734</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61833-2019</t>
        </is>
      </c>
      <c r="B676" s="1" t="n">
        <v>43786</v>
      </c>
      <c r="C676" s="1" t="n">
        <v>45734</v>
      </c>
      <c r="D676" t="inlineStr">
        <is>
          <t>JÄMTLANDS LÄN</t>
        </is>
      </c>
      <c r="E676" t="inlineStr">
        <is>
          <t>STRÖMSUND</t>
        </is>
      </c>
      <c r="G676" t="n">
        <v>11.5</v>
      </c>
      <c r="H676" t="n">
        <v>0</v>
      </c>
      <c r="I676" t="n">
        <v>0</v>
      </c>
      <c r="J676" t="n">
        <v>0</v>
      </c>
      <c r="K676" t="n">
        <v>0</v>
      </c>
      <c r="L676" t="n">
        <v>0</v>
      </c>
      <c r="M676" t="n">
        <v>0</v>
      </c>
      <c r="N676" t="n">
        <v>0</v>
      </c>
      <c r="O676" t="n">
        <v>0</v>
      </c>
      <c r="P676" t="n">
        <v>0</v>
      </c>
      <c r="Q676" t="n">
        <v>0</v>
      </c>
      <c r="R676" s="2" t="inlineStr"/>
    </row>
    <row r="677" ht="15" customHeight="1">
      <c r="A677" t="inlineStr">
        <is>
          <t>A 61838-2019</t>
        </is>
      </c>
      <c r="B677" s="1" t="n">
        <v>43786</v>
      </c>
      <c r="C677" s="1" t="n">
        <v>45734</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61830-2019</t>
        </is>
      </c>
      <c r="B678" s="1" t="n">
        <v>43786</v>
      </c>
      <c r="C678" s="1" t="n">
        <v>45734</v>
      </c>
      <c r="D678" t="inlineStr">
        <is>
          <t>JÄMTLANDS LÄN</t>
        </is>
      </c>
      <c r="E678" t="inlineStr">
        <is>
          <t>STRÖMSUND</t>
        </is>
      </c>
      <c r="G678" t="n">
        <v>8</v>
      </c>
      <c r="H678" t="n">
        <v>0</v>
      </c>
      <c r="I678" t="n">
        <v>0</v>
      </c>
      <c r="J678" t="n">
        <v>0</v>
      </c>
      <c r="K678" t="n">
        <v>0</v>
      </c>
      <c r="L678" t="n">
        <v>0</v>
      </c>
      <c r="M678" t="n">
        <v>0</v>
      </c>
      <c r="N678" t="n">
        <v>0</v>
      </c>
      <c r="O678" t="n">
        <v>0</v>
      </c>
      <c r="P678" t="n">
        <v>0</v>
      </c>
      <c r="Q678" t="n">
        <v>0</v>
      </c>
      <c r="R678" s="2" t="inlineStr"/>
    </row>
    <row r="679" ht="15" customHeight="1">
      <c r="A679" t="inlineStr">
        <is>
          <t>A 61835-2019</t>
        </is>
      </c>
      <c r="B679" s="1" t="n">
        <v>43786</v>
      </c>
      <c r="C679" s="1" t="n">
        <v>45734</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61829-2019</t>
        </is>
      </c>
      <c r="B680" s="1" t="n">
        <v>43786</v>
      </c>
      <c r="C680" s="1" t="n">
        <v>45734</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61834-2019</t>
        </is>
      </c>
      <c r="B681" s="1" t="n">
        <v>43786</v>
      </c>
      <c r="C681" s="1" t="n">
        <v>45734</v>
      </c>
      <c r="D681" t="inlineStr">
        <is>
          <t>JÄMTLANDS LÄN</t>
        </is>
      </c>
      <c r="E681" t="inlineStr">
        <is>
          <t>STRÖMSUND</t>
        </is>
      </c>
      <c r="G681" t="n">
        <v>6.7</v>
      </c>
      <c r="H681" t="n">
        <v>0</v>
      </c>
      <c r="I681" t="n">
        <v>0</v>
      </c>
      <c r="J681" t="n">
        <v>0</v>
      </c>
      <c r="K681" t="n">
        <v>0</v>
      </c>
      <c r="L681" t="n">
        <v>0</v>
      </c>
      <c r="M681" t="n">
        <v>0</v>
      </c>
      <c r="N681" t="n">
        <v>0</v>
      </c>
      <c r="O681" t="n">
        <v>0</v>
      </c>
      <c r="P681" t="n">
        <v>0</v>
      </c>
      <c r="Q681" t="n">
        <v>0</v>
      </c>
      <c r="R681" s="2" t="inlineStr"/>
    </row>
    <row r="682" ht="15" customHeight="1">
      <c r="A682" t="inlineStr">
        <is>
          <t>A 61836-2019</t>
        </is>
      </c>
      <c r="B682" s="1" t="n">
        <v>43786</v>
      </c>
      <c r="C682" s="1" t="n">
        <v>45734</v>
      </c>
      <c r="D682" t="inlineStr">
        <is>
          <t>JÄMTLANDS LÄN</t>
        </is>
      </c>
      <c r="E682" t="inlineStr">
        <is>
          <t>STRÖMSUND</t>
        </is>
      </c>
      <c r="G682" t="n">
        <v>3.1</v>
      </c>
      <c r="H682" t="n">
        <v>0</v>
      </c>
      <c r="I682" t="n">
        <v>0</v>
      </c>
      <c r="J682" t="n">
        <v>0</v>
      </c>
      <c r="K682" t="n">
        <v>0</v>
      </c>
      <c r="L682" t="n">
        <v>0</v>
      </c>
      <c r="M682" t="n">
        <v>0</v>
      </c>
      <c r="N682" t="n">
        <v>0</v>
      </c>
      <c r="O682" t="n">
        <v>0</v>
      </c>
      <c r="P682" t="n">
        <v>0</v>
      </c>
      <c r="Q682" t="n">
        <v>0</v>
      </c>
      <c r="R682" s="2" t="inlineStr"/>
    </row>
    <row r="683" ht="15" customHeight="1">
      <c r="A683" t="inlineStr">
        <is>
          <t>A 61832-2019</t>
        </is>
      </c>
      <c r="B683" s="1" t="n">
        <v>43786</v>
      </c>
      <c r="C683" s="1" t="n">
        <v>45734</v>
      </c>
      <c r="D683" t="inlineStr">
        <is>
          <t>JÄMTLANDS LÄN</t>
        </is>
      </c>
      <c r="E683" t="inlineStr">
        <is>
          <t>STRÖMSUND</t>
        </is>
      </c>
      <c r="G683" t="n">
        <v>19.9</v>
      </c>
      <c r="H683" t="n">
        <v>0</v>
      </c>
      <c r="I683" t="n">
        <v>0</v>
      </c>
      <c r="J683" t="n">
        <v>0</v>
      </c>
      <c r="K683" t="n">
        <v>0</v>
      </c>
      <c r="L683" t="n">
        <v>0</v>
      </c>
      <c r="M683" t="n">
        <v>0</v>
      </c>
      <c r="N683" t="n">
        <v>0</v>
      </c>
      <c r="O683" t="n">
        <v>0</v>
      </c>
      <c r="P683" t="n">
        <v>0</v>
      </c>
      <c r="Q683" t="n">
        <v>0</v>
      </c>
      <c r="R683" s="2" t="inlineStr"/>
    </row>
    <row r="684" ht="15" customHeight="1">
      <c r="A684" t="inlineStr">
        <is>
          <t>A 62492-2019</t>
        </is>
      </c>
      <c r="B684" s="1" t="n">
        <v>43788</v>
      </c>
      <c r="C684" s="1" t="n">
        <v>45734</v>
      </c>
      <c r="D684" t="inlineStr">
        <is>
          <t>JÄMTLANDS LÄN</t>
        </is>
      </c>
      <c r="E684" t="inlineStr">
        <is>
          <t>STRÖMSUND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63715-2019</t>
        </is>
      </c>
      <c r="B685" s="1" t="n">
        <v>43789</v>
      </c>
      <c r="C685" s="1" t="n">
        <v>45734</v>
      </c>
      <c r="D685" t="inlineStr">
        <is>
          <t>JÄMTLANDS LÄN</t>
        </is>
      </c>
      <c r="E685" t="inlineStr">
        <is>
          <t>STRÖMSUND</t>
        </is>
      </c>
      <c r="G685" t="n">
        <v>5.8</v>
      </c>
      <c r="H685" t="n">
        <v>0</v>
      </c>
      <c r="I685" t="n">
        <v>0</v>
      </c>
      <c r="J685" t="n">
        <v>0</v>
      </c>
      <c r="K685" t="n">
        <v>0</v>
      </c>
      <c r="L685" t="n">
        <v>0</v>
      </c>
      <c r="M685" t="n">
        <v>0</v>
      </c>
      <c r="N685" t="n">
        <v>0</v>
      </c>
      <c r="O685" t="n">
        <v>0</v>
      </c>
      <c r="P685" t="n">
        <v>0</v>
      </c>
      <c r="Q685" t="n">
        <v>0</v>
      </c>
      <c r="R685" s="2" t="inlineStr"/>
    </row>
    <row r="686" ht="15" customHeight="1">
      <c r="A686" t="inlineStr">
        <is>
          <t>A 62511-2019</t>
        </is>
      </c>
      <c r="B686" s="1" t="n">
        <v>43789</v>
      </c>
      <c r="C686" s="1" t="n">
        <v>45734</v>
      </c>
      <c r="D686" t="inlineStr">
        <is>
          <t>JÄMTLANDS LÄN</t>
        </is>
      </c>
      <c r="E686" t="inlineStr">
        <is>
          <t>STRÖMSUND</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63927-2019</t>
        </is>
      </c>
      <c r="B687" s="1" t="n">
        <v>43790</v>
      </c>
      <c r="C687" s="1" t="n">
        <v>45734</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63918-2019</t>
        </is>
      </c>
      <c r="B688" s="1" t="n">
        <v>43790</v>
      </c>
      <c r="C688" s="1" t="n">
        <v>45734</v>
      </c>
      <c r="D688" t="inlineStr">
        <is>
          <t>JÄMTLANDS LÄN</t>
        </is>
      </c>
      <c r="E688" t="inlineStr">
        <is>
          <t>STRÖMSUND</t>
        </is>
      </c>
      <c r="G688" t="n">
        <v>1.5</v>
      </c>
      <c r="H688" t="n">
        <v>0</v>
      </c>
      <c r="I688" t="n">
        <v>0</v>
      </c>
      <c r="J688" t="n">
        <v>0</v>
      </c>
      <c r="K688" t="n">
        <v>0</v>
      </c>
      <c r="L688" t="n">
        <v>0</v>
      </c>
      <c r="M688" t="n">
        <v>0</v>
      </c>
      <c r="N688" t="n">
        <v>0</v>
      </c>
      <c r="O688" t="n">
        <v>0</v>
      </c>
      <c r="P688" t="n">
        <v>0</v>
      </c>
      <c r="Q688" t="n">
        <v>0</v>
      </c>
      <c r="R688" s="2" t="inlineStr"/>
    </row>
    <row r="689" ht="15" customHeight="1">
      <c r="A689" t="inlineStr">
        <is>
          <t>A 63429-2019</t>
        </is>
      </c>
      <c r="B689" s="1" t="n">
        <v>43794</v>
      </c>
      <c r="C689" s="1" t="n">
        <v>45734</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63443-2019</t>
        </is>
      </c>
      <c r="B690" s="1" t="n">
        <v>43794</v>
      </c>
      <c r="C690" s="1" t="n">
        <v>45734</v>
      </c>
      <c r="D690" t="inlineStr">
        <is>
          <t>JÄMTLANDS LÄN</t>
        </is>
      </c>
      <c r="E690" t="inlineStr">
        <is>
          <t>STRÖMSUND</t>
        </is>
      </c>
      <c r="G690" t="n">
        <v>13.8</v>
      </c>
      <c r="H690" t="n">
        <v>0</v>
      </c>
      <c r="I690" t="n">
        <v>0</v>
      </c>
      <c r="J690" t="n">
        <v>0</v>
      </c>
      <c r="K690" t="n">
        <v>0</v>
      </c>
      <c r="L690" t="n">
        <v>0</v>
      </c>
      <c r="M690" t="n">
        <v>0</v>
      </c>
      <c r="N690" t="n">
        <v>0</v>
      </c>
      <c r="O690" t="n">
        <v>0</v>
      </c>
      <c r="P690" t="n">
        <v>0</v>
      </c>
      <c r="Q690" t="n">
        <v>0</v>
      </c>
      <c r="R690" s="2" t="inlineStr"/>
    </row>
    <row r="691" ht="15" customHeight="1">
      <c r="A691" t="inlineStr">
        <is>
          <t>A 63426-2019</t>
        </is>
      </c>
      <c r="B691" s="1" t="n">
        <v>43794</v>
      </c>
      <c r="C691" s="1" t="n">
        <v>45734</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63444-2019</t>
        </is>
      </c>
      <c r="B692" s="1" t="n">
        <v>43794</v>
      </c>
      <c r="C692" s="1" t="n">
        <v>45734</v>
      </c>
      <c r="D692" t="inlineStr">
        <is>
          <t>JÄMTLANDS LÄN</t>
        </is>
      </c>
      <c r="E692" t="inlineStr">
        <is>
          <t>STRÖMSUND</t>
        </is>
      </c>
      <c r="G692" t="n">
        <v>5.6</v>
      </c>
      <c r="H692" t="n">
        <v>0</v>
      </c>
      <c r="I692" t="n">
        <v>0</v>
      </c>
      <c r="J692" t="n">
        <v>0</v>
      </c>
      <c r="K692" t="n">
        <v>0</v>
      </c>
      <c r="L692" t="n">
        <v>0</v>
      </c>
      <c r="M692" t="n">
        <v>0</v>
      </c>
      <c r="N692" t="n">
        <v>0</v>
      </c>
      <c r="O692" t="n">
        <v>0</v>
      </c>
      <c r="P692" t="n">
        <v>0</v>
      </c>
      <c r="Q692" t="n">
        <v>0</v>
      </c>
      <c r="R692" s="2" t="inlineStr"/>
    </row>
    <row r="693" ht="15" customHeight="1">
      <c r="A693" t="inlineStr">
        <is>
          <t>A 64138-2019</t>
        </is>
      </c>
      <c r="B693" s="1" t="n">
        <v>43796</v>
      </c>
      <c r="C693" s="1" t="n">
        <v>45734</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64463-2019</t>
        </is>
      </c>
      <c r="B694" s="1" t="n">
        <v>43797</v>
      </c>
      <c r="C694" s="1" t="n">
        <v>45734</v>
      </c>
      <c r="D694" t="inlineStr">
        <is>
          <t>JÄMTLANDS LÄN</t>
        </is>
      </c>
      <c r="E694" t="inlineStr">
        <is>
          <t>STRÖMSUND</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65415-2019</t>
        </is>
      </c>
      <c r="B695" s="1" t="n">
        <v>43797</v>
      </c>
      <c r="C695" s="1" t="n">
        <v>45734</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65390-2019</t>
        </is>
      </c>
      <c r="B696" s="1" t="n">
        <v>43797</v>
      </c>
      <c r="C696" s="1" t="n">
        <v>45734</v>
      </c>
      <c r="D696" t="inlineStr">
        <is>
          <t>JÄMTLANDS LÄN</t>
        </is>
      </c>
      <c r="E696" t="inlineStr">
        <is>
          <t>STRÖMSUND</t>
        </is>
      </c>
      <c r="G696" t="n">
        <v>0.9</v>
      </c>
      <c r="H696" t="n">
        <v>0</v>
      </c>
      <c r="I696" t="n">
        <v>0</v>
      </c>
      <c r="J696" t="n">
        <v>0</v>
      </c>
      <c r="K696" t="n">
        <v>0</v>
      </c>
      <c r="L696" t="n">
        <v>0</v>
      </c>
      <c r="M696" t="n">
        <v>0</v>
      </c>
      <c r="N696" t="n">
        <v>0</v>
      </c>
      <c r="O696" t="n">
        <v>0</v>
      </c>
      <c r="P696" t="n">
        <v>0</v>
      </c>
      <c r="Q696" t="n">
        <v>0</v>
      </c>
      <c r="R696" s="2" t="inlineStr"/>
    </row>
    <row r="697" ht="15" customHeight="1">
      <c r="A697" t="inlineStr">
        <is>
          <t>A 66574-2019</t>
        </is>
      </c>
      <c r="B697" s="1" t="n">
        <v>43803</v>
      </c>
      <c r="C697" s="1" t="n">
        <v>45734</v>
      </c>
      <c r="D697" t="inlineStr">
        <is>
          <t>JÄMTLANDS LÄN</t>
        </is>
      </c>
      <c r="E697" t="inlineStr">
        <is>
          <t>STRÖMSUND</t>
        </is>
      </c>
      <c r="G697" t="n">
        <v>0.7</v>
      </c>
      <c r="H697" t="n">
        <v>0</v>
      </c>
      <c r="I697" t="n">
        <v>0</v>
      </c>
      <c r="J697" t="n">
        <v>0</v>
      </c>
      <c r="K697" t="n">
        <v>0</v>
      </c>
      <c r="L697" t="n">
        <v>0</v>
      </c>
      <c r="M697" t="n">
        <v>0</v>
      </c>
      <c r="N697" t="n">
        <v>0</v>
      </c>
      <c r="O697" t="n">
        <v>0</v>
      </c>
      <c r="P697" t="n">
        <v>0</v>
      </c>
      <c r="Q697" t="n">
        <v>0</v>
      </c>
      <c r="R697" s="2" t="inlineStr"/>
    </row>
    <row r="698" ht="15" customHeight="1">
      <c r="A698" t="inlineStr">
        <is>
          <t>A 65781-2019</t>
        </is>
      </c>
      <c r="B698" s="1" t="n">
        <v>43804</v>
      </c>
      <c r="C698" s="1" t="n">
        <v>45734</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67064-2019</t>
        </is>
      </c>
      <c r="B699" s="1" t="n">
        <v>43805</v>
      </c>
      <c r="C699" s="1" t="n">
        <v>45734</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66349-2019</t>
        </is>
      </c>
      <c r="B700" s="1" t="n">
        <v>43808</v>
      </c>
      <c r="C700" s="1" t="n">
        <v>45734</v>
      </c>
      <c r="D700" t="inlineStr">
        <is>
          <t>JÄMTLANDS LÄN</t>
        </is>
      </c>
      <c r="E700" t="inlineStr">
        <is>
          <t>STRÖMSUND</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67820-2019</t>
        </is>
      </c>
      <c r="B701" s="1" t="n">
        <v>43815</v>
      </c>
      <c r="C701" s="1" t="n">
        <v>45734</v>
      </c>
      <c r="D701" t="inlineStr">
        <is>
          <t>JÄMTLANDS LÄN</t>
        </is>
      </c>
      <c r="E701" t="inlineStr">
        <is>
          <t>STRÖMSUND</t>
        </is>
      </c>
      <c r="F701" t="inlineStr">
        <is>
          <t>SCA</t>
        </is>
      </c>
      <c r="G701" t="n">
        <v>28.7</v>
      </c>
      <c r="H701" t="n">
        <v>0</v>
      </c>
      <c r="I701" t="n">
        <v>0</v>
      </c>
      <c r="J701" t="n">
        <v>0</v>
      </c>
      <c r="K701" t="n">
        <v>0</v>
      </c>
      <c r="L701" t="n">
        <v>0</v>
      </c>
      <c r="M701" t="n">
        <v>0</v>
      </c>
      <c r="N701" t="n">
        <v>0</v>
      </c>
      <c r="O701" t="n">
        <v>0</v>
      </c>
      <c r="P701" t="n">
        <v>0</v>
      </c>
      <c r="Q701" t="n">
        <v>0</v>
      </c>
      <c r="R701" s="2" t="inlineStr"/>
    </row>
    <row r="702" ht="15" customHeight="1">
      <c r="A702" t="inlineStr">
        <is>
          <t>A 67914-2019</t>
        </is>
      </c>
      <c r="B702" s="1" t="n">
        <v>43816</v>
      </c>
      <c r="C702" s="1" t="n">
        <v>45734</v>
      </c>
      <c r="D702" t="inlineStr">
        <is>
          <t>JÄMTLANDS LÄN</t>
        </is>
      </c>
      <c r="E702" t="inlineStr">
        <is>
          <t>STRÖMSUND</t>
        </is>
      </c>
      <c r="F702" t="inlineStr">
        <is>
          <t>Holmen skog AB</t>
        </is>
      </c>
      <c r="G702" t="n">
        <v>27.7</v>
      </c>
      <c r="H702" t="n">
        <v>0</v>
      </c>
      <c r="I702" t="n">
        <v>0</v>
      </c>
      <c r="J702" t="n">
        <v>0</v>
      </c>
      <c r="K702" t="n">
        <v>0</v>
      </c>
      <c r="L702" t="n">
        <v>0</v>
      </c>
      <c r="M702" t="n">
        <v>0</v>
      </c>
      <c r="N702" t="n">
        <v>0</v>
      </c>
      <c r="O702" t="n">
        <v>0</v>
      </c>
      <c r="P702" t="n">
        <v>0</v>
      </c>
      <c r="Q702" t="n">
        <v>0</v>
      </c>
      <c r="R702" s="2" t="inlineStr"/>
    </row>
    <row r="703" ht="15" customHeight="1">
      <c r="A703" t="inlineStr">
        <is>
          <t>A 68080-2019</t>
        </is>
      </c>
      <c r="B703" s="1" t="n">
        <v>43816</v>
      </c>
      <c r="C703" s="1" t="n">
        <v>45734</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68607-2019</t>
        </is>
      </c>
      <c r="B704" s="1" t="n">
        <v>43818</v>
      </c>
      <c r="C704" s="1" t="n">
        <v>45734</v>
      </c>
      <c r="D704" t="inlineStr">
        <is>
          <t>JÄMTLANDS LÄN</t>
        </is>
      </c>
      <c r="E704" t="inlineStr">
        <is>
          <t>STRÖMSUND</t>
        </is>
      </c>
      <c r="G704" t="n">
        <v>2.5</v>
      </c>
      <c r="H704" t="n">
        <v>0</v>
      </c>
      <c r="I704" t="n">
        <v>0</v>
      </c>
      <c r="J704" t="n">
        <v>0</v>
      </c>
      <c r="K704" t="n">
        <v>0</v>
      </c>
      <c r="L704" t="n">
        <v>0</v>
      </c>
      <c r="M704" t="n">
        <v>0</v>
      </c>
      <c r="N704" t="n">
        <v>0</v>
      </c>
      <c r="O704" t="n">
        <v>0</v>
      </c>
      <c r="P704" t="n">
        <v>0</v>
      </c>
      <c r="Q704" t="n">
        <v>0</v>
      </c>
      <c r="R704" s="2" t="inlineStr"/>
    </row>
    <row r="705" ht="15" customHeight="1">
      <c r="A705" t="inlineStr">
        <is>
          <t>A 68335-2019</t>
        </is>
      </c>
      <c r="B705" s="1" t="n">
        <v>43818</v>
      </c>
      <c r="C705" s="1" t="n">
        <v>45734</v>
      </c>
      <c r="D705" t="inlineStr">
        <is>
          <t>JÄMTLANDS LÄN</t>
        </is>
      </c>
      <c r="E705" t="inlineStr">
        <is>
          <t>STRÖMSUND</t>
        </is>
      </c>
      <c r="G705" t="n">
        <v>3.4</v>
      </c>
      <c r="H705" t="n">
        <v>0</v>
      </c>
      <c r="I705" t="n">
        <v>0</v>
      </c>
      <c r="J705" t="n">
        <v>0</v>
      </c>
      <c r="K705" t="n">
        <v>0</v>
      </c>
      <c r="L705" t="n">
        <v>0</v>
      </c>
      <c r="M705" t="n">
        <v>0</v>
      </c>
      <c r="N705" t="n">
        <v>0</v>
      </c>
      <c r="O705" t="n">
        <v>0</v>
      </c>
      <c r="P705" t="n">
        <v>0</v>
      </c>
      <c r="Q705" t="n">
        <v>0</v>
      </c>
      <c r="R705" s="2" t="inlineStr"/>
    </row>
    <row r="706" ht="15" customHeight="1">
      <c r="A706" t="inlineStr">
        <is>
          <t>A 861-2020</t>
        </is>
      </c>
      <c r="B706" s="1" t="n">
        <v>43838</v>
      </c>
      <c r="C706" s="1" t="n">
        <v>45734</v>
      </c>
      <c r="D706" t="inlineStr">
        <is>
          <t>JÄMTLANDS LÄN</t>
        </is>
      </c>
      <c r="E706" t="inlineStr">
        <is>
          <t>STRÖMSUND</t>
        </is>
      </c>
      <c r="G706" t="n">
        <v>0.6</v>
      </c>
      <c r="H706" t="n">
        <v>0</v>
      </c>
      <c r="I706" t="n">
        <v>0</v>
      </c>
      <c r="J706" t="n">
        <v>0</v>
      </c>
      <c r="K706" t="n">
        <v>0</v>
      </c>
      <c r="L706" t="n">
        <v>0</v>
      </c>
      <c r="M706" t="n">
        <v>0</v>
      </c>
      <c r="N706" t="n">
        <v>0</v>
      </c>
      <c r="O706" t="n">
        <v>0</v>
      </c>
      <c r="P706" t="n">
        <v>0</v>
      </c>
      <c r="Q706" t="n">
        <v>0</v>
      </c>
      <c r="R706" s="2" t="inlineStr"/>
    </row>
    <row r="707" ht="15" customHeight="1">
      <c r="A707" t="inlineStr">
        <is>
          <t>A 1034-2020</t>
        </is>
      </c>
      <c r="B707" s="1" t="n">
        <v>43839</v>
      </c>
      <c r="C707" s="1" t="n">
        <v>45734</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1134-2020</t>
        </is>
      </c>
      <c r="B708" s="1" t="n">
        <v>43840</v>
      </c>
      <c r="C708" s="1" t="n">
        <v>45734</v>
      </c>
      <c r="D708" t="inlineStr">
        <is>
          <t>JÄMTLANDS LÄN</t>
        </is>
      </c>
      <c r="E708" t="inlineStr">
        <is>
          <t>STRÖMSUND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1138-2020</t>
        </is>
      </c>
      <c r="B709" s="1" t="n">
        <v>43840</v>
      </c>
      <c r="C709" s="1" t="n">
        <v>45734</v>
      </c>
      <c r="D709" t="inlineStr">
        <is>
          <t>JÄMTLANDS LÄN</t>
        </is>
      </c>
      <c r="E709" t="inlineStr">
        <is>
          <t>STRÖMSUND</t>
        </is>
      </c>
      <c r="G709" t="n">
        <v>6.5</v>
      </c>
      <c r="H709" t="n">
        <v>0</v>
      </c>
      <c r="I709" t="n">
        <v>0</v>
      </c>
      <c r="J709" t="n">
        <v>0</v>
      </c>
      <c r="K709" t="n">
        <v>0</v>
      </c>
      <c r="L709" t="n">
        <v>0</v>
      </c>
      <c r="M709" t="n">
        <v>0</v>
      </c>
      <c r="N709" t="n">
        <v>0</v>
      </c>
      <c r="O709" t="n">
        <v>0</v>
      </c>
      <c r="P709" t="n">
        <v>0</v>
      </c>
      <c r="Q709" t="n">
        <v>0</v>
      </c>
      <c r="R709" s="2" t="inlineStr"/>
    </row>
    <row r="710" ht="15" customHeight="1">
      <c r="A710" t="inlineStr">
        <is>
          <t>A 1238-2020</t>
        </is>
      </c>
      <c r="B710" s="1" t="n">
        <v>43840</v>
      </c>
      <c r="C710" s="1" t="n">
        <v>45734</v>
      </c>
      <c r="D710" t="inlineStr">
        <is>
          <t>JÄMTLANDS LÄN</t>
        </is>
      </c>
      <c r="E710" t="inlineStr">
        <is>
          <t>STRÖMSUND</t>
        </is>
      </c>
      <c r="G710" t="n">
        <v>20.3</v>
      </c>
      <c r="H710" t="n">
        <v>0</v>
      </c>
      <c r="I710" t="n">
        <v>0</v>
      </c>
      <c r="J710" t="n">
        <v>0</v>
      </c>
      <c r="K710" t="n">
        <v>0</v>
      </c>
      <c r="L710" t="n">
        <v>0</v>
      </c>
      <c r="M710" t="n">
        <v>0</v>
      </c>
      <c r="N710" t="n">
        <v>0</v>
      </c>
      <c r="O710" t="n">
        <v>0</v>
      </c>
      <c r="P710" t="n">
        <v>0</v>
      </c>
      <c r="Q710" t="n">
        <v>0</v>
      </c>
      <c r="R710" s="2" t="inlineStr"/>
    </row>
    <row r="711" ht="15" customHeight="1">
      <c r="A711" t="inlineStr">
        <is>
          <t>A 2250-2020</t>
        </is>
      </c>
      <c r="B711" s="1" t="n">
        <v>43846</v>
      </c>
      <c r="C711" s="1" t="n">
        <v>45734</v>
      </c>
      <c r="D711" t="inlineStr">
        <is>
          <t>JÄMTLANDS LÄN</t>
        </is>
      </c>
      <c r="E711" t="inlineStr">
        <is>
          <t>STRÖMSUND</t>
        </is>
      </c>
      <c r="G711" t="n">
        <v>0.1</v>
      </c>
      <c r="H711" t="n">
        <v>0</v>
      </c>
      <c r="I711" t="n">
        <v>0</v>
      </c>
      <c r="J711" t="n">
        <v>0</v>
      </c>
      <c r="K711" t="n">
        <v>0</v>
      </c>
      <c r="L711" t="n">
        <v>0</v>
      </c>
      <c r="M711" t="n">
        <v>0</v>
      </c>
      <c r="N711" t="n">
        <v>0</v>
      </c>
      <c r="O711" t="n">
        <v>0</v>
      </c>
      <c r="P711" t="n">
        <v>0</v>
      </c>
      <c r="Q711" t="n">
        <v>0</v>
      </c>
      <c r="R711" s="2" t="inlineStr"/>
    </row>
    <row r="712" ht="15" customHeight="1">
      <c r="A712" t="inlineStr">
        <is>
          <t>A 2184-2020</t>
        </is>
      </c>
      <c r="B712" s="1" t="n">
        <v>43846</v>
      </c>
      <c r="C712" s="1" t="n">
        <v>45734</v>
      </c>
      <c r="D712" t="inlineStr">
        <is>
          <t>JÄMTLANDS LÄN</t>
        </is>
      </c>
      <c r="E712" t="inlineStr">
        <is>
          <t>STRÖMSUND</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2705-2020</t>
        </is>
      </c>
      <c r="B713" s="1" t="n">
        <v>43850</v>
      </c>
      <c r="C713" s="1" t="n">
        <v>45734</v>
      </c>
      <c r="D713" t="inlineStr">
        <is>
          <t>JÄMTLANDS LÄN</t>
        </is>
      </c>
      <c r="E713" t="inlineStr">
        <is>
          <t>STRÖMSUND</t>
        </is>
      </c>
      <c r="G713" t="n">
        <v>11.2</v>
      </c>
      <c r="H713" t="n">
        <v>0</v>
      </c>
      <c r="I713" t="n">
        <v>0</v>
      </c>
      <c r="J713" t="n">
        <v>0</v>
      </c>
      <c r="K713" t="n">
        <v>0</v>
      </c>
      <c r="L713" t="n">
        <v>0</v>
      </c>
      <c r="M713" t="n">
        <v>0</v>
      </c>
      <c r="N713" t="n">
        <v>0</v>
      </c>
      <c r="O713" t="n">
        <v>0</v>
      </c>
      <c r="P713" t="n">
        <v>0</v>
      </c>
      <c r="Q713" t="n">
        <v>0</v>
      </c>
      <c r="R713" s="2" t="inlineStr"/>
    </row>
    <row r="714" ht="15" customHeight="1">
      <c r="A714" t="inlineStr">
        <is>
          <t>A 2911-2020</t>
        </is>
      </c>
      <c r="B714" s="1" t="n">
        <v>43850</v>
      </c>
      <c r="C714" s="1" t="n">
        <v>45734</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5127-2020</t>
        </is>
      </c>
      <c r="B715" s="1" t="n">
        <v>43850</v>
      </c>
      <c r="C715" s="1" t="n">
        <v>45734</v>
      </c>
      <c r="D715" t="inlineStr">
        <is>
          <t>JÄMTLANDS LÄN</t>
        </is>
      </c>
      <c r="E715" t="inlineStr">
        <is>
          <t>STRÖMSUND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5119-2020</t>
        </is>
      </c>
      <c r="B716" s="1" t="n">
        <v>43850</v>
      </c>
      <c r="C716" s="1" t="n">
        <v>45734</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2987-2020</t>
        </is>
      </c>
      <c r="B717" s="1" t="n">
        <v>43850</v>
      </c>
      <c r="C717" s="1" t="n">
        <v>45734</v>
      </c>
      <c r="D717" t="inlineStr">
        <is>
          <t>JÄMTLANDS LÄN</t>
        </is>
      </c>
      <c r="E717" t="inlineStr">
        <is>
          <t>STRÖMSUND</t>
        </is>
      </c>
      <c r="G717" t="n">
        <v>7.3</v>
      </c>
      <c r="H717" t="n">
        <v>0</v>
      </c>
      <c r="I717" t="n">
        <v>0</v>
      </c>
      <c r="J717" t="n">
        <v>0</v>
      </c>
      <c r="K717" t="n">
        <v>0</v>
      </c>
      <c r="L717" t="n">
        <v>0</v>
      </c>
      <c r="M717" t="n">
        <v>0</v>
      </c>
      <c r="N717" t="n">
        <v>0</v>
      </c>
      <c r="O717" t="n">
        <v>0</v>
      </c>
      <c r="P717" t="n">
        <v>0</v>
      </c>
      <c r="Q717" t="n">
        <v>0</v>
      </c>
      <c r="R717" s="2" t="inlineStr"/>
    </row>
    <row r="718" ht="15" customHeight="1">
      <c r="A718" t="inlineStr">
        <is>
          <t>A 5147-2020</t>
        </is>
      </c>
      <c r="B718" s="1" t="n">
        <v>43850</v>
      </c>
      <c r="C718" s="1" t="n">
        <v>45734</v>
      </c>
      <c r="D718" t="inlineStr">
        <is>
          <t>JÄMTLANDS LÄN</t>
        </is>
      </c>
      <c r="E718" t="inlineStr">
        <is>
          <t>STRÖMSUND</t>
        </is>
      </c>
      <c r="G718" t="n">
        <v>10.8</v>
      </c>
      <c r="H718" t="n">
        <v>0</v>
      </c>
      <c r="I718" t="n">
        <v>0</v>
      </c>
      <c r="J718" t="n">
        <v>0</v>
      </c>
      <c r="K718" t="n">
        <v>0</v>
      </c>
      <c r="L718" t="n">
        <v>0</v>
      </c>
      <c r="M718" t="n">
        <v>0</v>
      </c>
      <c r="N718" t="n">
        <v>0</v>
      </c>
      <c r="O718" t="n">
        <v>0</v>
      </c>
      <c r="P718" t="n">
        <v>0</v>
      </c>
      <c r="Q718" t="n">
        <v>0</v>
      </c>
      <c r="R718" s="2" t="inlineStr"/>
    </row>
    <row r="719" ht="15" customHeight="1">
      <c r="A719" t="inlineStr">
        <is>
          <t>A 4654-2020</t>
        </is>
      </c>
      <c r="B719" s="1" t="n">
        <v>43851</v>
      </c>
      <c r="C719" s="1" t="n">
        <v>45734</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4898-2020</t>
        </is>
      </c>
      <c r="B720" s="1" t="n">
        <v>43852</v>
      </c>
      <c r="C720" s="1" t="n">
        <v>45734</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3862-2020</t>
        </is>
      </c>
      <c r="B721" s="1" t="n">
        <v>43854</v>
      </c>
      <c r="C721" s="1" t="n">
        <v>45734</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3895-2020</t>
        </is>
      </c>
      <c r="B722" s="1" t="n">
        <v>43854</v>
      </c>
      <c r="C722" s="1" t="n">
        <v>45734</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3988-2020</t>
        </is>
      </c>
      <c r="B723" s="1" t="n">
        <v>43856</v>
      </c>
      <c r="C723" s="1" t="n">
        <v>45734</v>
      </c>
      <c r="D723" t="inlineStr">
        <is>
          <t>JÄMTLANDS LÄN</t>
        </is>
      </c>
      <c r="E723" t="inlineStr">
        <is>
          <t>STRÖMSUND</t>
        </is>
      </c>
      <c r="G723" t="n">
        <v>12.4</v>
      </c>
      <c r="H723" t="n">
        <v>0</v>
      </c>
      <c r="I723" t="n">
        <v>0</v>
      </c>
      <c r="J723" t="n">
        <v>0</v>
      </c>
      <c r="K723" t="n">
        <v>0</v>
      </c>
      <c r="L723" t="n">
        <v>0</v>
      </c>
      <c r="M723" t="n">
        <v>0</v>
      </c>
      <c r="N723" t="n">
        <v>0</v>
      </c>
      <c r="O723" t="n">
        <v>0</v>
      </c>
      <c r="P723" t="n">
        <v>0</v>
      </c>
      <c r="Q723" t="n">
        <v>0</v>
      </c>
      <c r="R723" s="2" t="inlineStr"/>
    </row>
    <row r="724" ht="15" customHeight="1">
      <c r="A724" t="inlineStr">
        <is>
          <t>A 4905-2020</t>
        </is>
      </c>
      <c r="B724" s="1" t="n">
        <v>43859</v>
      </c>
      <c r="C724" s="1" t="n">
        <v>45734</v>
      </c>
      <c r="D724" t="inlineStr">
        <is>
          <t>JÄMTLANDS LÄN</t>
        </is>
      </c>
      <c r="E724" t="inlineStr">
        <is>
          <t>STRÖMSUND</t>
        </is>
      </c>
      <c r="G724" t="n">
        <v>22.3</v>
      </c>
      <c r="H724" t="n">
        <v>0</v>
      </c>
      <c r="I724" t="n">
        <v>0</v>
      </c>
      <c r="J724" t="n">
        <v>0</v>
      </c>
      <c r="K724" t="n">
        <v>0</v>
      </c>
      <c r="L724" t="n">
        <v>0</v>
      </c>
      <c r="M724" t="n">
        <v>0</v>
      </c>
      <c r="N724" t="n">
        <v>0</v>
      </c>
      <c r="O724" t="n">
        <v>0</v>
      </c>
      <c r="P724" t="n">
        <v>0</v>
      </c>
      <c r="Q724" t="n">
        <v>0</v>
      </c>
      <c r="R724" s="2" t="inlineStr"/>
    </row>
    <row r="725" ht="15" customHeight="1">
      <c r="A725" t="inlineStr">
        <is>
          <t>A 5915-2020</t>
        </is>
      </c>
      <c r="B725" s="1" t="n">
        <v>43861</v>
      </c>
      <c r="C725" s="1" t="n">
        <v>45734</v>
      </c>
      <c r="D725" t="inlineStr">
        <is>
          <t>JÄMTLANDS LÄN</t>
        </is>
      </c>
      <c r="E725" t="inlineStr">
        <is>
          <t>STRÖMSUND</t>
        </is>
      </c>
      <c r="G725" t="n">
        <v>10.3</v>
      </c>
      <c r="H725" t="n">
        <v>0</v>
      </c>
      <c r="I725" t="n">
        <v>0</v>
      </c>
      <c r="J725" t="n">
        <v>0</v>
      </c>
      <c r="K725" t="n">
        <v>0</v>
      </c>
      <c r="L725" t="n">
        <v>0</v>
      </c>
      <c r="M725" t="n">
        <v>0</v>
      </c>
      <c r="N725" t="n">
        <v>0</v>
      </c>
      <c r="O725" t="n">
        <v>0</v>
      </c>
      <c r="P725" t="n">
        <v>0</v>
      </c>
      <c r="Q725" t="n">
        <v>0</v>
      </c>
      <c r="R725" s="2" t="inlineStr"/>
    </row>
    <row r="726" ht="15" customHeight="1">
      <c r="A726" t="inlineStr">
        <is>
          <t>A 6146-2020</t>
        </is>
      </c>
      <c r="B726" s="1" t="n">
        <v>43865</v>
      </c>
      <c r="C726" s="1" t="n">
        <v>45734</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7192-2020</t>
        </is>
      </c>
      <c r="B727" s="1" t="n">
        <v>43871</v>
      </c>
      <c r="C727" s="1" t="n">
        <v>45734</v>
      </c>
      <c r="D727" t="inlineStr">
        <is>
          <t>JÄMTLANDS LÄN</t>
        </is>
      </c>
      <c r="E727" t="inlineStr">
        <is>
          <t>STRÖMSUND</t>
        </is>
      </c>
      <c r="G727" t="n">
        <v>11.4</v>
      </c>
      <c r="H727" t="n">
        <v>0</v>
      </c>
      <c r="I727" t="n">
        <v>0</v>
      </c>
      <c r="J727" t="n">
        <v>0</v>
      </c>
      <c r="K727" t="n">
        <v>0</v>
      </c>
      <c r="L727" t="n">
        <v>0</v>
      </c>
      <c r="M727" t="n">
        <v>0</v>
      </c>
      <c r="N727" t="n">
        <v>0</v>
      </c>
      <c r="O727" t="n">
        <v>0</v>
      </c>
      <c r="P727" t="n">
        <v>0</v>
      </c>
      <c r="Q727" t="n">
        <v>0</v>
      </c>
      <c r="R727" s="2" t="inlineStr"/>
    </row>
    <row r="728" ht="15" customHeight="1">
      <c r="A728" t="inlineStr">
        <is>
          <t>A 7630-2020</t>
        </is>
      </c>
      <c r="B728" s="1" t="n">
        <v>43871</v>
      </c>
      <c r="C728" s="1" t="n">
        <v>45734</v>
      </c>
      <c r="D728" t="inlineStr">
        <is>
          <t>JÄMTLANDS LÄN</t>
        </is>
      </c>
      <c r="E728" t="inlineStr">
        <is>
          <t>STRÖMSUND</t>
        </is>
      </c>
      <c r="G728" t="n">
        <v>3</v>
      </c>
      <c r="H728" t="n">
        <v>0</v>
      </c>
      <c r="I728" t="n">
        <v>0</v>
      </c>
      <c r="J728" t="n">
        <v>0</v>
      </c>
      <c r="K728" t="n">
        <v>0</v>
      </c>
      <c r="L728" t="n">
        <v>0</v>
      </c>
      <c r="M728" t="n">
        <v>0</v>
      </c>
      <c r="N728" t="n">
        <v>0</v>
      </c>
      <c r="O728" t="n">
        <v>0</v>
      </c>
      <c r="P728" t="n">
        <v>0</v>
      </c>
      <c r="Q728" t="n">
        <v>0</v>
      </c>
      <c r="R728" s="2" t="inlineStr"/>
    </row>
    <row r="729" ht="15" customHeight="1">
      <c r="A729" t="inlineStr">
        <is>
          <t>A 7963-2020</t>
        </is>
      </c>
      <c r="B729" s="1" t="n">
        <v>43872</v>
      </c>
      <c r="C729" s="1" t="n">
        <v>45734</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7974-2020</t>
        </is>
      </c>
      <c r="B730" s="1" t="n">
        <v>43873</v>
      </c>
      <c r="C730" s="1" t="n">
        <v>45734</v>
      </c>
      <c r="D730" t="inlineStr">
        <is>
          <t>JÄMTLANDS LÄN</t>
        </is>
      </c>
      <c r="E730" t="inlineStr">
        <is>
          <t>STRÖMSUND</t>
        </is>
      </c>
      <c r="G730" t="n">
        <v>24.1</v>
      </c>
      <c r="H730" t="n">
        <v>0</v>
      </c>
      <c r="I730" t="n">
        <v>0</v>
      </c>
      <c r="J730" t="n">
        <v>0</v>
      </c>
      <c r="K730" t="n">
        <v>0</v>
      </c>
      <c r="L730" t="n">
        <v>0</v>
      </c>
      <c r="M730" t="n">
        <v>0</v>
      </c>
      <c r="N730" t="n">
        <v>0</v>
      </c>
      <c r="O730" t="n">
        <v>0</v>
      </c>
      <c r="P730" t="n">
        <v>0</v>
      </c>
      <c r="Q730" t="n">
        <v>0</v>
      </c>
      <c r="R730" s="2" t="inlineStr"/>
    </row>
    <row r="731" ht="15" customHeight="1">
      <c r="A731" t="inlineStr">
        <is>
          <t>A 8482-2020</t>
        </is>
      </c>
      <c r="B731" s="1" t="n">
        <v>43875</v>
      </c>
      <c r="C731" s="1" t="n">
        <v>45734</v>
      </c>
      <c r="D731" t="inlineStr">
        <is>
          <t>JÄMTLANDS LÄN</t>
        </is>
      </c>
      <c r="E731" t="inlineStr">
        <is>
          <t>STRÖMSUND</t>
        </is>
      </c>
      <c r="G731" t="n">
        <v>25.5</v>
      </c>
      <c r="H731" t="n">
        <v>0</v>
      </c>
      <c r="I731" t="n">
        <v>0</v>
      </c>
      <c r="J731" t="n">
        <v>0</v>
      </c>
      <c r="K731" t="n">
        <v>0</v>
      </c>
      <c r="L731" t="n">
        <v>0</v>
      </c>
      <c r="M731" t="n">
        <v>0</v>
      </c>
      <c r="N731" t="n">
        <v>0</v>
      </c>
      <c r="O731" t="n">
        <v>0</v>
      </c>
      <c r="P731" t="n">
        <v>0</v>
      </c>
      <c r="Q731" t="n">
        <v>0</v>
      </c>
      <c r="R731" s="2" t="inlineStr"/>
    </row>
    <row r="732" ht="15" customHeight="1">
      <c r="A732" t="inlineStr">
        <is>
          <t>A 8775-2020</t>
        </is>
      </c>
      <c r="B732" s="1" t="n">
        <v>43878</v>
      </c>
      <c r="C732" s="1" t="n">
        <v>45734</v>
      </c>
      <c r="D732" t="inlineStr">
        <is>
          <t>JÄMTLANDS LÄN</t>
        </is>
      </c>
      <c r="E732" t="inlineStr">
        <is>
          <t>STRÖMSUND</t>
        </is>
      </c>
      <c r="G732" t="n">
        <v>4.2</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45734</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45734</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45734</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45734</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45734</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45734</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45734</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45734</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45734</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45734</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45734</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45734</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45734</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45734</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45734</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45734</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45734</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45734</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45734</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45734</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45734</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45734</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45734</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45734</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45734</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45734</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45734</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45734</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45734</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45734</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45734</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45734</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45734</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45734</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45734</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45734</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45734</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45734</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45734</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45734</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45734</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45734</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45734</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45734</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45734</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45734</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45734</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45734</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45734</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45734</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45734</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45734</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45734</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45734</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45734</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45734</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45734</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45734</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45734</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45734</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45734</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45734</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45734</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45734</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45734</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45734</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45734</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45734</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45734</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45734</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45734</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45734</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45734</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45734</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45734</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45734</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45734</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45734</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45734</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45734</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45734</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45734</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45734</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45734</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45734</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45734</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45734</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45734</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45734</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45734</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45734</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45734</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45734</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45734</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45734</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45734</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45734</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45734</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45734</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45734</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45734</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45734</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45734</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45734</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45734</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45734</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45734</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45734</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45734</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45734</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45734</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45734</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45734</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45734</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45734</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45734</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45734</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45734</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45734</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45734</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45734</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45734</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45734</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45734</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45734</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45734</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45734</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45734</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45734</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45734</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45734</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45734</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45734</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45734</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45734</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45734</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45734</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45734</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45734</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45734</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45734</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45734</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45734</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45734</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45734</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45734</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45734</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45734</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45734</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45734</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45734</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45734</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45734</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45734</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45734</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45734</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45734</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45734</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45734</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45734</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45734</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45734</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45734</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45734</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45734</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45734</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45734</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45734</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45734</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45734</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45734</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45734</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45734</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45734</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45734</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45734</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45734</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45734</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45734</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45734</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45734</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45734</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45734</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45734</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45734</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45734</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45734</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45734</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45734</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45734</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45734</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45734</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45734</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45734</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45734</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45734</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45734</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45734</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45734</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45734</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45734</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45734</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45734</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45734</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45734</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45734</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45734</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45734</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45734</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45734</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45734</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45734</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45734</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45734</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45734</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45734</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45734</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45734</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45734</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45734</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45734</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45734</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45734</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45734</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45734</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45734</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45734</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45734</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45734</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45734</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363-2021</t>
        </is>
      </c>
      <c r="B963" s="1" t="n">
        <v>44201</v>
      </c>
      <c r="C963" s="1" t="n">
        <v>45734</v>
      </c>
      <c r="D963" t="inlineStr">
        <is>
          <t>JÄMTLANDS LÄN</t>
        </is>
      </c>
      <c r="E963" t="inlineStr">
        <is>
          <t>STRÖMSUND</t>
        </is>
      </c>
      <c r="F963" t="inlineStr">
        <is>
          <t>SCA</t>
        </is>
      </c>
      <c r="G963" t="n">
        <v>52.4</v>
      </c>
      <c r="H963" t="n">
        <v>0</v>
      </c>
      <c r="I963" t="n">
        <v>0</v>
      </c>
      <c r="J963" t="n">
        <v>0</v>
      </c>
      <c r="K963" t="n">
        <v>0</v>
      </c>
      <c r="L963" t="n">
        <v>0</v>
      </c>
      <c r="M963" t="n">
        <v>0</v>
      </c>
      <c r="N963" t="n">
        <v>0</v>
      </c>
      <c r="O963" t="n">
        <v>0</v>
      </c>
      <c r="P963" t="n">
        <v>0</v>
      </c>
      <c r="Q963" t="n">
        <v>0</v>
      </c>
      <c r="R963" s="2" t="inlineStr"/>
    </row>
    <row r="964" ht="15" customHeight="1">
      <c r="A964" t="inlineStr">
        <is>
          <t>A 457-2021</t>
        </is>
      </c>
      <c r="B964" s="1" t="n">
        <v>44202</v>
      </c>
      <c r="C964" s="1" t="n">
        <v>45734</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582-2021</t>
        </is>
      </c>
      <c r="B965" s="1" t="n">
        <v>44203</v>
      </c>
      <c r="C965" s="1" t="n">
        <v>45734</v>
      </c>
      <c r="D965" t="inlineStr">
        <is>
          <t>JÄMTLANDS LÄN</t>
        </is>
      </c>
      <c r="E965" t="inlineStr">
        <is>
          <t>STRÖMSUND</t>
        </is>
      </c>
      <c r="F965" t="inlineStr">
        <is>
          <t>SCA</t>
        </is>
      </c>
      <c r="G965" t="n">
        <v>54.9</v>
      </c>
      <c r="H965" t="n">
        <v>0</v>
      </c>
      <c r="I965" t="n">
        <v>0</v>
      </c>
      <c r="J965" t="n">
        <v>0</v>
      </c>
      <c r="K965" t="n">
        <v>0</v>
      </c>
      <c r="L965" t="n">
        <v>0</v>
      </c>
      <c r="M965" t="n">
        <v>0</v>
      </c>
      <c r="N965" t="n">
        <v>0</v>
      </c>
      <c r="O965" t="n">
        <v>0</v>
      </c>
      <c r="P965" t="n">
        <v>0</v>
      </c>
      <c r="Q965" t="n">
        <v>0</v>
      </c>
      <c r="R965" s="2" t="inlineStr"/>
    </row>
    <row r="966" ht="15" customHeight="1">
      <c r="A966" t="inlineStr">
        <is>
          <t>A 647-2021</t>
        </is>
      </c>
      <c r="B966" s="1" t="n">
        <v>44203</v>
      </c>
      <c r="C966" s="1" t="n">
        <v>45734</v>
      </c>
      <c r="D966" t="inlineStr">
        <is>
          <t>JÄMTLANDS LÄN</t>
        </is>
      </c>
      <c r="E966" t="inlineStr">
        <is>
          <t>STRÖMSUND</t>
        </is>
      </c>
      <c r="F966" t="inlineStr">
        <is>
          <t>SCA</t>
        </is>
      </c>
      <c r="G966" t="n">
        <v>151.3</v>
      </c>
      <c r="H966" t="n">
        <v>0</v>
      </c>
      <c r="I966" t="n">
        <v>0</v>
      </c>
      <c r="J966" t="n">
        <v>0</v>
      </c>
      <c r="K966" t="n">
        <v>0</v>
      </c>
      <c r="L966" t="n">
        <v>0</v>
      </c>
      <c r="M966" t="n">
        <v>0</v>
      </c>
      <c r="N966" t="n">
        <v>0</v>
      </c>
      <c r="O966" t="n">
        <v>0</v>
      </c>
      <c r="P966" t="n">
        <v>0</v>
      </c>
      <c r="Q966" t="n">
        <v>0</v>
      </c>
      <c r="R966" s="2" t="inlineStr"/>
    </row>
    <row r="967" ht="15" customHeight="1">
      <c r="A967" t="inlineStr">
        <is>
          <t>A 742-2021</t>
        </is>
      </c>
      <c r="B967" s="1" t="n">
        <v>44204</v>
      </c>
      <c r="C967" s="1" t="n">
        <v>45734</v>
      </c>
      <c r="D967" t="inlineStr">
        <is>
          <t>JÄMTLANDS LÄN</t>
        </is>
      </c>
      <c r="E967" t="inlineStr">
        <is>
          <t>STRÖMSUND</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1305-2021</t>
        </is>
      </c>
      <c r="B968" s="1" t="n">
        <v>44207</v>
      </c>
      <c r="C968" s="1" t="n">
        <v>45734</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2159-2021</t>
        </is>
      </c>
      <c r="B969" s="1" t="n">
        <v>44211</v>
      </c>
      <c r="C969" s="1" t="n">
        <v>45734</v>
      </c>
      <c r="D969" t="inlineStr">
        <is>
          <t>JÄMTLANDS LÄN</t>
        </is>
      </c>
      <c r="E969" t="inlineStr">
        <is>
          <t>STRÖMSUND</t>
        </is>
      </c>
      <c r="G969" t="n">
        <v>0.6</v>
      </c>
      <c r="H969" t="n">
        <v>0</v>
      </c>
      <c r="I969" t="n">
        <v>0</v>
      </c>
      <c r="J969" t="n">
        <v>0</v>
      </c>
      <c r="K969" t="n">
        <v>0</v>
      </c>
      <c r="L969" t="n">
        <v>0</v>
      </c>
      <c r="M969" t="n">
        <v>0</v>
      </c>
      <c r="N969" t="n">
        <v>0</v>
      </c>
      <c r="O969" t="n">
        <v>0</v>
      </c>
      <c r="P969" t="n">
        <v>0</v>
      </c>
      <c r="Q969" t="n">
        <v>0</v>
      </c>
      <c r="R969" s="2" t="inlineStr"/>
    </row>
    <row r="970" ht="15" customHeight="1">
      <c r="A970" t="inlineStr">
        <is>
          <t>A 2432-2021</t>
        </is>
      </c>
      <c r="B970" s="1" t="n">
        <v>44211</v>
      </c>
      <c r="C970" s="1" t="n">
        <v>45734</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2549-2021</t>
        </is>
      </c>
      <c r="B971" s="1" t="n">
        <v>44214</v>
      </c>
      <c r="C971" s="1" t="n">
        <v>45734</v>
      </c>
      <c r="D971" t="inlineStr">
        <is>
          <t>JÄMTLANDS LÄN</t>
        </is>
      </c>
      <c r="E971" t="inlineStr">
        <is>
          <t>STRÖMSUND</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2660-2021</t>
        </is>
      </c>
      <c r="B972" s="1" t="n">
        <v>44215</v>
      </c>
      <c r="C972" s="1" t="n">
        <v>45734</v>
      </c>
      <c r="D972" t="inlineStr">
        <is>
          <t>JÄMTLANDS LÄN</t>
        </is>
      </c>
      <c r="E972" t="inlineStr">
        <is>
          <t>STRÖMSUND</t>
        </is>
      </c>
      <c r="G972" t="n">
        <v>11.2</v>
      </c>
      <c r="H972" t="n">
        <v>0</v>
      </c>
      <c r="I972" t="n">
        <v>0</v>
      </c>
      <c r="J972" t="n">
        <v>0</v>
      </c>
      <c r="K972" t="n">
        <v>0</v>
      </c>
      <c r="L972" t="n">
        <v>0</v>
      </c>
      <c r="M972" t="n">
        <v>0</v>
      </c>
      <c r="N972" t="n">
        <v>0</v>
      </c>
      <c r="O972" t="n">
        <v>0</v>
      </c>
      <c r="P972" t="n">
        <v>0</v>
      </c>
      <c r="Q972" t="n">
        <v>0</v>
      </c>
      <c r="R972" s="2" t="inlineStr"/>
    </row>
    <row r="973" ht="15" customHeight="1">
      <c r="A973" t="inlineStr">
        <is>
          <t>A 3186-2021</t>
        </is>
      </c>
      <c r="B973" s="1" t="n">
        <v>44217</v>
      </c>
      <c r="C973" s="1" t="n">
        <v>45734</v>
      </c>
      <c r="D973" t="inlineStr">
        <is>
          <t>JÄMTLANDS LÄN</t>
        </is>
      </c>
      <c r="E973" t="inlineStr">
        <is>
          <t>STRÖMSUND</t>
        </is>
      </c>
      <c r="G973" t="n">
        <v>13.7</v>
      </c>
      <c r="H973" t="n">
        <v>0</v>
      </c>
      <c r="I973" t="n">
        <v>0</v>
      </c>
      <c r="J973" t="n">
        <v>0</v>
      </c>
      <c r="K973" t="n">
        <v>0</v>
      </c>
      <c r="L973" t="n">
        <v>0</v>
      </c>
      <c r="M973" t="n">
        <v>0</v>
      </c>
      <c r="N973" t="n">
        <v>0</v>
      </c>
      <c r="O973" t="n">
        <v>0</v>
      </c>
      <c r="P973" t="n">
        <v>0</v>
      </c>
      <c r="Q973" t="n">
        <v>0</v>
      </c>
      <c r="R973" s="2" t="inlineStr"/>
    </row>
    <row r="974" ht="15" customHeight="1">
      <c r="A974" t="inlineStr">
        <is>
          <t>A 4004-2021</t>
        </is>
      </c>
      <c r="B974" s="1" t="n">
        <v>44222</v>
      </c>
      <c r="C974" s="1" t="n">
        <v>45734</v>
      </c>
      <c r="D974" t="inlineStr">
        <is>
          <t>JÄMTLANDS LÄN</t>
        </is>
      </c>
      <c r="E974" t="inlineStr">
        <is>
          <t>STRÖMSUND</t>
        </is>
      </c>
      <c r="F974" t="inlineStr">
        <is>
          <t>Kyrkan</t>
        </is>
      </c>
      <c r="G974" t="n">
        <v>5.9</v>
      </c>
      <c r="H974" t="n">
        <v>0</v>
      </c>
      <c r="I974" t="n">
        <v>0</v>
      </c>
      <c r="J974" t="n">
        <v>0</v>
      </c>
      <c r="K974" t="n">
        <v>0</v>
      </c>
      <c r="L974" t="n">
        <v>0</v>
      </c>
      <c r="M974" t="n">
        <v>0</v>
      </c>
      <c r="N974" t="n">
        <v>0</v>
      </c>
      <c r="O974" t="n">
        <v>0</v>
      </c>
      <c r="P974" t="n">
        <v>0</v>
      </c>
      <c r="Q974" t="n">
        <v>0</v>
      </c>
      <c r="R974" s="2" t="inlineStr"/>
    </row>
    <row r="975" ht="15" customHeight="1">
      <c r="A975" t="inlineStr">
        <is>
          <t>A 4135-2021</t>
        </is>
      </c>
      <c r="B975" s="1" t="n">
        <v>44223</v>
      </c>
      <c r="C975" s="1" t="n">
        <v>45734</v>
      </c>
      <c r="D975" t="inlineStr">
        <is>
          <t>JÄMTLANDS LÄN</t>
        </is>
      </c>
      <c r="E975" t="inlineStr">
        <is>
          <t>STRÖMSUND</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4662-2021</t>
        </is>
      </c>
      <c r="B976" s="1" t="n">
        <v>44224</v>
      </c>
      <c r="C976" s="1" t="n">
        <v>45734</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4661-2021</t>
        </is>
      </c>
      <c r="B977" s="1" t="n">
        <v>44224</v>
      </c>
      <c r="C977" s="1" t="n">
        <v>45734</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5034-2021</t>
        </is>
      </c>
      <c r="B978" s="1" t="n">
        <v>44228</v>
      </c>
      <c r="C978" s="1" t="n">
        <v>45734</v>
      </c>
      <c r="D978" t="inlineStr">
        <is>
          <t>JÄMTLANDS LÄN</t>
        </is>
      </c>
      <c r="E978" t="inlineStr">
        <is>
          <t>STRÖMSUND</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5384-2021</t>
        </is>
      </c>
      <c r="B979" s="1" t="n">
        <v>44228</v>
      </c>
      <c r="C979" s="1" t="n">
        <v>45734</v>
      </c>
      <c r="D979" t="inlineStr">
        <is>
          <t>JÄMTLANDS LÄN</t>
        </is>
      </c>
      <c r="E979" t="inlineStr">
        <is>
          <t>STRÖMSUND</t>
        </is>
      </c>
      <c r="G979" t="n">
        <v>18.3</v>
      </c>
      <c r="H979" t="n">
        <v>0</v>
      </c>
      <c r="I979" t="n">
        <v>0</v>
      </c>
      <c r="J979" t="n">
        <v>0</v>
      </c>
      <c r="K979" t="n">
        <v>0</v>
      </c>
      <c r="L979" t="n">
        <v>0</v>
      </c>
      <c r="M979" t="n">
        <v>0</v>
      </c>
      <c r="N979" t="n">
        <v>0</v>
      </c>
      <c r="O979" t="n">
        <v>0</v>
      </c>
      <c r="P979" t="n">
        <v>0</v>
      </c>
      <c r="Q979" t="n">
        <v>0</v>
      </c>
      <c r="R979" s="2" t="inlineStr"/>
    </row>
    <row r="980" ht="15" customHeight="1">
      <c r="A980" t="inlineStr">
        <is>
          <t>A 5464-2021</t>
        </is>
      </c>
      <c r="B980" s="1" t="n">
        <v>44229</v>
      </c>
      <c r="C980" s="1" t="n">
        <v>45734</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5470-2021</t>
        </is>
      </c>
      <c r="B981" s="1" t="n">
        <v>44229</v>
      </c>
      <c r="C981" s="1" t="n">
        <v>45734</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5795-2021</t>
        </is>
      </c>
      <c r="B982" s="1" t="n">
        <v>44230</v>
      </c>
      <c r="C982" s="1" t="n">
        <v>45734</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5794-2021</t>
        </is>
      </c>
      <c r="B983" s="1" t="n">
        <v>44230</v>
      </c>
      <c r="C983" s="1" t="n">
        <v>45734</v>
      </c>
      <c r="D983" t="inlineStr">
        <is>
          <t>JÄMTLANDS LÄN</t>
        </is>
      </c>
      <c r="E983" t="inlineStr">
        <is>
          <t>STRÖMSUND</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6386-2021</t>
        </is>
      </c>
      <c r="B984" s="1" t="n">
        <v>44232</v>
      </c>
      <c r="C984" s="1" t="n">
        <v>45734</v>
      </c>
      <c r="D984" t="inlineStr">
        <is>
          <t>JÄMTLANDS LÄN</t>
        </is>
      </c>
      <c r="E984" t="inlineStr">
        <is>
          <t>STRÖMSUND</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6394-2021</t>
        </is>
      </c>
      <c r="B985" s="1" t="n">
        <v>44232</v>
      </c>
      <c r="C985" s="1" t="n">
        <v>45734</v>
      </c>
      <c r="D985" t="inlineStr">
        <is>
          <t>JÄMTLANDS LÄN</t>
        </is>
      </c>
      <c r="E985" t="inlineStr">
        <is>
          <t>STRÖMSUND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6371-2021</t>
        </is>
      </c>
      <c r="B986" s="1" t="n">
        <v>44232</v>
      </c>
      <c r="C986" s="1" t="n">
        <v>45734</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7268-2021</t>
        </is>
      </c>
      <c r="B987" s="1" t="n">
        <v>44238</v>
      </c>
      <c r="C987" s="1" t="n">
        <v>45734</v>
      </c>
      <c r="D987" t="inlineStr">
        <is>
          <t>JÄMTLANDS LÄN</t>
        </is>
      </c>
      <c r="E987" t="inlineStr">
        <is>
          <t>STRÖMSUND</t>
        </is>
      </c>
      <c r="G987" t="n">
        <v>5.2</v>
      </c>
      <c r="H987" t="n">
        <v>0</v>
      </c>
      <c r="I987" t="n">
        <v>0</v>
      </c>
      <c r="J987" t="n">
        <v>0</v>
      </c>
      <c r="K987" t="n">
        <v>0</v>
      </c>
      <c r="L987" t="n">
        <v>0</v>
      </c>
      <c r="M987" t="n">
        <v>0</v>
      </c>
      <c r="N987" t="n">
        <v>0</v>
      </c>
      <c r="O987" t="n">
        <v>0</v>
      </c>
      <c r="P987" t="n">
        <v>0</v>
      </c>
      <c r="Q987" t="n">
        <v>0</v>
      </c>
      <c r="R987" s="2" t="inlineStr"/>
    </row>
    <row r="988" ht="15" customHeight="1">
      <c r="A988" t="inlineStr">
        <is>
          <t>A 7697-2021</t>
        </is>
      </c>
      <c r="B988" s="1" t="n">
        <v>44239</v>
      </c>
      <c r="C988" s="1" t="n">
        <v>45734</v>
      </c>
      <c r="D988" t="inlineStr">
        <is>
          <t>JÄMTLANDS LÄN</t>
        </is>
      </c>
      <c r="E988" t="inlineStr">
        <is>
          <t>STRÖMSUND</t>
        </is>
      </c>
      <c r="G988" t="n">
        <v>2.7</v>
      </c>
      <c r="H988" t="n">
        <v>0</v>
      </c>
      <c r="I988" t="n">
        <v>0</v>
      </c>
      <c r="J988" t="n">
        <v>0</v>
      </c>
      <c r="K988" t="n">
        <v>0</v>
      </c>
      <c r="L988" t="n">
        <v>0</v>
      </c>
      <c r="M988" t="n">
        <v>0</v>
      </c>
      <c r="N988" t="n">
        <v>0</v>
      </c>
      <c r="O988" t="n">
        <v>0</v>
      </c>
      <c r="P988" t="n">
        <v>0</v>
      </c>
      <c r="Q988" t="n">
        <v>0</v>
      </c>
      <c r="R988" s="2" t="inlineStr"/>
    </row>
    <row r="989" ht="15" customHeight="1">
      <c r="A989" t="inlineStr">
        <is>
          <t>A 8016-2021</t>
        </is>
      </c>
      <c r="B989" s="1" t="n">
        <v>44243</v>
      </c>
      <c r="C989" s="1" t="n">
        <v>45734</v>
      </c>
      <c r="D989" t="inlineStr">
        <is>
          <t>JÄMTLANDS LÄN</t>
        </is>
      </c>
      <c r="E989" t="inlineStr">
        <is>
          <t>STRÖMSUND</t>
        </is>
      </c>
      <c r="G989" t="n">
        <v>2.8</v>
      </c>
      <c r="H989" t="n">
        <v>0</v>
      </c>
      <c r="I989" t="n">
        <v>0</v>
      </c>
      <c r="J989" t="n">
        <v>0</v>
      </c>
      <c r="K989" t="n">
        <v>0</v>
      </c>
      <c r="L989" t="n">
        <v>0</v>
      </c>
      <c r="M989" t="n">
        <v>0</v>
      </c>
      <c r="N989" t="n">
        <v>0</v>
      </c>
      <c r="O989" t="n">
        <v>0</v>
      </c>
      <c r="P989" t="n">
        <v>0</v>
      </c>
      <c r="Q989" t="n">
        <v>0</v>
      </c>
      <c r="R989" s="2" t="inlineStr"/>
    </row>
    <row r="990" ht="15" customHeight="1">
      <c r="A990" t="inlineStr">
        <is>
          <t>A 8020-2021</t>
        </is>
      </c>
      <c r="B990" s="1" t="n">
        <v>44243</v>
      </c>
      <c r="C990" s="1" t="n">
        <v>45734</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8364-2021</t>
        </is>
      </c>
      <c r="B991" s="1" t="n">
        <v>44244</v>
      </c>
      <c r="C991" s="1" t="n">
        <v>45734</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8979-2021</t>
        </is>
      </c>
      <c r="B992" s="1" t="n">
        <v>44246</v>
      </c>
      <c r="C992" s="1" t="n">
        <v>45734</v>
      </c>
      <c r="D992" t="inlineStr">
        <is>
          <t>JÄMTLANDS LÄN</t>
        </is>
      </c>
      <c r="E992" t="inlineStr">
        <is>
          <t>STRÖMSUND</t>
        </is>
      </c>
      <c r="G992" t="n">
        <v>40.4</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45734</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45734</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45734</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45734</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45734</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45734</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45734</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45734</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45734</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45734</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45734</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15118-2021</t>
        </is>
      </c>
      <c r="B1004" s="1" t="n">
        <v>44282</v>
      </c>
      <c r="C1004" s="1" t="n">
        <v>45734</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15355-2021</t>
        </is>
      </c>
      <c r="B1005" s="1" t="n">
        <v>44284</v>
      </c>
      <c r="C1005" s="1" t="n">
        <v>45734</v>
      </c>
      <c r="D1005" t="inlineStr">
        <is>
          <t>JÄMTLANDS LÄN</t>
        </is>
      </c>
      <c r="E1005" t="inlineStr">
        <is>
          <t>STRÖMSUND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15360-2021</t>
        </is>
      </c>
      <c r="B1006" s="1" t="n">
        <v>44284</v>
      </c>
      <c r="C1006" s="1" t="n">
        <v>45734</v>
      </c>
      <c r="D1006" t="inlineStr">
        <is>
          <t>JÄMTLANDS LÄN</t>
        </is>
      </c>
      <c r="E1006" t="inlineStr">
        <is>
          <t>STRÖMSUND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15371-2021</t>
        </is>
      </c>
      <c r="B1007" s="1" t="n">
        <v>44284</v>
      </c>
      <c r="C1007" s="1" t="n">
        <v>45734</v>
      </c>
      <c r="D1007" t="inlineStr">
        <is>
          <t>JÄMTLANDS LÄN</t>
        </is>
      </c>
      <c r="E1007" t="inlineStr">
        <is>
          <t>STRÖMSUND</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15650-2021</t>
        </is>
      </c>
      <c r="B1008" s="1" t="n">
        <v>44285</v>
      </c>
      <c r="C1008" s="1" t="n">
        <v>45734</v>
      </c>
      <c r="D1008" t="inlineStr">
        <is>
          <t>JÄMTLANDS LÄN</t>
        </is>
      </c>
      <c r="E1008" t="inlineStr">
        <is>
          <t>STRÖMSUND</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16128-2021</t>
        </is>
      </c>
      <c r="B1009" s="1" t="n">
        <v>44291</v>
      </c>
      <c r="C1009" s="1" t="n">
        <v>45734</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16774-2021</t>
        </is>
      </c>
      <c r="B1010" s="1" t="n">
        <v>44294</v>
      </c>
      <c r="C1010" s="1" t="n">
        <v>45734</v>
      </c>
      <c r="D1010" t="inlineStr">
        <is>
          <t>JÄMTLANDS LÄN</t>
        </is>
      </c>
      <c r="E1010" t="inlineStr">
        <is>
          <t>STRÖMSUND</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17368-2021</t>
        </is>
      </c>
      <c r="B1011" s="1" t="n">
        <v>44299</v>
      </c>
      <c r="C1011" s="1" t="n">
        <v>45734</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17373-2021</t>
        </is>
      </c>
      <c r="B1012" s="1" t="n">
        <v>44299</v>
      </c>
      <c r="C1012" s="1" t="n">
        <v>45734</v>
      </c>
      <c r="D1012" t="inlineStr">
        <is>
          <t>JÄMTLANDS LÄN</t>
        </is>
      </c>
      <c r="E1012" t="inlineStr">
        <is>
          <t>STRÖMSUND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17808-2021</t>
        </is>
      </c>
      <c r="B1013" s="1" t="n">
        <v>44300</v>
      </c>
      <c r="C1013" s="1" t="n">
        <v>45734</v>
      </c>
      <c r="D1013" t="inlineStr">
        <is>
          <t>JÄMTLANDS LÄN</t>
        </is>
      </c>
      <c r="E1013" t="inlineStr">
        <is>
          <t>STRÖMSUND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17857-2021</t>
        </is>
      </c>
      <c r="B1014" s="1" t="n">
        <v>44300</v>
      </c>
      <c r="C1014" s="1" t="n">
        <v>45734</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17933-2021</t>
        </is>
      </c>
      <c r="B1015" s="1" t="n">
        <v>44301</v>
      </c>
      <c r="C1015" s="1" t="n">
        <v>45734</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18220-2021</t>
        </is>
      </c>
      <c r="B1016" s="1" t="n">
        <v>44302</v>
      </c>
      <c r="C1016" s="1" t="n">
        <v>45734</v>
      </c>
      <c r="D1016" t="inlineStr">
        <is>
          <t>JÄMTLANDS LÄN</t>
        </is>
      </c>
      <c r="E1016" t="inlineStr">
        <is>
          <t>STRÖMSUND</t>
        </is>
      </c>
      <c r="F1016" t="inlineStr">
        <is>
          <t>SCA</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45734</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20413-2021</t>
        </is>
      </c>
      <c r="B1018" s="1" t="n">
        <v>44312</v>
      </c>
      <c r="C1018" s="1" t="n">
        <v>45734</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19726-2021</t>
        </is>
      </c>
      <c r="B1019" s="1" t="n">
        <v>44312</v>
      </c>
      <c r="C1019" s="1" t="n">
        <v>45734</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19556-2021</t>
        </is>
      </c>
      <c r="B1020" s="1" t="n">
        <v>44312</v>
      </c>
      <c r="C1020" s="1" t="n">
        <v>45734</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19572-2021</t>
        </is>
      </c>
      <c r="B1021" s="1" t="n">
        <v>44312</v>
      </c>
      <c r="C1021" s="1" t="n">
        <v>45734</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19567-2021</t>
        </is>
      </c>
      <c r="B1022" s="1" t="n">
        <v>44312</v>
      </c>
      <c r="C1022" s="1" t="n">
        <v>45734</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20295-2021</t>
        </is>
      </c>
      <c r="B1023" s="1" t="n">
        <v>44314</v>
      </c>
      <c r="C1023" s="1" t="n">
        <v>45734</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21095-2021</t>
        </is>
      </c>
      <c r="B1024" s="1" t="n">
        <v>44319</v>
      </c>
      <c r="C1024" s="1" t="n">
        <v>45734</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21103-2021</t>
        </is>
      </c>
      <c r="B1025" s="1" t="n">
        <v>44320</v>
      </c>
      <c r="C1025" s="1" t="n">
        <v>45734</v>
      </c>
      <c r="D1025" t="inlineStr">
        <is>
          <t>JÄMTLANDS LÄN</t>
        </is>
      </c>
      <c r="E1025" t="inlineStr">
        <is>
          <t>STRÖMSUND</t>
        </is>
      </c>
      <c r="F1025" t="inlineStr">
        <is>
          <t>SCA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21097-2021</t>
        </is>
      </c>
      <c r="B1026" s="1" t="n">
        <v>44319</v>
      </c>
      <c r="C1026" s="1" t="n">
        <v>45734</v>
      </c>
      <c r="D1026" t="inlineStr">
        <is>
          <t>JÄMTLANDS LÄN</t>
        </is>
      </c>
      <c r="E1026" t="inlineStr">
        <is>
          <t>STRÖMSUND</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21093-2021</t>
        </is>
      </c>
      <c r="B1027" s="1" t="n">
        <v>44319</v>
      </c>
      <c r="C1027" s="1" t="n">
        <v>45734</v>
      </c>
      <c r="D1027" t="inlineStr">
        <is>
          <t>JÄMTLANDS LÄN</t>
        </is>
      </c>
      <c r="E1027" t="inlineStr">
        <is>
          <t>STRÖMSUND</t>
        </is>
      </c>
      <c r="F1027" t="inlineStr">
        <is>
          <t>SCA</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22318-2021</t>
        </is>
      </c>
      <c r="B1028" s="1" t="n">
        <v>44321</v>
      </c>
      <c r="C1028" s="1" t="n">
        <v>45734</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22527-2021</t>
        </is>
      </c>
      <c r="B1029" s="1" t="n">
        <v>44326</v>
      </c>
      <c r="C1029" s="1" t="n">
        <v>45734</v>
      </c>
      <c r="D1029" t="inlineStr">
        <is>
          <t>JÄMTLANDS LÄN</t>
        </is>
      </c>
      <c r="E1029" t="inlineStr">
        <is>
          <t>STRÖMSUND</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22632-2021</t>
        </is>
      </c>
      <c r="B1030" s="1" t="n">
        <v>44327</v>
      </c>
      <c r="C1030" s="1" t="n">
        <v>45734</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22783-2021</t>
        </is>
      </c>
      <c r="B1031" s="1" t="n">
        <v>44327</v>
      </c>
      <c r="C1031" s="1" t="n">
        <v>45734</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23103-2021</t>
        </is>
      </c>
      <c r="B1032" s="1" t="n">
        <v>44330</v>
      </c>
      <c r="C1032" s="1" t="n">
        <v>45734</v>
      </c>
      <c r="D1032" t="inlineStr">
        <is>
          <t>JÄMTLANDS LÄN</t>
        </is>
      </c>
      <c r="E1032" t="inlineStr">
        <is>
          <t>STRÖMSUND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23486-2021</t>
        </is>
      </c>
      <c r="B1033" s="1" t="n">
        <v>44333</v>
      </c>
      <c r="C1033" s="1" t="n">
        <v>45734</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23498-2021</t>
        </is>
      </c>
      <c r="B1034" s="1" t="n">
        <v>44334</v>
      </c>
      <c r="C1034" s="1" t="n">
        <v>45734</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23484-2021</t>
        </is>
      </c>
      <c r="B1035" s="1" t="n">
        <v>44334</v>
      </c>
      <c r="C1035" s="1" t="n">
        <v>45734</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23501-2021</t>
        </is>
      </c>
      <c r="B1036" s="1" t="n">
        <v>44333</v>
      </c>
      <c r="C1036" s="1" t="n">
        <v>45734</v>
      </c>
      <c r="D1036" t="inlineStr">
        <is>
          <t>JÄMTLANDS LÄN</t>
        </is>
      </c>
      <c r="E1036" t="inlineStr">
        <is>
          <t>STRÖMSUND</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24197-2021</t>
        </is>
      </c>
      <c r="B1037" s="1" t="n">
        <v>44336</v>
      </c>
      <c r="C1037" s="1" t="n">
        <v>45734</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24744-2021</t>
        </is>
      </c>
      <c r="B1038" s="1" t="n">
        <v>44340</v>
      </c>
      <c r="C1038" s="1" t="n">
        <v>45734</v>
      </c>
      <c r="D1038" t="inlineStr">
        <is>
          <t>JÄMTLANDS LÄN</t>
        </is>
      </c>
      <c r="E1038" t="inlineStr">
        <is>
          <t>STRÖMSUND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25510-2021</t>
        </is>
      </c>
      <c r="B1039" s="1" t="n">
        <v>44343</v>
      </c>
      <c r="C1039" s="1" t="n">
        <v>45734</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25888-2021</t>
        </is>
      </c>
      <c r="B1040" s="1" t="n">
        <v>44344</v>
      </c>
      <c r="C1040" s="1" t="n">
        <v>45734</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25963-2021</t>
        </is>
      </c>
      <c r="B1041" s="1" t="n">
        <v>44344</v>
      </c>
      <c r="C1041" s="1" t="n">
        <v>45734</v>
      </c>
      <c r="D1041" t="inlineStr">
        <is>
          <t>JÄMTLANDS LÄN</t>
        </is>
      </c>
      <c r="E1041" t="inlineStr">
        <is>
          <t>STRÖMSUND</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25960-2021</t>
        </is>
      </c>
      <c r="B1042" s="1" t="n">
        <v>44344</v>
      </c>
      <c r="C1042" s="1" t="n">
        <v>45734</v>
      </c>
      <c r="D1042" t="inlineStr">
        <is>
          <t>JÄMTLANDS LÄN</t>
        </is>
      </c>
      <c r="E1042" t="inlineStr">
        <is>
          <t>STRÖMSUND</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26101-2021</t>
        </is>
      </c>
      <c r="B1043" s="1" t="n">
        <v>44344</v>
      </c>
      <c r="C1043" s="1" t="n">
        <v>45734</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26104-2021</t>
        </is>
      </c>
      <c r="B1044" s="1" t="n">
        <v>44344</v>
      </c>
      <c r="C1044" s="1" t="n">
        <v>45734</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26127-2021</t>
        </is>
      </c>
      <c r="B1045" s="1" t="n">
        <v>44346</v>
      </c>
      <c r="C1045" s="1" t="n">
        <v>45734</v>
      </c>
      <c r="D1045" t="inlineStr">
        <is>
          <t>JÄMTLANDS LÄN</t>
        </is>
      </c>
      <c r="E1045" t="inlineStr">
        <is>
          <t>STRÖMSUND</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26131-2021</t>
        </is>
      </c>
      <c r="B1046" s="1" t="n">
        <v>44346</v>
      </c>
      <c r="C1046" s="1" t="n">
        <v>45734</v>
      </c>
      <c r="D1046" t="inlineStr">
        <is>
          <t>JÄMTLANDS LÄN</t>
        </is>
      </c>
      <c r="E1046" t="inlineStr">
        <is>
          <t>STRÖMSUND</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26142-2021</t>
        </is>
      </c>
      <c r="B1047" s="1" t="n">
        <v>44346</v>
      </c>
      <c r="C1047" s="1" t="n">
        <v>45734</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26660-2021</t>
        </is>
      </c>
      <c r="B1048" s="1" t="n">
        <v>44349</v>
      </c>
      <c r="C1048" s="1" t="n">
        <v>45734</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26961-2021</t>
        </is>
      </c>
      <c r="B1049" s="1" t="n">
        <v>44350</v>
      </c>
      <c r="C1049" s="1" t="n">
        <v>45734</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27148-2021</t>
        </is>
      </c>
      <c r="B1050" s="1" t="n">
        <v>44350</v>
      </c>
      <c r="C1050" s="1" t="n">
        <v>45734</v>
      </c>
      <c r="D1050" t="inlineStr">
        <is>
          <t>JÄMTLANDS LÄN</t>
        </is>
      </c>
      <c r="E1050" t="inlineStr">
        <is>
          <t>STRÖMSUND</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27160-2021</t>
        </is>
      </c>
      <c r="B1051" s="1" t="n">
        <v>44350</v>
      </c>
      <c r="C1051" s="1" t="n">
        <v>45734</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27231-2021</t>
        </is>
      </c>
      <c r="B1052" s="1" t="n">
        <v>44350</v>
      </c>
      <c r="C1052" s="1" t="n">
        <v>45734</v>
      </c>
      <c r="D1052" t="inlineStr">
        <is>
          <t>JÄMTLANDS LÄN</t>
        </is>
      </c>
      <c r="E1052" t="inlineStr">
        <is>
          <t>STRÖMSUND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27233-2021</t>
        </is>
      </c>
      <c r="B1053" s="1" t="n">
        <v>44350</v>
      </c>
      <c r="C1053" s="1" t="n">
        <v>45734</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27232-2021</t>
        </is>
      </c>
      <c r="B1054" s="1" t="n">
        <v>44350</v>
      </c>
      <c r="C1054" s="1" t="n">
        <v>45734</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27559-2021</t>
        </is>
      </c>
      <c r="B1055" s="1" t="n">
        <v>44352</v>
      </c>
      <c r="C1055" s="1" t="n">
        <v>45734</v>
      </c>
      <c r="D1055" t="inlineStr">
        <is>
          <t>JÄMTLANDS LÄN</t>
        </is>
      </c>
      <c r="E1055" t="inlineStr">
        <is>
          <t>STRÖMSUND</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27979-2021</t>
        </is>
      </c>
      <c r="B1056" s="1" t="n">
        <v>44354</v>
      </c>
      <c r="C1056" s="1" t="n">
        <v>45734</v>
      </c>
      <c r="D1056" t="inlineStr">
        <is>
          <t>JÄMTLANDS LÄN</t>
        </is>
      </c>
      <c r="E1056" t="inlineStr">
        <is>
          <t>STRÖMSUND</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27978-2021</t>
        </is>
      </c>
      <c r="B1057" s="1" t="n">
        <v>44354</v>
      </c>
      <c r="C1057" s="1" t="n">
        <v>45734</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27980-2021</t>
        </is>
      </c>
      <c r="B1058" s="1" t="n">
        <v>44354</v>
      </c>
      <c r="C1058" s="1" t="n">
        <v>45734</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29552-2021</t>
        </is>
      </c>
      <c r="B1059" s="1" t="n">
        <v>44361</v>
      </c>
      <c r="C1059" s="1" t="n">
        <v>45734</v>
      </c>
      <c r="D1059" t="inlineStr">
        <is>
          <t>JÄMTLANDS LÄN</t>
        </is>
      </c>
      <c r="E1059" t="inlineStr">
        <is>
          <t>STRÖMSUND</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29628-2021</t>
        </is>
      </c>
      <c r="B1060" s="1" t="n">
        <v>44361</v>
      </c>
      <c r="C1060" s="1" t="n">
        <v>45734</v>
      </c>
      <c r="D1060" t="inlineStr">
        <is>
          <t>JÄMTLANDS LÄN</t>
        </is>
      </c>
      <c r="E1060" t="inlineStr">
        <is>
          <t>STRÖMSUND</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29594-2021</t>
        </is>
      </c>
      <c r="B1061" s="1" t="n">
        <v>44361</v>
      </c>
      <c r="C1061" s="1" t="n">
        <v>45734</v>
      </c>
      <c r="D1061" t="inlineStr">
        <is>
          <t>JÄMTLANDS LÄN</t>
        </is>
      </c>
      <c r="E1061" t="inlineStr">
        <is>
          <t>STRÖMSUND</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29601-2021</t>
        </is>
      </c>
      <c r="B1062" s="1" t="n">
        <v>44362</v>
      </c>
      <c r="C1062" s="1" t="n">
        <v>45734</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29625-2021</t>
        </is>
      </c>
      <c r="B1063" s="1" t="n">
        <v>44362</v>
      </c>
      <c r="C1063" s="1" t="n">
        <v>45734</v>
      </c>
      <c r="D1063" t="inlineStr">
        <is>
          <t>JÄMTLANDS LÄN</t>
        </is>
      </c>
      <c r="E1063" t="inlineStr">
        <is>
          <t>STRÖMSUND</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29624-2021</t>
        </is>
      </c>
      <c r="B1064" s="1" t="n">
        <v>44362</v>
      </c>
      <c r="C1064" s="1" t="n">
        <v>45734</v>
      </c>
      <c r="D1064" t="inlineStr">
        <is>
          <t>JÄMTLANDS LÄN</t>
        </is>
      </c>
      <c r="E1064" t="inlineStr">
        <is>
          <t>STRÖMSUND</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29637-2021</t>
        </is>
      </c>
      <c r="B1065" s="1" t="n">
        <v>44362</v>
      </c>
      <c r="C1065" s="1" t="n">
        <v>45734</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29841-2021</t>
        </is>
      </c>
      <c r="B1066" s="1" t="n">
        <v>44362</v>
      </c>
      <c r="C1066" s="1" t="n">
        <v>45734</v>
      </c>
      <c r="D1066" t="inlineStr">
        <is>
          <t>JÄMTLANDS LÄN</t>
        </is>
      </c>
      <c r="E1066" t="inlineStr">
        <is>
          <t>STRÖMSUND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29903-2021</t>
        </is>
      </c>
      <c r="B1067" s="1" t="n">
        <v>44363</v>
      </c>
      <c r="C1067" s="1" t="n">
        <v>45734</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29916-2021</t>
        </is>
      </c>
      <c r="B1068" s="1" t="n">
        <v>44363</v>
      </c>
      <c r="C1068" s="1" t="n">
        <v>45734</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29905-2021</t>
        </is>
      </c>
      <c r="B1069" s="1" t="n">
        <v>44363</v>
      </c>
      <c r="C1069" s="1" t="n">
        <v>45734</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30580-2021</t>
        </is>
      </c>
      <c r="B1070" s="1" t="n">
        <v>44365</v>
      </c>
      <c r="C1070" s="1" t="n">
        <v>45734</v>
      </c>
      <c r="D1070" t="inlineStr">
        <is>
          <t>JÄMTLANDS LÄN</t>
        </is>
      </c>
      <c r="E1070" t="inlineStr">
        <is>
          <t>STRÖMSUND</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30985-2021</t>
        </is>
      </c>
      <c r="B1071" s="1" t="n">
        <v>44366</v>
      </c>
      <c r="C1071" s="1" t="n">
        <v>45734</v>
      </c>
      <c r="D1071" t="inlineStr">
        <is>
          <t>JÄMTLANDS LÄN</t>
        </is>
      </c>
      <c r="E1071" t="inlineStr">
        <is>
          <t>STRÖMSUND</t>
        </is>
      </c>
      <c r="F1071" t="inlineStr">
        <is>
          <t>SCA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31077-2021</t>
        </is>
      </c>
      <c r="B1072" s="1" t="n">
        <v>44365</v>
      </c>
      <c r="C1072" s="1" t="n">
        <v>45734</v>
      </c>
      <c r="D1072" t="inlineStr">
        <is>
          <t>JÄMTLANDS LÄN</t>
        </is>
      </c>
      <c r="E1072" t="inlineStr">
        <is>
          <t>STRÖMSUND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31089-2021</t>
        </is>
      </c>
      <c r="B1073" s="1" t="n">
        <v>44368</v>
      </c>
      <c r="C1073" s="1" t="n">
        <v>45734</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33787-2021</t>
        </is>
      </c>
      <c r="B1074" s="1" t="n">
        <v>44368</v>
      </c>
      <c r="C1074" s="1" t="n">
        <v>45734</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31739-2021</t>
        </is>
      </c>
      <c r="B1075" s="1" t="n">
        <v>44369</v>
      </c>
      <c r="C1075" s="1" t="n">
        <v>45734</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31740-2021</t>
        </is>
      </c>
      <c r="B1076" s="1" t="n">
        <v>44370</v>
      </c>
      <c r="C1076" s="1" t="n">
        <v>45734</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32359-2021</t>
        </is>
      </c>
      <c r="B1077" s="1" t="n">
        <v>44371</v>
      </c>
      <c r="C1077" s="1" t="n">
        <v>45734</v>
      </c>
      <c r="D1077" t="inlineStr">
        <is>
          <t>JÄMTLANDS LÄN</t>
        </is>
      </c>
      <c r="E1077" t="inlineStr">
        <is>
          <t>STRÖMSUND</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32259-2021</t>
        </is>
      </c>
      <c r="B1078" s="1" t="n">
        <v>44371</v>
      </c>
      <c r="C1078" s="1" t="n">
        <v>45734</v>
      </c>
      <c r="D1078" t="inlineStr">
        <is>
          <t>JÄMTLANDS LÄN</t>
        </is>
      </c>
      <c r="E1078" t="inlineStr">
        <is>
          <t>STRÖMSUND</t>
        </is>
      </c>
      <c r="F1078" t="inlineStr">
        <is>
          <t>SCA</t>
        </is>
      </c>
      <c r="G1078" t="n">
        <v>22.4</v>
      </c>
      <c r="H1078" t="n">
        <v>0</v>
      </c>
      <c r="I1078" t="n">
        <v>0</v>
      </c>
      <c r="J1078" t="n">
        <v>0</v>
      </c>
      <c r="K1078" t="n">
        <v>0</v>
      </c>
      <c r="L1078" t="n">
        <v>0</v>
      </c>
      <c r="M1078" t="n">
        <v>0</v>
      </c>
      <c r="N1078" t="n">
        <v>0</v>
      </c>
      <c r="O1078" t="n">
        <v>0</v>
      </c>
      <c r="P1078" t="n">
        <v>0</v>
      </c>
      <c r="Q1078" t="n">
        <v>0</v>
      </c>
      <c r="R1078" s="2" t="inlineStr"/>
    </row>
    <row r="1079" ht="15" customHeight="1">
      <c r="A1079" t="inlineStr">
        <is>
          <t>A 32460-2021</t>
        </is>
      </c>
      <c r="B1079" s="1" t="n">
        <v>44371</v>
      </c>
      <c r="C1079" s="1" t="n">
        <v>45734</v>
      </c>
      <c r="D1079" t="inlineStr">
        <is>
          <t>JÄMTLANDS LÄN</t>
        </is>
      </c>
      <c r="E1079" t="inlineStr">
        <is>
          <t>STRÖMSUND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32465-2021</t>
        </is>
      </c>
      <c r="B1080" s="1" t="n">
        <v>44371</v>
      </c>
      <c r="C1080" s="1" t="n">
        <v>45734</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32536-2021</t>
        </is>
      </c>
      <c r="B1081" s="1" t="n">
        <v>44374</v>
      </c>
      <c r="C1081" s="1" t="n">
        <v>45734</v>
      </c>
      <c r="D1081" t="inlineStr">
        <is>
          <t>JÄMTLANDS LÄN</t>
        </is>
      </c>
      <c r="E1081" t="inlineStr">
        <is>
          <t>STRÖMSUND</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32531-2021</t>
        </is>
      </c>
      <c r="B1082" s="1" t="n">
        <v>44375</v>
      </c>
      <c r="C1082" s="1" t="n">
        <v>45734</v>
      </c>
      <c r="D1082" t="inlineStr">
        <is>
          <t>JÄMTLANDS LÄN</t>
        </is>
      </c>
      <c r="E1082" t="inlineStr">
        <is>
          <t>STRÖMSUND</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32539-2021</t>
        </is>
      </c>
      <c r="B1083" s="1" t="n">
        <v>44375</v>
      </c>
      <c r="C1083" s="1" t="n">
        <v>45734</v>
      </c>
      <c r="D1083" t="inlineStr">
        <is>
          <t>JÄMTLANDS LÄN</t>
        </is>
      </c>
      <c r="E1083" t="inlineStr">
        <is>
          <t>STRÖMSUND</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32533-2021</t>
        </is>
      </c>
      <c r="B1084" s="1" t="n">
        <v>44375</v>
      </c>
      <c r="C1084" s="1" t="n">
        <v>45734</v>
      </c>
      <c r="D1084" t="inlineStr">
        <is>
          <t>JÄMTLANDS LÄN</t>
        </is>
      </c>
      <c r="E1084" t="inlineStr">
        <is>
          <t>STRÖMSUND</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32538-2021</t>
        </is>
      </c>
      <c r="B1085" s="1" t="n">
        <v>44374</v>
      </c>
      <c r="C1085" s="1" t="n">
        <v>45734</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45734</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33223-2021</t>
        </is>
      </c>
      <c r="B1087" s="1" t="n">
        <v>44377</v>
      </c>
      <c r="C1087" s="1" t="n">
        <v>45734</v>
      </c>
      <c r="D1087" t="inlineStr">
        <is>
          <t>JÄMTLANDS LÄN</t>
        </is>
      </c>
      <c r="E1087" t="inlineStr">
        <is>
          <t>STRÖMSUND</t>
        </is>
      </c>
      <c r="F1087" t="inlineStr">
        <is>
          <t>SCA</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33225-2021</t>
        </is>
      </c>
      <c r="B1088" s="1" t="n">
        <v>44376</v>
      </c>
      <c r="C1088" s="1" t="n">
        <v>45734</v>
      </c>
      <c r="D1088" t="inlineStr">
        <is>
          <t>JÄMTLANDS LÄN</t>
        </is>
      </c>
      <c r="E1088" t="inlineStr">
        <is>
          <t>STRÖMSUND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33216-2021</t>
        </is>
      </c>
      <c r="B1089" s="1" t="n">
        <v>44376</v>
      </c>
      <c r="C1089" s="1" t="n">
        <v>45734</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33549-2021</t>
        </is>
      </c>
      <c r="B1090" s="1" t="n">
        <v>44377</v>
      </c>
      <c r="C1090" s="1" t="n">
        <v>45734</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33562-2021</t>
        </is>
      </c>
      <c r="B1091" s="1" t="n">
        <v>44377</v>
      </c>
      <c r="C1091" s="1" t="n">
        <v>45734</v>
      </c>
      <c r="D1091" t="inlineStr">
        <is>
          <t>JÄMTLANDS LÄN</t>
        </is>
      </c>
      <c r="E1091" t="inlineStr">
        <is>
          <t>STRÖMSUND</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33554-2021</t>
        </is>
      </c>
      <c r="B1092" s="1" t="n">
        <v>44377</v>
      </c>
      <c r="C1092" s="1" t="n">
        <v>45734</v>
      </c>
      <c r="D1092" t="inlineStr">
        <is>
          <t>JÄMTLANDS LÄN</t>
        </is>
      </c>
      <c r="E1092" t="inlineStr">
        <is>
          <t>STRÖMSUND</t>
        </is>
      </c>
      <c r="F1092" t="inlineStr">
        <is>
          <t>SCA</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35061-2021</t>
        </is>
      </c>
      <c r="B1093" s="1" t="n">
        <v>44383</v>
      </c>
      <c r="C1093" s="1" t="n">
        <v>45734</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35044-2021</t>
        </is>
      </c>
      <c r="B1094" s="1" t="n">
        <v>44384</v>
      </c>
      <c r="C1094" s="1" t="n">
        <v>45734</v>
      </c>
      <c r="D1094" t="inlineStr">
        <is>
          <t>JÄMTLANDS LÄN</t>
        </is>
      </c>
      <c r="E1094" t="inlineStr">
        <is>
          <t>STRÖMSUND</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35064-2021</t>
        </is>
      </c>
      <c r="B1095" s="1" t="n">
        <v>44383</v>
      </c>
      <c r="C1095" s="1" t="n">
        <v>45734</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35342-2021</t>
        </is>
      </c>
      <c r="B1096" s="1" t="n">
        <v>44385</v>
      </c>
      <c r="C1096" s="1" t="n">
        <v>45734</v>
      </c>
      <c r="D1096" t="inlineStr">
        <is>
          <t>JÄMTLANDS LÄN</t>
        </is>
      </c>
      <c r="E1096" t="inlineStr">
        <is>
          <t>STRÖMSUND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35352-2021</t>
        </is>
      </c>
      <c r="B1097" s="1" t="n">
        <v>44384</v>
      </c>
      <c r="C1097" s="1" t="n">
        <v>45734</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35565-2021</t>
        </is>
      </c>
      <c r="B1098" s="1" t="n">
        <v>44386</v>
      </c>
      <c r="C1098" s="1" t="n">
        <v>45734</v>
      </c>
      <c r="D1098" t="inlineStr">
        <is>
          <t>JÄMTLANDS LÄN</t>
        </is>
      </c>
      <c r="E1098" t="inlineStr">
        <is>
          <t>STRÖMSUND</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35522-2021</t>
        </is>
      </c>
      <c r="B1099" s="1" t="n">
        <v>44385</v>
      </c>
      <c r="C1099" s="1" t="n">
        <v>45734</v>
      </c>
      <c r="D1099" t="inlineStr">
        <is>
          <t>JÄMTLANDS LÄN</t>
        </is>
      </c>
      <c r="E1099" t="inlineStr">
        <is>
          <t>STRÖMSUND</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35916-2021</t>
        </is>
      </c>
      <c r="B1100" s="1" t="n">
        <v>44388</v>
      </c>
      <c r="C1100" s="1" t="n">
        <v>45734</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35915-2021</t>
        </is>
      </c>
      <c r="B1101" s="1" t="n">
        <v>44388</v>
      </c>
      <c r="C1101" s="1" t="n">
        <v>45734</v>
      </c>
      <c r="D1101" t="inlineStr">
        <is>
          <t>JÄMTLANDS LÄN</t>
        </is>
      </c>
      <c r="E1101" t="inlineStr">
        <is>
          <t>STRÖMSUND</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35914-2021</t>
        </is>
      </c>
      <c r="B1102" s="1" t="n">
        <v>44388</v>
      </c>
      <c r="C1102" s="1" t="n">
        <v>45734</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35918-2021</t>
        </is>
      </c>
      <c r="B1103" s="1" t="n">
        <v>44388</v>
      </c>
      <c r="C1103" s="1" t="n">
        <v>45734</v>
      </c>
      <c r="D1103" t="inlineStr">
        <is>
          <t>JÄMTLANDS LÄN</t>
        </is>
      </c>
      <c r="E1103" t="inlineStr">
        <is>
          <t>STRÖMSUND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36176-2021</t>
        </is>
      </c>
      <c r="B1104" s="1" t="n">
        <v>44389</v>
      </c>
      <c r="C1104" s="1" t="n">
        <v>45734</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36453-2021</t>
        </is>
      </c>
      <c r="B1105" s="1" t="n">
        <v>44391</v>
      </c>
      <c r="C1105" s="1" t="n">
        <v>45734</v>
      </c>
      <c r="D1105" t="inlineStr">
        <is>
          <t>JÄMTLANDS LÄN</t>
        </is>
      </c>
      <c r="E1105" t="inlineStr">
        <is>
          <t>STRÖMSUND</t>
        </is>
      </c>
      <c r="F1105" t="inlineStr">
        <is>
          <t>SCA</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36706-2021</t>
        </is>
      </c>
      <c r="B1106" s="1" t="n">
        <v>44392</v>
      </c>
      <c r="C1106" s="1" t="n">
        <v>45734</v>
      </c>
      <c r="D1106" t="inlineStr">
        <is>
          <t>JÄMTLANDS LÄN</t>
        </is>
      </c>
      <c r="E1106" t="inlineStr">
        <is>
          <t>STRÖMSUND</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37047-2021</t>
        </is>
      </c>
      <c r="B1107" s="1" t="n">
        <v>44393</v>
      </c>
      <c r="C1107" s="1" t="n">
        <v>45734</v>
      </c>
      <c r="D1107" t="inlineStr">
        <is>
          <t>JÄMTLANDS LÄN</t>
        </is>
      </c>
      <c r="E1107" t="inlineStr">
        <is>
          <t>STRÖMSUND</t>
        </is>
      </c>
      <c r="F1107" t="inlineStr">
        <is>
          <t>SCA</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37229-2021</t>
        </is>
      </c>
      <c r="B1108" s="1" t="n">
        <v>44397</v>
      </c>
      <c r="C1108" s="1" t="n">
        <v>45734</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37373-2021</t>
        </is>
      </c>
      <c r="B1109" s="1" t="n">
        <v>44398</v>
      </c>
      <c r="C1109" s="1" t="n">
        <v>45734</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37370-2021</t>
        </is>
      </c>
      <c r="B1110" s="1" t="n">
        <v>44397</v>
      </c>
      <c r="C1110" s="1" t="n">
        <v>45734</v>
      </c>
      <c r="D1110" t="inlineStr">
        <is>
          <t>JÄMTLANDS LÄN</t>
        </is>
      </c>
      <c r="E1110" t="inlineStr">
        <is>
          <t>STRÖMSUND</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37371-2021</t>
        </is>
      </c>
      <c r="B1111" s="1" t="n">
        <v>44398</v>
      </c>
      <c r="C1111" s="1" t="n">
        <v>45734</v>
      </c>
      <c r="D1111" t="inlineStr">
        <is>
          <t>JÄMTLANDS LÄN</t>
        </is>
      </c>
      <c r="E1111" t="inlineStr">
        <is>
          <t>STRÖMSUND</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38219-2021</t>
        </is>
      </c>
      <c r="B1112" s="1" t="n">
        <v>44405</v>
      </c>
      <c r="C1112" s="1" t="n">
        <v>45734</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38583-2021</t>
        </is>
      </c>
      <c r="B1113" s="1" t="n">
        <v>44408</v>
      </c>
      <c r="C1113" s="1" t="n">
        <v>45734</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38578-2021</t>
        </is>
      </c>
      <c r="B1114" s="1" t="n">
        <v>44407</v>
      </c>
      <c r="C1114" s="1" t="n">
        <v>45734</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38587-2021</t>
        </is>
      </c>
      <c r="B1115" s="1" t="n">
        <v>44408</v>
      </c>
      <c r="C1115" s="1" t="n">
        <v>45734</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38586-2021</t>
        </is>
      </c>
      <c r="B1116" s="1" t="n">
        <v>44407</v>
      </c>
      <c r="C1116" s="1" t="n">
        <v>45734</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c r="U1116">
        <f>HYPERLINK("https://klasma.github.io/Logging_2313/knärot/A 38586-2021 karta knärot.png", "A 38586-2021")</f>
        <v/>
      </c>
      <c r="V1116">
        <f>HYPERLINK("https://klasma.github.io/Logging_2313/klagomål/A 38586-2021 FSC-klagomål.docx", "A 38586-2021")</f>
        <v/>
      </c>
      <c r="W1116">
        <f>HYPERLINK("https://klasma.github.io/Logging_2313/klagomålsmail/A 38586-2021 FSC-klagomål mail.docx", "A 38586-2021")</f>
        <v/>
      </c>
      <c r="X1116">
        <f>HYPERLINK("https://klasma.github.io/Logging_2313/tillsyn/A 38586-2021 tillsynsbegäran.docx", "A 38586-2021")</f>
        <v/>
      </c>
      <c r="Y1116">
        <f>HYPERLINK("https://klasma.github.io/Logging_2313/tillsynsmail/A 38586-2021 tillsynsbegäran mail.docx", "A 38586-2021")</f>
        <v/>
      </c>
    </row>
    <row r="1117" ht="15" customHeight="1">
      <c r="A1117" t="inlineStr">
        <is>
          <t>A 38629-2021</t>
        </is>
      </c>
      <c r="B1117" s="1" t="n">
        <v>44410</v>
      </c>
      <c r="C1117" s="1" t="n">
        <v>45734</v>
      </c>
      <c r="D1117" t="inlineStr">
        <is>
          <t>JÄMTLANDS LÄN</t>
        </is>
      </c>
      <c r="E1117" t="inlineStr">
        <is>
          <t>STRÖMSUND</t>
        </is>
      </c>
      <c r="F1117" t="inlineStr">
        <is>
          <t>SCA</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38763-2021</t>
        </is>
      </c>
      <c r="B1118" s="1" t="n">
        <v>44410</v>
      </c>
      <c r="C1118" s="1" t="n">
        <v>45734</v>
      </c>
      <c r="D1118" t="inlineStr">
        <is>
          <t>JÄMTLANDS LÄN</t>
        </is>
      </c>
      <c r="E1118" t="inlineStr">
        <is>
          <t>STRÖMSUND</t>
        </is>
      </c>
      <c r="F1118" t="inlineStr">
        <is>
          <t>Kyrkan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38786-2021</t>
        </is>
      </c>
      <c r="B1119" s="1" t="n">
        <v>44410</v>
      </c>
      <c r="C1119" s="1" t="n">
        <v>45734</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39331-2021</t>
        </is>
      </c>
      <c r="B1120" s="1" t="n">
        <v>44414</v>
      </c>
      <c r="C1120" s="1" t="n">
        <v>45734</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39332-2021</t>
        </is>
      </c>
      <c r="B1121" s="1" t="n">
        <v>44413</v>
      </c>
      <c r="C1121" s="1" t="n">
        <v>45734</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39511-2021</t>
        </is>
      </c>
      <c r="B1122" s="1" t="n">
        <v>44414</v>
      </c>
      <c r="C1122" s="1" t="n">
        <v>45734</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39510-2021</t>
        </is>
      </c>
      <c r="B1123" s="1" t="n">
        <v>44414</v>
      </c>
      <c r="C1123" s="1" t="n">
        <v>45734</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39945-2021</t>
        </is>
      </c>
      <c r="B1124" s="1" t="n">
        <v>44417</v>
      </c>
      <c r="C1124" s="1" t="n">
        <v>45734</v>
      </c>
      <c r="D1124" t="inlineStr">
        <is>
          <t>JÄMTLANDS LÄN</t>
        </is>
      </c>
      <c r="E1124" t="inlineStr">
        <is>
          <t>STRÖMSUND</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39944-2021</t>
        </is>
      </c>
      <c r="B1125" s="1" t="n">
        <v>44417</v>
      </c>
      <c r="C1125" s="1" t="n">
        <v>45734</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40354-2021</t>
        </is>
      </c>
      <c r="B1126" s="1" t="n">
        <v>44419</v>
      </c>
      <c r="C1126" s="1" t="n">
        <v>45734</v>
      </c>
      <c r="D1126" t="inlineStr">
        <is>
          <t>JÄMTLANDS LÄN</t>
        </is>
      </c>
      <c r="E1126" t="inlineStr">
        <is>
          <t>STRÖMSUND</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40657-2021</t>
        </is>
      </c>
      <c r="B1127" s="1" t="n">
        <v>44420</v>
      </c>
      <c r="C1127" s="1" t="n">
        <v>45734</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40827-2021</t>
        </is>
      </c>
      <c r="B1128" s="1" t="n">
        <v>44421</v>
      </c>
      <c r="C1128" s="1" t="n">
        <v>45734</v>
      </c>
      <c r="D1128" t="inlineStr">
        <is>
          <t>JÄMTLANDS LÄN</t>
        </is>
      </c>
      <c r="E1128" t="inlineStr">
        <is>
          <t>STRÖMSUND</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40857-2021</t>
        </is>
      </c>
      <c r="B1129" s="1" t="n">
        <v>44421</v>
      </c>
      <c r="C1129" s="1" t="n">
        <v>45734</v>
      </c>
      <c r="D1129" t="inlineStr">
        <is>
          <t>JÄMTLANDS LÄN</t>
        </is>
      </c>
      <c r="E1129" t="inlineStr">
        <is>
          <t>STRÖMSUND</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40806-2021</t>
        </is>
      </c>
      <c r="B1130" s="1" t="n">
        <v>44421</v>
      </c>
      <c r="C1130" s="1" t="n">
        <v>45734</v>
      </c>
      <c r="D1130" t="inlineStr">
        <is>
          <t>JÄMTLANDS LÄN</t>
        </is>
      </c>
      <c r="E1130" t="inlineStr">
        <is>
          <t>STRÖMSUND</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41059-2021</t>
        </is>
      </c>
      <c r="B1131" s="1" t="n">
        <v>44422</v>
      </c>
      <c r="C1131" s="1" t="n">
        <v>45734</v>
      </c>
      <c r="D1131" t="inlineStr">
        <is>
          <t>JÄMTLANDS LÄN</t>
        </is>
      </c>
      <c r="E1131" t="inlineStr">
        <is>
          <t>STRÖMSUND</t>
        </is>
      </c>
      <c r="F1131" t="inlineStr">
        <is>
          <t>SCA</t>
        </is>
      </c>
      <c r="G1131" t="n">
        <v>17.6</v>
      </c>
      <c r="H1131" t="n">
        <v>0</v>
      </c>
      <c r="I1131" t="n">
        <v>0</v>
      </c>
      <c r="J1131" t="n">
        <v>0</v>
      </c>
      <c r="K1131" t="n">
        <v>0</v>
      </c>
      <c r="L1131" t="n">
        <v>0</v>
      </c>
      <c r="M1131" t="n">
        <v>0</v>
      </c>
      <c r="N1131" t="n">
        <v>0</v>
      </c>
      <c r="O1131" t="n">
        <v>0</v>
      </c>
      <c r="P1131" t="n">
        <v>0</v>
      </c>
      <c r="Q1131" t="n">
        <v>0</v>
      </c>
      <c r="R1131" s="2" t="inlineStr"/>
    </row>
    <row r="1132" ht="15" customHeight="1">
      <c r="A1132" t="inlineStr">
        <is>
          <t>A 41491-2021</t>
        </is>
      </c>
      <c r="B1132" s="1" t="n">
        <v>44424</v>
      </c>
      <c r="C1132" s="1" t="n">
        <v>45734</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41490-2021</t>
        </is>
      </c>
      <c r="B1133" s="1" t="n">
        <v>44425</v>
      </c>
      <c r="C1133" s="1" t="n">
        <v>45734</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41639-2021</t>
        </is>
      </c>
      <c r="B1134" s="1" t="n">
        <v>44425</v>
      </c>
      <c r="C1134" s="1" t="n">
        <v>45734</v>
      </c>
      <c r="D1134" t="inlineStr">
        <is>
          <t>JÄMTLANDS LÄN</t>
        </is>
      </c>
      <c r="E1134" t="inlineStr">
        <is>
          <t>STRÖMSUND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42247-2021</t>
        </is>
      </c>
      <c r="B1135" s="1" t="n">
        <v>44426</v>
      </c>
      <c r="C1135" s="1" t="n">
        <v>45734</v>
      </c>
      <c r="D1135" t="inlineStr">
        <is>
          <t>JÄMTLANDS LÄN</t>
        </is>
      </c>
      <c r="E1135" t="inlineStr">
        <is>
          <t>STRÖMSUND</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42549-2021</t>
        </is>
      </c>
      <c r="B1136" s="1" t="n">
        <v>44427</v>
      </c>
      <c r="C1136" s="1" t="n">
        <v>45734</v>
      </c>
      <c r="D1136" t="inlineStr">
        <is>
          <t>JÄMTLANDS LÄN</t>
        </is>
      </c>
      <c r="E1136" t="inlineStr">
        <is>
          <t>STRÖMSUND</t>
        </is>
      </c>
      <c r="F1136" t="inlineStr">
        <is>
          <t>SCA</t>
        </is>
      </c>
      <c r="G1136" t="n">
        <v>10.7</v>
      </c>
      <c r="H1136" t="n">
        <v>0</v>
      </c>
      <c r="I1136" t="n">
        <v>0</v>
      </c>
      <c r="J1136" t="n">
        <v>0</v>
      </c>
      <c r="K1136" t="n">
        <v>0</v>
      </c>
      <c r="L1136" t="n">
        <v>0</v>
      </c>
      <c r="M1136" t="n">
        <v>0</v>
      </c>
      <c r="N1136" t="n">
        <v>0</v>
      </c>
      <c r="O1136" t="n">
        <v>0</v>
      </c>
      <c r="P1136" t="n">
        <v>0</v>
      </c>
      <c r="Q1136" t="n">
        <v>0</v>
      </c>
      <c r="R1136" s="2" t="inlineStr"/>
    </row>
    <row r="1137" ht="15" customHeight="1">
      <c r="A1137" t="inlineStr">
        <is>
          <t>A 42545-2021</t>
        </is>
      </c>
      <c r="B1137" s="1" t="n">
        <v>44428</v>
      </c>
      <c r="C1137" s="1" t="n">
        <v>45734</v>
      </c>
      <c r="D1137" t="inlineStr">
        <is>
          <t>JÄMTLANDS LÄN</t>
        </is>
      </c>
      <c r="E1137" t="inlineStr">
        <is>
          <t>STRÖMSUND</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42551-2021</t>
        </is>
      </c>
      <c r="B1138" s="1" t="n">
        <v>44427</v>
      </c>
      <c r="C1138" s="1" t="n">
        <v>45734</v>
      </c>
      <c r="D1138" t="inlineStr">
        <is>
          <t>JÄMTLANDS LÄN</t>
        </is>
      </c>
      <c r="E1138" t="inlineStr">
        <is>
          <t>STRÖMSUND</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42794-2021</t>
        </is>
      </c>
      <c r="B1139" s="1" t="n">
        <v>44429</v>
      </c>
      <c r="C1139" s="1" t="n">
        <v>45734</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43072-2021</t>
        </is>
      </c>
      <c r="B1140" s="1" t="n">
        <v>44431</v>
      </c>
      <c r="C1140" s="1" t="n">
        <v>45734</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43839-2021</t>
        </is>
      </c>
      <c r="B1141" s="1" t="n">
        <v>44434</v>
      </c>
      <c r="C1141" s="1" t="n">
        <v>45734</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43754-2021</t>
        </is>
      </c>
      <c r="B1142" s="1" t="n">
        <v>44433</v>
      </c>
      <c r="C1142" s="1" t="n">
        <v>45734</v>
      </c>
      <c r="D1142" t="inlineStr">
        <is>
          <t>JÄMTLANDS LÄN</t>
        </is>
      </c>
      <c r="E1142" t="inlineStr">
        <is>
          <t>STRÖMSUND</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43752-2021</t>
        </is>
      </c>
      <c r="B1143" s="1" t="n">
        <v>44433</v>
      </c>
      <c r="C1143" s="1" t="n">
        <v>45734</v>
      </c>
      <c r="D1143" t="inlineStr">
        <is>
          <t>JÄMTLANDS LÄN</t>
        </is>
      </c>
      <c r="E1143" t="inlineStr">
        <is>
          <t>STRÖMSUND</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43842-2021</t>
        </is>
      </c>
      <c r="B1144" s="1" t="n">
        <v>44433</v>
      </c>
      <c r="C1144" s="1" t="n">
        <v>45734</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43846-2021</t>
        </is>
      </c>
      <c r="B1145" s="1" t="n">
        <v>44434</v>
      </c>
      <c r="C1145" s="1" t="n">
        <v>45734</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43844-2021</t>
        </is>
      </c>
      <c r="B1146" s="1" t="n">
        <v>44433</v>
      </c>
      <c r="C1146" s="1" t="n">
        <v>45734</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44025-2021</t>
        </is>
      </c>
      <c r="B1147" s="1" t="n">
        <v>44434</v>
      </c>
      <c r="C1147" s="1" t="n">
        <v>45734</v>
      </c>
      <c r="D1147" t="inlineStr">
        <is>
          <t>JÄMTLANDS LÄN</t>
        </is>
      </c>
      <c r="E1147" t="inlineStr">
        <is>
          <t>STRÖMSUND</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44104-2021</t>
        </is>
      </c>
      <c r="B1148" s="1" t="n">
        <v>44434</v>
      </c>
      <c r="C1148" s="1" t="n">
        <v>45734</v>
      </c>
      <c r="D1148" t="inlineStr">
        <is>
          <t>JÄMTLANDS LÄN</t>
        </is>
      </c>
      <c r="E1148" t="inlineStr">
        <is>
          <t>STRÖMSUND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44229-2021</t>
        </is>
      </c>
      <c r="B1149" s="1" t="n">
        <v>44434</v>
      </c>
      <c r="C1149" s="1" t="n">
        <v>45734</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44410-2021</t>
        </is>
      </c>
      <c r="B1150" s="1" t="n">
        <v>44435</v>
      </c>
      <c r="C1150" s="1" t="n">
        <v>45734</v>
      </c>
      <c r="D1150" t="inlineStr">
        <is>
          <t>JÄMTLANDS LÄN</t>
        </is>
      </c>
      <c r="E1150" t="inlineStr">
        <is>
          <t>STRÖMSUND</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44436-2021</t>
        </is>
      </c>
      <c r="B1151" s="1" t="n">
        <v>44435</v>
      </c>
      <c r="C1151" s="1" t="n">
        <v>45734</v>
      </c>
      <c r="D1151" t="inlineStr">
        <is>
          <t>JÄMTLANDS LÄN</t>
        </is>
      </c>
      <c r="E1151" t="inlineStr">
        <is>
          <t>STRÖMSUND</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44602-2021</t>
        </is>
      </c>
      <c r="B1152" s="1" t="n">
        <v>44436</v>
      </c>
      <c r="C1152" s="1" t="n">
        <v>45734</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44600-2021</t>
        </is>
      </c>
      <c r="B1153" s="1" t="n">
        <v>44436</v>
      </c>
      <c r="C1153" s="1" t="n">
        <v>45734</v>
      </c>
      <c r="D1153" t="inlineStr">
        <is>
          <t>JÄMTLANDS LÄN</t>
        </is>
      </c>
      <c r="E1153" t="inlineStr">
        <is>
          <t>STRÖMSUND</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44605-2021</t>
        </is>
      </c>
      <c r="B1154" s="1" t="n">
        <v>44436</v>
      </c>
      <c r="C1154" s="1" t="n">
        <v>45734</v>
      </c>
      <c r="D1154" t="inlineStr">
        <is>
          <t>JÄMTLANDS LÄN</t>
        </is>
      </c>
      <c r="E1154" t="inlineStr">
        <is>
          <t>STRÖMSUND</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44606-2021</t>
        </is>
      </c>
      <c r="B1155" s="1" t="n">
        <v>44436</v>
      </c>
      <c r="C1155" s="1" t="n">
        <v>45734</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45011-2021</t>
        </is>
      </c>
      <c r="B1156" s="1" t="n">
        <v>44439</v>
      </c>
      <c r="C1156" s="1" t="n">
        <v>45734</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45230-2021</t>
        </is>
      </c>
      <c r="B1157" s="1" t="n">
        <v>44439</v>
      </c>
      <c r="C1157" s="1" t="n">
        <v>45734</v>
      </c>
      <c r="D1157" t="inlineStr">
        <is>
          <t>JÄMTLANDS LÄN</t>
        </is>
      </c>
      <c r="E1157" t="inlineStr">
        <is>
          <t>STRÖMSUND</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45351-2021</t>
        </is>
      </c>
      <c r="B1158" s="1" t="n">
        <v>44440</v>
      </c>
      <c r="C1158" s="1" t="n">
        <v>45734</v>
      </c>
      <c r="D1158" t="inlineStr">
        <is>
          <t>JÄMTLANDS LÄN</t>
        </is>
      </c>
      <c r="E1158" t="inlineStr">
        <is>
          <t>STRÖMSUND</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45333-2021</t>
        </is>
      </c>
      <c r="B1159" s="1" t="n">
        <v>44439</v>
      </c>
      <c r="C1159" s="1" t="n">
        <v>45734</v>
      </c>
      <c r="D1159" t="inlineStr">
        <is>
          <t>JÄMTLANDS LÄN</t>
        </is>
      </c>
      <c r="E1159" t="inlineStr">
        <is>
          <t>STRÖMSUND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45340-2021</t>
        </is>
      </c>
      <c r="B1160" s="1" t="n">
        <v>44440</v>
      </c>
      <c r="C1160" s="1" t="n">
        <v>45734</v>
      </c>
      <c r="D1160" t="inlineStr">
        <is>
          <t>JÄMTLANDS LÄN</t>
        </is>
      </c>
      <c r="E1160" t="inlineStr">
        <is>
          <t>STRÖMSUND</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45622-2021</t>
        </is>
      </c>
      <c r="B1161" s="1" t="n">
        <v>44441</v>
      </c>
      <c r="C1161" s="1" t="n">
        <v>45734</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45640-2021</t>
        </is>
      </c>
      <c r="B1162" s="1" t="n">
        <v>44440</v>
      </c>
      <c r="C1162" s="1" t="n">
        <v>45734</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45628-2021</t>
        </is>
      </c>
      <c r="B1163" s="1" t="n">
        <v>44441</v>
      </c>
      <c r="C1163" s="1" t="n">
        <v>45734</v>
      </c>
      <c r="D1163" t="inlineStr">
        <is>
          <t>JÄMTLANDS LÄN</t>
        </is>
      </c>
      <c r="E1163" t="inlineStr">
        <is>
          <t>STRÖMSUND</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45635-2021</t>
        </is>
      </c>
      <c r="B1164" s="1" t="n">
        <v>44440</v>
      </c>
      <c r="C1164" s="1" t="n">
        <v>45734</v>
      </c>
      <c r="D1164" t="inlineStr">
        <is>
          <t>JÄMTLANDS LÄN</t>
        </is>
      </c>
      <c r="E1164" t="inlineStr">
        <is>
          <t>STRÖMSUND</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45641-2021</t>
        </is>
      </c>
      <c r="B1165" s="1" t="n">
        <v>44440</v>
      </c>
      <c r="C1165" s="1" t="n">
        <v>45734</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45630-2021</t>
        </is>
      </c>
      <c r="B1166" s="1" t="n">
        <v>44440</v>
      </c>
      <c r="C1166" s="1" t="n">
        <v>45734</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45638-2021</t>
        </is>
      </c>
      <c r="B1167" s="1" t="n">
        <v>44440</v>
      </c>
      <c r="C1167" s="1" t="n">
        <v>45734</v>
      </c>
      <c r="D1167" t="inlineStr">
        <is>
          <t>JÄMTLANDS LÄN</t>
        </is>
      </c>
      <c r="E1167" t="inlineStr">
        <is>
          <t>STRÖMSUND</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45627-2021</t>
        </is>
      </c>
      <c r="B1168" s="1" t="n">
        <v>44441</v>
      </c>
      <c r="C1168" s="1" t="n">
        <v>45734</v>
      </c>
      <c r="D1168" t="inlineStr">
        <is>
          <t>JÄMTLANDS LÄN</t>
        </is>
      </c>
      <c r="E1168" t="inlineStr">
        <is>
          <t>STRÖMSUND</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45626-2021</t>
        </is>
      </c>
      <c r="B1169" s="1" t="n">
        <v>44441</v>
      </c>
      <c r="C1169" s="1" t="n">
        <v>45734</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45639-2021</t>
        </is>
      </c>
      <c r="B1170" s="1" t="n">
        <v>44440</v>
      </c>
      <c r="C1170" s="1" t="n">
        <v>45734</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46969-2021</t>
        </is>
      </c>
      <c r="B1171" s="1" t="n">
        <v>44446</v>
      </c>
      <c r="C1171" s="1" t="n">
        <v>45734</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47261-2021</t>
        </is>
      </c>
      <c r="B1172" s="1" t="n">
        <v>44447</v>
      </c>
      <c r="C1172" s="1" t="n">
        <v>45734</v>
      </c>
      <c r="D1172" t="inlineStr">
        <is>
          <t>JÄMTLANDS LÄN</t>
        </is>
      </c>
      <c r="E1172" t="inlineStr">
        <is>
          <t>STRÖMSUND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47607-2021</t>
        </is>
      </c>
      <c r="B1173" s="1" t="n">
        <v>44447</v>
      </c>
      <c r="C1173" s="1" t="n">
        <v>45734</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47847-2021</t>
        </is>
      </c>
      <c r="B1174" s="1" t="n">
        <v>44448</v>
      </c>
      <c r="C1174" s="1" t="n">
        <v>45734</v>
      </c>
      <c r="D1174" t="inlineStr">
        <is>
          <t>JÄMTLANDS LÄN</t>
        </is>
      </c>
      <c r="E1174" t="inlineStr">
        <is>
          <t>STRÖMSUND</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47938-2021</t>
        </is>
      </c>
      <c r="B1175" s="1" t="n">
        <v>44449</v>
      </c>
      <c r="C1175" s="1" t="n">
        <v>45734</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47936-2021</t>
        </is>
      </c>
      <c r="B1176" s="1" t="n">
        <v>44448</v>
      </c>
      <c r="C1176" s="1" t="n">
        <v>45734</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47941-2021</t>
        </is>
      </c>
      <c r="B1177" s="1" t="n">
        <v>44449</v>
      </c>
      <c r="C1177" s="1" t="n">
        <v>45734</v>
      </c>
      <c r="D1177" t="inlineStr">
        <is>
          <t>JÄMTLANDS LÄN</t>
        </is>
      </c>
      <c r="E1177" t="inlineStr">
        <is>
          <t>STRÖMSUND</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47943-2021</t>
        </is>
      </c>
      <c r="B1178" s="1" t="n">
        <v>44448</v>
      </c>
      <c r="C1178" s="1" t="n">
        <v>45734</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47934-2021</t>
        </is>
      </c>
      <c r="B1179" s="1" t="n">
        <v>44448</v>
      </c>
      <c r="C1179" s="1" t="n">
        <v>45734</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47940-2021</t>
        </is>
      </c>
      <c r="B1180" s="1" t="n">
        <v>44449</v>
      </c>
      <c r="C1180" s="1" t="n">
        <v>45734</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48508-2021</t>
        </is>
      </c>
      <c r="B1181" s="1" t="n">
        <v>44451</v>
      </c>
      <c r="C1181" s="1" t="n">
        <v>45734</v>
      </c>
      <c r="D1181" t="inlineStr">
        <is>
          <t>JÄMTLANDS LÄN</t>
        </is>
      </c>
      <c r="E1181" t="inlineStr">
        <is>
          <t>STRÖMSUND</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48863-2021</t>
        </is>
      </c>
      <c r="B1182" s="1" t="n">
        <v>44453</v>
      </c>
      <c r="C1182" s="1" t="n">
        <v>45734</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49166-2021</t>
        </is>
      </c>
      <c r="B1183" s="1" t="n">
        <v>44454</v>
      </c>
      <c r="C1183" s="1" t="n">
        <v>45734</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c r="U1183">
        <f>HYPERLINK("https://klasma.github.io/Logging_2313/knärot/A 49166-2021 karta knärot.png", "A 49166-2021")</f>
        <v/>
      </c>
      <c r="V1183">
        <f>HYPERLINK("https://klasma.github.io/Logging_2313/klagomål/A 49166-2021 FSC-klagomål.docx", "A 49166-2021")</f>
        <v/>
      </c>
      <c r="W1183">
        <f>HYPERLINK("https://klasma.github.io/Logging_2313/klagomålsmail/A 49166-2021 FSC-klagomål mail.docx", "A 49166-2021")</f>
        <v/>
      </c>
      <c r="X1183">
        <f>HYPERLINK("https://klasma.github.io/Logging_2313/tillsyn/A 49166-2021 tillsynsbegäran.docx", "A 49166-2021")</f>
        <v/>
      </c>
      <c r="Y1183">
        <f>HYPERLINK("https://klasma.github.io/Logging_2313/tillsynsmail/A 49166-2021 tillsynsbegäran mail.docx", "A 49166-2021")</f>
        <v/>
      </c>
    </row>
    <row r="1184" ht="15" customHeight="1">
      <c r="A1184" t="inlineStr">
        <is>
          <t>A 49204-2021</t>
        </is>
      </c>
      <c r="B1184" s="1" t="n">
        <v>44454</v>
      </c>
      <c r="C1184" s="1" t="n">
        <v>45734</v>
      </c>
      <c r="D1184" t="inlineStr">
        <is>
          <t>JÄMTLANDS LÄN</t>
        </is>
      </c>
      <c r="E1184" t="inlineStr">
        <is>
          <t>STRÖMSUND</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49210-2021</t>
        </is>
      </c>
      <c r="B1185" s="1" t="n">
        <v>44454</v>
      </c>
      <c r="C1185" s="1" t="n">
        <v>45734</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49208-2021</t>
        </is>
      </c>
      <c r="B1186" s="1" t="n">
        <v>44454</v>
      </c>
      <c r="C1186" s="1" t="n">
        <v>45734</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49212-2021</t>
        </is>
      </c>
      <c r="B1187" s="1" t="n">
        <v>44454</v>
      </c>
      <c r="C1187" s="1" t="n">
        <v>45734</v>
      </c>
      <c r="D1187" t="inlineStr">
        <is>
          <t>JÄMTLANDS LÄN</t>
        </is>
      </c>
      <c r="E1187" t="inlineStr">
        <is>
          <t>STRÖMSUND</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49206-2021</t>
        </is>
      </c>
      <c r="B1188" s="1" t="n">
        <v>44454</v>
      </c>
      <c r="C1188" s="1" t="n">
        <v>45734</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49620-2021</t>
        </is>
      </c>
      <c r="B1189" s="1" t="n">
        <v>44455</v>
      </c>
      <c r="C1189" s="1" t="n">
        <v>45734</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49929-2021</t>
        </is>
      </c>
      <c r="B1190" s="1" t="n">
        <v>44456</v>
      </c>
      <c r="C1190" s="1" t="n">
        <v>45734</v>
      </c>
      <c r="D1190" t="inlineStr">
        <is>
          <t>JÄMTLANDS LÄN</t>
        </is>
      </c>
      <c r="E1190" t="inlineStr">
        <is>
          <t>STRÖMSUND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50020-2021</t>
        </is>
      </c>
      <c r="B1191" s="1" t="n">
        <v>44456</v>
      </c>
      <c r="C1191" s="1" t="n">
        <v>45734</v>
      </c>
      <c r="D1191" t="inlineStr">
        <is>
          <t>JÄMTLANDS LÄN</t>
        </is>
      </c>
      <c r="E1191" t="inlineStr">
        <is>
          <t>STRÖMSUND</t>
        </is>
      </c>
      <c r="F1191" t="inlineStr">
        <is>
          <t>Sveaskog</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50025-2021</t>
        </is>
      </c>
      <c r="B1192" s="1" t="n">
        <v>44456</v>
      </c>
      <c r="C1192" s="1" t="n">
        <v>45734</v>
      </c>
      <c r="D1192" t="inlineStr">
        <is>
          <t>JÄMTLANDS LÄN</t>
        </is>
      </c>
      <c r="E1192" t="inlineStr">
        <is>
          <t>STRÖMSUND</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50034-2021</t>
        </is>
      </c>
      <c r="B1193" s="1" t="n">
        <v>44456</v>
      </c>
      <c r="C1193" s="1" t="n">
        <v>45734</v>
      </c>
      <c r="D1193" t="inlineStr">
        <is>
          <t>JÄMTLANDS LÄN</t>
        </is>
      </c>
      <c r="E1193" t="inlineStr">
        <is>
          <t>STRÖMSUND</t>
        </is>
      </c>
      <c r="F1193" t="inlineStr">
        <is>
          <t>Sveaskog</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50029-2021</t>
        </is>
      </c>
      <c r="B1194" s="1" t="n">
        <v>44456</v>
      </c>
      <c r="C1194" s="1" t="n">
        <v>45734</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50037-2021</t>
        </is>
      </c>
      <c r="B1195" s="1" t="n">
        <v>44456</v>
      </c>
      <c r="C1195" s="1" t="n">
        <v>45734</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50022-2021</t>
        </is>
      </c>
      <c r="B1196" s="1" t="n">
        <v>44456</v>
      </c>
      <c r="C1196" s="1" t="n">
        <v>45734</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50028-2021</t>
        </is>
      </c>
      <c r="B1197" s="1" t="n">
        <v>44456</v>
      </c>
      <c r="C1197" s="1" t="n">
        <v>45734</v>
      </c>
      <c r="D1197" t="inlineStr">
        <is>
          <t>JÄMTLANDS LÄN</t>
        </is>
      </c>
      <c r="E1197" t="inlineStr">
        <is>
          <t>STRÖMSUND</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50176-2021</t>
        </is>
      </c>
      <c r="B1198" s="1" t="n">
        <v>44457</v>
      </c>
      <c r="C1198" s="1" t="n">
        <v>45734</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50179-2021</t>
        </is>
      </c>
      <c r="B1199" s="1" t="n">
        <v>44456</v>
      </c>
      <c r="C1199" s="1" t="n">
        <v>45734</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50180-2021</t>
        </is>
      </c>
      <c r="B1200" s="1" t="n">
        <v>44456</v>
      </c>
      <c r="C1200" s="1" t="n">
        <v>45734</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50023-2021</t>
        </is>
      </c>
      <c r="B1201" s="1" t="n">
        <v>44456</v>
      </c>
      <c r="C1201" s="1" t="n">
        <v>45734</v>
      </c>
      <c r="D1201" t="inlineStr">
        <is>
          <t>JÄMTLANDS LÄN</t>
        </is>
      </c>
      <c r="E1201" t="inlineStr">
        <is>
          <t>STRÖMSUND</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50890-2021</t>
        </is>
      </c>
      <c r="B1202" s="1" t="n">
        <v>44460</v>
      </c>
      <c r="C1202" s="1" t="n">
        <v>45734</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51446-2021</t>
        </is>
      </c>
      <c r="B1203" s="1" t="n">
        <v>44461</v>
      </c>
      <c r="C1203" s="1" t="n">
        <v>45734</v>
      </c>
      <c r="D1203" t="inlineStr">
        <is>
          <t>JÄMTLANDS LÄN</t>
        </is>
      </c>
      <c r="E1203" t="inlineStr">
        <is>
          <t>STRÖMSUND</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51954-2021</t>
        </is>
      </c>
      <c r="B1204" s="1" t="n">
        <v>44463</v>
      </c>
      <c r="C1204" s="1" t="n">
        <v>45734</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51953-2021</t>
        </is>
      </c>
      <c r="B1205" s="1" t="n">
        <v>44463</v>
      </c>
      <c r="C1205" s="1" t="n">
        <v>45734</v>
      </c>
      <c r="D1205" t="inlineStr">
        <is>
          <t>JÄMTLANDS LÄN</t>
        </is>
      </c>
      <c r="E1205" t="inlineStr">
        <is>
          <t>STRÖMSUND</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52327-2021</t>
        </is>
      </c>
      <c r="B1206" s="1" t="n">
        <v>44463</v>
      </c>
      <c r="C1206" s="1" t="n">
        <v>45734</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52397-2021</t>
        </is>
      </c>
      <c r="B1207" s="1" t="n">
        <v>44463</v>
      </c>
      <c r="C1207" s="1" t="n">
        <v>45734</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52332-2021</t>
        </is>
      </c>
      <c r="B1208" s="1" t="n">
        <v>44463</v>
      </c>
      <c r="C1208" s="1" t="n">
        <v>45734</v>
      </c>
      <c r="D1208" t="inlineStr">
        <is>
          <t>JÄMTLANDS LÄN</t>
        </is>
      </c>
      <c r="E1208" t="inlineStr">
        <is>
          <t>STRÖMSUND</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52399-2021</t>
        </is>
      </c>
      <c r="B1209" s="1" t="n">
        <v>44466</v>
      </c>
      <c r="C1209" s="1" t="n">
        <v>45734</v>
      </c>
      <c r="D1209" t="inlineStr">
        <is>
          <t>JÄMTLANDS LÄN</t>
        </is>
      </c>
      <c r="E1209" t="inlineStr">
        <is>
          <t>STRÖMSUND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52718-2021</t>
        </is>
      </c>
      <c r="B1210" s="1" t="n">
        <v>44467</v>
      </c>
      <c r="C1210" s="1" t="n">
        <v>45734</v>
      </c>
      <c r="D1210" t="inlineStr">
        <is>
          <t>JÄMTLANDS LÄN</t>
        </is>
      </c>
      <c r="E1210" t="inlineStr">
        <is>
          <t>STRÖMSUND</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52707-2021</t>
        </is>
      </c>
      <c r="B1211" s="1" t="n">
        <v>44467</v>
      </c>
      <c r="C1211" s="1" t="n">
        <v>45734</v>
      </c>
      <c r="D1211" t="inlineStr">
        <is>
          <t>JÄMTLANDS LÄN</t>
        </is>
      </c>
      <c r="E1211" t="inlineStr">
        <is>
          <t>STRÖMSUND</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52969-2021</t>
        </is>
      </c>
      <c r="B1212" s="1" t="n">
        <v>44466</v>
      </c>
      <c r="C1212" s="1" t="n">
        <v>45734</v>
      </c>
      <c r="D1212" t="inlineStr">
        <is>
          <t>JÄMTLANDS LÄN</t>
        </is>
      </c>
      <c r="E1212" t="inlineStr">
        <is>
          <t>STRÖMSUND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53420-2021</t>
        </is>
      </c>
      <c r="B1213" s="1" t="n">
        <v>44468</v>
      </c>
      <c r="C1213" s="1" t="n">
        <v>45734</v>
      </c>
      <c r="D1213" t="inlineStr">
        <is>
          <t>JÄMTLANDS LÄN</t>
        </is>
      </c>
      <c r="E1213" t="inlineStr">
        <is>
          <t>STRÖMSUND</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53518-2021</t>
        </is>
      </c>
      <c r="B1214" s="1" t="n">
        <v>44468</v>
      </c>
      <c r="C1214" s="1" t="n">
        <v>45734</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53513-2021</t>
        </is>
      </c>
      <c r="B1215" s="1" t="n">
        <v>44468</v>
      </c>
      <c r="C1215" s="1" t="n">
        <v>45734</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54050-2021</t>
        </is>
      </c>
      <c r="B1216" s="1" t="n">
        <v>44470</v>
      </c>
      <c r="C1216" s="1" t="n">
        <v>45734</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54117-2021</t>
        </is>
      </c>
      <c r="B1217" s="1" t="n">
        <v>44470</v>
      </c>
      <c r="C1217" s="1" t="n">
        <v>45734</v>
      </c>
      <c r="D1217" t="inlineStr">
        <is>
          <t>JÄMTLANDS LÄN</t>
        </is>
      </c>
      <c r="E1217" t="inlineStr">
        <is>
          <t>STRÖMSUND</t>
        </is>
      </c>
      <c r="F1217" t="inlineStr">
        <is>
          <t>Holmen skog AB</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55608-2021</t>
        </is>
      </c>
      <c r="B1218" s="1" t="n">
        <v>44475</v>
      </c>
      <c r="C1218" s="1" t="n">
        <v>45734</v>
      </c>
      <c r="D1218" t="inlineStr">
        <is>
          <t>JÄMTLANDS LÄN</t>
        </is>
      </c>
      <c r="E1218" t="inlineStr">
        <is>
          <t>STRÖMSUND</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55918-2021</t>
        </is>
      </c>
      <c r="B1219" s="1" t="n">
        <v>44476</v>
      </c>
      <c r="C1219" s="1" t="n">
        <v>45734</v>
      </c>
      <c r="D1219" t="inlineStr">
        <is>
          <t>JÄMTLANDS LÄN</t>
        </is>
      </c>
      <c r="E1219" t="inlineStr">
        <is>
          <t>STRÖMSUND</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55920-2021</t>
        </is>
      </c>
      <c r="B1220" s="1" t="n">
        <v>44476</v>
      </c>
      <c r="C1220" s="1" t="n">
        <v>45734</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55927-2021</t>
        </is>
      </c>
      <c r="B1221" s="1" t="n">
        <v>44476</v>
      </c>
      <c r="C1221" s="1" t="n">
        <v>45734</v>
      </c>
      <c r="D1221" t="inlineStr">
        <is>
          <t>JÄMTLANDS LÄN</t>
        </is>
      </c>
      <c r="E1221" t="inlineStr">
        <is>
          <t>STRÖMSUND</t>
        </is>
      </c>
      <c r="F1221" t="inlineStr">
        <is>
          <t>SCA</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55919-2021</t>
        </is>
      </c>
      <c r="B1222" s="1" t="n">
        <v>44477</v>
      </c>
      <c r="C1222" s="1" t="n">
        <v>45734</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55939-2021</t>
        </is>
      </c>
      <c r="B1223" s="1" t="n">
        <v>44476</v>
      </c>
      <c r="C1223" s="1" t="n">
        <v>45734</v>
      </c>
      <c r="D1223" t="inlineStr">
        <is>
          <t>JÄMTLANDS LÄN</t>
        </is>
      </c>
      <c r="E1223" t="inlineStr">
        <is>
          <t>STRÖMSUND</t>
        </is>
      </c>
      <c r="F1223" t="inlineStr">
        <is>
          <t>SCA</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56213-2021</t>
        </is>
      </c>
      <c r="B1224" s="1" t="n">
        <v>44478</v>
      </c>
      <c r="C1224" s="1" t="n">
        <v>45734</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56208-2021</t>
        </is>
      </c>
      <c r="B1225" s="1" t="n">
        <v>44477</v>
      </c>
      <c r="C1225" s="1" t="n">
        <v>45734</v>
      </c>
      <c r="D1225" t="inlineStr">
        <is>
          <t>JÄMTLANDS LÄN</t>
        </is>
      </c>
      <c r="E1225" t="inlineStr">
        <is>
          <t>STRÖMSUND</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56655-2021</t>
        </is>
      </c>
      <c r="B1226" s="1" t="n">
        <v>44480</v>
      </c>
      <c r="C1226" s="1" t="n">
        <v>45734</v>
      </c>
      <c r="D1226" t="inlineStr">
        <is>
          <t>JÄMTLANDS LÄN</t>
        </is>
      </c>
      <c r="E1226" t="inlineStr">
        <is>
          <t>STRÖMSUND</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56654-2021</t>
        </is>
      </c>
      <c r="B1227" s="1" t="n">
        <v>44480</v>
      </c>
      <c r="C1227" s="1" t="n">
        <v>45734</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57433-2021</t>
        </is>
      </c>
      <c r="B1228" s="1" t="n">
        <v>44483</v>
      </c>
      <c r="C1228" s="1" t="n">
        <v>45734</v>
      </c>
      <c r="D1228" t="inlineStr">
        <is>
          <t>JÄMTLANDS LÄN</t>
        </is>
      </c>
      <c r="E1228" t="inlineStr">
        <is>
          <t>STRÖMSUND</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57547-2021</t>
        </is>
      </c>
      <c r="B1229" s="1" t="n">
        <v>44484</v>
      </c>
      <c r="C1229" s="1" t="n">
        <v>45734</v>
      </c>
      <c r="D1229" t="inlineStr">
        <is>
          <t>JÄMTLANDS LÄN</t>
        </is>
      </c>
      <c r="E1229" t="inlineStr">
        <is>
          <t>STRÖMSUND</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57560-2021</t>
        </is>
      </c>
      <c r="B1230" s="1" t="n">
        <v>44483</v>
      </c>
      <c r="C1230" s="1" t="n">
        <v>45734</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58260-2021</t>
        </is>
      </c>
      <c r="B1231" s="1" t="n">
        <v>44487</v>
      </c>
      <c r="C1231" s="1" t="n">
        <v>45734</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58022-2021</t>
        </is>
      </c>
      <c r="B1232" s="1" t="n">
        <v>44487</v>
      </c>
      <c r="C1232" s="1" t="n">
        <v>45734</v>
      </c>
      <c r="D1232" t="inlineStr">
        <is>
          <t>JÄMTLANDS LÄN</t>
        </is>
      </c>
      <c r="E1232" t="inlineStr">
        <is>
          <t>STRÖMSUND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59126-2021</t>
        </is>
      </c>
      <c r="B1233" s="1" t="n">
        <v>44487</v>
      </c>
      <c r="C1233" s="1" t="n">
        <v>45734</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58972-2021</t>
        </is>
      </c>
      <c r="B1234" s="1" t="n">
        <v>44490</v>
      </c>
      <c r="C1234" s="1" t="n">
        <v>45734</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58973-2021</t>
        </is>
      </c>
      <c r="B1235" s="1" t="n">
        <v>44489</v>
      </c>
      <c r="C1235" s="1" t="n">
        <v>45734</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58971-2021</t>
        </is>
      </c>
      <c r="B1236" s="1" t="n">
        <v>44490</v>
      </c>
      <c r="C1236" s="1" t="n">
        <v>45734</v>
      </c>
      <c r="D1236" t="inlineStr">
        <is>
          <t>JÄMTLANDS LÄN</t>
        </is>
      </c>
      <c r="E1236" t="inlineStr">
        <is>
          <t>STRÖMSUND</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59139-2021</t>
        </is>
      </c>
      <c r="B1237" s="1" t="n">
        <v>44490</v>
      </c>
      <c r="C1237" s="1" t="n">
        <v>45734</v>
      </c>
      <c r="D1237" t="inlineStr">
        <is>
          <t>JÄMTLANDS LÄN</t>
        </is>
      </c>
      <c r="E1237" t="inlineStr">
        <is>
          <t>STRÖMSUND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59313-2021</t>
        </is>
      </c>
      <c r="B1238" s="1" t="n">
        <v>44491</v>
      </c>
      <c r="C1238" s="1" t="n">
        <v>45734</v>
      </c>
      <c r="D1238" t="inlineStr">
        <is>
          <t>JÄMTLANDS LÄN</t>
        </is>
      </c>
      <c r="E1238" t="inlineStr">
        <is>
          <t>STRÖMSUND</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59969-2021</t>
        </is>
      </c>
      <c r="B1239" s="1" t="n">
        <v>44495</v>
      </c>
      <c r="C1239" s="1" t="n">
        <v>45734</v>
      </c>
      <c r="D1239" t="inlineStr">
        <is>
          <t>JÄMTLANDS LÄN</t>
        </is>
      </c>
      <c r="E1239" t="inlineStr">
        <is>
          <t>STRÖMSUND</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60011-2021</t>
        </is>
      </c>
      <c r="B1240" s="1" t="n">
        <v>44495</v>
      </c>
      <c r="C1240" s="1" t="n">
        <v>45734</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60319-2021</t>
        </is>
      </c>
      <c r="B1241" s="1" t="n">
        <v>44495</v>
      </c>
      <c r="C1241" s="1" t="n">
        <v>45734</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60939-2021</t>
        </is>
      </c>
      <c r="B1242" s="1" t="n">
        <v>44496</v>
      </c>
      <c r="C1242" s="1" t="n">
        <v>45734</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60775-2021</t>
        </is>
      </c>
      <c r="B1243" s="1" t="n">
        <v>44496</v>
      </c>
      <c r="C1243" s="1" t="n">
        <v>45734</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60789-2021</t>
        </is>
      </c>
      <c r="B1244" s="1" t="n">
        <v>44496</v>
      </c>
      <c r="C1244" s="1" t="n">
        <v>45734</v>
      </c>
      <c r="D1244" t="inlineStr">
        <is>
          <t>JÄMTLANDS LÄN</t>
        </is>
      </c>
      <c r="E1244" t="inlineStr">
        <is>
          <t>STRÖMSUND</t>
        </is>
      </c>
      <c r="F1244" t="inlineStr">
        <is>
          <t>SCA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60801-2021</t>
        </is>
      </c>
      <c r="B1245" s="1" t="n">
        <v>44497</v>
      </c>
      <c r="C1245" s="1" t="n">
        <v>45734</v>
      </c>
      <c r="D1245" t="inlineStr">
        <is>
          <t>JÄMTLANDS LÄN</t>
        </is>
      </c>
      <c r="E1245" t="inlineStr">
        <is>
          <t>STRÖMSUND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61612-2021</t>
        </is>
      </c>
      <c r="B1246" s="1" t="n">
        <v>44498</v>
      </c>
      <c r="C1246" s="1" t="n">
        <v>45734</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61439-2021</t>
        </is>
      </c>
      <c r="B1247" s="1" t="n">
        <v>44500</v>
      </c>
      <c r="C1247" s="1" t="n">
        <v>45734</v>
      </c>
      <c r="D1247" t="inlineStr">
        <is>
          <t>JÄMTLANDS LÄN</t>
        </is>
      </c>
      <c r="E1247" t="inlineStr">
        <is>
          <t>STRÖMSUND</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61449-2021</t>
        </is>
      </c>
      <c r="B1248" s="1" t="n">
        <v>44500</v>
      </c>
      <c r="C1248" s="1" t="n">
        <v>45734</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61420-2021</t>
        </is>
      </c>
      <c r="B1249" s="1" t="n">
        <v>44500</v>
      </c>
      <c r="C1249" s="1" t="n">
        <v>45734</v>
      </c>
      <c r="D1249" t="inlineStr">
        <is>
          <t>JÄMTLANDS LÄN</t>
        </is>
      </c>
      <c r="E1249" t="inlineStr">
        <is>
          <t>STRÖMSUND</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61434-2021</t>
        </is>
      </c>
      <c r="B1250" s="1" t="n">
        <v>44500</v>
      </c>
      <c r="C1250" s="1" t="n">
        <v>45734</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61455-2021</t>
        </is>
      </c>
      <c r="B1251" s="1" t="n">
        <v>44500</v>
      </c>
      <c r="C1251" s="1" t="n">
        <v>45734</v>
      </c>
      <c r="D1251" t="inlineStr">
        <is>
          <t>JÄMTLANDS LÄN</t>
        </is>
      </c>
      <c r="E1251" t="inlineStr">
        <is>
          <t>STRÖMSUND</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61422-2021</t>
        </is>
      </c>
      <c r="B1252" s="1" t="n">
        <v>44500</v>
      </c>
      <c r="C1252" s="1" t="n">
        <v>45734</v>
      </c>
      <c r="D1252" t="inlineStr">
        <is>
          <t>JÄMTLANDS LÄN</t>
        </is>
      </c>
      <c r="E1252" t="inlineStr">
        <is>
          <t>STRÖMSUND</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61419-2021</t>
        </is>
      </c>
      <c r="B1253" s="1" t="n">
        <v>44500</v>
      </c>
      <c r="C1253" s="1" t="n">
        <v>45734</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61433-2021</t>
        </is>
      </c>
      <c r="B1254" s="1" t="n">
        <v>44500</v>
      </c>
      <c r="C1254" s="1" t="n">
        <v>45734</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61450-2021</t>
        </is>
      </c>
      <c r="B1255" s="1" t="n">
        <v>44500</v>
      </c>
      <c r="C1255" s="1" t="n">
        <v>45734</v>
      </c>
      <c r="D1255" t="inlineStr">
        <is>
          <t>JÄMTLANDS LÄN</t>
        </is>
      </c>
      <c r="E1255" t="inlineStr">
        <is>
          <t>STRÖMSUND</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61731-2021</t>
        </is>
      </c>
      <c r="B1256" s="1" t="n">
        <v>44501</v>
      </c>
      <c r="C1256" s="1" t="n">
        <v>45734</v>
      </c>
      <c r="D1256" t="inlineStr">
        <is>
          <t>JÄMTLANDS LÄN</t>
        </is>
      </c>
      <c r="E1256" t="inlineStr">
        <is>
          <t>STRÖMSUND</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62203-2021</t>
        </is>
      </c>
      <c r="B1257" s="1" t="n">
        <v>44502</v>
      </c>
      <c r="C1257" s="1" t="n">
        <v>45734</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62194-2021</t>
        </is>
      </c>
      <c r="B1258" s="1" t="n">
        <v>44502</v>
      </c>
      <c r="C1258" s="1" t="n">
        <v>45734</v>
      </c>
      <c r="D1258" t="inlineStr">
        <is>
          <t>JÄMTLANDS LÄN</t>
        </is>
      </c>
      <c r="E1258" t="inlineStr">
        <is>
          <t>STRÖMSUND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62234-2021</t>
        </is>
      </c>
      <c r="B1259" s="1" t="n">
        <v>44503</v>
      </c>
      <c r="C1259" s="1" t="n">
        <v>45734</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62431-2021</t>
        </is>
      </c>
      <c r="B1260" s="1" t="n">
        <v>44503</v>
      </c>
      <c r="C1260" s="1" t="n">
        <v>45734</v>
      </c>
      <c r="D1260" t="inlineStr">
        <is>
          <t>JÄMTLANDS LÄN</t>
        </is>
      </c>
      <c r="E1260" t="inlineStr">
        <is>
          <t>STRÖMSUND</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62667-2021</t>
        </is>
      </c>
      <c r="B1261" s="1" t="n">
        <v>44503</v>
      </c>
      <c r="C1261" s="1" t="n">
        <v>45734</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62666-2021</t>
        </is>
      </c>
      <c r="B1262" s="1" t="n">
        <v>44503</v>
      </c>
      <c r="C1262" s="1" t="n">
        <v>45734</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62669-2021</t>
        </is>
      </c>
      <c r="B1263" s="1" t="n">
        <v>44503</v>
      </c>
      <c r="C1263" s="1" t="n">
        <v>45734</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62668-2021</t>
        </is>
      </c>
      <c r="B1264" s="1" t="n">
        <v>44503</v>
      </c>
      <c r="C1264" s="1" t="n">
        <v>45734</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64744-2021</t>
        </is>
      </c>
      <c r="B1265" s="1" t="n">
        <v>44503</v>
      </c>
      <c r="C1265" s="1" t="n">
        <v>45734</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64760-2021</t>
        </is>
      </c>
      <c r="B1266" s="1" t="n">
        <v>44503</v>
      </c>
      <c r="C1266" s="1" t="n">
        <v>45734</v>
      </c>
      <c r="D1266" t="inlineStr">
        <is>
          <t>JÄMTLANDS LÄN</t>
        </is>
      </c>
      <c r="E1266" t="inlineStr">
        <is>
          <t>STRÖMSUND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63070-2021</t>
        </is>
      </c>
      <c r="B1267" s="1" t="n">
        <v>44505</v>
      </c>
      <c r="C1267" s="1" t="n">
        <v>45734</v>
      </c>
      <c r="D1267" t="inlineStr">
        <is>
          <t>JÄMTLANDS LÄN</t>
        </is>
      </c>
      <c r="E1267" t="inlineStr">
        <is>
          <t>STRÖMSUND</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63498-2021</t>
        </is>
      </c>
      <c r="B1268" s="1" t="n">
        <v>44508</v>
      </c>
      <c r="C1268" s="1" t="n">
        <v>45734</v>
      </c>
      <c r="D1268" t="inlineStr">
        <is>
          <t>JÄMTLANDS LÄN</t>
        </is>
      </c>
      <c r="E1268" t="inlineStr">
        <is>
          <t>STRÖMSUND</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63875-2021</t>
        </is>
      </c>
      <c r="B1269" s="1" t="n">
        <v>44509</v>
      </c>
      <c r="C1269" s="1" t="n">
        <v>45734</v>
      </c>
      <c r="D1269" t="inlineStr">
        <is>
          <t>JÄMTLANDS LÄN</t>
        </is>
      </c>
      <c r="E1269" t="inlineStr">
        <is>
          <t>STRÖMSUND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64000-2021</t>
        </is>
      </c>
      <c r="B1270" s="1" t="n">
        <v>44510</v>
      </c>
      <c r="C1270" s="1" t="n">
        <v>45734</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63999-2021</t>
        </is>
      </c>
      <c r="B1271" s="1" t="n">
        <v>44510</v>
      </c>
      <c r="C1271" s="1" t="n">
        <v>45734</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63988-2021</t>
        </is>
      </c>
      <c r="B1272" s="1" t="n">
        <v>44509</v>
      </c>
      <c r="C1272" s="1" t="n">
        <v>45734</v>
      </c>
      <c r="D1272" t="inlineStr">
        <is>
          <t>JÄMTLANDS LÄN</t>
        </is>
      </c>
      <c r="E1272" t="inlineStr">
        <is>
          <t>STRÖMSUND</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64001-2021</t>
        </is>
      </c>
      <c r="B1273" s="1" t="n">
        <v>44509</v>
      </c>
      <c r="C1273" s="1" t="n">
        <v>45734</v>
      </c>
      <c r="D1273" t="inlineStr">
        <is>
          <t>JÄMTLANDS LÄN</t>
        </is>
      </c>
      <c r="E1273" t="inlineStr">
        <is>
          <t>STRÖMSUND</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64200-2021</t>
        </is>
      </c>
      <c r="B1274" s="1" t="n">
        <v>44510</v>
      </c>
      <c r="C1274" s="1" t="n">
        <v>45734</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64186-2021</t>
        </is>
      </c>
      <c r="B1275" s="1" t="n">
        <v>44510</v>
      </c>
      <c r="C1275" s="1" t="n">
        <v>45734</v>
      </c>
      <c r="D1275" t="inlineStr">
        <is>
          <t>JÄMTLANDS LÄN</t>
        </is>
      </c>
      <c r="E1275" t="inlineStr">
        <is>
          <t>STRÖMSUND</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64291-2021</t>
        </is>
      </c>
      <c r="B1276" s="1" t="n">
        <v>44510</v>
      </c>
      <c r="C1276" s="1" t="n">
        <v>45734</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64310-2021</t>
        </is>
      </c>
      <c r="B1277" s="1" t="n">
        <v>44510</v>
      </c>
      <c r="C1277" s="1" t="n">
        <v>45734</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64309-2021</t>
        </is>
      </c>
      <c r="B1278" s="1" t="n">
        <v>44510</v>
      </c>
      <c r="C1278" s="1" t="n">
        <v>45734</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64505-2021</t>
        </is>
      </c>
      <c r="B1279" s="1" t="n">
        <v>44511</v>
      </c>
      <c r="C1279" s="1" t="n">
        <v>45734</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64655-2021</t>
        </is>
      </c>
      <c r="B1280" s="1" t="n">
        <v>44511</v>
      </c>
      <c r="C1280" s="1" t="n">
        <v>45734</v>
      </c>
      <c r="D1280" t="inlineStr">
        <is>
          <t>JÄMTLANDS LÄN</t>
        </is>
      </c>
      <c r="E1280" t="inlineStr">
        <is>
          <t>STRÖMSUND</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64656-2021</t>
        </is>
      </c>
      <c r="B1281" s="1" t="n">
        <v>44511</v>
      </c>
      <c r="C1281" s="1" t="n">
        <v>45734</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64660-2021</t>
        </is>
      </c>
      <c r="B1282" s="1" t="n">
        <v>44511</v>
      </c>
      <c r="C1282" s="1" t="n">
        <v>45734</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64657-2021</t>
        </is>
      </c>
      <c r="B1283" s="1" t="n">
        <v>44511</v>
      </c>
      <c r="C1283" s="1" t="n">
        <v>45734</v>
      </c>
      <c r="D1283" t="inlineStr">
        <is>
          <t>JÄMTLANDS LÄN</t>
        </is>
      </c>
      <c r="E1283" t="inlineStr">
        <is>
          <t>STRÖMSUND</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64723-2021</t>
        </is>
      </c>
      <c r="B1284" s="1" t="n">
        <v>44512</v>
      </c>
      <c r="C1284" s="1" t="n">
        <v>45734</v>
      </c>
      <c r="D1284" t="inlineStr">
        <is>
          <t>JÄMTLANDS LÄN</t>
        </is>
      </c>
      <c r="E1284" t="inlineStr">
        <is>
          <t>STRÖMSUND</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64913-2021</t>
        </is>
      </c>
      <c r="B1285" s="1" t="n">
        <v>44512</v>
      </c>
      <c r="C1285" s="1" t="n">
        <v>45734</v>
      </c>
      <c r="D1285" t="inlineStr">
        <is>
          <t>JÄMTLANDS LÄN</t>
        </is>
      </c>
      <c r="E1285" t="inlineStr">
        <is>
          <t>STRÖMSUND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64955-2021</t>
        </is>
      </c>
      <c r="B1286" s="1" t="n">
        <v>44512</v>
      </c>
      <c r="C1286" s="1" t="n">
        <v>45734</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65412-2021</t>
        </is>
      </c>
      <c r="B1287" s="1" t="n">
        <v>44515</v>
      </c>
      <c r="C1287" s="1" t="n">
        <v>45734</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65430-2021</t>
        </is>
      </c>
      <c r="B1288" s="1" t="n">
        <v>44515</v>
      </c>
      <c r="C1288" s="1" t="n">
        <v>45734</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65442-2021</t>
        </is>
      </c>
      <c r="B1289" s="1" t="n">
        <v>44515</v>
      </c>
      <c r="C1289" s="1" t="n">
        <v>45734</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65776-2021</t>
        </is>
      </c>
      <c r="B1290" s="1" t="n">
        <v>44516</v>
      </c>
      <c r="C1290" s="1" t="n">
        <v>45734</v>
      </c>
      <c r="D1290" t="inlineStr">
        <is>
          <t>JÄMTLANDS LÄN</t>
        </is>
      </c>
      <c r="E1290" t="inlineStr">
        <is>
          <t>STRÖMSUND</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65787-2021</t>
        </is>
      </c>
      <c r="B1291" s="1" t="n">
        <v>44516</v>
      </c>
      <c r="C1291" s="1" t="n">
        <v>45734</v>
      </c>
      <c r="D1291" t="inlineStr">
        <is>
          <t>JÄMTLANDS LÄN</t>
        </is>
      </c>
      <c r="E1291" t="inlineStr">
        <is>
          <t>STRÖMSUND</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66088-2021</t>
        </is>
      </c>
      <c r="B1292" s="1" t="n">
        <v>44517</v>
      </c>
      <c r="C1292" s="1" t="n">
        <v>45734</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66166-2021</t>
        </is>
      </c>
      <c r="B1293" s="1" t="n">
        <v>44517</v>
      </c>
      <c r="C1293" s="1" t="n">
        <v>45734</v>
      </c>
      <c r="D1293" t="inlineStr">
        <is>
          <t>JÄMTLANDS LÄN</t>
        </is>
      </c>
      <c r="E1293" t="inlineStr">
        <is>
          <t>STRÖMSUND</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66475-2021</t>
        </is>
      </c>
      <c r="B1294" s="1" t="n">
        <v>44518</v>
      </c>
      <c r="C1294" s="1" t="n">
        <v>45734</v>
      </c>
      <c r="D1294" t="inlineStr">
        <is>
          <t>JÄMTLANDS LÄN</t>
        </is>
      </c>
      <c r="E1294" t="inlineStr">
        <is>
          <t>STRÖMSUND</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66485-2021</t>
        </is>
      </c>
      <c r="B1295" s="1" t="n">
        <v>44518</v>
      </c>
      <c r="C1295" s="1" t="n">
        <v>45734</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66488-2021</t>
        </is>
      </c>
      <c r="B1296" s="1" t="n">
        <v>44518</v>
      </c>
      <c r="C1296" s="1" t="n">
        <v>45734</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66486-2021</t>
        </is>
      </c>
      <c r="B1297" s="1" t="n">
        <v>44518</v>
      </c>
      <c r="C1297" s="1" t="n">
        <v>45734</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66487-2021</t>
        </is>
      </c>
      <c r="B1298" s="1" t="n">
        <v>44518</v>
      </c>
      <c r="C1298" s="1" t="n">
        <v>45734</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66784-2021</t>
        </is>
      </c>
      <c r="B1299" s="1" t="n">
        <v>44519</v>
      </c>
      <c r="C1299" s="1" t="n">
        <v>45734</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66742-2021</t>
        </is>
      </c>
      <c r="B1300" s="1" t="n">
        <v>44520</v>
      </c>
      <c r="C1300" s="1" t="n">
        <v>45734</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67096-2021</t>
        </is>
      </c>
      <c r="B1301" s="1" t="n">
        <v>44522</v>
      </c>
      <c r="C1301" s="1" t="n">
        <v>45734</v>
      </c>
      <c r="D1301" t="inlineStr">
        <is>
          <t>JÄMTLANDS LÄN</t>
        </is>
      </c>
      <c r="E1301" t="inlineStr">
        <is>
          <t>STRÖMSUND</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67099-2021</t>
        </is>
      </c>
      <c r="B1302" s="1" t="n">
        <v>44522</v>
      </c>
      <c r="C1302" s="1" t="n">
        <v>45734</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67097-2021</t>
        </is>
      </c>
      <c r="B1303" s="1" t="n">
        <v>44522</v>
      </c>
      <c r="C1303" s="1" t="n">
        <v>45734</v>
      </c>
      <c r="D1303" t="inlineStr">
        <is>
          <t>JÄMTLANDS LÄN</t>
        </is>
      </c>
      <c r="E1303" t="inlineStr">
        <is>
          <t>STRÖMSUND</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67114-2021</t>
        </is>
      </c>
      <c r="B1304" s="1" t="n">
        <v>44523</v>
      </c>
      <c r="C1304" s="1" t="n">
        <v>45734</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67696-2021</t>
        </is>
      </c>
      <c r="B1305" s="1" t="n">
        <v>44524</v>
      </c>
      <c r="C1305" s="1" t="n">
        <v>45734</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67903-2021</t>
        </is>
      </c>
      <c r="B1306" s="1" t="n">
        <v>44525</v>
      </c>
      <c r="C1306" s="1" t="n">
        <v>45734</v>
      </c>
      <c r="D1306" t="inlineStr">
        <is>
          <t>JÄMTLANDS LÄN</t>
        </is>
      </c>
      <c r="E1306" t="inlineStr">
        <is>
          <t>STRÖMSUND</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67906-2021</t>
        </is>
      </c>
      <c r="B1307" s="1" t="n">
        <v>44525</v>
      </c>
      <c r="C1307" s="1" t="n">
        <v>45734</v>
      </c>
      <c r="D1307" t="inlineStr">
        <is>
          <t>JÄMTLANDS LÄN</t>
        </is>
      </c>
      <c r="E1307" t="inlineStr">
        <is>
          <t>STRÖMSUND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68646-2021</t>
        </is>
      </c>
      <c r="B1308" s="1" t="n">
        <v>44529</v>
      </c>
      <c r="C1308" s="1" t="n">
        <v>45734</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68675-2021</t>
        </is>
      </c>
      <c r="B1309" s="1" t="n">
        <v>44529</v>
      </c>
      <c r="C1309" s="1" t="n">
        <v>45734</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68424-2021</t>
        </is>
      </c>
      <c r="B1310" s="1" t="n">
        <v>44529</v>
      </c>
      <c r="C1310" s="1" t="n">
        <v>45734</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68442-2021</t>
        </is>
      </c>
      <c r="B1311" s="1" t="n">
        <v>44529</v>
      </c>
      <c r="C1311" s="1" t="n">
        <v>45734</v>
      </c>
      <c r="D1311" t="inlineStr">
        <is>
          <t>JÄMTLANDS LÄN</t>
        </is>
      </c>
      <c r="E1311" t="inlineStr">
        <is>
          <t>STRÖMSUND</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68776-2021</t>
        </is>
      </c>
      <c r="B1312" s="1" t="n">
        <v>44529</v>
      </c>
      <c r="C1312" s="1" t="n">
        <v>45734</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68777-2021</t>
        </is>
      </c>
      <c r="B1313" s="1" t="n">
        <v>44529</v>
      </c>
      <c r="C1313" s="1" t="n">
        <v>45734</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69139-2021</t>
        </is>
      </c>
      <c r="B1314" s="1" t="n">
        <v>44530</v>
      </c>
      <c r="C1314" s="1" t="n">
        <v>45734</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69132-2021</t>
        </is>
      </c>
      <c r="B1315" s="1" t="n">
        <v>44530</v>
      </c>
      <c r="C1315" s="1" t="n">
        <v>45734</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69144-2021</t>
        </is>
      </c>
      <c r="B1316" s="1" t="n">
        <v>44530</v>
      </c>
      <c r="C1316" s="1" t="n">
        <v>45734</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69143-2021</t>
        </is>
      </c>
      <c r="B1317" s="1" t="n">
        <v>44530</v>
      </c>
      <c r="C1317" s="1" t="n">
        <v>45734</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70079-2021</t>
        </is>
      </c>
      <c r="B1318" s="1" t="n">
        <v>44533</v>
      </c>
      <c r="C1318" s="1" t="n">
        <v>45734</v>
      </c>
      <c r="D1318" t="inlineStr">
        <is>
          <t>JÄMTLANDS LÄN</t>
        </is>
      </c>
      <c r="E1318" t="inlineStr">
        <is>
          <t>STRÖMSUND</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70530-2021</t>
        </is>
      </c>
      <c r="B1319" s="1" t="n">
        <v>44536</v>
      </c>
      <c r="C1319" s="1" t="n">
        <v>45734</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70531-2021</t>
        </is>
      </c>
      <c r="B1320" s="1" t="n">
        <v>44536</v>
      </c>
      <c r="C1320" s="1" t="n">
        <v>45734</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70511-2021</t>
        </is>
      </c>
      <c r="B1321" s="1" t="n">
        <v>44536</v>
      </c>
      <c r="C1321" s="1" t="n">
        <v>45734</v>
      </c>
      <c r="D1321" t="inlineStr">
        <is>
          <t>JÄMTLANDS LÄN</t>
        </is>
      </c>
      <c r="E1321" t="inlineStr">
        <is>
          <t>STRÖMSUND</t>
        </is>
      </c>
      <c r="F1321" t="inlineStr">
        <is>
          <t>SCA</t>
        </is>
      </c>
      <c r="G1321" t="n">
        <v>401.6</v>
      </c>
      <c r="H1321" t="n">
        <v>0</v>
      </c>
      <c r="I1321" t="n">
        <v>0</v>
      </c>
      <c r="J1321" t="n">
        <v>0</v>
      </c>
      <c r="K1321" t="n">
        <v>0</v>
      </c>
      <c r="L1321" t="n">
        <v>0</v>
      </c>
      <c r="M1321" t="n">
        <v>0</v>
      </c>
      <c r="N1321" t="n">
        <v>0</v>
      </c>
      <c r="O1321" t="n">
        <v>0</v>
      </c>
      <c r="P1321" t="n">
        <v>0</v>
      </c>
      <c r="Q1321" t="n">
        <v>0</v>
      </c>
      <c r="R1321" s="2" t="inlineStr"/>
    </row>
    <row r="1322" ht="15" customHeight="1">
      <c r="A1322" t="inlineStr">
        <is>
          <t>A 70529-2021</t>
        </is>
      </c>
      <c r="B1322" s="1" t="n">
        <v>44536</v>
      </c>
      <c r="C1322" s="1" t="n">
        <v>45734</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71352-2021</t>
        </is>
      </c>
      <c r="B1323" s="1" t="n">
        <v>44539</v>
      </c>
      <c r="C1323" s="1" t="n">
        <v>45734</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c r="U1323">
        <f>HYPERLINK("https://klasma.github.io/Logging_2313/knärot/A 71352-2021 karta knärot.png", "A 71352-2021")</f>
        <v/>
      </c>
      <c r="V1323">
        <f>HYPERLINK("https://klasma.github.io/Logging_2313/klagomål/A 71352-2021 FSC-klagomål.docx", "A 71352-2021")</f>
        <v/>
      </c>
      <c r="W1323">
        <f>HYPERLINK("https://klasma.github.io/Logging_2313/klagomålsmail/A 71352-2021 FSC-klagomål mail.docx", "A 71352-2021")</f>
        <v/>
      </c>
      <c r="X1323">
        <f>HYPERLINK("https://klasma.github.io/Logging_2313/tillsyn/A 71352-2021 tillsynsbegäran.docx", "A 71352-2021")</f>
        <v/>
      </c>
      <c r="Y1323">
        <f>HYPERLINK("https://klasma.github.io/Logging_2313/tillsynsmail/A 71352-2021 tillsynsbegäran mail.docx", "A 71352-2021")</f>
        <v/>
      </c>
    </row>
    <row r="1324" ht="15" customHeight="1">
      <c r="A1324" t="inlineStr">
        <is>
          <t>A 71353-2021</t>
        </is>
      </c>
      <c r="B1324" s="1" t="n">
        <v>44539</v>
      </c>
      <c r="C1324" s="1" t="n">
        <v>45734</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71376-2021</t>
        </is>
      </c>
      <c r="B1325" s="1" t="n">
        <v>44539</v>
      </c>
      <c r="C1325" s="1" t="n">
        <v>45734</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71377-2021</t>
        </is>
      </c>
      <c r="B1326" s="1" t="n">
        <v>44539</v>
      </c>
      <c r="C1326" s="1" t="n">
        <v>45734</v>
      </c>
      <c r="D1326" t="inlineStr">
        <is>
          <t>JÄMTLANDS LÄN</t>
        </is>
      </c>
      <c r="E1326" t="inlineStr">
        <is>
          <t>STRÖMSUND</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71912-2021</t>
        </is>
      </c>
      <c r="B1327" s="1" t="n">
        <v>44543</v>
      </c>
      <c r="C1327" s="1" t="n">
        <v>45734</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71911-2021</t>
        </is>
      </c>
      <c r="B1328" s="1" t="n">
        <v>44543</v>
      </c>
      <c r="C1328" s="1" t="n">
        <v>45734</v>
      </c>
      <c r="D1328" t="inlineStr">
        <is>
          <t>JÄMTLANDS LÄN</t>
        </is>
      </c>
      <c r="E1328" t="inlineStr">
        <is>
          <t>STRÖMSUND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72629-2021</t>
        </is>
      </c>
      <c r="B1329" s="1" t="n">
        <v>44545</v>
      </c>
      <c r="C1329" s="1" t="n">
        <v>45734</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72497-2021</t>
        </is>
      </c>
      <c r="B1330" s="1" t="n">
        <v>44545</v>
      </c>
      <c r="C1330" s="1" t="n">
        <v>45734</v>
      </c>
      <c r="D1330" t="inlineStr">
        <is>
          <t>JÄMTLANDS LÄN</t>
        </is>
      </c>
      <c r="E1330" t="inlineStr">
        <is>
          <t>STRÖMSUND</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72543-2021</t>
        </is>
      </c>
      <c r="B1331" s="1" t="n">
        <v>44546</v>
      </c>
      <c r="C1331" s="1" t="n">
        <v>45734</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72749-2021</t>
        </is>
      </c>
      <c r="B1332" s="1" t="n">
        <v>44546</v>
      </c>
      <c r="C1332" s="1" t="n">
        <v>45734</v>
      </c>
      <c r="D1332" t="inlineStr">
        <is>
          <t>JÄMTLANDS LÄN</t>
        </is>
      </c>
      <c r="E1332" t="inlineStr">
        <is>
          <t>STRÖMSUND</t>
        </is>
      </c>
      <c r="G1332" t="n">
        <v>35.6</v>
      </c>
      <c r="H1332" t="n">
        <v>0</v>
      </c>
      <c r="I1332" t="n">
        <v>0</v>
      </c>
      <c r="J1332" t="n">
        <v>0</v>
      </c>
      <c r="K1332" t="n">
        <v>0</v>
      </c>
      <c r="L1332" t="n">
        <v>0</v>
      </c>
      <c r="M1332" t="n">
        <v>0</v>
      </c>
      <c r="N1332" t="n">
        <v>0</v>
      </c>
      <c r="O1332" t="n">
        <v>0</v>
      </c>
      <c r="P1332" t="n">
        <v>0</v>
      </c>
      <c r="Q1332" t="n">
        <v>0</v>
      </c>
      <c r="R1332" s="2" t="inlineStr"/>
    </row>
    <row r="1333" ht="15" customHeight="1">
      <c r="A1333" t="inlineStr">
        <is>
          <t>A 72753-2021</t>
        </is>
      </c>
      <c r="B1333" s="1" t="n">
        <v>44546</v>
      </c>
      <c r="C1333" s="1" t="n">
        <v>45734</v>
      </c>
      <c r="D1333" t="inlineStr">
        <is>
          <t>JÄMTLANDS LÄN</t>
        </is>
      </c>
      <c r="E1333" t="inlineStr">
        <is>
          <t>STRÖMSUND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72827-2021</t>
        </is>
      </c>
      <c r="B1334" s="1" t="n">
        <v>44547</v>
      </c>
      <c r="C1334" s="1" t="n">
        <v>45734</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72957-2021</t>
        </is>
      </c>
      <c r="B1335" s="1" t="n">
        <v>44547</v>
      </c>
      <c r="C1335" s="1" t="n">
        <v>45734</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72956-2021</t>
        </is>
      </c>
      <c r="B1336" s="1" t="n">
        <v>44547</v>
      </c>
      <c r="C1336" s="1" t="n">
        <v>45734</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73288-2021</t>
        </is>
      </c>
      <c r="B1337" s="1" t="n">
        <v>44550</v>
      </c>
      <c r="C1337" s="1" t="n">
        <v>45734</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73291-2021</t>
        </is>
      </c>
      <c r="B1338" s="1" t="n">
        <v>44550</v>
      </c>
      <c r="C1338" s="1" t="n">
        <v>45734</v>
      </c>
      <c r="D1338" t="inlineStr">
        <is>
          <t>JÄMTLANDS LÄN</t>
        </is>
      </c>
      <c r="E1338" t="inlineStr">
        <is>
          <t>STRÖMSUND</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73289-2021</t>
        </is>
      </c>
      <c r="B1339" s="1" t="n">
        <v>44550</v>
      </c>
      <c r="C1339" s="1" t="n">
        <v>45734</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364-2022</t>
        </is>
      </c>
      <c r="B1340" s="1" t="n">
        <v>44565</v>
      </c>
      <c r="C1340" s="1" t="n">
        <v>45734</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585-2022</t>
        </is>
      </c>
      <c r="B1341" s="1" t="n">
        <v>44566</v>
      </c>
      <c r="C1341" s="1" t="n">
        <v>45734</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583-2022</t>
        </is>
      </c>
      <c r="B1342" s="1" t="n">
        <v>44566</v>
      </c>
      <c r="C1342" s="1" t="n">
        <v>45734</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829-2022</t>
        </is>
      </c>
      <c r="B1343" s="1" t="n">
        <v>44568</v>
      </c>
      <c r="C1343" s="1" t="n">
        <v>45734</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1083-2022</t>
        </is>
      </c>
      <c r="B1344" s="1" t="n">
        <v>44571</v>
      </c>
      <c r="C1344" s="1" t="n">
        <v>45734</v>
      </c>
      <c r="D1344" t="inlineStr">
        <is>
          <t>JÄMTLANDS LÄN</t>
        </is>
      </c>
      <c r="E1344" t="inlineStr">
        <is>
          <t>STRÖMSUND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1107-2022</t>
        </is>
      </c>
      <c r="B1345" s="1" t="n">
        <v>44571</v>
      </c>
      <c r="C1345" s="1" t="n">
        <v>45734</v>
      </c>
      <c r="D1345" t="inlineStr">
        <is>
          <t>JÄMTLANDS LÄN</t>
        </is>
      </c>
      <c r="E1345" t="inlineStr">
        <is>
          <t>STRÖMSUND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1339-2022</t>
        </is>
      </c>
      <c r="B1346" s="1" t="n">
        <v>44572</v>
      </c>
      <c r="C1346" s="1" t="n">
        <v>45734</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2485-2022</t>
        </is>
      </c>
      <c r="B1347" s="1" t="n">
        <v>44579</v>
      </c>
      <c r="C1347" s="1" t="n">
        <v>45734</v>
      </c>
      <c r="D1347" t="inlineStr">
        <is>
          <t>JÄMTLANDS LÄN</t>
        </is>
      </c>
      <c r="E1347" t="inlineStr">
        <is>
          <t>STRÖMSUND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2760-2022</t>
        </is>
      </c>
      <c r="B1348" s="1" t="n">
        <v>44580</v>
      </c>
      <c r="C1348" s="1" t="n">
        <v>45734</v>
      </c>
      <c r="D1348" t="inlineStr">
        <is>
          <t>JÄMTLANDS LÄN</t>
        </is>
      </c>
      <c r="E1348" t="inlineStr">
        <is>
          <t>STRÖMSUND</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2759-2022</t>
        </is>
      </c>
      <c r="B1349" s="1" t="n">
        <v>44580</v>
      </c>
      <c r="C1349" s="1" t="n">
        <v>45734</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3114-2022</t>
        </is>
      </c>
      <c r="B1350" s="1" t="n">
        <v>44582</v>
      </c>
      <c r="C1350" s="1" t="n">
        <v>45734</v>
      </c>
      <c r="D1350" t="inlineStr">
        <is>
          <t>JÄMTLANDS LÄN</t>
        </is>
      </c>
      <c r="E1350" t="inlineStr">
        <is>
          <t>STRÖMSUND</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3165-2022</t>
        </is>
      </c>
      <c r="B1351" s="1" t="n">
        <v>44582</v>
      </c>
      <c r="C1351" s="1" t="n">
        <v>45734</v>
      </c>
      <c r="D1351" t="inlineStr">
        <is>
          <t>JÄMTLANDS LÄN</t>
        </is>
      </c>
      <c r="E1351" t="inlineStr">
        <is>
          <t>STRÖMSUND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3230-2022</t>
        </is>
      </c>
      <c r="B1352" s="1" t="n">
        <v>44582</v>
      </c>
      <c r="C1352" s="1" t="n">
        <v>45734</v>
      </c>
      <c r="D1352" t="inlineStr">
        <is>
          <t>JÄMTLANDS LÄN</t>
        </is>
      </c>
      <c r="E1352" t="inlineStr">
        <is>
          <t>STRÖMSUND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3269-2022</t>
        </is>
      </c>
      <c r="B1353" s="1" t="n">
        <v>44583</v>
      </c>
      <c r="C1353" s="1" t="n">
        <v>45734</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3538-2022</t>
        </is>
      </c>
      <c r="B1354" s="1" t="n">
        <v>44585</v>
      </c>
      <c r="C1354" s="1" t="n">
        <v>45734</v>
      </c>
      <c r="D1354" t="inlineStr">
        <is>
          <t>JÄMTLANDS LÄN</t>
        </is>
      </c>
      <c r="E1354" t="inlineStr">
        <is>
          <t>STRÖMSUND</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3539-2022</t>
        </is>
      </c>
      <c r="B1355" s="1" t="n">
        <v>44585</v>
      </c>
      <c r="C1355" s="1" t="n">
        <v>45734</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3719-2022</t>
        </is>
      </c>
      <c r="B1356" s="1" t="n">
        <v>44586</v>
      </c>
      <c r="C1356" s="1" t="n">
        <v>45734</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3721-2022</t>
        </is>
      </c>
      <c r="B1357" s="1" t="n">
        <v>44586</v>
      </c>
      <c r="C1357" s="1" t="n">
        <v>45734</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3875-2022</t>
        </is>
      </c>
      <c r="B1358" s="1" t="n">
        <v>44587</v>
      </c>
      <c r="C1358" s="1" t="n">
        <v>45734</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4024-2022</t>
        </is>
      </c>
      <c r="B1359" s="1" t="n">
        <v>44587</v>
      </c>
      <c r="C1359" s="1" t="n">
        <v>45734</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4460-2022</t>
        </is>
      </c>
      <c r="B1360" s="1" t="n">
        <v>44589</v>
      </c>
      <c r="C1360" s="1" t="n">
        <v>45734</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4455-2022</t>
        </is>
      </c>
      <c r="B1361" s="1" t="n">
        <v>44589</v>
      </c>
      <c r="C1361" s="1" t="n">
        <v>45734</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4464-2022</t>
        </is>
      </c>
      <c r="B1362" s="1" t="n">
        <v>44589</v>
      </c>
      <c r="C1362" s="1" t="n">
        <v>45734</v>
      </c>
      <c r="D1362" t="inlineStr">
        <is>
          <t>JÄMTLANDS LÄN</t>
        </is>
      </c>
      <c r="E1362" t="inlineStr">
        <is>
          <t>STRÖMSUND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4602-2022</t>
        </is>
      </c>
      <c r="B1363" s="1" t="n">
        <v>44589</v>
      </c>
      <c r="C1363" s="1" t="n">
        <v>45734</v>
      </c>
      <c r="D1363" t="inlineStr">
        <is>
          <t>JÄMTLANDS LÄN</t>
        </is>
      </c>
      <c r="E1363" t="inlineStr">
        <is>
          <t>STRÖMSUND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4858-2022</t>
        </is>
      </c>
      <c r="B1364" s="1" t="n">
        <v>44592</v>
      </c>
      <c r="C1364" s="1" t="n">
        <v>45734</v>
      </c>
      <c r="D1364" t="inlineStr">
        <is>
          <t>JÄMTLANDS LÄN</t>
        </is>
      </c>
      <c r="E1364" t="inlineStr">
        <is>
          <t>STRÖMSUND</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4931-2022</t>
        </is>
      </c>
      <c r="B1365" s="1" t="n">
        <v>44593</v>
      </c>
      <c r="C1365" s="1" t="n">
        <v>45734</v>
      </c>
      <c r="D1365" t="inlineStr">
        <is>
          <t>JÄMTLANDS LÄN</t>
        </is>
      </c>
      <c r="E1365" t="inlineStr">
        <is>
          <t>STRÖMSUND</t>
        </is>
      </c>
      <c r="G1365" t="n">
        <v>41.9</v>
      </c>
      <c r="H1365" t="n">
        <v>0</v>
      </c>
      <c r="I1365" t="n">
        <v>0</v>
      </c>
      <c r="J1365" t="n">
        <v>0</v>
      </c>
      <c r="K1365" t="n">
        <v>0</v>
      </c>
      <c r="L1365" t="n">
        <v>0</v>
      </c>
      <c r="M1365" t="n">
        <v>0</v>
      </c>
      <c r="N1365" t="n">
        <v>0</v>
      </c>
      <c r="O1365" t="n">
        <v>0</v>
      </c>
      <c r="P1365" t="n">
        <v>0</v>
      </c>
      <c r="Q1365" t="n">
        <v>0</v>
      </c>
      <c r="R1365" s="2" t="inlineStr"/>
    </row>
    <row r="1366" ht="15" customHeight="1">
      <c r="A1366" t="inlineStr">
        <is>
          <t>A 5117-2022</t>
        </is>
      </c>
      <c r="B1366" s="1" t="n">
        <v>44593</v>
      </c>
      <c r="C1366" s="1" t="n">
        <v>45734</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5116-2022</t>
        </is>
      </c>
      <c r="B1367" s="1" t="n">
        <v>44593</v>
      </c>
      <c r="C1367" s="1" t="n">
        <v>45734</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5416-2022</t>
        </is>
      </c>
      <c r="B1368" s="1" t="n">
        <v>44595</v>
      </c>
      <c r="C1368" s="1" t="n">
        <v>45734</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5642-2022</t>
        </is>
      </c>
      <c r="B1369" s="1" t="n">
        <v>44595</v>
      </c>
      <c r="C1369" s="1" t="n">
        <v>45734</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6055-2022</t>
        </is>
      </c>
      <c r="B1370" s="1" t="n">
        <v>44599</v>
      </c>
      <c r="C1370" s="1" t="n">
        <v>45734</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6150-2022</t>
        </is>
      </c>
      <c r="B1371" s="1" t="n">
        <v>44599</v>
      </c>
      <c r="C1371" s="1" t="n">
        <v>45734</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6202-2022</t>
        </is>
      </c>
      <c r="B1372" s="1" t="n">
        <v>44600</v>
      </c>
      <c r="C1372" s="1" t="n">
        <v>45734</v>
      </c>
      <c r="D1372" t="inlineStr">
        <is>
          <t>JÄMTLANDS LÄN</t>
        </is>
      </c>
      <c r="E1372" t="inlineStr">
        <is>
          <t>STRÖMSUND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7023-2022</t>
        </is>
      </c>
      <c r="B1373" s="1" t="n">
        <v>44603</v>
      </c>
      <c r="C1373" s="1" t="n">
        <v>45734</v>
      </c>
      <c r="D1373" t="inlineStr">
        <is>
          <t>JÄMTLANDS LÄN</t>
        </is>
      </c>
      <c r="E1373" t="inlineStr">
        <is>
          <t>STRÖMSUND</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7157-2022</t>
        </is>
      </c>
      <c r="B1374" s="1" t="n">
        <v>44604</v>
      </c>
      <c r="C1374" s="1" t="n">
        <v>45734</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7260-2022</t>
        </is>
      </c>
      <c r="B1375" s="1" t="n">
        <v>44606</v>
      </c>
      <c r="C1375" s="1" t="n">
        <v>45734</v>
      </c>
      <c r="D1375" t="inlineStr">
        <is>
          <t>JÄMTLANDS LÄN</t>
        </is>
      </c>
      <c r="E1375" t="inlineStr">
        <is>
          <t>STRÖMSUND</t>
        </is>
      </c>
      <c r="F1375" t="inlineStr">
        <is>
          <t>SCA</t>
        </is>
      </c>
      <c r="G1375" t="n">
        <v>76.40000000000001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8066-2022</t>
        </is>
      </c>
      <c r="B1376" s="1" t="n">
        <v>44609</v>
      </c>
      <c r="C1376" s="1" t="n">
        <v>45734</v>
      </c>
      <c r="D1376" t="inlineStr">
        <is>
          <t>JÄMTLANDS LÄN</t>
        </is>
      </c>
      <c r="E1376" t="inlineStr">
        <is>
          <t>STRÖMSUND</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8239-2022</t>
        </is>
      </c>
      <c r="B1377" s="1" t="n">
        <v>44609</v>
      </c>
      <c r="C1377" s="1" t="n">
        <v>45734</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8421-2022</t>
        </is>
      </c>
      <c r="B1378" s="1" t="n">
        <v>44610</v>
      </c>
      <c r="C1378" s="1" t="n">
        <v>45734</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9370-2022</t>
        </is>
      </c>
      <c r="B1379" s="1" t="n">
        <v>44616</v>
      </c>
      <c r="C1379" s="1" t="n">
        <v>45734</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9379-2022</t>
        </is>
      </c>
      <c r="B1380" s="1" t="n">
        <v>44616</v>
      </c>
      <c r="C1380" s="1" t="n">
        <v>45734</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9934-2022</t>
        </is>
      </c>
      <c r="B1381" s="1" t="n">
        <v>44620</v>
      </c>
      <c r="C1381" s="1" t="n">
        <v>45734</v>
      </c>
      <c r="D1381" t="inlineStr">
        <is>
          <t>JÄMTLANDS LÄN</t>
        </is>
      </c>
      <c r="E1381" t="inlineStr">
        <is>
          <t>STRÖMSUND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9957-2022</t>
        </is>
      </c>
      <c r="B1382" s="1" t="n">
        <v>44620</v>
      </c>
      <c r="C1382" s="1" t="n">
        <v>45734</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10077-2022</t>
        </is>
      </c>
      <c r="B1383" s="1" t="n">
        <v>44621</v>
      </c>
      <c r="C1383" s="1" t="n">
        <v>45734</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10144-2022</t>
        </is>
      </c>
      <c r="B1384" s="1" t="n">
        <v>44621</v>
      </c>
      <c r="C1384" s="1" t="n">
        <v>45734</v>
      </c>
      <c r="D1384" t="inlineStr">
        <is>
          <t>JÄMTLANDS LÄN</t>
        </is>
      </c>
      <c r="E1384" t="inlineStr">
        <is>
          <t>STRÖMSUND</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10136-2022</t>
        </is>
      </c>
      <c r="B1385" s="1" t="n">
        <v>44621</v>
      </c>
      <c r="C1385" s="1" t="n">
        <v>45734</v>
      </c>
      <c r="D1385" t="inlineStr">
        <is>
          <t>JÄMTLANDS LÄN</t>
        </is>
      </c>
      <c r="E1385" t="inlineStr">
        <is>
          <t>STRÖMSUND</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10249-2022</t>
        </is>
      </c>
      <c r="B1386" s="1" t="n">
        <v>44622</v>
      </c>
      <c r="C1386" s="1" t="n">
        <v>45734</v>
      </c>
      <c r="D1386" t="inlineStr">
        <is>
          <t>JÄMTLANDS LÄN</t>
        </is>
      </c>
      <c r="E1386" t="inlineStr">
        <is>
          <t>STRÖMSUND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10322-2022</t>
        </is>
      </c>
      <c r="B1387" s="1" t="n">
        <v>44622</v>
      </c>
      <c r="C1387" s="1" t="n">
        <v>45734</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v>
      </c>
      <c r="C1388" s="1" t="n">
        <v>45734</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10319-2022</t>
        </is>
      </c>
      <c r="B1389" s="1" t="n">
        <v>44622</v>
      </c>
      <c r="C1389" s="1" t="n">
        <v>45734</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10527-2022</t>
        </is>
      </c>
      <c r="B1390" s="1" t="n">
        <v>44623</v>
      </c>
      <c r="C1390" s="1" t="n">
        <v>45734</v>
      </c>
      <c r="D1390" t="inlineStr">
        <is>
          <t>JÄMTLANDS LÄN</t>
        </is>
      </c>
      <c r="E1390" t="inlineStr">
        <is>
          <t>STRÖMSUND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10647-2022</t>
        </is>
      </c>
      <c r="B1391" s="1" t="n">
        <v>44624</v>
      </c>
      <c r="C1391" s="1" t="n">
        <v>45734</v>
      </c>
      <c r="D1391" t="inlineStr">
        <is>
          <t>JÄMTLANDS LÄN</t>
        </is>
      </c>
      <c r="E1391" t="inlineStr">
        <is>
          <t>STRÖMSUND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10656-2022</t>
        </is>
      </c>
      <c r="B1392" s="1" t="n">
        <v>44624</v>
      </c>
      <c r="C1392" s="1" t="n">
        <v>45734</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10698-2022</t>
        </is>
      </c>
      <c r="B1393" s="1" t="n">
        <v>44624</v>
      </c>
      <c r="C1393" s="1" t="n">
        <v>45734</v>
      </c>
      <c r="D1393" t="inlineStr">
        <is>
          <t>JÄMTLANDS LÄN</t>
        </is>
      </c>
      <c r="E1393" t="inlineStr">
        <is>
          <t>STRÖMSUND</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10904-2022</t>
        </is>
      </c>
      <c r="B1394" s="1" t="n">
        <v>44627</v>
      </c>
      <c r="C1394" s="1" t="n">
        <v>45734</v>
      </c>
      <c r="D1394" t="inlineStr">
        <is>
          <t>JÄMTLANDS LÄN</t>
        </is>
      </c>
      <c r="E1394" t="inlineStr">
        <is>
          <t>STRÖMSUND</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11158-2022</t>
        </is>
      </c>
      <c r="B1395" s="1" t="n">
        <v>44629</v>
      </c>
      <c r="C1395" s="1" t="n">
        <v>45734</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11578-2022</t>
        </is>
      </c>
      <c r="B1396" s="1" t="n">
        <v>44631</v>
      </c>
      <c r="C1396" s="1" t="n">
        <v>45734</v>
      </c>
      <c r="D1396" t="inlineStr">
        <is>
          <t>JÄMTLANDS LÄN</t>
        </is>
      </c>
      <c r="E1396" t="inlineStr">
        <is>
          <t>STRÖMSUND</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11856-2022</t>
        </is>
      </c>
      <c r="B1397" s="1" t="n">
        <v>44635</v>
      </c>
      <c r="C1397" s="1" t="n">
        <v>45734</v>
      </c>
      <c r="D1397" t="inlineStr">
        <is>
          <t>JÄMTLANDS LÄN</t>
        </is>
      </c>
      <c r="E1397" t="inlineStr">
        <is>
          <t>STRÖMSUND</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12018-2022</t>
        </is>
      </c>
      <c r="B1398" s="1" t="n">
        <v>44635</v>
      </c>
      <c r="C1398" s="1" t="n">
        <v>45734</v>
      </c>
      <c r="D1398" t="inlineStr">
        <is>
          <t>JÄMTLANDS LÄN</t>
        </is>
      </c>
      <c r="E1398" t="inlineStr">
        <is>
          <t>STRÖMSUND</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12198-2022</t>
        </is>
      </c>
      <c r="B1399" s="1" t="n">
        <v>44636</v>
      </c>
      <c r="C1399" s="1" t="n">
        <v>45734</v>
      </c>
      <c r="D1399" t="inlineStr">
        <is>
          <t>JÄMTLANDS LÄN</t>
        </is>
      </c>
      <c r="E1399" t="inlineStr">
        <is>
          <t>STRÖMSUND</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12405-2022</t>
        </is>
      </c>
      <c r="B1400" s="1" t="n">
        <v>44637</v>
      </c>
      <c r="C1400" s="1" t="n">
        <v>45734</v>
      </c>
      <c r="D1400" t="inlineStr">
        <is>
          <t>JÄMTLANDS LÄN</t>
        </is>
      </c>
      <c r="E1400" t="inlineStr">
        <is>
          <t>STRÖMSUND</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12404-2022</t>
        </is>
      </c>
      <c r="B1401" s="1" t="n">
        <v>44637</v>
      </c>
      <c r="C1401" s="1" t="n">
        <v>45734</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12762-2022</t>
        </is>
      </c>
      <c r="B1402" s="1" t="n">
        <v>44641</v>
      </c>
      <c r="C1402" s="1" t="n">
        <v>45734</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12822-2022</t>
        </is>
      </c>
      <c r="B1403" s="1" t="n">
        <v>44642</v>
      </c>
      <c r="C1403" s="1" t="n">
        <v>45734</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13098-2022</t>
        </is>
      </c>
      <c r="B1404" s="1" t="n">
        <v>44643</v>
      </c>
      <c r="C1404" s="1" t="n">
        <v>45734</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13099-2022</t>
        </is>
      </c>
      <c r="B1405" s="1" t="n">
        <v>44643</v>
      </c>
      <c r="C1405" s="1" t="n">
        <v>45734</v>
      </c>
      <c r="D1405" t="inlineStr">
        <is>
          <t>JÄMTLANDS LÄN</t>
        </is>
      </c>
      <c r="E1405" t="inlineStr">
        <is>
          <t>STRÖMSUND</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13513-2022</t>
        </is>
      </c>
      <c r="B1406" s="1" t="n">
        <v>44648</v>
      </c>
      <c r="C1406" s="1" t="n">
        <v>45734</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45734</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14283-2022</t>
        </is>
      </c>
      <c r="B1408" s="1" t="n">
        <v>44651</v>
      </c>
      <c r="C1408" s="1" t="n">
        <v>45734</v>
      </c>
      <c r="D1408" t="inlineStr">
        <is>
          <t>JÄMTLANDS LÄN</t>
        </is>
      </c>
      <c r="E1408" t="inlineStr">
        <is>
          <t>STRÖMSUND</t>
        </is>
      </c>
      <c r="F1408" t="inlineStr">
        <is>
          <t>SCA</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14288-2022</t>
        </is>
      </c>
      <c r="B1409" s="1" t="n">
        <v>44651</v>
      </c>
      <c r="C1409" s="1" t="n">
        <v>45734</v>
      </c>
      <c r="D1409" t="inlineStr">
        <is>
          <t>JÄMTLANDS LÄN</t>
        </is>
      </c>
      <c r="E1409" t="inlineStr">
        <is>
          <t>STRÖMSUND</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14292-2022</t>
        </is>
      </c>
      <c r="B1410" s="1" t="n">
        <v>44651</v>
      </c>
      <c r="C1410" s="1" t="n">
        <v>45734</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14294-2022</t>
        </is>
      </c>
      <c r="B1411" s="1" t="n">
        <v>44652</v>
      </c>
      <c r="C1411" s="1" t="n">
        <v>45734</v>
      </c>
      <c r="D1411" t="inlineStr">
        <is>
          <t>JÄMTLANDS LÄN</t>
        </is>
      </c>
      <c r="E1411" t="inlineStr">
        <is>
          <t>STRÖMSUND</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14281-2022</t>
        </is>
      </c>
      <c r="B1412" s="1" t="n">
        <v>44651</v>
      </c>
      <c r="C1412" s="1" t="n">
        <v>45734</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14289-2022</t>
        </is>
      </c>
      <c r="B1413" s="1" t="n">
        <v>44651</v>
      </c>
      <c r="C1413" s="1" t="n">
        <v>45734</v>
      </c>
      <c r="D1413" t="inlineStr">
        <is>
          <t>JÄMTLANDS LÄN</t>
        </is>
      </c>
      <c r="E1413" t="inlineStr">
        <is>
          <t>STRÖMSUND</t>
        </is>
      </c>
      <c r="F1413" t="inlineStr">
        <is>
          <t>SCA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14441-2022</t>
        </is>
      </c>
      <c r="B1414" s="1" t="n">
        <v>44652</v>
      </c>
      <c r="C1414" s="1" t="n">
        <v>45734</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14443-2022</t>
        </is>
      </c>
      <c r="B1415" s="1" t="n">
        <v>44653</v>
      </c>
      <c r="C1415" s="1" t="n">
        <v>45734</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14445-2022</t>
        </is>
      </c>
      <c r="B1416" s="1" t="n">
        <v>44653</v>
      </c>
      <c r="C1416" s="1" t="n">
        <v>45734</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14442-2022</t>
        </is>
      </c>
      <c r="B1417" s="1" t="n">
        <v>44653</v>
      </c>
      <c r="C1417" s="1" t="n">
        <v>45734</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14460-2022</t>
        </is>
      </c>
      <c r="B1418" s="1" t="n">
        <v>44654</v>
      </c>
      <c r="C1418" s="1" t="n">
        <v>45734</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14550-2022</t>
        </is>
      </c>
      <c r="B1419" s="1" t="n">
        <v>44655</v>
      </c>
      <c r="C1419" s="1" t="n">
        <v>45734</v>
      </c>
      <c r="D1419" t="inlineStr">
        <is>
          <t>JÄMTLANDS LÄN</t>
        </is>
      </c>
      <c r="E1419" t="inlineStr">
        <is>
          <t>STRÖMSUND</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14557-2022</t>
        </is>
      </c>
      <c r="B1420" s="1" t="n">
        <v>44655</v>
      </c>
      <c r="C1420" s="1" t="n">
        <v>45734</v>
      </c>
      <c r="D1420" t="inlineStr">
        <is>
          <t>JÄMTLANDS LÄN</t>
        </is>
      </c>
      <c r="E1420" t="inlineStr">
        <is>
          <t>STRÖMSUND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14703-2022</t>
        </is>
      </c>
      <c r="B1421" s="1" t="n">
        <v>44655</v>
      </c>
      <c r="C1421" s="1" t="n">
        <v>45734</v>
      </c>
      <c r="D1421" t="inlineStr">
        <is>
          <t>JÄMTLANDS LÄN</t>
        </is>
      </c>
      <c r="E1421" t="inlineStr">
        <is>
          <t>STRÖMSUND</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14894-2022</t>
        </is>
      </c>
      <c r="B1422" s="1" t="n">
        <v>44657</v>
      </c>
      <c r="C1422" s="1" t="n">
        <v>45734</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15238-2022</t>
        </is>
      </c>
      <c r="B1423" s="1" t="n">
        <v>44659</v>
      </c>
      <c r="C1423" s="1" t="n">
        <v>45734</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15141-2022</t>
        </is>
      </c>
      <c r="B1424" s="1" t="n">
        <v>44658</v>
      </c>
      <c r="C1424" s="1" t="n">
        <v>45734</v>
      </c>
      <c r="D1424" t="inlineStr">
        <is>
          <t>JÄMTLANDS LÄN</t>
        </is>
      </c>
      <c r="E1424" t="inlineStr">
        <is>
          <t>STRÖMSUND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15239-2022</t>
        </is>
      </c>
      <c r="B1425" s="1" t="n">
        <v>44659</v>
      </c>
      <c r="C1425" s="1" t="n">
        <v>45734</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15259-2022</t>
        </is>
      </c>
      <c r="B1426" s="1" t="n">
        <v>44659</v>
      </c>
      <c r="C1426" s="1" t="n">
        <v>45734</v>
      </c>
      <c r="D1426" t="inlineStr">
        <is>
          <t>JÄMTLANDS LÄN</t>
        </is>
      </c>
      <c r="E1426" t="inlineStr">
        <is>
          <t>STRÖMSUND</t>
        </is>
      </c>
      <c r="G1426" t="n">
        <v>52.4</v>
      </c>
      <c r="H1426" t="n">
        <v>0</v>
      </c>
      <c r="I1426" t="n">
        <v>0</v>
      </c>
      <c r="J1426" t="n">
        <v>0</v>
      </c>
      <c r="K1426" t="n">
        <v>0</v>
      </c>
      <c r="L1426" t="n">
        <v>0</v>
      </c>
      <c r="M1426" t="n">
        <v>0</v>
      </c>
      <c r="N1426" t="n">
        <v>0</v>
      </c>
      <c r="O1426" t="n">
        <v>0</v>
      </c>
      <c r="P1426" t="n">
        <v>0</v>
      </c>
      <c r="Q1426" t="n">
        <v>0</v>
      </c>
      <c r="R1426" s="2" t="inlineStr"/>
    </row>
    <row r="1427" ht="15" customHeight="1">
      <c r="A1427" t="inlineStr">
        <is>
          <t>A 15546-2022</t>
        </is>
      </c>
      <c r="B1427" s="1" t="n">
        <v>44662</v>
      </c>
      <c r="C1427" s="1" t="n">
        <v>45734</v>
      </c>
      <c r="D1427" t="inlineStr">
        <is>
          <t>JÄMTLANDS LÄN</t>
        </is>
      </c>
      <c r="E1427" t="inlineStr">
        <is>
          <t>STRÖMSUND</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15522-2022</t>
        </is>
      </c>
      <c r="B1428" s="1" t="n">
        <v>44662</v>
      </c>
      <c r="C1428" s="1" t="n">
        <v>45734</v>
      </c>
      <c r="D1428" t="inlineStr">
        <is>
          <t>JÄMTLANDS LÄN</t>
        </is>
      </c>
      <c r="E1428" t="inlineStr">
        <is>
          <t>STRÖMSUND</t>
        </is>
      </c>
      <c r="G1428" t="n">
        <v>41.8</v>
      </c>
      <c r="H1428" t="n">
        <v>0</v>
      </c>
      <c r="I1428" t="n">
        <v>0</v>
      </c>
      <c r="J1428" t="n">
        <v>0</v>
      </c>
      <c r="K1428" t="n">
        <v>0</v>
      </c>
      <c r="L1428" t="n">
        <v>0</v>
      </c>
      <c r="M1428" t="n">
        <v>0</v>
      </c>
      <c r="N1428" t="n">
        <v>0</v>
      </c>
      <c r="O1428" t="n">
        <v>0</v>
      </c>
      <c r="P1428" t="n">
        <v>0</v>
      </c>
      <c r="Q1428" t="n">
        <v>0</v>
      </c>
      <c r="R1428" s="2" t="inlineStr"/>
    </row>
    <row r="1429" ht="15" customHeight="1">
      <c r="A1429" t="inlineStr">
        <is>
          <t>A 15407-2022</t>
        </is>
      </c>
      <c r="B1429" s="1" t="n">
        <v>44662</v>
      </c>
      <c r="C1429" s="1" t="n">
        <v>45734</v>
      </c>
      <c r="D1429" t="inlineStr">
        <is>
          <t>JÄMTLANDS LÄN</t>
        </is>
      </c>
      <c r="E1429" t="inlineStr">
        <is>
          <t>STRÖMSUND</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15668-2022</t>
        </is>
      </c>
      <c r="B1430" s="1" t="n">
        <v>44663</v>
      </c>
      <c r="C1430" s="1" t="n">
        <v>45734</v>
      </c>
      <c r="D1430" t="inlineStr">
        <is>
          <t>JÄMTLANDS LÄN</t>
        </is>
      </c>
      <c r="E1430" t="inlineStr">
        <is>
          <t>STRÖMSUND</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15865-2022</t>
        </is>
      </c>
      <c r="B1431" s="1" t="n">
        <v>44664</v>
      </c>
      <c r="C1431" s="1" t="n">
        <v>45734</v>
      </c>
      <c r="D1431" t="inlineStr">
        <is>
          <t>JÄMTLANDS LÄN</t>
        </is>
      </c>
      <c r="E1431" t="inlineStr">
        <is>
          <t>STRÖMSUND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15971-2022</t>
        </is>
      </c>
      <c r="B1432" s="1" t="n">
        <v>44664</v>
      </c>
      <c r="C1432" s="1" t="n">
        <v>45734</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16311-2022</t>
        </is>
      </c>
      <c r="B1433" s="1" t="n">
        <v>44670</v>
      </c>
      <c r="C1433" s="1" t="n">
        <v>45734</v>
      </c>
      <c r="D1433" t="inlineStr">
        <is>
          <t>JÄMTLANDS LÄN</t>
        </is>
      </c>
      <c r="E1433" t="inlineStr">
        <is>
          <t>STRÖMSUND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16317-2022</t>
        </is>
      </c>
      <c r="B1434" s="1" t="n">
        <v>44670</v>
      </c>
      <c r="C1434" s="1" t="n">
        <v>45734</v>
      </c>
      <c r="D1434" t="inlineStr">
        <is>
          <t>JÄMTLANDS LÄN</t>
        </is>
      </c>
      <c r="E1434" t="inlineStr">
        <is>
          <t>STRÖMSUND</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16359-2022</t>
        </is>
      </c>
      <c r="B1435" s="1" t="n">
        <v>44671</v>
      </c>
      <c r="C1435" s="1" t="n">
        <v>45734</v>
      </c>
      <c r="D1435" t="inlineStr">
        <is>
          <t>JÄMTLANDS LÄN</t>
        </is>
      </c>
      <c r="E1435" t="inlineStr">
        <is>
          <t>STRÖMSUND</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16358-2022</t>
        </is>
      </c>
      <c r="B1436" s="1" t="n">
        <v>44671</v>
      </c>
      <c r="C1436" s="1" t="n">
        <v>45734</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16518-2022</t>
        </is>
      </c>
      <c r="B1437" s="1" t="n">
        <v>44672</v>
      </c>
      <c r="C1437" s="1" t="n">
        <v>45734</v>
      </c>
      <c r="D1437" t="inlineStr">
        <is>
          <t>JÄMTLANDS LÄN</t>
        </is>
      </c>
      <c r="E1437" t="inlineStr">
        <is>
          <t>STRÖMSUND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16516-2022</t>
        </is>
      </c>
      <c r="B1438" s="1" t="n">
        <v>44672</v>
      </c>
      <c r="C1438" s="1" t="n">
        <v>45734</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16848-2022</t>
        </is>
      </c>
      <c r="B1439" s="1" t="n">
        <v>44674</v>
      </c>
      <c r="C1439" s="1" t="n">
        <v>45734</v>
      </c>
      <c r="D1439" t="inlineStr">
        <is>
          <t>JÄMTLANDS LÄN</t>
        </is>
      </c>
      <c r="E1439" t="inlineStr">
        <is>
          <t>STRÖMSUND</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21844-2022</t>
        </is>
      </c>
      <c r="B1440" s="1" t="n">
        <v>44678</v>
      </c>
      <c r="C1440" s="1" t="n">
        <v>45734</v>
      </c>
      <c r="D1440" t="inlineStr">
        <is>
          <t>JÄMTLANDS LÄN</t>
        </is>
      </c>
      <c r="E1440" t="inlineStr">
        <is>
          <t>STRÖMSUND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17753-2022</t>
        </is>
      </c>
      <c r="B1441" s="1" t="n">
        <v>44681</v>
      </c>
      <c r="C1441" s="1" t="n">
        <v>45734</v>
      </c>
      <c r="D1441" t="inlineStr">
        <is>
          <t>JÄMTLANDS LÄN</t>
        </is>
      </c>
      <c r="E1441" t="inlineStr">
        <is>
          <t>STRÖMSUND</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17754-2022</t>
        </is>
      </c>
      <c r="B1442" s="1" t="n">
        <v>44680</v>
      </c>
      <c r="C1442" s="1" t="n">
        <v>45734</v>
      </c>
      <c r="D1442" t="inlineStr">
        <is>
          <t>JÄMTLANDS LÄN</t>
        </is>
      </c>
      <c r="E1442" t="inlineStr">
        <is>
          <t>STRÖMSUND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17752-2022</t>
        </is>
      </c>
      <c r="B1443" s="1" t="n">
        <v>44680</v>
      </c>
      <c r="C1443" s="1" t="n">
        <v>45734</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18205-2022</t>
        </is>
      </c>
      <c r="B1444" s="1" t="n">
        <v>44684</v>
      </c>
      <c r="C1444" s="1" t="n">
        <v>45734</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18553-2022</t>
        </is>
      </c>
      <c r="B1445" s="1" t="n">
        <v>44687</v>
      </c>
      <c r="C1445" s="1" t="n">
        <v>45734</v>
      </c>
      <c r="D1445" t="inlineStr">
        <is>
          <t>JÄMTLANDS LÄN</t>
        </is>
      </c>
      <c r="E1445" t="inlineStr">
        <is>
          <t>STRÖMSUND</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18573-2022</t>
        </is>
      </c>
      <c r="B1446" s="1" t="n">
        <v>44687</v>
      </c>
      <c r="C1446" s="1" t="n">
        <v>45734</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18572-2022</t>
        </is>
      </c>
      <c r="B1447" s="1" t="n">
        <v>44686</v>
      </c>
      <c r="C1447" s="1" t="n">
        <v>45734</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18750-2022</t>
        </is>
      </c>
      <c r="B1448" s="1" t="n">
        <v>44688</v>
      </c>
      <c r="C1448" s="1" t="n">
        <v>45734</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18749-2022</t>
        </is>
      </c>
      <c r="B1449" s="1" t="n">
        <v>44688</v>
      </c>
      <c r="C1449" s="1" t="n">
        <v>45734</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18751-2022</t>
        </is>
      </c>
      <c r="B1450" s="1" t="n">
        <v>44688</v>
      </c>
      <c r="C1450" s="1" t="n">
        <v>45734</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18994-2022</t>
        </is>
      </c>
      <c r="B1451" s="1" t="n">
        <v>44691</v>
      </c>
      <c r="C1451" s="1" t="n">
        <v>45734</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19209-2022</t>
        </is>
      </c>
      <c r="B1452" s="1" t="n">
        <v>44691</v>
      </c>
      <c r="C1452" s="1" t="n">
        <v>45734</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19602-2022</t>
        </is>
      </c>
      <c r="B1453" s="1" t="n">
        <v>44694</v>
      </c>
      <c r="C1453" s="1" t="n">
        <v>45734</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20058-2022</t>
        </is>
      </c>
      <c r="B1454" s="1" t="n">
        <v>44698</v>
      </c>
      <c r="C1454" s="1" t="n">
        <v>45734</v>
      </c>
      <c r="D1454" t="inlineStr">
        <is>
          <t>JÄMTLANDS LÄN</t>
        </is>
      </c>
      <c r="E1454" t="inlineStr">
        <is>
          <t>STRÖMSUND</t>
        </is>
      </c>
      <c r="G1454" t="n">
        <v>29.5</v>
      </c>
      <c r="H1454" t="n">
        <v>0</v>
      </c>
      <c r="I1454" t="n">
        <v>0</v>
      </c>
      <c r="J1454" t="n">
        <v>0</v>
      </c>
      <c r="K1454" t="n">
        <v>0</v>
      </c>
      <c r="L1454" t="n">
        <v>0</v>
      </c>
      <c r="M1454" t="n">
        <v>0</v>
      </c>
      <c r="N1454" t="n">
        <v>0</v>
      </c>
      <c r="O1454" t="n">
        <v>0</v>
      </c>
      <c r="P1454" t="n">
        <v>0</v>
      </c>
      <c r="Q1454" t="n">
        <v>0</v>
      </c>
      <c r="R1454" s="2" t="inlineStr"/>
    </row>
    <row r="1455" ht="15" customHeight="1">
      <c r="A1455" t="inlineStr">
        <is>
          <t>A 20072-2022</t>
        </is>
      </c>
      <c r="B1455" s="1" t="n">
        <v>44697</v>
      </c>
      <c r="C1455" s="1" t="n">
        <v>45734</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20073-2022</t>
        </is>
      </c>
      <c r="B1456" s="1" t="n">
        <v>44697</v>
      </c>
      <c r="C1456" s="1" t="n">
        <v>45734</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20071-2022</t>
        </is>
      </c>
      <c r="B1457" s="1" t="n">
        <v>44698</v>
      </c>
      <c r="C1457" s="1" t="n">
        <v>45734</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19964-2022</t>
        </is>
      </c>
      <c r="B1458" s="1" t="n">
        <v>44697</v>
      </c>
      <c r="C1458" s="1" t="n">
        <v>45734</v>
      </c>
      <c r="D1458" t="inlineStr">
        <is>
          <t>JÄMTLANDS LÄN</t>
        </is>
      </c>
      <c r="E1458" t="inlineStr">
        <is>
          <t>STRÖMSUND</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20266-2022</t>
        </is>
      </c>
      <c r="B1459" s="1" t="n">
        <v>44698</v>
      </c>
      <c r="C1459" s="1" t="n">
        <v>45734</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20334-2022</t>
        </is>
      </c>
      <c r="B1460" s="1" t="n">
        <v>44699</v>
      </c>
      <c r="C1460" s="1" t="n">
        <v>45734</v>
      </c>
      <c r="D1460" t="inlineStr">
        <is>
          <t>JÄMTLANDS LÄN</t>
        </is>
      </c>
      <c r="E1460" t="inlineStr">
        <is>
          <t>STRÖMSUND</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20339-2022</t>
        </is>
      </c>
      <c r="B1461" s="1" t="n">
        <v>44699</v>
      </c>
      <c r="C1461" s="1" t="n">
        <v>45734</v>
      </c>
      <c r="D1461" t="inlineStr">
        <is>
          <t>JÄMTLANDS LÄN</t>
        </is>
      </c>
      <c r="E1461" t="inlineStr">
        <is>
          <t>STRÖMSUND</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20432-2022</t>
        </is>
      </c>
      <c r="B1462" s="1" t="n">
        <v>44699</v>
      </c>
      <c r="C1462" s="1" t="n">
        <v>45734</v>
      </c>
      <c r="D1462" t="inlineStr">
        <is>
          <t>JÄMTLANDS LÄN</t>
        </is>
      </c>
      <c r="E1462" t="inlineStr">
        <is>
          <t>STRÖMSUND</t>
        </is>
      </c>
      <c r="F1462" t="inlineStr">
        <is>
          <t>SCA</t>
        </is>
      </c>
      <c r="G1462" t="n">
        <v>99.59999999999999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20331-2022</t>
        </is>
      </c>
      <c r="B1463" s="1" t="n">
        <v>44699</v>
      </c>
      <c r="C1463" s="1" t="n">
        <v>45734</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20707-2022</t>
        </is>
      </c>
      <c r="B1464" s="1" t="n">
        <v>44701</v>
      </c>
      <c r="C1464" s="1" t="n">
        <v>45734</v>
      </c>
      <c r="D1464" t="inlineStr">
        <is>
          <t>JÄMTLANDS LÄN</t>
        </is>
      </c>
      <c r="E1464" t="inlineStr">
        <is>
          <t>STRÖMSUND</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20706-2022</t>
        </is>
      </c>
      <c r="B1465" s="1" t="n">
        <v>44701</v>
      </c>
      <c r="C1465" s="1" t="n">
        <v>45734</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20708-2022</t>
        </is>
      </c>
      <c r="B1466" s="1" t="n">
        <v>44700</v>
      </c>
      <c r="C1466" s="1" t="n">
        <v>45734</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20865-2022</t>
        </is>
      </c>
      <c r="B1467" s="1" t="n">
        <v>44701</v>
      </c>
      <c r="C1467" s="1" t="n">
        <v>45734</v>
      </c>
      <c r="D1467" t="inlineStr">
        <is>
          <t>JÄMTLANDS LÄN</t>
        </is>
      </c>
      <c r="E1467" t="inlineStr">
        <is>
          <t>STRÖMSUND</t>
        </is>
      </c>
      <c r="F1467" t="inlineStr">
        <is>
          <t>Holmen skog AB</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20965-2022</t>
        </is>
      </c>
      <c r="B1468" s="1" t="n">
        <v>44701</v>
      </c>
      <c r="C1468" s="1" t="n">
        <v>45734</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20966-2022</t>
        </is>
      </c>
      <c r="B1469" s="1" t="n">
        <v>44702</v>
      </c>
      <c r="C1469" s="1" t="n">
        <v>45734</v>
      </c>
      <c r="D1469" t="inlineStr">
        <is>
          <t>JÄMTLANDS LÄN</t>
        </is>
      </c>
      <c r="E1469" t="inlineStr">
        <is>
          <t>STRÖMSUND</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21192-2022</t>
        </is>
      </c>
      <c r="B1470" s="1" t="n">
        <v>44705</v>
      </c>
      <c r="C1470" s="1" t="n">
        <v>45734</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21399-2022</t>
        </is>
      </c>
      <c r="B1471" s="1" t="n">
        <v>44706</v>
      </c>
      <c r="C1471" s="1" t="n">
        <v>45734</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21410-2022</t>
        </is>
      </c>
      <c r="B1472" s="1" t="n">
        <v>44706</v>
      </c>
      <c r="C1472" s="1" t="n">
        <v>45734</v>
      </c>
      <c r="D1472" t="inlineStr">
        <is>
          <t>JÄMTLANDS LÄN</t>
        </is>
      </c>
      <c r="E1472" t="inlineStr">
        <is>
          <t>STRÖMSUND</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21646-2022</t>
        </is>
      </c>
      <c r="B1473" s="1" t="n">
        <v>44707</v>
      </c>
      <c r="C1473" s="1" t="n">
        <v>45734</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21647-2022</t>
        </is>
      </c>
      <c r="B1474" s="1" t="n">
        <v>44707</v>
      </c>
      <c r="C1474" s="1" t="n">
        <v>45734</v>
      </c>
      <c r="D1474" t="inlineStr">
        <is>
          <t>JÄMTLANDS LÄN</t>
        </is>
      </c>
      <c r="E1474" t="inlineStr">
        <is>
          <t>STRÖMSUND</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21650-2022</t>
        </is>
      </c>
      <c r="B1475" s="1" t="n">
        <v>44706</v>
      </c>
      <c r="C1475" s="1" t="n">
        <v>45734</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21649-2022</t>
        </is>
      </c>
      <c r="B1476" s="1" t="n">
        <v>44707</v>
      </c>
      <c r="C1476" s="1" t="n">
        <v>45734</v>
      </c>
      <c r="D1476" t="inlineStr">
        <is>
          <t>JÄMTLANDS LÄN</t>
        </is>
      </c>
      <c r="E1476" t="inlineStr">
        <is>
          <t>STRÖMSUND</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21702-2022</t>
        </is>
      </c>
      <c r="B1477" s="1" t="n">
        <v>44708</v>
      </c>
      <c r="C1477" s="1" t="n">
        <v>45734</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21700-2022</t>
        </is>
      </c>
      <c r="B1478" s="1" t="n">
        <v>44708</v>
      </c>
      <c r="C1478" s="1" t="n">
        <v>45734</v>
      </c>
      <c r="D1478" t="inlineStr">
        <is>
          <t>JÄMTLANDS LÄN</t>
        </is>
      </c>
      <c r="E1478" t="inlineStr">
        <is>
          <t>STRÖMSUND</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21701-2022</t>
        </is>
      </c>
      <c r="B1479" s="1" t="n">
        <v>44708</v>
      </c>
      <c r="C1479" s="1" t="n">
        <v>45734</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21771-2022</t>
        </is>
      </c>
      <c r="B1480" s="1" t="n">
        <v>44708</v>
      </c>
      <c r="C1480" s="1" t="n">
        <v>45734</v>
      </c>
      <c r="D1480" t="inlineStr">
        <is>
          <t>JÄMTLANDS LÄN</t>
        </is>
      </c>
      <c r="E1480" t="inlineStr">
        <is>
          <t>STRÖMSUND</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21812-2022</t>
        </is>
      </c>
      <c r="B1481" s="1" t="n">
        <v>44708</v>
      </c>
      <c r="C1481" s="1" t="n">
        <v>45734</v>
      </c>
      <c r="D1481" t="inlineStr">
        <is>
          <t>JÄMTLANDS LÄN</t>
        </is>
      </c>
      <c r="E1481" t="inlineStr">
        <is>
          <t>STRÖMSUND</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22026-2022</t>
        </is>
      </c>
      <c r="B1482" s="1" t="n">
        <v>44711</v>
      </c>
      <c r="C1482" s="1" t="n">
        <v>45734</v>
      </c>
      <c r="D1482" t="inlineStr">
        <is>
          <t>JÄMTLANDS LÄN</t>
        </is>
      </c>
      <c r="E1482" t="inlineStr">
        <is>
          <t>STRÖMSUND</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44712</v>
      </c>
      <c r="C1483" s="1" t="n">
        <v>45734</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22338-2022</t>
        </is>
      </c>
      <c r="B1484" s="1" t="n">
        <v>44712</v>
      </c>
      <c r="C1484" s="1" t="n">
        <v>45734</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22337-2022</t>
        </is>
      </c>
      <c r="B1485" s="1" t="n">
        <v>44713</v>
      </c>
      <c r="C1485" s="1" t="n">
        <v>45734</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22560-2022</t>
        </is>
      </c>
      <c r="B1486" s="1" t="n">
        <v>44714</v>
      </c>
      <c r="C1486" s="1" t="n">
        <v>45734</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22564-2022</t>
        </is>
      </c>
      <c r="B1487" s="1" t="n">
        <v>44713</v>
      </c>
      <c r="C1487" s="1" t="n">
        <v>45734</v>
      </c>
      <c r="D1487" t="inlineStr">
        <is>
          <t>JÄMTLANDS LÄN</t>
        </is>
      </c>
      <c r="E1487" t="inlineStr">
        <is>
          <t>STRÖMSUND</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22558-2022</t>
        </is>
      </c>
      <c r="B1488" s="1" t="n">
        <v>44713</v>
      </c>
      <c r="C1488" s="1" t="n">
        <v>45734</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22561-2022</t>
        </is>
      </c>
      <c r="B1489" s="1" t="n">
        <v>44714</v>
      </c>
      <c r="C1489" s="1" t="n">
        <v>45734</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22559-2022</t>
        </is>
      </c>
      <c r="B1490" s="1" t="n">
        <v>44714</v>
      </c>
      <c r="C1490" s="1" t="n">
        <v>45734</v>
      </c>
      <c r="D1490" t="inlineStr">
        <is>
          <t>JÄMTLANDS LÄN</t>
        </is>
      </c>
      <c r="E1490" t="inlineStr">
        <is>
          <t>STRÖMSUND</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22568-2022</t>
        </is>
      </c>
      <c r="B1491" s="1" t="n">
        <v>44714</v>
      </c>
      <c r="C1491" s="1" t="n">
        <v>45734</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22659-2022</t>
        </is>
      </c>
      <c r="B1492" s="1" t="n">
        <v>44714</v>
      </c>
      <c r="C1492" s="1" t="n">
        <v>45734</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22616-2022</t>
        </is>
      </c>
      <c r="B1493" s="1" t="n">
        <v>44714</v>
      </c>
      <c r="C1493" s="1" t="n">
        <v>45734</v>
      </c>
      <c r="D1493" t="inlineStr">
        <is>
          <t>JÄMTLANDS LÄN</t>
        </is>
      </c>
      <c r="E1493" t="inlineStr">
        <is>
          <t>STRÖMSUND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22966-2022</t>
        </is>
      </c>
      <c r="B1494" s="1" t="n">
        <v>44716</v>
      </c>
      <c r="C1494" s="1" t="n">
        <v>45734</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22814-2022</t>
        </is>
      </c>
      <c r="B1495" s="1" t="n">
        <v>44715</v>
      </c>
      <c r="C1495" s="1" t="n">
        <v>45734</v>
      </c>
      <c r="D1495" t="inlineStr">
        <is>
          <t>JÄMTLANDS LÄN</t>
        </is>
      </c>
      <c r="E1495" t="inlineStr">
        <is>
          <t>STRÖMSUND</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22960-2022</t>
        </is>
      </c>
      <c r="B1496" s="1" t="n">
        <v>44716</v>
      </c>
      <c r="C1496" s="1" t="n">
        <v>45734</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22961-2022</t>
        </is>
      </c>
      <c r="B1497" s="1" t="n">
        <v>44715</v>
      </c>
      <c r="C1497" s="1" t="n">
        <v>45734</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23128-2022</t>
        </is>
      </c>
      <c r="B1498" s="1" t="n">
        <v>44719</v>
      </c>
      <c r="C1498" s="1" t="n">
        <v>45734</v>
      </c>
      <c r="D1498" t="inlineStr">
        <is>
          <t>JÄMTLANDS LÄN</t>
        </is>
      </c>
      <c r="E1498" t="inlineStr">
        <is>
          <t>STRÖMSUND</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23209-2022</t>
        </is>
      </c>
      <c r="B1499" s="1" t="n">
        <v>44719</v>
      </c>
      <c r="C1499" s="1" t="n">
        <v>45734</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23217-2022</t>
        </is>
      </c>
      <c r="B1500" s="1" t="n">
        <v>44720</v>
      </c>
      <c r="C1500" s="1" t="n">
        <v>45734</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23208-2022</t>
        </is>
      </c>
      <c r="B1501" s="1" t="n">
        <v>44719</v>
      </c>
      <c r="C1501" s="1" t="n">
        <v>45734</v>
      </c>
      <c r="D1501" t="inlineStr">
        <is>
          <t>JÄMTLANDS LÄN</t>
        </is>
      </c>
      <c r="E1501" t="inlineStr">
        <is>
          <t>STRÖMSUND</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23214-2022</t>
        </is>
      </c>
      <c r="B1502" s="1" t="n">
        <v>44720</v>
      </c>
      <c r="C1502" s="1" t="n">
        <v>45734</v>
      </c>
      <c r="D1502" t="inlineStr">
        <is>
          <t>JÄMTLANDS LÄN</t>
        </is>
      </c>
      <c r="E1502" t="inlineStr">
        <is>
          <t>STRÖMSUND</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23206-2022</t>
        </is>
      </c>
      <c r="B1503" s="1" t="n">
        <v>44719</v>
      </c>
      <c r="C1503" s="1" t="n">
        <v>45734</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23453-2022</t>
        </is>
      </c>
      <c r="B1504" s="1" t="n">
        <v>44721</v>
      </c>
      <c r="C1504" s="1" t="n">
        <v>45734</v>
      </c>
      <c r="D1504" t="inlineStr">
        <is>
          <t>JÄMTLANDS LÄN</t>
        </is>
      </c>
      <c r="E1504" t="inlineStr">
        <is>
          <t>STRÖMSUND</t>
        </is>
      </c>
      <c r="F1504" t="inlineStr">
        <is>
          <t>SCA</t>
        </is>
      </c>
      <c r="G1504" t="n">
        <v>48.2</v>
      </c>
      <c r="H1504" t="n">
        <v>0</v>
      </c>
      <c r="I1504" t="n">
        <v>0</v>
      </c>
      <c r="J1504" t="n">
        <v>0</v>
      </c>
      <c r="K1504" t="n">
        <v>0</v>
      </c>
      <c r="L1504" t="n">
        <v>0</v>
      </c>
      <c r="M1504" t="n">
        <v>0</v>
      </c>
      <c r="N1504" t="n">
        <v>0</v>
      </c>
      <c r="O1504" t="n">
        <v>0</v>
      </c>
      <c r="P1504" t="n">
        <v>0</v>
      </c>
      <c r="Q1504" t="n">
        <v>0</v>
      </c>
      <c r="R1504" s="2" t="inlineStr"/>
    </row>
    <row r="1505" ht="15" customHeight="1">
      <c r="A1505" t="inlineStr">
        <is>
          <t>A 23675-2022</t>
        </is>
      </c>
      <c r="B1505" s="1" t="n">
        <v>44722</v>
      </c>
      <c r="C1505" s="1" t="n">
        <v>45734</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24006-2022</t>
        </is>
      </c>
      <c r="B1506" s="1" t="n">
        <v>44723</v>
      </c>
      <c r="C1506" s="1" t="n">
        <v>45734</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24020-2022</t>
        </is>
      </c>
      <c r="B1507" s="1" t="n">
        <v>44723</v>
      </c>
      <c r="C1507" s="1" t="n">
        <v>45734</v>
      </c>
      <c r="D1507" t="inlineStr">
        <is>
          <t>JÄMTLANDS LÄN</t>
        </is>
      </c>
      <c r="E1507" t="inlineStr">
        <is>
          <t>STRÖMSUND</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24021-2022</t>
        </is>
      </c>
      <c r="B1508" s="1" t="n">
        <v>44723</v>
      </c>
      <c r="C1508" s="1" t="n">
        <v>45734</v>
      </c>
      <c r="D1508" t="inlineStr">
        <is>
          <t>JÄMTLANDS LÄN</t>
        </is>
      </c>
      <c r="E1508" t="inlineStr">
        <is>
          <t>STRÖMSUND</t>
        </is>
      </c>
      <c r="F1508" t="inlineStr">
        <is>
          <t>SCA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24023-2022</t>
        </is>
      </c>
      <c r="B1509" s="1" t="n">
        <v>44723</v>
      </c>
      <c r="C1509" s="1" t="n">
        <v>45734</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24303-2022</t>
        </is>
      </c>
      <c r="B1510" s="1" t="n">
        <v>44726</v>
      </c>
      <c r="C1510" s="1" t="n">
        <v>45734</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24302-2022</t>
        </is>
      </c>
      <c r="B1511" s="1" t="n">
        <v>44726</v>
      </c>
      <c r="C1511" s="1" t="n">
        <v>45734</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24319-2022</t>
        </is>
      </c>
      <c r="B1512" s="1" t="n">
        <v>44726</v>
      </c>
      <c r="C1512" s="1" t="n">
        <v>45734</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24487-2022</t>
        </is>
      </c>
      <c r="B1513" s="1" t="n">
        <v>44726</v>
      </c>
      <c r="C1513" s="1" t="n">
        <v>45734</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24488-2022</t>
        </is>
      </c>
      <c r="B1514" s="1" t="n">
        <v>44726</v>
      </c>
      <c r="C1514" s="1" t="n">
        <v>45734</v>
      </c>
      <c r="D1514" t="inlineStr">
        <is>
          <t>JÄMTLANDS LÄN</t>
        </is>
      </c>
      <c r="E1514" t="inlineStr">
        <is>
          <t>STRÖMSUND</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24509-2022</t>
        </is>
      </c>
      <c r="B1515" s="1" t="n">
        <v>44726</v>
      </c>
      <c r="C1515" s="1" t="n">
        <v>45734</v>
      </c>
      <c r="D1515" t="inlineStr">
        <is>
          <t>JÄMTLANDS LÄN</t>
        </is>
      </c>
      <c r="E1515" t="inlineStr">
        <is>
          <t>STRÖMSUND</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24508-2022</t>
        </is>
      </c>
      <c r="B1516" s="1" t="n">
        <v>44726</v>
      </c>
      <c r="C1516" s="1" t="n">
        <v>45734</v>
      </c>
      <c r="D1516" t="inlineStr">
        <is>
          <t>JÄMTLANDS LÄN</t>
        </is>
      </c>
      <c r="E1516" t="inlineStr">
        <is>
          <t>STRÖMSUND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24728-2022</t>
        </is>
      </c>
      <c r="B1517" s="1" t="n">
        <v>44727</v>
      </c>
      <c r="C1517" s="1" t="n">
        <v>45734</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24918-2022</t>
        </is>
      </c>
      <c r="B1518" s="1" t="n">
        <v>44728</v>
      </c>
      <c r="C1518" s="1" t="n">
        <v>45734</v>
      </c>
      <c r="D1518" t="inlineStr">
        <is>
          <t>JÄMTLANDS LÄN</t>
        </is>
      </c>
      <c r="E1518" t="inlineStr">
        <is>
          <t>STRÖMSUND</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24912-2022</t>
        </is>
      </c>
      <c r="B1519" s="1" t="n">
        <v>44728</v>
      </c>
      <c r="C1519" s="1" t="n">
        <v>45734</v>
      </c>
      <c r="D1519" t="inlineStr">
        <is>
          <t>JÄMTLANDS LÄN</t>
        </is>
      </c>
      <c r="E1519" t="inlineStr">
        <is>
          <t>STRÖMSUND</t>
        </is>
      </c>
      <c r="F1519" t="inlineStr">
        <is>
          <t>Kyrkan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24965-2022</t>
        </is>
      </c>
      <c r="B1520" s="1" t="n">
        <v>44728</v>
      </c>
      <c r="C1520" s="1" t="n">
        <v>45734</v>
      </c>
      <c r="D1520" t="inlineStr">
        <is>
          <t>JÄMTLANDS LÄN</t>
        </is>
      </c>
      <c r="E1520" t="inlineStr">
        <is>
          <t>STRÖMSUND</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25018-2022</t>
        </is>
      </c>
      <c r="B1521" s="1" t="n">
        <v>44728</v>
      </c>
      <c r="C1521" s="1" t="n">
        <v>45734</v>
      </c>
      <c r="D1521" t="inlineStr">
        <is>
          <t>JÄMTLANDS LÄN</t>
        </is>
      </c>
      <c r="E1521" t="inlineStr">
        <is>
          <t>STRÖMSUND</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25016-2022</t>
        </is>
      </c>
      <c r="B1522" s="1" t="n">
        <v>44729</v>
      </c>
      <c r="C1522" s="1" t="n">
        <v>45734</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25085-2022</t>
        </is>
      </c>
      <c r="B1523" s="1" t="n">
        <v>44729</v>
      </c>
      <c r="C1523" s="1" t="n">
        <v>45734</v>
      </c>
      <c r="D1523" t="inlineStr">
        <is>
          <t>JÄMTLANDS LÄN</t>
        </is>
      </c>
      <c r="E1523" t="inlineStr">
        <is>
          <t>STRÖMSUND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25662-2022</t>
        </is>
      </c>
      <c r="B1524" s="1" t="n">
        <v>44732</v>
      </c>
      <c r="C1524" s="1" t="n">
        <v>45734</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25847-2022</t>
        </is>
      </c>
      <c r="B1525" s="1" t="n">
        <v>44733</v>
      </c>
      <c r="C1525" s="1" t="n">
        <v>45734</v>
      </c>
      <c r="D1525" t="inlineStr">
        <is>
          <t>JÄMTLANDS LÄN</t>
        </is>
      </c>
      <c r="E1525" t="inlineStr">
        <is>
          <t>STRÖMSUND</t>
        </is>
      </c>
      <c r="F1525" t="inlineStr">
        <is>
          <t>Kyrkan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25843-2022</t>
        </is>
      </c>
      <c r="B1526" s="1" t="n">
        <v>44733</v>
      </c>
      <c r="C1526" s="1" t="n">
        <v>45734</v>
      </c>
      <c r="D1526" t="inlineStr">
        <is>
          <t>JÄMTLANDS LÄN</t>
        </is>
      </c>
      <c r="E1526" t="inlineStr">
        <is>
          <t>STRÖMSUND</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26117-2022</t>
        </is>
      </c>
      <c r="B1527" s="1" t="n">
        <v>44735</v>
      </c>
      <c r="C1527" s="1" t="n">
        <v>45734</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26116-2022</t>
        </is>
      </c>
      <c r="B1528" s="1" t="n">
        <v>44734</v>
      </c>
      <c r="C1528" s="1" t="n">
        <v>45734</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26130-2022</t>
        </is>
      </c>
      <c r="B1529" s="1" t="n">
        <v>44735</v>
      </c>
      <c r="C1529" s="1" t="n">
        <v>45734</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26133-2022</t>
        </is>
      </c>
      <c r="B1530" s="1" t="n">
        <v>44735</v>
      </c>
      <c r="C1530" s="1" t="n">
        <v>45734</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26126-2022</t>
        </is>
      </c>
      <c r="B1531" s="1" t="n">
        <v>44735</v>
      </c>
      <c r="C1531" s="1" t="n">
        <v>45734</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26132-2022</t>
        </is>
      </c>
      <c r="B1532" s="1" t="n">
        <v>44734</v>
      </c>
      <c r="C1532" s="1" t="n">
        <v>45734</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26421-2022</t>
        </is>
      </c>
      <c r="B1533" s="1" t="n">
        <v>44736</v>
      </c>
      <c r="C1533" s="1" t="n">
        <v>45734</v>
      </c>
      <c r="D1533" t="inlineStr">
        <is>
          <t>JÄMTLANDS LÄN</t>
        </is>
      </c>
      <c r="E1533" t="inlineStr">
        <is>
          <t>STRÖMSUND</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26734-2022</t>
        </is>
      </c>
      <c r="B1534" s="1" t="n">
        <v>44740</v>
      </c>
      <c r="C1534" s="1" t="n">
        <v>45734</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26943-2022</t>
        </is>
      </c>
      <c r="B1535" s="1" t="n">
        <v>44740</v>
      </c>
      <c r="C1535" s="1" t="n">
        <v>45734</v>
      </c>
      <c r="D1535" t="inlineStr">
        <is>
          <t>JÄMTLANDS LÄN</t>
        </is>
      </c>
      <c r="E1535" t="inlineStr">
        <is>
          <t>STRÖMSUND</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27035-2022</t>
        </is>
      </c>
      <c r="B1536" s="1" t="n">
        <v>44741</v>
      </c>
      <c r="C1536" s="1" t="n">
        <v>45734</v>
      </c>
      <c r="D1536" t="inlineStr">
        <is>
          <t>JÄMTLANDS LÄN</t>
        </is>
      </c>
      <c r="E1536" t="inlineStr">
        <is>
          <t>STRÖMSUND</t>
        </is>
      </c>
      <c r="F1536" t="inlineStr">
        <is>
          <t>SCA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27034-2022</t>
        </is>
      </c>
      <c r="B1537" s="1" t="n">
        <v>44741</v>
      </c>
      <c r="C1537" s="1" t="n">
        <v>45734</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27032-2022</t>
        </is>
      </c>
      <c r="B1538" s="1" t="n">
        <v>44740</v>
      </c>
      <c r="C1538" s="1" t="n">
        <v>45734</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27031-2022</t>
        </is>
      </c>
      <c r="B1539" s="1" t="n">
        <v>44741</v>
      </c>
      <c r="C1539" s="1" t="n">
        <v>45734</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27036-2022</t>
        </is>
      </c>
      <c r="B1540" s="1" t="n">
        <v>44741</v>
      </c>
      <c r="C1540" s="1" t="n">
        <v>45734</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27037-2022</t>
        </is>
      </c>
      <c r="B1541" s="1" t="n">
        <v>44741</v>
      </c>
      <c r="C1541" s="1" t="n">
        <v>45734</v>
      </c>
      <c r="D1541" t="inlineStr">
        <is>
          <t>JÄMTLANDS LÄN</t>
        </is>
      </c>
      <c r="E1541" t="inlineStr">
        <is>
          <t>STRÖMSUND</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27295-2022</t>
        </is>
      </c>
      <c r="B1542" s="1" t="n">
        <v>44742</v>
      </c>
      <c r="C1542" s="1" t="n">
        <v>45734</v>
      </c>
      <c r="D1542" t="inlineStr">
        <is>
          <t>JÄMTLANDS LÄN</t>
        </is>
      </c>
      <c r="E1542" t="inlineStr">
        <is>
          <t>STRÖMSUND</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27290-2022</t>
        </is>
      </c>
      <c r="B1543" s="1" t="n">
        <v>44741</v>
      </c>
      <c r="C1543" s="1" t="n">
        <v>45734</v>
      </c>
      <c r="D1543" t="inlineStr">
        <is>
          <t>JÄMTLANDS LÄN</t>
        </is>
      </c>
      <c r="E1543" t="inlineStr">
        <is>
          <t>STRÖMSUND</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27285-2022</t>
        </is>
      </c>
      <c r="B1544" s="1" t="n">
        <v>44742</v>
      </c>
      <c r="C1544" s="1" t="n">
        <v>45734</v>
      </c>
      <c r="D1544" t="inlineStr">
        <is>
          <t>JÄMTLANDS LÄN</t>
        </is>
      </c>
      <c r="E1544" t="inlineStr">
        <is>
          <t>STRÖMSUND</t>
        </is>
      </c>
      <c r="F1544" t="inlineStr">
        <is>
          <t>SCA</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27574-2022</t>
        </is>
      </c>
      <c r="B1545" s="1" t="n">
        <v>44743</v>
      </c>
      <c r="C1545" s="1" t="n">
        <v>45734</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27586-2022</t>
        </is>
      </c>
      <c r="B1546" s="1" t="n">
        <v>44743</v>
      </c>
      <c r="C1546" s="1" t="n">
        <v>45734</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27585-2022</t>
        </is>
      </c>
      <c r="B1547" s="1" t="n">
        <v>44742</v>
      </c>
      <c r="C1547" s="1" t="n">
        <v>45734</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27568-2022</t>
        </is>
      </c>
      <c r="B1548" s="1" t="n">
        <v>44743</v>
      </c>
      <c r="C1548" s="1" t="n">
        <v>45734</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27584-2022</t>
        </is>
      </c>
      <c r="B1549" s="1" t="n">
        <v>44742</v>
      </c>
      <c r="C1549" s="1" t="n">
        <v>45734</v>
      </c>
      <c r="D1549" t="inlineStr">
        <is>
          <t>JÄMTLANDS LÄN</t>
        </is>
      </c>
      <c r="E1549" t="inlineStr">
        <is>
          <t>STRÖMSUND</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27594-2022</t>
        </is>
      </c>
      <c r="B1550" s="1" t="n">
        <v>44743</v>
      </c>
      <c r="C1550" s="1" t="n">
        <v>45734</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27600-2022</t>
        </is>
      </c>
      <c r="B1551" s="1" t="n">
        <v>44743</v>
      </c>
      <c r="C1551" s="1" t="n">
        <v>45734</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27601-2022</t>
        </is>
      </c>
      <c r="B1552" s="1" t="n">
        <v>44743</v>
      </c>
      <c r="C1552" s="1" t="n">
        <v>45734</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27596-2022</t>
        </is>
      </c>
      <c r="B1553" s="1" t="n">
        <v>44742</v>
      </c>
      <c r="C1553" s="1" t="n">
        <v>45734</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27923-2022</t>
        </is>
      </c>
      <c r="B1554" s="1" t="n">
        <v>44744</v>
      </c>
      <c r="C1554" s="1" t="n">
        <v>45734</v>
      </c>
      <c r="D1554" t="inlineStr">
        <is>
          <t>JÄMTLANDS LÄN</t>
        </is>
      </c>
      <c r="E1554" t="inlineStr">
        <is>
          <t>STRÖMSUND</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27927-2022</t>
        </is>
      </c>
      <c r="B1555" s="1" t="n">
        <v>44744</v>
      </c>
      <c r="C1555" s="1" t="n">
        <v>45734</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27942-2022</t>
        </is>
      </c>
      <c r="B1556" s="1" t="n">
        <v>44744</v>
      </c>
      <c r="C1556" s="1" t="n">
        <v>45734</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27917-2022</t>
        </is>
      </c>
      <c r="B1557" s="1" t="n">
        <v>44744</v>
      </c>
      <c r="C1557" s="1" t="n">
        <v>45734</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27930-2022</t>
        </is>
      </c>
      <c r="B1558" s="1" t="n">
        <v>44743</v>
      </c>
      <c r="C1558" s="1" t="n">
        <v>45734</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27941-2022</t>
        </is>
      </c>
      <c r="B1559" s="1" t="n">
        <v>44744</v>
      </c>
      <c r="C1559" s="1" t="n">
        <v>45734</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27946-2022</t>
        </is>
      </c>
      <c r="B1560" s="1" t="n">
        <v>44744</v>
      </c>
      <c r="C1560" s="1" t="n">
        <v>45734</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27929-2022</t>
        </is>
      </c>
      <c r="B1561" s="1" t="n">
        <v>44744</v>
      </c>
      <c r="C1561" s="1" t="n">
        <v>45734</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27940-2022</t>
        </is>
      </c>
      <c r="B1562" s="1" t="n">
        <v>44744</v>
      </c>
      <c r="C1562" s="1" t="n">
        <v>45734</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27928-2022</t>
        </is>
      </c>
      <c r="B1563" s="1" t="n">
        <v>44744</v>
      </c>
      <c r="C1563" s="1" t="n">
        <v>45734</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28289-2022</t>
        </is>
      </c>
      <c r="B1564" s="1" t="n">
        <v>44747</v>
      </c>
      <c r="C1564" s="1" t="n">
        <v>45734</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28294-2022</t>
        </is>
      </c>
      <c r="B1565" s="1" t="n">
        <v>44747</v>
      </c>
      <c r="C1565" s="1" t="n">
        <v>45734</v>
      </c>
      <c r="D1565" t="inlineStr">
        <is>
          <t>JÄMTLANDS LÄN</t>
        </is>
      </c>
      <c r="E1565" t="inlineStr">
        <is>
          <t>STRÖMSUND</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28286-2022</t>
        </is>
      </c>
      <c r="B1566" s="1" t="n">
        <v>44746</v>
      </c>
      <c r="C1566" s="1" t="n">
        <v>45734</v>
      </c>
      <c r="D1566" t="inlineStr">
        <is>
          <t>JÄMTLANDS LÄN</t>
        </is>
      </c>
      <c r="E1566" t="inlineStr">
        <is>
          <t>STRÖMSUND</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28290-2022</t>
        </is>
      </c>
      <c r="B1567" s="1" t="n">
        <v>44747</v>
      </c>
      <c r="C1567" s="1" t="n">
        <v>45734</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45734</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28483-2022</t>
        </is>
      </c>
      <c r="B1569" s="1" t="n">
        <v>44747</v>
      </c>
      <c r="C1569" s="1" t="n">
        <v>45734</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28494-2022</t>
        </is>
      </c>
      <c r="B1570" s="1" t="n">
        <v>44748</v>
      </c>
      <c r="C1570" s="1" t="n">
        <v>45734</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28493-2022</t>
        </is>
      </c>
      <c r="B1571" s="1" t="n">
        <v>44747</v>
      </c>
      <c r="C1571" s="1" t="n">
        <v>45734</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28498-2022</t>
        </is>
      </c>
      <c r="B1572" s="1" t="n">
        <v>44748</v>
      </c>
      <c r="C1572" s="1" t="n">
        <v>45734</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28496-2022</t>
        </is>
      </c>
      <c r="B1573" s="1" t="n">
        <v>44748</v>
      </c>
      <c r="C1573" s="1" t="n">
        <v>45734</v>
      </c>
      <c r="D1573" t="inlineStr">
        <is>
          <t>JÄMTLANDS LÄN</t>
        </is>
      </c>
      <c r="E1573" t="inlineStr">
        <is>
          <t>STRÖMSUND</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28520-2022</t>
        </is>
      </c>
      <c r="B1574" s="1" t="n">
        <v>44748</v>
      </c>
      <c r="C1574" s="1" t="n">
        <v>45734</v>
      </c>
      <c r="D1574" t="inlineStr">
        <is>
          <t>JÄMTLANDS LÄN</t>
        </is>
      </c>
      <c r="E1574" t="inlineStr">
        <is>
          <t>STRÖMSUND</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28533-2022</t>
        </is>
      </c>
      <c r="B1575" s="1" t="n">
        <v>44748</v>
      </c>
      <c r="C1575" s="1" t="n">
        <v>45734</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28705-2022</t>
        </is>
      </c>
      <c r="B1576" s="1" t="n">
        <v>44748</v>
      </c>
      <c r="C1576" s="1" t="n">
        <v>45734</v>
      </c>
      <c r="D1576" t="inlineStr">
        <is>
          <t>JÄMTLANDS LÄN</t>
        </is>
      </c>
      <c r="E1576" t="inlineStr">
        <is>
          <t>STRÖMSUND</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28734-2022</t>
        </is>
      </c>
      <c r="B1577" s="1" t="n">
        <v>44748</v>
      </c>
      <c r="C1577" s="1" t="n">
        <v>45734</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28948-2022</t>
        </is>
      </c>
      <c r="B1578" s="1" t="n">
        <v>44749</v>
      </c>
      <c r="C1578" s="1" t="n">
        <v>45734</v>
      </c>
      <c r="D1578" t="inlineStr">
        <is>
          <t>JÄMTLANDS LÄN</t>
        </is>
      </c>
      <c r="E1578" t="inlineStr">
        <is>
          <t>STRÖMSUND</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29042-2022</t>
        </is>
      </c>
      <c r="B1579" s="1" t="n">
        <v>44749</v>
      </c>
      <c r="C1579" s="1" t="n">
        <v>45734</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29045-2022</t>
        </is>
      </c>
      <c r="B1580" s="1" t="n">
        <v>44750</v>
      </c>
      <c r="C1580" s="1" t="n">
        <v>45734</v>
      </c>
      <c r="D1580" t="inlineStr">
        <is>
          <t>JÄMTLANDS LÄN</t>
        </is>
      </c>
      <c r="E1580" t="inlineStr">
        <is>
          <t>STRÖMSUND</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28869-2022</t>
        </is>
      </c>
      <c r="B1581" s="1" t="n">
        <v>44749</v>
      </c>
      <c r="C1581" s="1" t="n">
        <v>45734</v>
      </c>
      <c r="D1581" t="inlineStr">
        <is>
          <t>JÄMTLANDS LÄN</t>
        </is>
      </c>
      <c r="E1581" t="inlineStr">
        <is>
          <t>STRÖMSUND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29033-2022</t>
        </is>
      </c>
      <c r="B1582" s="1" t="n">
        <v>44750</v>
      </c>
      <c r="C1582" s="1" t="n">
        <v>45734</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29043-2022</t>
        </is>
      </c>
      <c r="B1583" s="1" t="n">
        <v>44749</v>
      </c>
      <c r="C1583" s="1" t="n">
        <v>45734</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29295-2022</t>
        </is>
      </c>
      <c r="B1584" s="1" t="n">
        <v>44751</v>
      </c>
      <c r="C1584" s="1" t="n">
        <v>45734</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29276-2022</t>
        </is>
      </c>
      <c r="B1585" s="1" t="n">
        <v>44750</v>
      </c>
      <c r="C1585" s="1" t="n">
        <v>45734</v>
      </c>
      <c r="D1585" t="inlineStr">
        <is>
          <t>JÄMTLANDS LÄN</t>
        </is>
      </c>
      <c r="E1585" t="inlineStr">
        <is>
          <t>STRÖMSUND</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29353-2022</t>
        </is>
      </c>
      <c r="B1586" s="1" t="n">
        <v>44750</v>
      </c>
      <c r="C1586" s="1" t="n">
        <v>45734</v>
      </c>
      <c r="D1586" t="inlineStr">
        <is>
          <t>JÄMTLANDS LÄN</t>
        </is>
      </c>
      <c r="E1586" t="inlineStr">
        <is>
          <t>STRÖMSUND</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29296-2022</t>
        </is>
      </c>
      <c r="B1587" s="1" t="n">
        <v>44751</v>
      </c>
      <c r="C1587" s="1" t="n">
        <v>45734</v>
      </c>
      <c r="D1587" t="inlineStr">
        <is>
          <t>JÄMTLANDS LÄN</t>
        </is>
      </c>
      <c r="E1587" t="inlineStr">
        <is>
          <t>STRÖMSUND</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29545-2022</t>
        </is>
      </c>
      <c r="B1588" s="1" t="n">
        <v>44753</v>
      </c>
      <c r="C1588" s="1" t="n">
        <v>45734</v>
      </c>
      <c r="D1588" t="inlineStr">
        <is>
          <t>JÄMTLANDS LÄN</t>
        </is>
      </c>
      <c r="E1588" t="inlineStr">
        <is>
          <t>STRÖMSUND</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29541-2022</t>
        </is>
      </c>
      <c r="B1589" s="1" t="n">
        <v>44754</v>
      </c>
      <c r="C1589" s="1" t="n">
        <v>45734</v>
      </c>
      <c r="D1589" t="inlineStr">
        <is>
          <t>JÄMTLANDS LÄN</t>
        </is>
      </c>
      <c r="E1589" t="inlineStr">
        <is>
          <t>STRÖMSUND</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29540-2022</t>
        </is>
      </c>
      <c r="B1590" s="1" t="n">
        <v>44754</v>
      </c>
      <c r="C1590" s="1" t="n">
        <v>45734</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29550-2022</t>
        </is>
      </c>
      <c r="B1591" s="1" t="n">
        <v>44754</v>
      </c>
      <c r="C1591" s="1" t="n">
        <v>45734</v>
      </c>
      <c r="D1591" t="inlineStr">
        <is>
          <t>JÄMTLANDS LÄN</t>
        </is>
      </c>
      <c r="E1591" t="inlineStr">
        <is>
          <t>STRÖMSUND</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29830-2022</t>
        </is>
      </c>
      <c r="B1592" s="1" t="n">
        <v>44755</v>
      </c>
      <c r="C1592" s="1" t="n">
        <v>45734</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29875-2022</t>
        </is>
      </c>
      <c r="B1593" s="1" t="n">
        <v>44756</v>
      </c>
      <c r="C1593" s="1" t="n">
        <v>45734</v>
      </c>
      <c r="D1593" t="inlineStr">
        <is>
          <t>JÄMTLANDS LÄN</t>
        </is>
      </c>
      <c r="E1593" t="inlineStr">
        <is>
          <t>STRÖMSUND</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30021-2022</t>
        </is>
      </c>
      <c r="B1594" s="1" t="n">
        <v>44757</v>
      </c>
      <c r="C1594" s="1" t="n">
        <v>45734</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30036-2022</t>
        </is>
      </c>
      <c r="B1595" s="1" t="n">
        <v>44756</v>
      </c>
      <c r="C1595" s="1" t="n">
        <v>45734</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30024-2022</t>
        </is>
      </c>
      <c r="B1596" s="1" t="n">
        <v>44757</v>
      </c>
      <c r="C1596" s="1" t="n">
        <v>45734</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30031-2022</t>
        </is>
      </c>
      <c r="B1597" s="1" t="n">
        <v>44757</v>
      </c>
      <c r="C1597" s="1" t="n">
        <v>45734</v>
      </c>
      <c r="D1597" t="inlineStr">
        <is>
          <t>JÄMTLANDS LÄN</t>
        </is>
      </c>
      <c r="E1597" t="inlineStr">
        <is>
          <t>STRÖMSUND</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30023-2022</t>
        </is>
      </c>
      <c r="B1598" s="1" t="n">
        <v>44757</v>
      </c>
      <c r="C1598" s="1" t="n">
        <v>45734</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30030-2022</t>
        </is>
      </c>
      <c r="B1599" s="1" t="n">
        <v>44757</v>
      </c>
      <c r="C1599" s="1" t="n">
        <v>45734</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30022-2022</t>
        </is>
      </c>
      <c r="B1600" s="1" t="n">
        <v>44756</v>
      </c>
      <c r="C1600" s="1" t="n">
        <v>45734</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30037-2022</t>
        </is>
      </c>
      <c r="B1601" s="1" t="n">
        <v>44757</v>
      </c>
      <c r="C1601" s="1" t="n">
        <v>45734</v>
      </c>
      <c r="D1601" t="inlineStr">
        <is>
          <t>JÄMTLANDS LÄN</t>
        </is>
      </c>
      <c r="E1601" t="inlineStr">
        <is>
          <t>STRÖMSUND</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30042-2022</t>
        </is>
      </c>
      <c r="B1602" s="1" t="n">
        <v>44757</v>
      </c>
      <c r="C1602" s="1" t="n">
        <v>45734</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30046-2022</t>
        </is>
      </c>
      <c r="B1603" s="1" t="n">
        <v>44757</v>
      </c>
      <c r="C1603" s="1" t="n">
        <v>45734</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30044-2022</t>
        </is>
      </c>
      <c r="B1604" s="1" t="n">
        <v>44756</v>
      </c>
      <c r="C1604" s="1" t="n">
        <v>45734</v>
      </c>
      <c r="D1604" t="inlineStr">
        <is>
          <t>JÄMTLANDS LÄN</t>
        </is>
      </c>
      <c r="E1604" t="inlineStr">
        <is>
          <t>STRÖMSUND</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30086-2022</t>
        </is>
      </c>
      <c r="B1605" s="1" t="n">
        <v>44757</v>
      </c>
      <c r="C1605" s="1" t="n">
        <v>45734</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30219-2022</t>
        </is>
      </c>
      <c r="B1606" s="1" t="n">
        <v>44758</v>
      </c>
      <c r="C1606" s="1" t="n">
        <v>45734</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30220-2022</t>
        </is>
      </c>
      <c r="B1607" s="1" t="n">
        <v>44758</v>
      </c>
      <c r="C1607" s="1" t="n">
        <v>45734</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30225-2022</t>
        </is>
      </c>
      <c r="B1608" s="1" t="n">
        <v>44758</v>
      </c>
      <c r="C1608" s="1" t="n">
        <v>45734</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30229-2022</t>
        </is>
      </c>
      <c r="B1609" s="1" t="n">
        <v>44758</v>
      </c>
      <c r="C1609" s="1" t="n">
        <v>45734</v>
      </c>
      <c r="D1609" t="inlineStr">
        <is>
          <t>JÄMTLANDS LÄN</t>
        </is>
      </c>
      <c r="E1609" t="inlineStr">
        <is>
          <t>STRÖMSUND</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30223-2022</t>
        </is>
      </c>
      <c r="B1610" s="1" t="n">
        <v>44758</v>
      </c>
      <c r="C1610" s="1" t="n">
        <v>45734</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30227-2022</t>
        </is>
      </c>
      <c r="B1611" s="1" t="n">
        <v>44758</v>
      </c>
      <c r="C1611" s="1" t="n">
        <v>45734</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30232-2022</t>
        </is>
      </c>
      <c r="B1612" s="1" t="n">
        <v>44758</v>
      </c>
      <c r="C1612" s="1" t="n">
        <v>45734</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30226-2022</t>
        </is>
      </c>
      <c r="B1613" s="1" t="n">
        <v>44757</v>
      </c>
      <c r="C1613" s="1" t="n">
        <v>45734</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30230-2022</t>
        </is>
      </c>
      <c r="B1614" s="1" t="n">
        <v>44757</v>
      </c>
      <c r="C1614" s="1" t="n">
        <v>45734</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30496-2022</t>
        </is>
      </c>
      <c r="B1615" s="1" t="n">
        <v>44762</v>
      </c>
      <c r="C1615" s="1" t="n">
        <v>45734</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31443-2022</t>
        </is>
      </c>
      <c r="B1616" s="1" t="n">
        <v>44775</v>
      </c>
      <c r="C1616" s="1" t="n">
        <v>45734</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31447-2022</t>
        </is>
      </c>
      <c r="B1617" s="1" t="n">
        <v>44775</v>
      </c>
      <c r="C1617" s="1" t="n">
        <v>45734</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31448-2022</t>
        </is>
      </c>
      <c r="B1618" s="1" t="n">
        <v>44775</v>
      </c>
      <c r="C1618" s="1" t="n">
        <v>45734</v>
      </c>
      <c r="D1618" t="inlineStr">
        <is>
          <t>JÄMTLANDS LÄN</t>
        </is>
      </c>
      <c r="E1618" t="inlineStr">
        <is>
          <t>STRÖMSUND</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31445-2022</t>
        </is>
      </c>
      <c r="B1619" s="1" t="n">
        <v>44775</v>
      </c>
      <c r="C1619" s="1" t="n">
        <v>45734</v>
      </c>
      <c r="D1619" t="inlineStr">
        <is>
          <t>JÄMTLANDS LÄN</t>
        </is>
      </c>
      <c r="E1619" t="inlineStr">
        <is>
          <t>STRÖMSUND</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31449-2022</t>
        </is>
      </c>
      <c r="B1620" s="1" t="n">
        <v>44775</v>
      </c>
      <c r="C1620" s="1" t="n">
        <v>45734</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31485-2022</t>
        </is>
      </c>
      <c r="B1621" s="1" t="n">
        <v>44775</v>
      </c>
      <c r="C1621" s="1" t="n">
        <v>45734</v>
      </c>
      <c r="D1621" t="inlineStr">
        <is>
          <t>JÄMTLANDS LÄN</t>
        </is>
      </c>
      <c r="E1621" t="inlineStr">
        <is>
          <t>STRÖMSUND</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31501-2022</t>
        </is>
      </c>
      <c r="B1622" s="1" t="n">
        <v>44775</v>
      </c>
      <c r="C1622" s="1" t="n">
        <v>45734</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31505-2022</t>
        </is>
      </c>
      <c r="B1623" s="1" t="n">
        <v>44775</v>
      </c>
      <c r="C1623" s="1" t="n">
        <v>45734</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31509-2022</t>
        </is>
      </c>
      <c r="B1624" s="1" t="n">
        <v>44775</v>
      </c>
      <c r="C1624" s="1" t="n">
        <v>45734</v>
      </c>
      <c r="D1624" t="inlineStr">
        <is>
          <t>JÄMTLANDS LÄN</t>
        </is>
      </c>
      <c r="E1624" t="inlineStr">
        <is>
          <t>STRÖMSUND</t>
        </is>
      </c>
      <c r="F1624" t="inlineStr">
        <is>
          <t>SCA</t>
        </is>
      </c>
      <c r="G1624" t="n">
        <v>20.7</v>
      </c>
      <c r="H1624" t="n">
        <v>0</v>
      </c>
      <c r="I1624" t="n">
        <v>0</v>
      </c>
      <c r="J1624" t="n">
        <v>0</v>
      </c>
      <c r="K1624" t="n">
        <v>0</v>
      </c>
      <c r="L1624" t="n">
        <v>0</v>
      </c>
      <c r="M1624" t="n">
        <v>0</v>
      </c>
      <c r="N1624" t="n">
        <v>0</v>
      </c>
      <c r="O1624" t="n">
        <v>0</v>
      </c>
      <c r="P1624" t="n">
        <v>0</v>
      </c>
      <c r="Q1624" t="n">
        <v>0</v>
      </c>
      <c r="R1624" s="2" t="inlineStr"/>
    </row>
    <row r="1625" ht="15" customHeight="1">
      <c r="A1625" t="inlineStr">
        <is>
          <t>A 31442-2022</t>
        </is>
      </c>
      <c r="B1625" s="1" t="n">
        <v>44774</v>
      </c>
      <c r="C1625" s="1" t="n">
        <v>45734</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31446-2022</t>
        </is>
      </c>
      <c r="B1626" s="1" t="n">
        <v>44775</v>
      </c>
      <c r="C1626" s="1" t="n">
        <v>45734</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31503-2022</t>
        </is>
      </c>
      <c r="B1627" s="1" t="n">
        <v>44775</v>
      </c>
      <c r="C1627" s="1" t="n">
        <v>45734</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31499-2022</t>
        </is>
      </c>
      <c r="B1628" s="1" t="n">
        <v>44775</v>
      </c>
      <c r="C1628" s="1" t="n">
        <v>45734</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31504-2022</t>
        </is>
      </c>
      <c r="B1629" s="1" t="n">
        <v>44775</v>
      </c>
      <c r="C1629" s="1" t="n">
        <v>45734</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31508-2022</t>
        </is>
      </c>
      <c r="B1630" s="1" t="n">
        <v>44775</v>
      </c>
      <c r="C1630" s="1" t="n">
        <v>45734</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31502-2022</t>
        </is>
      </c>
      <c r="B1631" s="1" t="n">
        <v>44775</v>
      </c>
      <c r="C1631" s="1" t="n">
        <v>45734</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31506-2022</t>
        </is>
      </c>
      <c r="B1632" s="1" t="n">
        <v>44774</v>
      </c>
      <c r="C1632" s="1" t="n">
        <v>45734</v>
      </c>
      <c r="D1632" t="inlineStr">
        <is>
          <t>JÄMTLANDS LÄN</t>
        </is>
      </c>
      <c r="E1632" t="inlineStr">
        <is>
          <t>STRÖMSUND</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31507-2022</t>
        </is>
      </c>
      <c r="B1633" s="1" t="n">
        <v>44774</v>
      </c>
      <c r="C1633" s="1" t="n">
        <v>45734</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31519-2022</t>
        </is>
      </c>
      <c r="B1634" s="1" t="n">
        <v>44775</v>
      </c>
      <c r="C1634" s="1" t="n">
        <v>45734</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31657-2022</t>
        </is>
      </c>
      <c r="B1635" s="1" t="n">
        <v>44776</v>
      </c>
      <c r="C1635" s="1" t="n">
        <v>45734</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31849-2022</t>
        </is>
      </c>
      <c r="B1636" s="1" t="n">
        <v>44777</v>
      </c>
      <c r="C1636" s="1" t="n">
        <v>45734</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31852-2022</t>
        </is>
      </c>
      <c r="B1637" s="1" t="n">
        <v>44776</v>
      </c>
      <c r="C1637" s="1" t="n">
        <v>45734</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31846-2022</t>
        </is>
      </c>
      <c r="B1638" s="1" t="n">
        <v>44777</v>
      </c>
      <c r="C1638" s="1" t="n">
        <v>45734</v>
      </c>
      <c r="D1638" t="inlineStr">
        <is>
          <t>JÄMTLANDS LÄN</t>
        </is>
      </c>
      <c r="E1638" t="inlineStr">
        <is>
          <t>STRÖMSUND</t>
        </is>
      </c>
      <c r="F1638" t="inlineStr">
        <is>
          <t>SCA</t>
        </is>
      </c>
      <c r="G1638" t="n">
        <v>19.1</v>
      </c>
      <c r="H1638" t="n">
        <v>0</v>
      </c>
      <c r="I1638" t="n">
        <v>0</v>
      </c>
      <c r="J1638" t="n">
        <v>0</v>
      </c>
      <c r="K1638" t="n">
        <v>0</v>
      </c>
      <c r="L1638" t="n">
        <v>0</v>
      </c>
      <c r="M1638" t="n">
        <v>0</v>
      </c>
      <c r="N1638" t="n">
        <v>0</v>
      </c>
      <c r="O1638" t="n">
        <v>0</v>
      </c>
      <c r="P1638" t="n">
        <v>0</v>
      </c>
      <c r="Q1638" t="n">
        <v>0</v>
      </c>
      <c r="R1638" s="2" t="inlineStr"/>
    </row>
    <row r="1639" ht="15" customHeight="1">
      <c r="A1639" t="inlineStr">
        <is>
          <t>A 32128-2022</t>
        </is>
      </c>
      <c r="B1639" s="1" t="n">
        <v>44779</v>
      </c>
      <c r="C1639" s="1" t="n">
        <v>45734</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32125-2022</t>
        </is>
      </c>
      <c r="B1640" s="1" t="n">
        <v>44778</v>
      </c>
      <c r="C1640" s="1" t="n">
        <v>45734</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32349-2022</t>
        </is>
      </c>
      <c r="B1641" s="1" t="n">
        <v>44782</v>
      </c>
      <c r="C1641" s="1" t="n">
        <v>45734</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32357-2022</t>
        </is>
      </c>
      <c r="B1642" s="1" t="n">
        <v>44782</v>
      </c>
      <c r="C1642" s="1" t="n">
        <v>45734</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32360-2022</t>
        </is>
      </c>
      <c r="B1643" s="1" t="n">
        <v>44782</v>
      </c>
      <c r="C1643" s="1" t="n">
        <v>45734</v>
      </c>
      <c r="D1643" t="inlineStr">
        <is>
          <t>JÄMTLANDS LÄN</t>
        </is>
      </c>
      <c r="E1643" t="inlineStr">
        <is>
          <t>STRÖMSUND</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32153-2022</t>
        </is>
      </c>
      <c r="B1644" s="1" t="n">
        <v>44781</v>
      </c>
      <c r="C1644" s="1" t="n">
        <v>45734</v>
      </c>
      <c r="D1644" t="inlineStr">
        <is>
          <t>JÄMTLANDS LÄN</t>
        </is>
      </c>
      <c r="E1644" t="inlineStr">
        <is>
          <t>STRÖMSUND</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32362-2022</t>
        </is>
      </c>
      <c r="B1645" s="1" t="n">
        <v>44782</v>
      </c>
      <c r="C1645" s="1" t="n">
        <v>45734</v>
      </c>
      <c r="D1645" t="inlineStr">
        <is>
          <t>JÄMTLANDS LÄN</t>
        </is>
      </c>
      <c r="E1645" t="inlineStr">
        <is>
          <t>STRÖMSUND</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32528-2022</t>
        </is>
      </c>
      <c r="B1646" s="1" t="n">
        <v>44783</v>
      </c>
      <c r="C1646" s="1" t="n">
        <v>45734</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32865-2022</t>
        </is>
      </c>
      <c r="B1647" s="1" t="n">
        <v>44784</v>
      </c>
      <c r="C1647" s="1" t="n">
        <v>45734</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32932-2022</t>
        </is>
      </c>
      <c r="B1648" s="1" t="n">
        <v>44784</v>
      </c>
      <c r="C1648" s="1" t="n">
        <v>45734</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32883-2022</t>
        </is>
      </c>
      <c r="B1649" s="1" t="n">
        <v>44784</v>
      </c>
      <c r="C1649" s="1" t="n">
        <v>45734</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32978-2022</t>
        </is>
      </c>
      <c r="B1650" s="1" t="n">
        <v>44785</v>
      </c>
      <c r="C1650" s="1" t="n">
        <v>45734</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32996-2022</t>
        </is>
      </c>
      <c r="B1651" s="1" t="n">
        <v>44784</v>
      </c>
      <c r="C1651" s="1" t="n">
        <v>45734</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32997-2022</t>
        </is>
      </c>
      <c r="B1652" s="1" t="n">
        <v>44785</v>
      </c>
      <c r="C1652" s="1" t="n">
        <v>45734</v>
      </c>
      <c r="D1652" t="inlineStr">
        <is>
          <t>JÄMTLANDS LÄN</t>
        </is>
      </c>
      <c r="E1652" t="inlineStr">
        <is>
          <t>STRÖMSUND</t>
        </is>
      </c>
      <c r="F1652" t="inlineStr">
        <is>
          <t>SCA</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33054-2022</t>
        </is>
      </c>
      <c r="B1653" s="1" t="n">
        <v>44785</v>
      </c>
      <c r="C1653" s="1" t="n">
        <v>45734</v>
      </c>
      <c r="D1653" t="inlineStr">
        <is>
          <t>JÄMTLANDS LÄN</t>
        </is>
      </c>
      <c r="E1653" t="inlineStr">
        <is>
          <t>STRÖMSUND</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33223-2022</t>
        </is>
      </c>
      <c r="B1654" s="1" t="n">
        <v>44785</v>
      </c>
      <c r="C1654" s="1" t="n">
        <v>45734</v>
      </c>
      <c r="D1654" t="inlineStr">
        <is>
          <t>JÄMTLANDS LÄN</t>
        </is>
      </c>
      <c r="E1654" t="inlineStr">
        <is>
          <t>STRÖMSUND</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33219-2022</t>
        </is>
      </c>
      <c r="B1655" s="1" t="n">
        <v>44786</v>
      </c>
      <c r="C1655" s="1" t="n">
        <v>45734</v>
      </c>
      <c r="D1655" t="inlineStr">
        <is>
          <t>JÄMTLANDS LÄN</t>
        </is>
      </c>
      <c r="E1655" t="inlineStr">
        <is>
          <t>STRÖMSUND</t>
        </is>
      </c>
      <c r="F1655" t="inlineStr">
        <is>
          <t>SCA</t>
        </is>
      </c>
      <c r="G1655" t="n">
        <v>15.8</v>
      </c>
      <c r="H1655" t="n">
        <v>0</v>
      </c>
      <c r="I1655" t="n">
        <v>0</v>
      </c>
      <c r="J1655" t="n">
        <v>0</v>
      </c>
      <c r="K1655" t="n">
        <v>0</v>
      </c>
      <c r="L1655" t="n">
        <v>0</v>
      </c>
      <c r="M1655" t="n">
        <v>0</v>
      </c>
      <c r="N1655" t="n">
        <v>0</v>
      </c>
      <c r="O1655" t="n">
        <v>0</v>
      </c>
      <c r="P1655" t="n">
        <v>0</v>
      </c>
      <c r="Q1655" t="n">
        <v>0</v>
      </c>
      <c r="R1655" s="2" t="inlineStr"/>
    </row>
    <row r="1656" ht="15" customHeight="1">
      <c r="A1656" t="inlineStr">
        <is>
          <t>A 33225-2022</t>
        </is>
      </c>
      <c r="B1656" s="1" t="n">
        <v>44786</v>
      </c>
      <c r="C1656" s="1" t="n">
        <v>45734</v>
      </c>
      <c r="D1656" t="inlineStr">
        <is>
          <t>JÄMTLANDS LÄN</t>
        </is>
      </c>
      <c r="E1656" t="inlineStr">
        <is>
          <t>STRÖMSUND</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33231-2022</t>
        </is>
      </c>
      <c r="B1657" s="1" t="n">
        <v>44786</v>
      </c>
      <c r="C1657" s="1" t="n">
        <v>45734</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33224-2022</t>
        </is>
      </c>
      <c r="B1658" s="1" t="n">
        <v>44785</v>
      </c>
      <c r="C1658" s="1" t="n">
        <v>45734</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33230-2022</t>
        </is>
      </c>
      <c r="B1659" s="1" t="n">
        <v>44786</v>
      </c>
      <c r="C1659" s="1" t="n">
        <v>45734</v>
      </c>
      <c r="D1659" t="inlineStr">
        <is>
          <t>JÄMTLANDS LÄN</t>
        </is>
      </c>
      <c r="E1659" t="inlineStr">
        <is>
          <t>STRÖMSUND</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33501-2022</t>
        </is>
      </c>
      <c r="B1660" s="1" t="n">
        <v>44788</v>
      </c>
      <c r="C1660" s="1" t="n">
        <v>45734</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33502-2022</t>
        </is>
      </c>
      <c r="B1661" s="1" t="n">
        <v>44789</v>
      </c>
      <c r="C1661" s="1" t="n">
        <v>45734</v>
      </c>
      <c r="D1661" t="inlineStr">
        <is>
          <t>JÄMTLANDS LÄN</t>
        </is>
      </c>
      <c r="E1661" t="inlineStr">
        <is>
          <t>STRÖMSUND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33520-2022</t>
        </is>
      </c>
      <c r="B1662" s="1" t="n">
        <v>44789</v>
      </c>
      <c r="C1662" s="1" t="n">
        <v>45734</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33732-2022</t>
        </is>
      </c>
      <c r="B1663" s="1" t="n">
        <v>44790</v>
      </c>
      <c r="C1663" s="1" t="n">
        <v>45734</v>
      </c>
      <c r="D1663" t="inlineStr">
        <is>
          <t>JÄMTLANDS LÄN</t>
        </is>
      </c>
      <c r="E1663" t="inlineStr">
        <is>
          <t>STRÖMSUND</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33728-2022</t>
        </is>
      </c>
      <c r="B1664" s="1" t="n">
        <v>44790</v>
      </c>
      <c r="C1664" s="1" t="n">
        <v>45734</v>
      </c>
      <c r="D1664" t="inlineStr">
        <is>
          <t>JÄMTLANDS LÄN</t>
        </is>
      </c>
      <c r="E1664" t="inlineStr">
        <is>
          <t>STRÖMSUND</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33730-2022</t>
        </is>
      </c>
      <c r="B1665" s="1" t="n">
        <v>44790</v>
      </c>
      <c r="C1665" s="1" t="n">
        <v>45734</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33876-2022</t>
        </is>
      </c>
      <c r="B1666" s="1" t="n">
        <v>44790</v>
      </c>
      <c r="C1666" s="1" t="n">
        <v>45734</v>
      </c>
      <c r="D1666" t="inlineStr">
        <is>
          <t>JÄMTLANDS LÄN</t>
        </is>
      </c>
      <c r="E1666" t="inlineStr">
        <is>
          <t>STRÖMSUND</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33987-2022</t>
        </is>
      </c>
      <c r="B1667" s="1" t="n">
        <v>44790</v>
      </c>
      <c r="C1667" s="1" t="n">
        <v>45734</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34008-2022</t>
        </is>
      </c>
      <c r="B1668" s="1" t="n">
        <v>44791</v>
      </c>
      <c r="C1668" s="1" t="n">
        <v>45734</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33988-2022</t>
        </is>
      </c>
      <c r="B1669" s="1" t="n">
        <v>44790</v>
      </c>
      <c r="C1669" s="1" t="n">
        <v>45734</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34004-2022</t>
        </is>
      </c>
      <c r="B1670" s="1" t="n">
        <v>44791</v>
      </c>
      <c r="C1670" s="1" t="n">
        <v>45734</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33985-2022</t>
        </is>
      </c>
      <c r="B1671" s="1" t="n">
        <v>44790</v>
      </c>
      <c r="C1671" s="1" t="n">
        <v>45734</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34023-2022</t>
        </is>
      </c>
      <c r="B1672" s="1" t="n">
        <v>44790</v>
      </c>
      <c r="C1672" s="1" t="n">
        <v>45734</v>
      </c>
      <c r="D1672" t="inlineStr">
        <is>
          <t>JÄMTLANDS LÄN</t>
        </is>
      </c>
      <c r="E1672" t="inlineStr">
        <is>
          <t>STRÖMSUND</t>
        </is>
      </c>
      <c r="G1672" t="n">
        <v>34.5</v>
      </c>
      <c r="H1672" t="n">
        <v>0</v>
      </c>
      <c r="I1672" t="n">
        <v>0</v>
      </c>
      <c r="J1672" t="n">
        <v>0</v>
      </c>
      <c r="K1672" t="n">
        <v>0</v>
      </c>
      <c r="L1672" t="n">
        <v>0</v>
      </c>
      <c r="M1672" t="n">
        <v>0</v>
      </c>
      <c r="N1672" t="n">
        <v>0</v>
      </c>
      <c r="O1672" t="n">
        <v>0</v>
      </c>
      <c r="P1672" t="n">
        <v>0</v>
      </c>
      <c r="Q1672" t="n">
        <v>0</v>
      </c>
      <c r="R1672" s="2" t="inlineStr"/>
    </row>
    <row r="1673" ht="15" customHeight="1">
      <c r="A1673" t="inlineStr">
        <is>
          <t>A 34005-2022</t>
        </is>
      </c>
      <c r="B1673" s="1" t="n">
        <v>44791</v>
      </c>
      <c r="C1673" s="1" t="n">
        <v>45734</v>
      </c>
      <c r="D1673" t="inlineStr">
        <is>
          <t>JÄMTLANDS LÄN</t>
        </is>
      </c>
      <c r="E1673" t="inlineStr">
        <is>
          <t>STRÖMSUND</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34011-2022</t>
        </is>
      </c>
      <c r="B1674" s="1" t="n">
        <v>44790</v>
      </c>
      <c r="C1674" s="1" t="n">
        <v>45734</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34245-2022</t>
        </is>
      </c>
      <c r="B1675" s="1" t="n">
        <v>44792</v>
      </c>
      <c r="C1675" s="1" t="n">
        <v>45734</v>
      </c>
      <c r="D1675" t="inlineStr">
        <is>
          <t>JÄMTLANDS LÄN</t>
        </is>
      </c>
      <c r="E1675" t="inlineStr">
        <is>
          <t>STRÖMSUND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34243-2022</t>
        </is>
      </c>
      <c r="B1676" s="1" t="n">
        <v>44792</v>
      </c>
      <c r="C1676" s="1" t="n">
        <v>45734</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34247-2022</t>
        </is>
      </c>
      <c r="B1677" s="1" t="n">
        <v>44792</v>
      </c>
      <c r="C1677" s="1" t="n">
        <v>45734</v>
      </c>
      <c r="D1677" t="inlineStr">
        <is>
          <t>JÄMTLANDS LÄN</t>
        </is>
      </c>
      <c r="E1677" t="inlineStr">
        <is>
          <t>STRÖMSUND</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34251-2022</t>
        </is>
      </c>
      <c r="B1678" s="1" t="n">
        <v>44792</v>
      </c>
      <c r="C1678" s="1" t="n">
        <v>45734</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34244-2022</t>
        </is>
      </c>
      <c r="B1679" s="1" t="n">
        <v>44791</v>
      </c>
      <c r="C1679" s="1" t="n">
        <v>45734</v>
      </c>
      <c r="D1679" t="inlineStr">
        <is>
          <t>JÄMTLANDS LÄN</t>
        </is>
      </c>
      <c r="E1679" t="inlineStr">
        <is>
          <t>STRÖMSUND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34264-2022</t>
        </is>
      </c>
      <c r="B1680" s="1" t="n">
        <v>44791</v>
      </c>
      <c r="C1680" s="1" t="n">
        <v>45734</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34294-2022</t>
        </is>
      </c>
      <c r="B1681" s="1" t="n">
        <v>44792</v>
      </c>
      <c r="C1681" s="1" t="n">
        <v>45734</v>
      </c>
      <c r="D1681" t="inlineStr">
        <is>
          <t>JÄMTLANDS LÄN</t>
        </is>
      </c>
      <c r="E1681" t="inlineStr">
        <is>
          <t>STRÖMSUND</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34293-2022</t>
        </is>
      </c>
      <c r="B1682" s="1" t="n">
        <v>44792</v>
      </c>
      <c r="C1682" s="1" t="n">
        <v>45734</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34512-2022</t>
        </is>
      </c>
      <c r="B1683" s="1" t="n">
        <v>44793</v>
      </c>
      <c r="C1683" s="1" t="n">
        <v>45734</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34522-2022</t>
        </is>
      </c>
      <c r="B1684" s="1" t="n">
        <v>44793</v>
      </c>
      <c r="C1684" s="1" t="n">
        <v>45734</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34523-2022</t>
        </is>
      </c>
      <c r="B1685" s="1" t="n">
        <v>44793</v>
      </c>
      <c r="C1685" s="1" t="n">
        <v>45734</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34524-2022</t>
        </is>
      </c>
      <c r="B1686" s="1" t="n">
        <v>44793</v>
      </c>
      <c r="C1686" s="1" t="n">
        <v>45734</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34521-2022</t>
        </is>
      </c>
      <c r="B1687" s="1" t="n">
        <v>44793</v>
      </c>
      <c r="C1687" s="1" t="n">
        <v>45734</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34525-2022</t>
        </is>
      </c>
      <c r="B1688" s="1" t="n">
        <v>44793</v>
      </c>
      <c r="C1688" s="1" t="n">
        <v>45734</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34550-2022</t>
        </is>
      </c>
      <c r="B1689" s="1" t="n">
        <v>44793</v>
      </c>
      <c r="C1689" s="1" t="n">
        <v>45734</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34805-2022</t>
        </is>
      </c>
      <c r="B1690" s="1" t="n">
        <v>44796</v>
      </c>
      <c r="C1690" s="1" t="n">
        <v>45734</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34890-2022</t>
        </is>
      </c>
      <c r="B1691" s="1" t="n">
        <v>44796</v>
      </c>
      <c r="C1691" s="1" t="n">
        <v>45734</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34920-2022</t>
        </is>
      </c>
      <c r="B1692" s="1" t="n">
        <v>44796</v>
      </c>
      <c r="C1692" s="1" t="n">
        <v>45734</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35015-2022</t>
        </is>
      </c>
      <c r="B1693" s="1" t="n">
        <v>44797</v>
      </c>
      <c r="C1693" s="1" t="n">
        <v>45734</v>
      </c>
      <c r="D1693" t="inlineStr">
        <is>
          <t>JÄMTLANDS LÄN</t>
        </is>
      </c>
      <c r="E1693" t="inlineStr">
        <is>
          <t>STRÖMSUND</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35221-2022</t>
        </is>
      </c>
      <c r="B1694" s="1" t="n">
        <v>44798</v>
      </c>
      <c r="C1694" s="1" t="n">
        <v>45734</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35233-2022</t>
        </is>
      </c>
      <c r="B1695" s="1" t="n">
        <v>44797</v>
      </c>
      <c r="C1695" s="1" t="n">
        <v>45734</v>
      </c>
      <c r="D1695" t="inlineStr">
        <is>
          <t>JÄMTLANDS LÄN</t>
        </is>
      </c>
      <c r="E1695" t="inlineStr">
        <is>
          <t>STRÖMSUND</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35240-2022</t>
        </is>
      </c>
      <c r="B1696" s="1" t="n">
        <v>44797</v>
      </c>
      <c r="C1696" s="1" t="n">
        <v>45734</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35241-2022</t>
        </is>
      </c>
      <c r="B1697" s="1" t="n">
        <v>44797</v>
      </c>
      <c r="C1697" s="1" t="n">
        <v>45734</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35308-2022</t>
        </is>
      </c>
      <c r="B1698" s="1" t="n">
        <v>44798</v>
      </c>
      <c r="C1698" s="1" t="n">
        <v>45734</v>
      </c>
      <c r="D1698" t="inlineStr">
        <is>
          <t>JÄMTLANDS LÄN</t>
        </is>
      </c>
      <c r="E1698" t="inlineStr">
        <is>
          <t>STRÖMSUND</t>
        </is>
      </c>
      <c r="F1698" t="inlineStr">
        <is>
          <t>Kommuner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35295-2022</t>
        </is>
      </c>
      <c r="B1699" s="1" t="n">
        <v>44798</v>
      </c>
      <c r="C1699" s="1" t="n">
        <v>45734</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35321-2022</t>
        </is>
      </c>
      <c r="B1700" s="1" t="n">
        <v>44798</v>
      </c>
      <c r="C1700" s="1" t="n">
        <v>45734</v>
      </c>
      <c r="D1700" t="inlineStr">
        <is>
          <t>JÄMTLANDS LÄN</t>
        </is>
      </c>
      <c r="E1700" t="inlineStr">
        <is>
          <t>STRÖMSUND</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35329-2022</t>
        </is>
      </c>
      <c r="B1701" s="1" t="n">
        <v>44798</v>
      </c>
      <c r="C1701" s="1" t="n">
        <v>45734</v>
      </c>
      <c r="D1701" t="inlineStr">
        <is>
          <t>JÄMTLANDS LÄN</t>
        </is>
      </c>
      <c r="E1701" t="inlineStr">
        <is>
          <t>STRÖMSUND</t>
        </is>
      </c>
      <c r="F1701" t="inlineStr">
        <is>
          <t>Kommuner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35377-2022</t>
        </is>
      </c>
      <c r="B1702" s="1" t="n">
        <v>44798</v>
      </c>
      <c r="C1702" s="1" t="n">
        <v>45734</v>
      </c>
      <c r="D1702" t="inlineStr">
        <is>
          <t>JÄMTLANDS LÄN</t>
        </is>
      </c>
      <c r="E1702" t="inlineStr">
        <is>
          <t>STRÖMSUND</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35375-2022</t>
        </is>
      </c>
      <c r="B1703" s="1" t="n">
        <v>44798</v>
      </c>
      <c r="C1703" s="1" t="n">
        <v>45734</v>
      </c>
      <c r="D1703" t="inlineStr">
        <is>
          <t>JÄMTLANDS LÄN</t>
        </is>
      </c>
      <c r="E1703" t="inlineStr">
        <is>
          <t>STRÖMSUND</t>
        </is>
      </c>
      <c r="F1703" t="inlineStr">
        <is>
          <t>Kommuner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35694-2022</t>
        </is>
      </c>
      <c r="B1704" s="1" t="n">
        <v>44799</v>
      </c>
      <c r="C1704" s="1" t="n">
        <v>45734</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35743-2022</t>
        </is>
      </c>
      <c r="B1705" s="1" t="n">
        <v>44800</v>
      </c>
      <c r="C1705" s="1" t="n">
        <v>45734</v>
      </c>
      <c r="D1705" t="inlineStr">
        <is>
          <t>JÄMTLANDS LÄN</t>
        </is>
      </c>
      <c r="E1705" t="inlineStr">
        <is>
          <t>STRÖMSUND</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35989-2022</t>
        </is>
      </c>
      <c r="B1706" s="1" t="n">
        <v>44802</v>
      </c>
      <c r="C1706" s="1" t="n">
        <v>45734</v>
      </c>
      <c r="D1706" t="inlineStr">
        <is>
          <t>JÄMTLANDS LÄN</t>
        </is>
      </c>
      <c r="E1706" t="inlineStr">
        <is>
          <t>STRÖMSUND</t>
        </is>
      </c>
      <c r="F1706" t="inlineStr">
        <is>
          <t>Sveaskog</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35853-2022</t>
        </is>
      </c>
      <c r="B1707" s="1" t="n">
        <v>44802</v>
      </c>
      <c r="C1707" s="1" t="n">
        <v>45734</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35850-2022</t>
        </is>
      </c>
      <c r="B1708" s="1" t="n">
        <v>44802</v>
      </c>
      <c r="C1708" s="1" t="n">
        <v>45734</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35972-2022</t>
        </is>
      </c>
      <c r="B1709" s="1" t="n">
        <v>44802</v>
      </c>
      <c r="C1709" s="1" t="n">
        <v>45734</v>
      </c>
      <c r="D1709" t="inlineStr">
        <is>
          <t>JÄMTLANDS LÄN</t>
        </is>
      </c>
      <c r="E1709" t="inlineStr">
        <is>
          <t>STRÖMSUND</t>
        </is>
      </c>
      <c r="F1709" t="inlineStr">
        <is>
          <t>Sveaskog</t>
        </is>
      </c>
      <c r="G1709" t="n">
        <v>22.9</v>
      </c>
      <c r="H1709" t="n">
        <v>0</v>
      </c>
      <c r="I1709" t="n">
        <v>0</v>
      </c>
      <c r="J1709" t="n">
        <v>0</v>
      </c>
      <c r="K1709" t="n">
        <v>0</v>
      </c>
      <c r="L1709" t="n">
        <v>0</v>
      </c>
      <c r="M1709" t="n">
        <v>0</v>
      </c>
      <c r="N1709" t="n">
        <v>0</v>
      </c>
      <c r="O1709" t="n">
        <v>0</v>
      </c>
      <c r="P1709" t="n">
        <v>0</v>
      </c>
      <c r="Q1709" t="n">
        <v>0</v>
      </c>
      <c r="R1709" s="2" t="inlineStr"/>
    </row>
    <row r="1710" ht="15" customHeight="1">
      <c r="A1710" t="inlineStr">
        <is>
          <t>A 36079-2022</t>
        </is>
      </c>
      <c r="B1710" s="1" t="n">
        <v>44803</v>
      </c>
      <c r="C1710" s="1" t="n">
        <v>45734</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35971-2022</t>
        </is>
      </c>
      <c r="B1711" s="1" t="n">
        <v>44802</v>
      </c>
      <c r="C1711" s="1" t="n">
        <v>45734</v>
      </c>
      <c r="D1711" t="inlineStr">
        <is>
          <t>JÄMTLANDS LÄN</t>
        </is>
      </c>
      <c r="E1711" t="inlineStr">
        <is>
          <t>STRÖMSUND</t>
        </is>
      </c>
      <c r="F1711" t="inlineStr">
        <is>
          <t>Sveaskog</t>
        </is>
      </c>
      <c r="G1711" t="n">
        <v>17.2</v>
      </c>
      <c r="H1711" t="n">
        <v>0</v>
      </c>
      <c r="I1711" t="n">
        <v>0</v>
      </c>
      <c r="J1711" t="n">
        <v>0</v>
      </c>
      <c r="K1711" t="n">
        <v>0</v>
      </c>
      <c r="L1711" t="n">
        <v>0</v>
      </c>
      <c r="M1711" t="n">
        <v>0</v>
      </c>
      <c r="N1711" t="n">
        <v>0</v>
      </c>
      <c r="O1711" t="n">
        <v>0</v>
      </c>
      <c r="P1711" t="n">
        <v>0</v>
      </c>
      <c r="Q1711" t="n">
        <v>0</v>
      </c>
      <c r="R1711" s="2" t="inlineStr"/>
    </row>
    <row r="1712" ht="15" customHeight="1">
      <c r="A1712" t="inlineStr">
        <is>
          <t>A 36096-2022</t>
        </is>
      </c>
      <c r="B1712" s="1" t="n">
        <v>44803</v>
      </c>
      <c r="C1712" s="1" t="n">
        <v>45734</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36369-2022</t>
        </is>
      </c>
      <c r="B1713" s="1" t="n">
        <v>44804</v>
      </c>
      <c r="C1713" s="1" t="n">
        <v>45734</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36374-2022</t>
        </is>
      </c>
      <c r="B1714" s="1" t="n">
        <v>44804</v>
      </c>
      <c r="C1714" s="1" t="n">
        <v>45734</v>
      </c>
      <c r="D1714" t="inlineStr">
        <is>
          <t>JÄMTLANDS LÄN</t>
        </is>
      </c>
      <c r="E1714" t="inlineStr">
        <is>
          <t>STRÖMSUND</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36275-2022</t>
        </is>
      </c>
      <c r="B1715" s="1" t="n">
        <v>44803</v>
      </c>
      <c r="C1715" s="1" t="n">
        <v>45734</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36383-2022</t>
        </is>
      </c>
      <c r="B1716" s="1" t="n">
        <v>44804</v>
      </c>
      <c r="C1716" s="1" t="n">
        <v>45734</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36390-2022</t>
        </is>
      </c>
      <c r="B1717" s="1" t="n">
        <v>44804</v>
      </c>
      <c r="C1717" s="1" t="n">
        <v>45734</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36384-2022</t>
        </is>
      </c>
      <c r="B1718" s="1" t="n">
        <v>44804</v>
      </c>
      <c r="C1718" s="1" t="n">
        <v>45734</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36372-2022</t>
        </is>
      </c>
      <c r="B1719" s="1" t="n">
        <v>44804</v>
      </c>
      <c r="C1719" s="1" t="n">
        <v>45734</v>
      </c>
      <c r="D1719" t="inlineStr">
        <is>
          <t>JÄMTLANDS LÄN</t>
        </is>
      </c>
      <c r="E1719" t="inlineStr">
        <is>
          <t>STRÖMSUND</t>
        </is>
      </c>
      <c r="F1719" t="inlineStr">
        <is>
          <t>SCA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36382-2022</t>
        </is>
      </c>
      <c r="B1720" s="1" t="n">
        <v>44803</v>
      </c>
      <c r="C1720" s="1" t="n">
        <v>45734</v>
      </c>
      <c r="D1720" t="inlineStr">
        <is>
          <t>JÄMTLANDS LÄN</t>
        </is>
      </c>
      <c r="E1720" t="inlineStr">
        <is>
          <t>STRÖMSUND</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36581-2022</t>
        </is>
      </c>
      <c r="B1721" s="1" t="n">
        <v>44804</v>
      </c>
      <c r="C1721" s="1" t="n">
        <v>45734</v>
      </c>
      <c r="D1721" t="inlineStr">
        <is>
          <t>JÄMTLANDS LÄN</t>
        </is>
      </c>
      <c r="E1721" t="inlineStr">
        <is>
          <t>STRÖMSUND</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36559-2022</t>
        </is>
      </c>
      <c r="B1722" s="1" t="n">
        <v>44804</v>
      </c>
      <c r="C1722" s="1" t="n">
        <v>45734</v>
      </c>
      <c r="D1722" t="inlineStr">
        <is>
          <t>JÄMTLANDS LÄN</t>
        </is>
      </c>
      <c r="E1722" t="inlineStr">
        <is>
          <t>STRÖMSUND</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36690-2022</t>
        </is>
      </c>
      <c r="B1723" s="1" t="n">
        <v>44805</v>
      </c>
      <c r="C1723" s="1" t="n">
        <v>45734</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36698-2022</t>
        </is>
      </c>
      <c r="B1724" s="1" t="n">
        <v>44805</v>
      </c>
      <c r="C1724" s="1" t="n">
        <v>45734</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36689-2022</t>
        </is>
      </c>
      <c r="B1725" s="1" t="n">
        <v>44804</v>
      </c>
      <c r="C1725" s="1" t="n">
        <v>45734</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36699-2022</t>
        </is>
      </c>
      <c r="B1726" s="1" t="n">
        <v>44805</v>
      </c>
      <c r="C1726" s="1" t="n">
        <v>45734</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37090-2022</t>
        </is>
      </c>
      <c r="B1727" s="1" t="n">
        <v>44806</v>
      </c>
      <c r="C1727" s="1" t="n">
        <v>45734</v>
      </c>
      <c r="D1727" t="inlineStr">
        <is>
          <t>JÄMTLANDS LÄN</t>
        </is>
      </c>
      <c r="E1727" t="inlineStr">
        <is>
          <t>STRÖMSUND</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37100-2022</t>
        </is>
      </c>
      <c r="B1728" s="1" t="n">
        <v>44806</v>
      </c>
      <c r="C1728" s="1" t="n">
        <v>45734</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37107-2022</t>
        </is>
      </c>
      <c r="B1729" s="1" t="n">
        <v>44806</v>
      </c>
      <c r="C1729" s="1" t="n">
        <v>45734</v>
      </c>
      <c r="D1729" t="inlineStr">
        <is>
          <t>JÄMTLANDS LÄN</t>
        </is>
      </c>
      <c r="E1729" t="inlineStr">
        <is>
          <t>STRÖMSUND</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37084-2022</t>
        </is>
      </c>
      <c r="B1730" s="1" t="n">
        <v>44806</v>
      </c>
      <c r="C1730" s="1" t="n">
        <v>45734</v>
      </c>
      <c r="D1730" t="inlineStr">
        <is>
          <t>JÄMTLANDS LÄN</t>
        </is>
      </c>
      <c r="E1730" t="inlineStr">
        <is>
          <t>STRÖMSUND</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37093-2022</t>
        </is>
      </c>
      <c r="B1731" s="1" t="n">
        <v>44806</v>
      </c>
      <c r="C1731" s="1" t="n">
        <v>45734</v>
      </c>
      <c r="D1731" t="inlineStr">
        <is>
          <t>JÄMTLANDS LÄN</t>
        </is>
      </c>
      <c r="E1731" t="inlineStr">
        <is>
          <t>STRÖMSUND</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45734</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37102-2022</t>
        </is>
      </c>
      <c r="B1733" s="1" t="n">
        <v>44806</v>
      </c>
      <c r="C1733" s="1" t="n">
        <v>45734</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37078-2022</t>
        </is>
      </c>
      <c r="B1734" s="1" t="n">
        <v>44806</v>
      </c>
      <c r="C1734" s="1" t="n">
        <v>45734</v>
      </c>
      <c r="D1734" t="inlineStr">
        <is>
          <t>JÄMTLANDS LÄN</t>
        </is>
      </c>
      <c r="E1734" t="inlineStr">
        <is>
          <t>STRÖMSUND</t>
        </is>
      </c>
      <c r="F1734" t="inlineStr">
        <is>
          <t>Kommuner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37104-2022</t>
        </is>
      </c>
      <c r="B1735" s="1" t="n">
        <v>44806</v>
      </c>
      <c r="C1735" s="1" t="n">
        <v>45734</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37231-2022</t>
        </is>
      </c>
      <c r="B1736" s="1" t="n">
        <v>44806</v>
      </c>
      <c r="C1736" s="1" t="n">
        <v>45734</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37791-2022</t>
        </is>
      </c>
      <c r="B1737" s="1" t="n">
        <v>44810</v>
      </c>
      <c r="C1737" s="1" t="n">
        <v>45734</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38415-2022</t>
        </is>
      </c>
      <c r="B1738" s="1" t="n">
        <v>44812</v>
      </c>
      <c r="C1738" s="1" t="n">
        <v>45734</v>
      </c>
      <c r="D1738" t="inlineStr">
        <is>
          <t>JÄMTLANDS LÄN</t>
        </is>
      </c>
      <c r="E1738" t="inlineStr">
        <is>
          <t>STRÖMSUND</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38414-2022</t>
        </is>
      </c>
      <c r="B1739" s="1" t="n">
        <v>44812</v>
      </c>
      <c r="C1739" s="1" t="n">
        <v>45734</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38413-2022</t>
        </is>
      </c>
      <c r="B1740" s="1" t="n">
        <v>44812</v>
      </c>
      <c r="C1740" s="1" t="n">
        <v>45734</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38661-2022</t>
        </is>
      </c>
      <c r="B1741" s="1" t="n">
        <v>44813</v>
      </c>
      <c r="C1741" s="1" t="n">
        <v>45734</v>
      </c>
      <c r="D1741" t="inlineStr">
        <is>
          <t>JÄMTLANDS LÄN</t>
        </is>
      </c>
      <c r="E1741" t="inlineStr">
        <is>
          <t>STRÖMSUND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39000-2022</t>
        </is>
      </c>
      <c r="B1742" s="1" t="n">
        <v>44817</v>
      </c>
      <c r="C1742" s="1" t="n">
        <v>45734</v>
      </c>
      <c r="D1742" t="inlineStr">
        <is>
          <t>JÄMTLANDS LÄN</t>
        </is>
      </c>
      <c r="E1742" t="inlineStr">
        <is>
          <t>STRÖMSUND</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39010-2022</t>
        </is>
      </c>
      <c r="B1743" s="1" t="n">
        <v>44816</v>
      </c>
      <c r="C1743" s="1" t="n">
        <v>45734</v>
      </c>
      <c r="D1743" t="inlineStr">
        <is>
          <t>JÄMTLANDS LÄN</t>
        </is>
      </c>
      <c r="E1743" t="inlineStr">
        <is>
          <t>STRÖMSUND</t>
        </is>
      </c>
      <c r="F1743" t="inlineStr">
        <is>
          <t>SCA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39007-2022</t>
        </is>
      </c>
      <c r="B1744" s="1" t="n">
        <v>44817</v>
      </c>
      <c r="C1744" s="1" t="n">
        <v>45734</v>
      </c>
      <c r="D1744" t="inlineStr">
        <is>
          <t>JÄMTLANDS LÄN</t>
        </is>
      </c>
      <c r="E1744" t="inlineStr">
        <is>
          <t>STRÖMSUND</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39009-2022</t>
        </is>
      </c>
      <c r="B1745" s="1" t="n">
        <v>44817</v>
      </c>
      <c r="C1745" s="1" t="n">
        <v>45734</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39388-2022</t>
        </is>
      </c>
      <c r="B1746" s="1" t="n">
        <v>44817</v>
      </c>
      <c r="C1746" s="1" t="n">
        <v>45734</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39689-2022</t>
        </is>
      </c>
      <c r="B1747" s="1" t="n">
        <v>44818</v>
      </c>
      <c r="C1747" s="1" t="n">
        <v>45734</v>
      </c>
      <c r="D1747" t="inlineStr">
        <is>
          <t>JÄMTLANDS LÄN</t>
        </is>
      </c>
      <c r="E1747" t="inlineStr">
        <is>
          <t>STRÖMSUND</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39690-2022</t>
        </is>
      </c>
      <c r="B1748" s="1" t="n">
        <v>44819</v>
      </c>
      <c r="C1748" s="1" t="n">
        <v>45734</v>
      </c>
      <c r="D1748" t="inlineStr">
        <is>
          <t>JÄMTLANDS LÄN</t>
        </is>
      </c>
      <c r="E1748" t="inlineStr">
        <is>
          <t>STRÖMSUND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39700-2022</t>
        </is>
      </c>
      <c r="B1749" s="1" t="n">
        <v>44819</v>
      </c>
      <c r="C1749" s="1" t="n">
        <v>45734</v>
      </c>
      <c r="D1749" t="inlineStr">
        <is>
          <t>JÄMTLANDS LÄN</t>
        </is>
      </c>
      <c r="E1749" t="inlineStr">
        <is>
          <t>STRÖMSUND</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39882-2022</t>
        </is>
      </c>
      <c r="B1750" s="1" t="n">
        <v>44819</v>
      </c>
      <c r="C1750" s="1" t="n">
        <v>45734</v>
      </c>
      <c r="D1750" t="inlineStr">
        <is>
          <t>JÄMTLANDS LÄN</t>
        </is>
      </c>
      <c r="E1750" t="inlineStr">
        <is>
          <t>STRÖMSUND</t>
        </is>
      </c>
      <c r="F1750" t="inlineStr">
        <is>
          <t>Sveaskog</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39890-2022</t>
        </is>
      </c>
      <c r="B1751" s="1" t="n">
        <v>44819</v>
      </c>
      <c r="C1751" s="1" t="n">
        <v>45734</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39889-2022</t>
        </is>
      </c>
      <c r="B1752" s="1" t="n">
        <v>44819</v>
      </c>
      <c r="C1752" s="1" t="n">
        <v>45734</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39892-2022</t>
        </is>
      </c>
      <c r="B1753" s="1" t="n">
        <v>44819</v>
      </c>
      <c r="C1753" s="1" t="n">
        <v>45734</v>
      </c>
      <c r="D1753" t="inlineStr">
        <is>
          <t>JÄMTLANDS LÄN</t>
        </is>
      </c>
      <c r="E1753" t="inlineStr">
        <is>
          <t>STRÖMSUND</t>
        </is>
      </c>
      <c r="F1753" t="inlineStr">
        <is>
          <t>Sveaskog</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39939-2022</t>
        </is>
      </c>
      <c r="B1754" s="1" t="n">
        <v>44820</v>
      </c>
      <c r="C1754" s="1" t="n">
        <v>45734</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39957-2022</t>
        </is>
      </c>
      <c r="B1755" s="1" t="n">
        <v>44820</v>
      </c>
      <c r="C1755" s="1" t="n">
        <v>45734</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40271-2022</t>
        </is>
      </c>
      <c r="B1756" s="1" t="n">
        <v>44821</v>
      </c>
      <c r="C1756" s="1" t="n">
        <v>45734</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40287-2022</t>
        </is>
      </c>
      <c r="B1757" s="1" t="n">
        <v>44821</v>
      </c>
      <c r="C1757" s="1" t="n">
        <v>45734</v>
      </c>
      <c r="D1757" t="inlineStr">
        <is>
          <t>JÄMTLANDS LÄN</t>
        </is>
      </c>
      <c r="E1757" t="inlineStr">
        <is>
          <t>STRÖMSUND</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40275-2022</t>
        </is>
      </c>
      <c r="B1758" s="1" t="n">
        <v>44820</v>
      </c>
      <c r="C1758" s="1" t="n">
        <v>45734</v>
      </c>
      <c r="D1758" t="inlineStr">
        <is>
          <t>JÄMTLANDS LÄN</t>
        </is>
      </c>
      <c r="E1758" t="inlineStr">
        <is>
          <t>STRÖMSUND</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40862-2022</t>
        </is>
      </c>
      <c r="B1759" s="1" t="n">
        <v>44820</v>
      </c>
      <c r="C1759" s="1" t="n">
        <v>45734</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40272-2022</t>
        </is>
      </c>
      <c r="B1760" s="1" t="n">
        <v>44820</v>
      </c>
      <c r="C1760" s="1" t="n">
        <v>45734</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40290-2022</t>
        </is>
      </c>
      <c r="B1761" s="1" t="n">
        <v>44821</v>
      </c>
      <c r="C1761" s="1" t="n">
        <v>45734</v>
      </c>
      <c r="D1761" t="inlineStr">
        <is>
          <t>JÄMTLANDS LÄN</t>
        </is>
      </c>
      <c r="E1761" t="inlineStr">
        <is>
          <t>STRÖMSUND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40602-2022</t>
        </is>
      </c>
      <c r="B1762" s="1" t="n">
        <v>44823</v>
      </c>
      <c r="C1762" s="1" t="n">
        <v>45734</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40617-2022</t>
        </is>
      </c>
      <c r="B1763" s="1" t="n">
        <v>44823</v>
      </c>
      <c r="C1763" s="1" t="n">
        <v>45734</v>
      </c>
      <c r="D1763" t="inlineStr">
        <is>
          <t>JÄMTLANDS LÄN</t>
        </is>
      </c>
      <c r="E1763" t="inlineStr">
        <is>
          <t>STRÖMSUND</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40936-2022</t>
        </is>
      </c>
      <c r="B1764" s="1" t="n">
        <v>44823</v>
      </c>
      <c r="C1764" s="1" t="n">
        <v>45734</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40840-2022</t>
        </is>
      </c>
      <c r="B1765" s="1" t="n">
        <v>44824</v>
      </c>
      <c r="C1765" s="1" t="n">
        <v>45734</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40841-2022</t>
        </is>
      </c>
      <c r="B1766" s="1" t="n">
        <v>44825</v>
      </c>
      <c r="C1766" s="1" t="n">
        <v>45734</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41171-2022</t>
        </is>
      </c>
      <c r="B1767" s="1" t="n">
        <v>44826</v>
      </c>
      <c r="C1767" s="1" t="n">
        <v>45734</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41194-2022</t>
        </is>
      </c>
      <c r="B1768" s="1" t="n">
        <v>44826</v>
      </c>
      <c r="C1768" s="1" t="n">
        <v>45734</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41818-2022</t>
        </is>
      </c>
      <c r="B1769" s="1" t="n">
        <v>44828</v>
      </c>
      <c r="C1769" s="1" t="n">
        <v>45734</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41820-2022</t>
        </is>
      </c>
      <c r="B1770" s="1" t="n">
        <v>44828</v>
      </c>
      <c r="C1770" s="1" t="n">
        <v>45734</v>
      </c>
      <c r="D1770" t="inlineStr">
        <is>
          <t>JÄMTLANDS LÄN</t>
        </is>
      </c>
      <c r="E1770" t="inlineStr">
        <is>
          <t>STRÖMSUND</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41822-2022</t>
        </is>
      </c>
      <c r="B1771" s="1" t="n">
        <v>44828</v>
      </c>
      <c r="C1771" s="1" t="n">
        <v>45734</v>
      </c>
      <c r="D1771" t="inlineStr">
        <is>
          <t>JÄMTLANDS LÄN</t>
        </is>
      </c>
      <c r="E1771" t="inlineStr">
        <is>
          <t>STRÖMSUND</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41828-2022</t>
        </is>
      </c>
      <c r="B1772" s="1" t="n">
        <v>44828</v>
      </c>
      <c r="C1772" s="1" t="n">
        <v>45734</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41829-2022</t>
        </is>
      </c>
      <c r="B1773" s="1" t="n">
        <v>44828</v>
      </c>
      <c r="C1773" s="1" t="n">
        <v>45734</v>
      </c>
      <c r="D1773" t="inlineStr">
        <is>
          <t>JÄMTLANDS LÄN</t>
        </is>
      </c>
      <c r="E1773" t="inlineStr">
        <is>
          <t>STRÖMSUND</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41821-2022</t>
        </is>
      </c>
      <c r="B1774" s="1" t="n">
        <v>44827</v>
      </c>
      <c r="C1774" s="1" t="n">
        <v>45734</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41827-2022</t>
        </is>
      </c>
      <c r="B1775" s="1" t="n">
        <v>44828</v>
      </c>
      <c r="C1775" s="1" t="n">
        <v>45734</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42155-2022</t>
        </is>
      </c>
      <c r="B1776" s="1" t="n">
        <v>44830</v>
      </c>
      <c r="C1776" s="1" t="n">
        <v>45734</v>
      </c>
      <c r="D1776" t="inlineStr">
        <is>
          <t>JÄMTLANDS LÄN</t>
        </is>
      </c>
      <c r="E1776" t="inlineStr">
        <is>
          <t>STRÖMSUND</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41972-2022</t>
        </is>
      </c>
      <c r="B1777" s="1" t="n">
        <v>44830</v>
      </c>
      <c r="C1777" s="1" t="n">
        <v>45734</v>
      </c>
      <c r="D1777" t="inlineStr">
        <is>
          <t>JÄMTLANDS LÄN</t>
        </is>
      </c>
      <c r="E1777" t="inlineStr">
        <is>
          <t>STRÖMSUND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42237-2022</t>
        </is>
      </c>
      <c r="B1778" s="1" t="n">
        <v>44830</v>
      </c>
      <c r="C1778" s="1" t="n">
        <v>45734</v>
      </c>
      <c r="D1778" t="inlineStr">
        <is>
          <t>JÄMTLANDS LÄN</t>
        </is>
      </c>
      <c r="E1778" t="inlineStr">
        <is>
          <t>STRÖMSUND</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42280-2022</t>
        </is>
      </c>
      <c r="B1779" s="1" t="n">
        <v>44831</v>
      </c>
      <c r="C1779" s="1" t="n">
        <v>45734</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42294-2022</t>
        </is>
      </c>
      <c r="B1780" s="1" t="n">
        <v>44831</v>
      </c>
      <c r="C1780" s="1" t="n">
        <v>45734</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42660-2022</t>
        </is>
      </c>
      <c r="B1781" s="1" t="n">
        <v>44832</v>
      </c>
      <c r="C1781" s="1" t="n">
        <v>45734</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42770-2022</t>
        </is>
      </c>
      <c r="B1782" s="1" t="n">
        <v>44832</v>
      </c>
      <c r="C1782" s="1" t="n">
        <v>45734</v>
      </c>
      <c r="D1782" t="inlineStr">
        <is>
          <t>JÄMTLANDS LÄN</t>
        </is>
      </c>
      <c r="E1782" t="inlineStr">
        <is>
          <t>STRÖMSUND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42790-2022</t>
        </is>
      </c>
      <c r="B1783" s="1" t="n">
        <v>44832</v>
      </c>
      <c r="C1783" s="1" t="n">
        <v>45734</v>
      </c>
      <c r="D1783" t="inlineStr">
        <is>
          <t>JÄMTLANDS LÄN</t>
        </is>
      </c>
      <c r="E1783" t="inlineStr">
        <is>
          <t>STRÖMSUND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42760-2022</t>
        </is>
      </c>
      <c r="B1784" s="1" t="n">
        <v>44832</v>
      </c>
      <c r="C1784" s="1" t="n">
        <v>45734</v>
      </c>
      <c r="D1784" t="inlineStr">
        <is>
          <t>JÄMTLANDS LÄN</t>
        </is>
      </c>
      <c r="E1784" t="inlineStr">
        <is>
          <t>STRÖMSUND</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42806-2022</t>
        </is>
      </c>
      <c r="B1785" s="1" t="n">
        <v>44832</v>
      </c>
      <c r="C1785" s="1" t="n">
        <v>45734</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42896-2022</t>
        </is>
      </c>
      <c r="B1786" s="1" t="n">
        <v>44832</v>
      </c>
      <c r="C1786" s="1" t="n">
        <v>45734</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42902-2022</t>
        </is>
      </c>
      <c r="B1787" s="1" t="n">
        <v>44832</v>
      </c>
      <c r="C1787" s="1" t="n">
        <v>45734</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43160-2022</t>
        </is>
      </c>
      <c r="B1788" s="1" t="n">
        <v>44834</v>
      </c>
      <c r="C1788" s="1" t="n">
        <v>45734</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43140-2022</t>
        </is>
      </c>
      <c r="B1789" s="1" t="n">
        <v>44834</v>
      </c>
      <c r="C1789" s="1" t="n">
        <v>45734</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43146-2022</t>
        </is>
      </c>
      <c r="B1790" s="1" t="n">
        <v>44833</v>
      </c>
      <c r="C1790" s="1" t="n">
        <v>45734</v>
      </c>
      <c r="D1790" t="inlineStr">
        <is>
          <t>JÄMTLANDS LÄN</t>
        </is>
      </c>
      <c r="E1790" t="inlineStr">
        <is>
          <t>STRÖMSUND</t>
        </is>
      </c>
      <c r="F1790" t="inlineStr">
        <is>
          <t>SCA</t>
        </is>
      </c>
      <c r="G1790" t="n">
        <v>33.3</v>
      </c>
      <c r="H1790" t="n">
        <v>0</v>
      </c>
      <c r="I1790" t="n">
        <v>0</v>
      </c>
      <c r="J1790" t="n">
        <v>0</v>
      </c>
      <c r="K1790" t="n">
        <v>0</v>
      </c>
      <c r="L1790" t="n">
        <v>0</v>
      </c>
      <c r="M1790" t="n">
        <v>0</v>
      </c>
      <c r="N1790" t="n">
        <v>0</v>
      </c>
      <c r="O1790" t="n">
        <v>0</v>
      </c>
      <c r="P1790" t="n">
        <v>0</v>
      </c>
      <c r="Q1790" t="n">
        <v>0</v>
      </c>
      <c r="R1790" s="2" t="inlineStr"/>
    </row>
    <row r="1791" ht="15" customHeight="1">
      <c r="A1791" t="inlineStr">
        <is>
          <t>A 43165-2022</t>
        </is>
      </c>
      <c r="B1791" s="1" t="n">
        <v>44833</v>
      </c>
      <c r="C1791" s="1" t="n">
        <v>45734</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43432-2022</t>
        </is>
      </c>
      <c r="B1792" s="1" t="n">
        <v>44834</v>
      </c>
      <c r="C1792" s="1" t="n">
        <v>45734</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43607-2022</t>
        </is>
      </c>
      <c r="B1793" s="1" t="n">
        <v>44834</v>
      </c>
      <c r="C1793" s="1" t="n">
        <v>45734</v>
      </c>
      <c r="D1793" t="inlineStr">
        <is>
          <t>JÄMTLANDS LÄN</t>
        </is>
      </c>
      <c r="E1793" t="inlineStr">
        <is>
          <t>STRÖMSUND</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45969-2022</t>
        </is>
      </c>
      <c r="B1794" s="1" t="n">
        <v>44834</v>
      </c>
      <c r="C1794" s="1" t="n">
        <v>45734</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43458-2022</t>
        </is>
      </c>
      <c r="B1795" s="1" t="n">
        <v>44836</v>
      </c>
      <c r="C1795" s="1" t="n">
        <v>45734</v>
      </c>
      <c r="D1795" t="inlineStr">
        <is>
          <t>JÄMTLANDS LÄN</t>
        </is>
      </c>
      <c r="E1795" t="inlineStr">
        <is>
          <t>STRÖMSUND</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43453-2022</t>
        </is>
      </c>
      <c r="B1796" s="1" t="n">
        <v>44835</v>
      </c>
      <c r="C1796" s="1" t="n">
        <v>45734</v>
      </c>
      <c r="D1796" t="inlineStr">
        <is>
          <t>JÄMTLANDS LÄN</t>
        </is>
      </c>
      <c r="E1796" t="inlineStr">
        <is>
          <t>STRÖMSUND</t>
        </is>
      </c>
      <c r="F1796" t="inlineStr">
        <is>
          <t>SCA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43460-2022</t>
        </is>
      </c>
      <c r="B1797" s="1" t="n">
        <v>44836</v>
      </c>
      <c r="C1797" s="1" t="n">
        <v>45734</v>
      </c>
      <c r="D1797" t="inlineStr">
        <is>
          <t>JÄMTLANDS LÄN</t>
        </is>
      </c>
      <c r="E1797" t="inlineStr">
        <is>
          <t>STRÖMSUND</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43455-2022</t>
        </is>
      </c>
      <c r="B1798" s="1" t="n">
        <v>44836</v>
      </c>
      <c r="C1798" s="1" t="n">
        <v>45734</v>
      </c>
      <c r="D1798" t="inlineStr">
        <is>
          <t>JÄMTLANDS LÄN</t>
        </is>
      </c>
      <c r="E1798" t="inlineStr">
        <is>
          <t>STRÖMSUND</t>
        </is>
      </c>
      <c r="F1798" t="inlineStr">
        <is>
          <t>SCA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43459-2022</t>
        </is>
      </c>
      <c r="B1799" s="1" t="n">
        <v>44836</v>
      </c>
      <c r="C1799" s="1" t="n">
        <v>45734</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43773-2022</t>
        </is>
      </c>
      <c r="B1800" s="1" t="n">
        <v>44838</v>
      </c>
      <c r="C1800" s="1" t="n">
        <v>45734</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43790-2022</t>
        </is>
      </c>
      <c r="B1801" s="1" t="n">
        <v>44837</v>
      </c>
      <c r="C1801" s="1" t="n">
        <v>45734</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44049-2022</t>
        </is>
      </c>
      <c r="B1802" s="1" t="n">
        <v>44839</v>
      </c>
      <c r="C1802" s="1" t="n">
        <v>45734</v>
      </c>
      <c r="D1802" t="inlineStr">
        <is>
          <t>JÄMTLANDS LÄN</t>
        </is>
      </c>
      <c r="E1802" t="inlineStr">
        <is>
          <t>STRÖMSUND</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44453-2022</t>
        </is>
      </c>
      <c r="B1803" s="1" t="n">
        <v>44840</v>
      </c>
      <c r="C1803" s="1" t="n">
        <v>45734</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44096-2022</t>
        </is>
      </c>
      <c r="B1804" s="1" t="n">
        <v>44839</v>
      </c>
      <c r="C1804" s="1" t="n">
        <v>45734</v>
      </c>
      <c r="D1804" t="inlineStr">
        <is>
          <t>JÄMTLANDS LÄN</t>
        </is>
      </c>
      <c r="E1804" t="inlineStr">
        <is>
          <t>STRÖMSUND</t>
        </is>
      </c>
      <c r="F1804" t="inlineStr">
        <is>
          <t>Holmen skog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44429-2022</t>
        </is>
      </c>
      <c r="B1805" s="1" t="n">
        <v>44839</v>
      </c>
      <c r="C1805" s="1" t="n">
        <v>45734</v>
      </c>
      <c r="D1805" t="inlineStr">
        <is>
          <t>JÄMTLANDS LÄN</t>
        </is>
      </c>
      <c r="E1805" t="inlineStr">
        <is>
          <t>STRÖMSUND</t>
        </is>
      </c>
      <c r="F1805" t="inlineStr">
        <is>
          <t>SCA</t>
        </is>
      </c>
      <c r="G1805" t="n">
        <v>52.1</v>
      </c>
      <c r="H1805" t="n">
        <v>0</v>
      </c>
      <c r="I1805" t="n">
        <v>0</v>
      </c>
      <c r="J1805" t="n">
        <v>0</v>
      </c>
      <c r="K1805" t="n">
        <v>0</v>
      </c>
      <c r="L1805" t="n">
        <v>0</v>
      </c>
      <c r="M1805" t="n">
        <v>0</v>
      </c>
      <c r="N1805" t="n">
        <v>0</v>
      </c>
      <c r="O1805" t="n">
        <v>0</v>
      </c>
      <c r="P1805" t="n">
        <v>0</v>
      </c>
      <c r="Q1805" t="n">
        <v>0</v>
      </c>
      <c r="R1805" s="2" t="inlineStr"/>
    </row>
    <row r="1806" ht="15" customHeight="1">
      <c r="A1806" t="inlineStr">
        <is>
          <t>A 44448-2022</t>
        </is>
      </c>
      <c r="B1806" s="1" t="n">
        <v>44840</v>
      </c>
      <c r="C1806" s="1" t="n">
        <v>45734</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44449-2022</t>
        </is>
      </c>
      <c r="B1807" s="1" t="n">
        <v>44839</v>
      </c>
      <c r="C1807" s="1" t="n">
        <v>45734</v>
      </c>
      <c r="D1807" t="inlineStr">
        <is>
          <t>JÄMTLANDS LÄN</t>
        </is>
      </c>
      <c r="E1807" t="inlineStr">
        <is>
          <t>STRÖMSUND</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44249-2022</t>
        </is>
      </c>
      <c r="B1808" s="1" t="n">
        <v>44839</v>
      </c>
      <c r="C1808" s="1" t="n">
        <v>45734</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44840</v>
      </c>
      <c r="C1809" s="1" t="n">
        <v>45734</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44641-2022</t>
        </is>
      </c>
      <c r="B1810" s="1" t="n">
        <v>44839</v>
      </c>
      <c r="C1810" s="1" t="n">
        <v>45734</v>
      </c>
      <c r="D1810" t="inlineStr">
        <is>
          <t>JÄMTLANDS LÄN</t>
        </is>
      </c>
      <c r="E1810" t="inlineStr">
        <is>
          <t>STRÖMSUND</t>
        </is>
      </c>
      <c r="F1810" t="inlineStr">
        <is>
          <t>Kommuner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45074-2022</t>
        </is>
      </c>
      <c r="B1811" s="1" t="n">
        <v>44842</v>
      </c>
      <c r="C1811" s="1" t="n">
        <v>45734</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45308-2022</t>
        </is>
      </c>
      <c r="B1812" s="1" t="n">
        <v>44841</v>
      </c>
      <c r="C1812" s="1" t="n">
        <v>45734</v>
      </c>
      <c r="D1812" t="inlineStr">
        <is>
          <t>JÄMTLANDS LÄN</t>
        </is>
      </c>
      <c r="E1812" t="inlineStr">
        <is>
          <t>STRÖMSUND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45076-2022</t>
        </is>
      </c>
      <c r="B1813" s="1" t="n">
        <v>44842</v>
      </c>
      <c r="C1813" s="1" t="n">
        <v>45734</v>
      </c>
      <c r="D1813" t="inlineStr">
        <is>
          <t>JÄMTLANDS LÄN</t>
        </is>
      </c>
      <c r="E1813" t="inlineStr">
        <is>
          <t>STRÖMSUND</t>
        </is>
      </c>
      <c r="F1813" t="inlineStr">
        <is>
          <t>SCA</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45398-2022</t>
        </is>
      </c>
      <c r="B1814" s="1" t="n">
        <v>44841</v>
      </c>
      <c r="C1814" s="1" t="n">
        <v>45734</v>
      </c>
      <c r="D1814" t="inlineStr">
        <is>
          <t>JÄMTLANDS LÄN</t>
        </is>
      </c>
      <c r="E1814" t="inlineStr">
        <is>
          <t>STRÖMSUND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45326-2022</t>
        </is>
      </c>
      <c r="B1815" s="1" t="n">
        <v>44841</v>
      </c>
      <c r="C1815" s="1" t="n">
        <v>45734</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45071-2022</t>
        </is>
      </c>
      <c r="B1816" s="1" t="n">
        <v>44842</v>
      </c>
      <c r="C1816" s="1" t="n">
        <v>45734</v>
      </c>
      <c r="D1816" t="inlineStr">
        <is>
          <t>JÄMTLANDS LÄN</t>
        </is>
      </c>
      <c r="E1816" t="inlineStr">
        <is>
          <t>STRÖMSUND</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45331-2022</t>
        </is>
      </c>
      <c r="B1817" s="1" t="n">
        <v>44841</v>
      </c>
      <c r="C1817" s="1" t="n">
        <v>45734</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44845</v>
      </c>
      <c r="C1818" s="1" t="n">
        <v>45734</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45435-2022</t>
        </is>
      </c>
      <c r="B1819" s="1" t="n">
        <v>44845</v>
      </c>
      <c r="C1819" s="1" t="n">
        <v>45734</v>
      </c>
      <c r="D1819" t="inlineStr">
        <is>
          <t>JÄMTLANDS LÄN</t>
        </is>
      </c>
      <c r="E1819" t="inlineStr">
        <is>
          <t>STRÖMSUND</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45706-2022</t>
        </is>
      </c>
      <c r="B1820" s="1" t="n">
        <v>44846</v>
      </c>
      <c r="C1820" s="1" t="n">
        <v>45734</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45720-2022</t>
        </is>
      </c>
      <c r="B1821" s="1" t="n">
        <v>44846</v>
      </c>
      <c r="C1821" s="1" t="n">
        <v>45734</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46054-2022</t>
        </is>
      </c>
      <c r="B1822" s="1" t="n">
        <v>44846</v>
      </c>
      <c r="C1822" s="1" t="n">
        <v>45734</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47320-2022</t>
        </is>
      </c>
      <c r="B1823" s="1" t="n">
        <v>44846</v>
      </c>
      <c r="C1823" s="1" t="n">
        <v>45734</v>
      </c>
      <c r="D1823" t="inlineStr">
        <is>
          <t>JÄMTLANDS LÄN</t>
        </is>
      </c>
      <c r="E1823" t="inlineStr">
        <is>
          <t>STRÖMSUND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46042-2022</t>
        </is>
      </c>
      <c r="B1824" s="1" t="n">
        <v>44847</v>
      </c>
      <c r="C1824" s="1" t="n">
        <v>45734</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46058-2022</t>
        </is>
      </c>
      <c r="B1825" s="1" t="n">
        <v>44847</v>
      </c>
      <c r="C1825" s="1" t="n">
        <v>45734</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46057-2022</t>
        </is>
      </c>
      <c r="B1826" s="1" t="n">
        <v>44847</v>
      </c>
      <c r="C1826" s="1" t="n">
        <v>45734</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46056-2022</t>
        </is>
      </c>
      <c r="B1827" s="1" t="n">
        <v>44847</v>
      </c>
      <c r="C1827" s="1" t="n">
        <v>45734</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46321-2022</t>
        </is>
      </c>
      <c r="B1828" s="1" t="n">
        <v>44848</v>
      </c>
      <c r="C1828" s="1" t="n">
        <v>45734</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46327-2022</t>
        </is>
      </c>
      <c r="B1829" s="1" t="n">
        <v>44848</v>
      </c>
      <c r="C1829" s="1" t="n">
        <v>45734</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46338-2022</t>
        </is>
      </c>
      <c r="B1830" s="1" t="n">
        <v>44848</v>
      </c>
      <c r="C1830" s="1" t="n">
        <v>45734</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46342-2022</t>
        </is>
      </c>
      <c r="B1831" s="1" t="n">
        <v>44848</v>
      </c>
      <c r="C1831" s="1" t="n">
        <v>45734</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46326-2022</t>
        </is>
      </c>
      <c r="B1832" s="1" t="n">
        <v>44848</v>
      </c>
      <c r="C1832" s="1" t="n">
        <v>45734</v>
      </c>
      <c r="D1832" t="inlineStr">
        <is>
          <t>JÄMTLANDS LÄN</t>
        </is>
      </c>
      <c r="E1832" t="inlineStr">
        <is>
          <t>STRÖMSUND</t>
        </is>
      </c>
      <c r="F1832" t="inlineStr">
        <is>
          <t>SCA</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46332-2022</t>
        </is>
      </c>
      <c r="B1833" s="1" t="n">
        <v>44848</v>
      </c>
      <c r="C1833" s="1" t="n">
        <v>45734</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46337-2022</t>
        </is>
      </c>
      <c r="B1834" s="1" t="n">
        <v>44848</v>
      </c>
      <c r="C1834" s="1" t="n">
        <v>45734</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46346-2022</t>
        </is>
      </c>
      <c r="B1835" s="1" t="n">
        <v>44848</v>
      </c>
      <c r="C1835" s="1" t="n">
        <v>45734</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46336-2022</t>
        </is>
      </c>
      <c r="B1836" s="1" t="n">
        <v>44848</v>
      </c>
      <c r="C1836" s="1" t="n">
        <v>45734</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46345-2022</t>
        </is>
      </c>
      <c r="B1837" s="1" t="n">
        <v>44848</v>
      </c>
      <c r="C1837" s="1" t="n">
        <v>45734</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46322-2022</t>
        </is>
      </c>
      <c r="B1838" s="1" t="n">
        <v>44848</v>
      </c>
      <c r="C1838" s="1" t="n">
        <v>45734</v>
      </c>
      <c r="D1838" t="inlineStr">
        <is>
          <t>JÄMTLANDS LÄN</t>
        </is>
      </c>
      <c r="E1838" t="inlineStr">
        <is>
          <t>STRÖMSUND</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46335-2022</t>
        </is>
      </c>
      <c r="B1839" s="1" t="n">
        <v>44848</v>
      </c>
      <c r="C1839" s="1" t="n">
        <v>45734</v>
      </c>
      <c r="D1839" t="inlineStr">
        <is>
          <t>JÄMTLANDS LÄN</t>
        </is>
      </c>
      <c r="E1839" t="inlineStr">
        <is>
          <t>STRÖMSUND</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46339-2022</t>
        </is>
      </c>
      <c r="B1840" s="1" t="n">
        <v>44848</v>
      </c>
      <c r="C1840" s="1" t="n">
        <v>45734</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46633-2022</t>
        </is>
      </c>
      <c r="B1841" s="1" t="n">
        <v>44849</v>
      </c>
      <c r="C1841" s="1" t="n">
        <v>45734</v>
      </c>
      <c r="D1841" t="inlineStr">
        <is>
          <t>JÄMTLANDS LÄN</t>
        </is>
      </c>
      <c r="E1841" t="inlineStr">
        <is>
          <t>STRÖMSUND</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46975-2022</t>
        </is>
      </c>
      <c r="B1842" s="1" t="n">
        <v>44851</v>
      </c>
      <c r="C1842" s="1" t="n">
        <v>45734</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46953-2022</t>
        </is>
      </c>
      <c r="B1843" s="1" t="n">
        <v>44852</v>
      </c>
      <c r="C1843" s="1" t="n">
        <v>45734</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46959-2022</t>
        </is>
      </c>
      <c r="B1844" s="1" t="n">
        <v>44851</v>
      </c>
      <c r="C1844" s="1" t="n">
        <v>45734</v>
      </c>
      <c r="D1844" t="inlineStr">
        <is>
          <t>JÄMTLANDS LÄN</t>
        </is>
      </c>
      <c r="E1844" t="inlineStr">
        <is>
          <t>STRÖMSUND</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46950-2022</t>
        </is>
      </c>
      <c r="B1845" s="1" t="n">
        <v>44851</v>
      </c>
      <c r="C1845" s="1" t="n">
        <v>45734</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46976-2022</t>
        </is>
      </c>
      <c r="B1846" s="1" t="n">
        <v>44851</v>
      </c>
      <c r="C1846" s="1" t="n">
        <v>45734</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46987-2022</t>
        </is>
      </c>
      <c r="B1847" s="1" t="n">
        <v>44851</v>
      </c>
      <c r="C1847" s="1" t="n">
        <v>45734</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47156-2022</t>
        </is>
      </c>
      <c r="B1848" s="1" t="n">
        <v>44852</v>
      </c>
      <c r="C1848" s="1" t="n">
        <v>45734</v>
      </c>
      <c r="D1848" t="inlineStr">
        <is>
          <t>JÄMTLANDS LÄN</t>
        </is>
      </c>
      <c r="E1848" t="inlineStr">
        <is>
          <t>STRÖMSUND</t>
        </is>
      </c>
      <c r="F1848" t="inlineStr">
        <is>
          <t>Holmen skog AB</t>
        </is>
      </c>
      <c r="G1848" t="n">
        <v>15.1</v>
      </c>
      <c r="H1848" t="n">
        <v>0</v>
      </c>
      <c r="I1848" t="n">
        <v>0</v>
      </c>
      <c r="J1848" t="n">
        <v>0</v>
      </c>
      <c r="K1848" t="n">
        <v>0</v>
      </c>
      <c r="L1848" t="n">
        <v>0</v>
      </c>
      <c r="M1848" t="n">
        <v>0</v>
      </c>
      <c r="N1848" t="n">
        <v>0</v>
      </c>
      <c r="O1848" t="n">
        <v>0</v>
      </c>
      <c r="P1848" t="n">
        <v>0</v>
      </c>
      <c r="Q1848" t="n">
        <v>0</v>
      </c>
      <c r="R1848" s="2" t="inlineStr"/>
    </row>
    <row r="1849" ht="15" customHeight="1">
      <c r="A1849" t="inlineStr">
        <is>
          <t>A 47248-2022</t>
        </is>
      </c>
      <c r="B1849" s="1" t="n">
        <v>44853</v>
      </c>
      <c r="C1849" s="1" t="n">
        <v>45734</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47276-2022</t>
        </is>
      </c>
      <c r="B1850" s="1" t="n">
        <v>44853</v>
      </c>
      <c r="C1850" s="1" t="n">
        <v>45734</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47291-2022</t>
        </is>
      </c>
      <c r="B1851" s="1" t="n">
        <v>44852</v>
      </c>
      <c r="C1851" s="1" t="n">
        <v>45734</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47271-2022</t>
        </is>
      </c>
      <c r="B1852" s="1" t="n">
        <v>44852</v>
      </c>
      <c r="C1852" s="1" t="n">
        <v>45734</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47289-2022</t>
        </is>
      </c>
      <c r="B1853" s="1" t="n">
        <v>44853</v>
      </c>
      <c r="C1853" s="1" t="n">
        <v>45734</v>
      </c>
      <c r="D1853" t="inlineStr">
        <is>
          <t>JÄMTLANDS LÄN</t>
        </is>
      </c>
      <c r="E1853" t="inlineStr">
        <is>
          <t>STRÖMSUND</t>
        </is>
      </c>
      <c r="F1853" t="inlineStr">
        <is>
          <t>SCA</t>
        </is>
      </c>
      <c r="G1853" t="n">
        <v>44.2</v>
      </c>
      <c r="H1853" t="n">
        <v>0</v>
      </c>
      <c r="I1853" t="n">
        <v>0</v>
      </c>
      <c r="J1853" t="n">
        <v>0</v>
      </c>
      <c r="K1853" t="n">
        <v>0</v>
      </c>
      <c r="L1853" t="n">
        <v>0</v>
      </c>
      <c r="M1853" t="n">
        <v>0</v>
      </c>
      <c r="N1853" t="n">
        <v>0</v>
      </c>
      <c r="O1853" t="n">
        <v>0</v>
      </c>
      <c r="P1853" t="n">
        <v>0</v>
      </c>
      <c r="Q1853" t="n">
        <v>0</v>
      </c>
      <c r="R1853" s="2" t="inlineStr"/>
    </row>
    <row r="1854" ht="15" customHeight="1">
      <c r="A1854" t="inlineStr">
        <is>
          <t>A 47290-2022</t>
        </is>
      </c>
      <c r="B1854" s="1" t="n">
        <v>44852</v>
      </c>
      <c r="C1854" s="1" t="n">
        <v>45734</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47098-2022</t>
        </is>
      </c>
      <c r="B1855" s="1" t="n">
        <v>44852</v>
      </c>
      <c r="C1855" s="1" t="n">
        <v>45734</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47360-2022</t>
        </is>
      </c>
      <c r="B1856" s="1" t="n">
        <v>44853</v>
      </c>
      <c r="C1856" s="1" t="n">
        <v>45734</v>
      </c>
      <c r="D1856" t="inlineStr">
        <is>
          <t>JÄMTLANDS LÄN</t>
        </is>
      </c>
      <c r="E1856" t="inlineStr">
        <is>
          <t>STRÖMSUND</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47391-2022</t>
        </is>
      </c>
      <c r="B1857" s="1" t="n">
        <v>44853</v>
      </c>
      <c r="C1857" s="1" t="n">
        <v>45734</v>
      </c>
      <c r="D1857" t="inlineStr">
        <is>
          <t>JÄMTLANDS LÄN</t>
        </is>
      </c>
      <c r="E1857" t="inlineStr">
        <is>
          <t>STRÖMSUND</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47577-2022</t>
        </is>
      </c>
      <c r="B1858" s="1" t="n">
        <v>44853</v>
      </c>
      <c r="C1858" s="1" t="n">
        <v>45734</v>
      </c>
      <c r="D1858" t="inlineStr">
        <is>
          <t>JÄMTLANDS LÄN</t>
        </is>
      </c>
      <c r="E1858" t="inlineStr">
        <is>
          <t>STRÖMSUND</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47566-2022</t>
        </is>
      </c>
      <c r="B1859" s="1" t="n">
        <v>44854</v>
      </c>
      <c r="C1859" s="1" t="n">
        <v>45734</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47578-2022</t>
        </is>
      </c>
      <c r="B1860" s="1" t="n">
        <v>44853</v>
      </c>
      <c r="C1860" s="1" t="n">
        <v>45734</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47579-2022</t>
        </is>
      </c>
      <c r="B1861" s="1" t="n">
        <v>44854</v>
      </c>
      <c r="C1861" s="1" t="n">
        <v>45734</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47810-2022</t>
        </is>
      </c>
      <c r="B1862" s="1" t="n">
        <v>44855</v>
      </c>
      <c r="C1862" s="1" t="n">
        <v>45734</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48564-2022</t>
        </is>
      </c>
      <c r="B1863" s="1" t="n">
        <v>44854</v>
      </c>
      <c r="C1863" s="1" t="n">
        <v>45734</v>
      </c>
      <c r="D1863" t="inlineStr">
        <is>
          <t>JÄMTLANDS LÄN</t>
        </is>
      </c>
      <c r="E1863" t="inlineStr">
        <is>
          <t>STRÖMSUND</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47811-2022</t>
        </is>
      </c>
      <c r="B1864" s="1" t="n">
        <v>44855</v>
      </c>
      <c r="C1864" s="1" t="n">
        <v>45734</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48050-2022</t>
        </is>
      </c>
      <c r="B1865" s="1" t="n">
        <v>44856</v>
      </c>
      <c r="C1865" s="1" t="n">
        <v>45734</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48049-2022</t>
        </is>
      </c>
      <c r="B1866" s="1" t="n">
        <v>44856</v>
      </c>
      <c r="C1866" s="1" t="n">
        <v>45734</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48531-2022</t>
        </is>
      </c>
      <c r="B1867" s="1" t="n">
        <v>44858</v>
      </c>
      <c r="C1867" s="1" t="n">
        <v>45734</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48543-2022</t>
        </is>
      </c>
      <c r="B1868" s="1" t="n">
        <v>44859</v>
      </c>
      <c r="C1868" s="1" t="n">
        <v>45734</v>
      </c>
      <c r="D1868" t="inlineStr">
        <is>
          <t>JÄMTLANDS LÄN</t>
        </is>
      </c>
      <c r="E1868" t="inlineStr">
        <is>
          <t>STRÖMSUND</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48547-2022</t>
        </is>
      </c>
      <c r="B1869" s="1" t="n">
        <v>44858</v>
      </c>
      <c r="C1869" s="1" t="n">
        <v>45734</v>
      </c>
      <c r="D1869" t="inlineStr">
        <is>
          <t>JÄMTLANDS LÄN</t>
        </is>
      </c>
      <c r="E1869" t="inlineStr">
        <is>
          <t>STRÖMSUND</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49287-2022</t>
        </is>
      </c>
      <c r="B1870" s="1" t="n">
        <v>44858</v>
      </c>
      <c r="C1870" s="1" t="n">
        <v>45734</v>
      </c>
      <c r="D1870" t="inlineStr">
        <is>
          <t>JÄMTLANDS LÄN</t>
        </is>
      </c>
      <c r="E1870" t="inlineStr">
        <is>
          <t>STRÖMSUND</t>
        </is>
      </c>
      <c r="G1870" t="n">
        <v>200</v>
      </c>
      <c r="H1870" t="n">
        <v>0</v>
      </c>
      <c r="I1870" t="n">
        <v>0</v>
      </c>
      <c r="J1870" t="n">
        <v>0</v>
      </c>
      <c r="K1870" t="n">
        <v>0</v>
      </c>
      <c r="L1870" t="n">
        <v>0</v>
      </c>
      <c r="M1870" t="n">
        <v>0</v>
      </c>
      <c r="N1870" t="n">
        <v>0</v>
      </c>
      <c r="O1870" t="n">
        <v>0</v>
      </c>
      <c r="P1870" t="n">
        <v>0</v>
      </c>
      <c r="Q1870" t="n">
        <v>0</v>
      </c>
      <c r="R1870" s="2" t="inlineStr"/>
    </row>
    <row r="1871" ht="15" customHeight="1">
      <c r="A1871" t="inlineStr">
        <is>
          <t>A 48333-2022</t>
        </is>
      </c>
      <c r="B1871" s="1" t="n">
        <v>44858</v>
      </c>
      <c r="C1871" s="1" t="n">
        <v>45734</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48528-2022</t>
        </is>
      </c>
      <c r="B1872" s="1" t="n">
        <v>44859</v>
      </c>
      <c r="C1872" s="1" t="n">
        <v>45734</v>
      </c>
      <c r="D1872" t="inlineStr">
        <is>
          <t>JÄMTLANDS LÄN</t>
        </is>
      </c>
      <c r="E1872" t="inlineStr">
        <is>
          <t>STRÖMSUND</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48545-2022</t>
        </is>
      </c>
      <c r="B1873" s="1" t="n">
        <v>44858</v>
      </c>
      <c r="C1873" s="1" t="n">
        <v>45734</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48542-2022</t>
        </is>
      </c>
      <c r="B1874" s="1" t="n">
        <v>44859</v>
      </c>
      <c r="C1874" s="1" t="n">
        <v>45734</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48546-2022</t>
        </is>
      </c>
      <c r="B1875" s="1" t="n">
        <v>44858</v>
      </c>
      <c r="C1875" s="1" t="n">
        <v>45734</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48926-2022</t>
        </is>
      </c>
      <c r="B1876" s="1" t="n">
        <v>44859</v>
      </c>
      <c r="C1876" s="1" t="n">
        <v>45734</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48894-2022</t>
        </is>
      </c>
      <c r="B1877" s="1" t="n">
        <v>44860</v>
      </c>
      <c r="C1877" s="1" t="n">
        <v>45734</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48933-2022</t>
        </is>
      </c>
      <c r="B1878" s="1" t="n">
        <v>44860</v>
      </c>
      <c r="C1878" s="1" t="n">
        <v>45734</v>
      </c>
      <c r="D1878" t="inlineStr">
        <is>
          <t>JÄMTLANDS LÄN</t>
        </is>
      </c>
      <c r="E1878" t="inlineStr">
        <is>
          <t>STRÖMSUND</t>
        </is>
      </c>
      <c r="F1878" t="inlineStr">
        <is>
          <t>SCA</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49752-2022</t>
        </is>
      </c>
      <c r="B1879" s="1" t="n">
        <v>44859</v>
      </c>
      <c r="C1879" s="1" t="n">
        <v>45734</v>
      </c>
      <c r="D1879" t="inlineStr">
        <is>
          <t>JÄMTLANDS LÄN</t>
        </is>
      </c>
      <c r="E1879" t="inlineStr">
        <is>
          <t>STRÖMSUND</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48963-2022</t>
        </is>
      </c>
      <c r="B1880" s="1" t="n">
        <v>44860</v>
      </c>
      <c r="C1880" s="1" t="n">
        <v>45734</v>
      </c>
      <c r="D1880" t="inlineStr">
        <is>
          <t>JÄMTLANDS LÄN</t>
        </is>
      </c>
      <c r="E1880" t="inlineStr">
        <is>
          <t>STRÖMSUND</t>
        </is>
      </c>
      <c r="F1880" t="inlineStr">
        <is>
          <t>Sveaskog</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49541-2022</t>
        </is>
      </c>
      <c r="B1881" s="1" t="n">
        <v>44862</v>
      </c>
      <c r="C1881" s="1" t="n">
        <v>45734</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50313-2022</t>
        </is>
      </c>
      <c r="B1882" s="1" t="n">
        <v>44865</v>
      </c>
      <c r="C1882" s="1" t="n">
        <v>45734</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50317-2022</t>
        </is>
      </c>
      <c r="B1883" s="1" t="n">
        <v>44865</v>
      </c>
      <c r="C1883" s="1" t="n">
        <v>45734</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50316-2022</t>
        </is>
      </c>
      <c r="B1884" s="1" t="n">
        <v>44865</v>
      </c>
      <c r="C1884" s="1" t="n">
        <v>45734</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50305-2022</t>
        </is>
      </c>
      <c r="B1885" s="1" t="n">
        <v>44865</v>
      </c>
      <c r="C1885" s="1" t="n">
        <v>45734</v>
      </c>
      <c r="D1885" t="inlineStr">
        <is>
          <t>JÄMTLANDS LÄN</t>
        </is>
      </c>
      <c r="E1885" t="inlineStr">
        <is>
          <t>STRÖMSUND</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50314-2022</t>
        </is>
      </c>
      <c r="B1886" s="1" t="n">
        <v>44865</v>
      </c>
      <c r="C1886" s="1" t="n">
        <v>45734</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50337-2022</t>
        </is>
      </c>
      <c r="B1887" s="1" t="n">
        <v>44865</v>
      </c>
      <c r="C1887" s="1" t="n">
        <v>45734</v>
      </c>
      <c r="D1887" t="inlineStr">
        <is>
          <t>JÄMTLANDS LÄN</t>
        </is>
      </c>
      <c r="E1887" t="inlineStr">
        <is>
          <t>STRÖMSUND</t>
        </is>
      </c>
      <c r="F1887" t="inlineStr">
        <is>
          <t>SCA</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50315-2022</t>
        </is>
      </c>
      <c r="B1888" s="1" t="n">
        <v>44865</v>
      </c>
      <c r="C1888" s="1" t="n">
        <v>45734</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50320-2022</t>
        </is>
      </c>
      <c r="B1889" s="1" t="n">
        <v>44865</v>
      </c>
      <c r="C1889" s="1" t="n">
        <v>45734</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50335-2022</t>
        </is>
      </c>
      <c r="B1890" s="1" t="n">
        <v>44865</v>
      </c>
      <c r="C1890" s="1" t="n">
        <v>45734</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50450-2022</t>
        </is>
      </c>
      <c r="B1891" s="1" t="n">
        <v>44866</v>
      </c>
      <c r="C1891" s="1" t="n">
        <v>45734</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50645-2022</t>
        </is>
      </c>
      <c r="B1892" s="1" t="n">
        <v>44866</v>
      </c>
      <c r="C1892" s="1" t="n">
        <v>45734</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50646-2022</t>
        </is>
      </c>
      <c r="B1893" s="1" t="n">
        <v>44866</v>
      </c>
      <c r="C1893" s="1" t="n">
        <v>45734</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50657-2022</t>
        </is>
      </c>
      <c r="B1894" s="1" t="n">
        <v>44866</v>
      </c>
      <c r="C1894" s="1" t="n">
        <v>45734</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v>
      </c>
      <c r="C1895" s="1" t="n">
        <v>45734</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50659-2022</t>
        </is>
      </c>
      <c r="B1896" s="1" t="n">
        <v>44866</v>
      </c>
      <c r="C1896" s="1" t="n">
        <v>45734</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50663-2022</t>
        </is>
      </c>
      <c r="B1897" s="1" t="n">
        <v>44866</v>
      </c>
      <c r="C1897" s="1" t="n">
        <v>45734</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50664-2022</t>
        </is>
      </c>
      <c r="B1898" s="1" t="n">
        <v>44866</v>
      </c>
      <c r="C1898" s="1" t="n">
        <v>45734</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50680-2022</t>
        </is>
      </c>
      <c r="B1899" s="1" t="n">
        <v>44866</v>
      </c>
      <c r="C1899" s="1" t="n">
        <v>45734</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50647-2022</t>
        </is>
      </c>
      <c r="B1900" s="1" t="n">
        <v>44866</v>
      </c>
      <c r="C1900" s="1" t="n">
        <v>45734</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50658-2022</t>
        </is>
      </c>
      <c r="B1901" s="1" t="n">
        <v>44866</v>
      </c>
      <c r="C1901" s="1" t="n">
        <v>45734</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51344-2022</t>
        </is>
      </c>
      <c r="B1902" s="1" t="n">
        <v>44866</v>
      </c>
      <c r="C1902" s="1" t="n">
        <v>45734</v>
      </c>
      <c r="D1902" t="inlineStr">
        <is>
          <t>JÄMTLANDS LÄN</t>
        </is>
      </c>
      <c r="E1902" t="inlineStr">
        <is>
          <t>STRÖMSUND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50681-2022</t>
        </is>
      </c>
      <c r="B1903" s="1" t="n">
        <v>44866</v>
      </c>
      <c r="C1903" s="1" t="n">
        <v>45734</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50687-2022</t>
        </is>
      </c>
      <c r="B1904" s="1" t="n">
        <v>44866</v>
      </c>
      <c r="C1904" s="1" t="n">
        <v>45734</v>
      </c>
      <c r="D1904" t="inlineStr">
        <is>
          <t>JÄMTLANDS LÄN</t>
        </is>
      </c>
      <c r="E1904" t="inlineStr">
        <is>
          <t>STRÖMSUND</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50934-2022</t>
        </is>
      </c>
      <c r="B1905" s="1" t="n">
        <v>44867</v>
      </c>
      <c r="C1905" s="1" t="n">
        <v>45734</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51013-2022</t>
        </is>
      </c>
      <c r="B1906" s="1" t="n">
        <v>44867</v>
      </c>
      <c r="C1906" s="1" t="n">
        <v>45734</v>
      </c>
      <c r="D1906" t="inlineStr">
        <is>
          <t>JÄMTLANDS LÄN</t>
        </is>
      </c>
      <c r="E1906" t="inlineStr">
        <is>
          <t>STRÖMSUND</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51015-2022</t>
        </is>
      </c>
      <c r="B1907" s="1" t="n">
        <v>44867</v>
      </c>
      <c r="C1907" s="1" t="n">
        <v>45734</v>
      </c>
      <c r="D1907" t="inlineStr">
        <is>
          <t>JÄMTLANDS LÄN</t>
        </is>
      </c>
      <c r="E1907" t="inlineStr">
        <is>
          <t>STRÖMSUND</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51021-2022</t>
        </is>
      </c>
      <c r="B1908" s="1" t="n">
        <v>44867</v>
      </c>
      <c r="C1908" s="1" t="n">
        <v>45734</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51889-2022</t>
        </is>
      </c>
      <c r="B1909" s="1" t="n">
        <v>44867</v>
      </c>
      <c r="C1909" s="1" t="n">
        <v>45734</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51325-2022</t>
        </is>
      </c>
      <c r="B1910" s="1" t="n">
        <v>44868</v>
      </c>
      <c r="C1910" s="1" t="n">
        <v>45734</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51324-2022</t>
        </is>
      </c>
      <c r="B1911" s="1" t="n">
        <v>44868</v>
      </c>
      <c r="C1911" s="1" t="n">
        <v>45734</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52181-2022</t>
        </is>
      </c>
      <c r="B1912" s="1" t="n">
        <v>44868</v>
      </c>
      <c r="C1912" s="1" t="n">
        <v>45734</v>
      </c>
      <c r="D1912" t="inlineStr">
        <is>
          <t>JÄMTLANDS LÄN</t>
        </is>
      </c>
      <c r="E1912" t="inlineStr">
        <is>
          <t>STRÖMSUND</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51450-2022</t>
        </is>
      </c>
      <c r="B1913" s="1" t="n">
        <v>44869</v>
      </c>
      <c r="C1913" s="1" t="n">
        <v>45734</v>
      </c>
      <c r="D1913" t="inlineStr">
        <is>
          <t>JÄMTLANDS LÄN</t>
        </is>
      </c>
      <c r="E1913" t="inlineStr">
        <is>
          <t>STRÖMSUND</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51562-2022</t>
        </is>
      </c>
      <c r="B1914" s="1" t="n">
        <v>44869</v>
      </c>
      <c r="C1914" s="1" t="n">
        <v>45734</v>
      </c>
      <c r="D1914" t="inlineStr">
        <is>
          <t>JÄMTLANDS LÄN</t>
        </is>
      </c>
      <c r="E1914" t="inlineStr">
        <is>
          <t>STRÖMSUND</t>
        </is>
      </c>
      <c r="F1914" t="inlineStr">
        <is>
          <t>SCA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51563-2022</t>
        </is>
      </c>
      <c r="B1915" s="1" t="n">
        <v>44869</v>
      </c>
      <c r="C1915" s="1" t="n">
        <v>45734</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52038-2022</t>
        </is>
      </c>
      <c r="B1916" s="1" t="n">
        <v>44872</v>
      </c>
      <c r="C1916" s="1" t="n">
        <v>45734</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52028-2022</t>
        </is>
      </c>
      <c r="B1917" s="1" t="n">
        <v>44872</v>
      </c>
      <c r="C1917" s="1" t="n">
        <v>45734</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52806-2022</t>
        </is>
      </c>
      <c r="B1918" s="1" t="n">
        <v>44872</v>
      </c>
      <c r="C1918" s="1" t="n">
        <v>45734</v>
      </c>
      <c r="D1918" t="inlineStr">
        <is>
          <t>JÄMTLANDS LÄN</t>
        </is>
      </c>
      <c r="E1918" t="inlineStr">
        <is>
          <t>STRÖMSUND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52345-2022</t>
        </is>
      </c>
      <c r="B1919" s="1" t="n">
        <v>44873</v>
      </c>
      <c r="C1919" s="1" t="n">
        <v>45734</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52352-2022</t>
        </is>
      </c>
      <c r="B1920" s="1" t="n">
        <v>44873</v>
      </c>
      <c r="C1920" s="1" t="n">
        <v>45734</v>
      </c>
      <c r="D1920" t="inlineStr">
        <is>
          <t>JÄMTLANDS LÄN</t>
        </is>
      </c>
      <c r="E1920" t="inlineStr">
        <is>
          <t>STRÖMSUND</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52344-2022</t>
        </is>
      </c>
      <c r="B1921" s="1" t="n">
        <v>44873</v>
      </c>
      <c r="C1921" s="1" t="n">
        <v>45734</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52715-2022</t>
        </is>
      </c>
      <c r="B1922" s="1" t="n">
        <v>44874</v>
      </c>
      <c r="C1922" s="1" t="n">
        <v>45734</v>
      </c>
      <c r="D1922" t="inlineStr">
        <is>
          <t>JÄMTLANDS LÄN</t>
        </is>
      </c>
      <c r="E1922" t="inlineStr">
        <is>
          <t>STRÖMSUND</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52521-2022</t>
        </is>
      </c>
      <c r="B1923" s="1" t="n">
        <v>44874</v>
      </c>
      <c r="C1923" s="1" t="n">
        <v>45734</v>
      </c>
      <c r="D1923" t="inlineStr">
        <is>
          <t>JÄMTLANDS LÄN</t>
        </is>
      </c>
      <c r="E1923" t="inlineStr">
        <is>
          <t>STRÖMSUND</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52728-2022</t>
        </is>
      </c>
      <c r="B1924" s="1" t="n">
        <v>44874</v>
      </c>
      <c r="C1924" s="1" t="n">
        <v>45734</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53019-2022</t>
        </is>
      </c>
      <c r="B1925" s="1" t="n">
        <v>44875</v>
      </c>
      <c r="C1925" s="1" t="n">
        <v>45734</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53020-2022</t>
        </is>
      </c>
      <c r="B1926" s="1" t="n">
        <v>44875</v>
      </c>
      <c r="C1926" s="1" t="n">
        <v>45734</v>
      </c>
      <c r="D1926" t="inlineStr">
        <is>
          <t>JÄMTLANDS LÄN</t>
        </is>
      </c>
      <c r="E1926" t="inlineStr">
        <is>
          <t>STRÖMSUND</t>
        </is>
      </c>
      <c r="F1926" t="inlineStr">
        <is>
          <t>SCA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53016-2022</t>
        </is>
      </c>
      <c r="B1927" s="1" t="n">
        <v>44875</v>
      </c>
      <c r="C1927" s="1" t="n">
        <v>45734</v>
      </c>
      <c r="D1927" t="inlineStr">
        <is>
          <t>JÄMTLANDS LÄN</t>
        </is>
      </c>
      <c r="E1927" t="inlineStr">
        <is>
          <t>STRÖMSUND</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45734</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53149-2022</t>
        </is>
      </c>
      <c r="B1929" s="1" t="n">
        <v>44876</v>
      </c>
      <c r="C1929" s="1" t="n">
        <v>45734</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53816-2022</t>
        </is>
      </c>
      <c r="B1930" s="1" t="n">
        <v>44876</v>
      </c>
      <c r="C1930" s="1" t="n">
        <v>45734</v>
      </c>
      <c r="D1930" t="inlineStr">
        <is>
          <t>JÄMTLANDS LÄN</t>
        </is>
      </c>
      <c r="E1930" t="inlineStr">
        <is>
          <t>STRÖMSUND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54050-2022</t>
        </is>
      </c>
      <c r="B1931" s="1" t="n">
        <v>44876</v>
      </c>
      <c r="C1931" s="1" t="n">
        <v>45734</v>
      </c>
      <c r="D1931" t="inlineStr">
        <is>
          <t>JÄMTLANDS LÄN</t>
        </is>
      </c>
      <c r="E1931" t="inlineStr">
        <is>
          <t>STRÖMSUND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53318-2022</t>
        </is>
      </c>
      <c r="B1932" s="1" t="n">
        <v>44878</v>
      </c>
      <c r="C1932" s="1" t="n">
        <v>45734</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53338-2022</t>
        </is>
      </c>
      <c r="B1933" s="1" t="n">
        <v>44879</v>
      </c>
      <c r="C1933" s="1" t="n">
        <v>45734</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53400-2022</t>
        </is>
      </c>
      <c r="B1934" s="1" t="n">
        <v>44879</v>
      </c>
      <c r="C1934" s="1" t="n">
        <v>45734</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53396-2022</t>
        </is>
      </c>
      <c r="B1935" s="1" t="n">
        <v>44879</v>
      </c>
      <c r="C1935" s="1" t="n">
        <v>45734</v>
      </c>
      <c r="D1935" t="inlineStr">
        <is>
          <t>JÄMTLANDS LÄN</t>
        </is>
      </c>
      <c r="E1935" t="inlineStr">
        <is>
          <t>STRÖMSUND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54577-2022</t>
        </is>
      </c>
      <c r="B1936" s="1" t="n">
        <v>44882</v>
      </c>
      <c r="C1936" s="1" t="n">
        <v>45734</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54581-2022</t>
        </is>
      </c>
      <c r="B1937" s="1" t="n">
        <v>44882</v>
      </c>
      <c r="C1937" s="1" t="n">
        <v>45734</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55459-2022</t>
        </is>
      </c>
      <c r="B1938" s="1" t="n">
        <v>44882</v>
      </c>
      <c r="C1938" s="1" t="n">
        <v>45734</v>
      </c>
      <c r="D1938" t="inlineStr">
        <is>
          <t>JÄMTLANDS LÄN</t>
        </is>
      </c>
      <c r="E1938" t="inlineStr">
        <is>
          <t>STRÖMSUND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55485-2022</t>
        </is>
      </c>
      <c r="B1939" s="1" t="n">
        <v>44882</v>
      </c>
      <c r="C1939" s="1" t="n">
        <v>45734</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54828-2022</t>
        </is>
      </c>
      <c r="B1940" s="1" t="n">
        <v>44883</v>
      </c>
      <c r="C1940" s="1" t="n">
        <v>45734</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54839-2022</t>
        </is>
      </c>
      <c r="B1941" s="1" t="n">
        <v>44883</v>
      </c>
      <c r="C1941" s="1" t="n">
        <v>45734</v>
      </c>
      <c r="D1941" t="inlineStr">
        <is>
          <t>JÄMTLANDS LÄN</t>
        </is>
      </c>
      <c r="E1941" t="inlineStr">
        <is>
          <t>STRÖMSUND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54843-2022</t>
        </is>
      </c>
      <c r="B1942" s="1" t="n">
        <v>44883</v>
      </c>
      <c r="C1942" s="1" t="n">
        <v>45734</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54844-2022</t>
        </is>
      </c>
      <c r="B1943" s="1" t="n">
        <v>44883</v>
      </c>
      <c r="C1943" s="1" t="n">
        <v>45734</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55525-2022</t>
        </is>
      </c>
      <c r="B1944" s="1" t="n">
        <v>44887</v>
      </c>
      <c r="C1944" s="1" t="n">
        <v>45734</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55524-2022</t>
        </is>
      </c>
      <c r="B1945" s="1" t="n">
        <v>44887</v>
      </c>
      <c r="C1945" s="1" t="n">
        <v>45734</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55531-2022</t>
        </is>
      </c>
      <c r="B1946" s="1" t="n">
        <v>44887</v>
      </c>
      <c r="C1946" s="1" t="n">
        <v>45734</v>
      </c>
      <c r="D1946" t="inlineStr">
        <is>
          <t>JÄMTLANDS LÄN</t>
        </is>
      </c>
      <c r="E1946" t="inlineStr">
        <is>
          <t>STRÖMSUND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55901-2022</t>
        </is>
      </c>
      <c r="B1947" s="1" t="n">
        <v>44888</v>
      </c>
      <c r="C1947" s="1" t="n">
        <v>45734</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56091-2022</t>
        </is>
      </c>
      <c r="B1948" s="1" t="n">
        <v>44889</v>
      </c>
      <c r="C1948" s="1" t="n">
        <v>45734</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56171-2022</t>
        </is>
      </c>
      <c r="B1949" s="1" t="n">
        <v>44889</v>
      </c>
      <c r="C1949" s="1" t="n">
        <v>45734</v>
      </c>
      <c r="D1949" t="inlineStr">
        <is>
          <t>JÄMTLANDS LÄN</t>
        </is>
      </c>
      <c r="E1949" t="inlineStr">
        <is>
          <t>STRÖMSUND</t>
        </is>
      </c>
      <c r="F1949" t="inlineStr">
        <is>
          <t>SCA</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56196-2022</t>
        </is>
      </c>
      <c r="B1950" s="1" t="n">
        <v>44889</v>
      </c>
      <c r="C1950" s="1" t="n">
        <v>45734</v>
      </c>
      <c r="D1950" t="inlineStr">
        <is>
          <t>JÄMTLANDS LÄN</t>
        </is>
      </c>
      <c r="E1950" t="inlineStr">
        <is>
          <t>STRÖMSUND</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56412-2022</t>
        </is>
      </c>
      <c r="B1951" s="1" t="n">
        <v>44890</v>
      </c>
      <c r="C1951" s="1" t="n">
        <v>45734</v>
      </c>
      <c r="D1951" t="inlineStr">
        <is>
          <t>JÄMTLANDS LÄN</t>
        </is>
      </c>
      <c r="E1951" t="inlineStr">
        <is>
          <t>STRÖMSUND</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57740-2022</t>
        </is>
      </c>
      <c r="B1952" s="1" t="n">
        <v>44890</v>
      </c>
      <c r="C1952" s="1" t="n">
        <v>45734</v>
      </c>
      <c r="D1952" t="inlineStr">
        <is>
          <t>JÄMTLANDS LÄN</t>
        </is>
      </c>
      <c r="E1952" t="inlineStr">
        <is>
          <t>STRÖMSUND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57762-2022</t>
        </is>
      </c>
      <c r="B1953" s="1" t="n">
        <v>44890</v>
      </c>
      <c r="C1953" s="1" t="n">
        <v>45734</v>
      </c>
      <c r="D1953" t="inlineStr">
        <is>
          <t>JÄMTLANDS LÄN</t>
        </is>
      </c>
      <c r="E1953" t="inlineStr">
        <is>
          <t>STRÖMSUND</t>
        </is>
      </c>
      <c r="F1953" t="inlineStr">
        <is>
          <t>Kyrkan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56413-2022</t>
        </is>
      </c>
      <c r="B1954" s="1" t="n">
        <v>44890</v>
      </c>
      <c r="C1954" s="1" t="n">
        <v>45734</v>
      </c>
      <c r="D1954" t="inlineStr">
        <is>
          <t>JÄMTLANDS LÄN</t>
        </is>
      </c>
      <c r="E1954" t="inlineStr">
        <is>
          <t>STRÖMSUND</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57754-2022</t>
        </is>
      </c>
      <c r="B1955" s="1" t="n">
        <v>44890</v>
      </c>
      <c r="C1955" s="1" t="n">
        <v>45734</v>
      </c>
      <c r="D1955" t="inlineStr">
        <is>
          <t>JÄMTLANDS LÄN</t>
        </is>
      </c>
      <c r="E1955" t="inlineStr">
        <is>
          <t>STRÖMSUND</t>
        </is>
      </c>
      <c r="F1955" t="inlineStr">
        <is>
          <t>Kyrkan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58031-2022</t>
        </is>
      </c>
      <c r="B1956" s="1" t="n">
        <v>44893</v>
      </c>
      <c r="C1956" s="1" t="n">
        <v>45734</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58037-2022</t>
        </is>
      </c>
      <c r="B1957" s="1" t="n">
        <v>44893</v>
      </c>
      <c r="C1957" s="1" t="n">
        <v>45734</v>
      </c>
      <c r="D1957" t="inlineStr">
        <is>
          <t>JÄMTLANDS LÄN</t>
        </is>
      </c>
      <c r="E1957" t="inlineStr">
        <is>
          <t>STRÖMSUND</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58025-2022</t>
        </is>
      </c>
      <c r="B1958" s="1" t="n">
        <v>44893</v>
      </c>
      <c r="C1958" s="1" t="n">
        <v>45734</v>
      </c>
      <c r="D1958" t="inlineStr">
        <is>
          <t>JÄMTLANDS LÄN</t>
        </is>
      </c>
      <c r="E1958" t="inlineStr">
        <is>
          <t>STRÖMSUND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57005-2022</t>
        </is>
      </c>
      <c r="B1959" s="1" t="n">
        <v>44894</v>
      </c>
      <c r="C1959" s="1" t="n">
        <v>45734</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56999-2022</t>
        </is>
      </c>
      <c r="B1960" s="1" t="n">
        <v>44894</v>
      </c>
      <c r="C1960" s="1" t="n">
        <v>45734</v>
      </c>
      <c r="D1960" t="inlineStr">
        <is>
          <t>JÄMTLANDS LÄN</t>
        </is>
      </c>
      <c r="E1960" t="inlineStr">
        <is>
          <t>STRÖMSUND</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57012-2022</t>
        </is>
      </c>
      <c r="B1961" s="1" t="n">
        <v>44894</v>
      </c>
      <c r="C1961" s="1" t="n">
        <v>45734</v>
      </c>
      <c r="D1961" t="inlineStr">
        <is>
          <t>JÄMTLANDS LÄN</t>
        </is>
      </c>
      <c r="E1961" t="inlineStr">
        <is>
          <t>STRÖMSUND</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57017-2022</t>
        </is>
      </c>
      <c r="B1962" s="1" t="n">
        <v>44895</v>
      </c>
      <c r="C1962" s="1" t="n">
        <v>45734</v>
      </c>
      <c r="D1962" t="inlineStr">
        <is>
          <t>JÄMTLANDS LÄN</t>
        </is>
      </c>
      <c r="E1962" t="inlineStr">
        <is>
          <t>STRÖMSUND</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57021-2022</t>
        </is>
      </c>
      <c r="B1963" s="1" t="n">
        <v>44895</v>
      </c>
      <c r="C1963" s="1" t="n">
        <v>45734</v>
      </c>
      <c r="D1963" t="inlineStr">
        <is>
          <t>JÄMTLANDS LÄN</t>
        </is>
      </c>
      <c r="E1963" t="inlineStr">
        <is>
          <t>STRÖMSUND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57018-2022</t>
        </is>
      </c>
      <c r="B1964" s="1" t="n">
        <v>44895</v>
      </c>
      <c r="C1964" s="1" t="n">
        <v>45734</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57022-2022</t>
        </is>
      </c>
      <c r="B1965" s="1" t="n">
        <v>44895</v>
      </c>
      <c r="C1965" s="1" t="n">
        <v>45734</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56931-2022</t>
        </is>
      </c>
      <c r="B1966" s="1" t="n">
        <v>44894</v>
      </c>
      <c r="C1966" s="1" t="n">
        <v>45734</v>
      </c>
      <c r="D1966" t="inlineStr">
        <is>
          <t>JÄMTLANDS LÄN</t>
        </is>
      </c>
      <c r="E1966" t="inlineStr">
        <is>
          <t>STRÖMSUND</t>
        </is>
      </c>
      <c r="F1966" t="inlineStr">
        <is>
          <t>Holmen skog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57002-2022</t>
        </is>
      </c>
      <c r="B1967" s="1" t="n">
        <v>44894</v>
      </c>
      <c r="C1967" s="1" t="n">
        <v>45734</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57014-2022</t>
        </is>
      </c>
      <c r="B1968" s="1" t="n">
        <v>44894</v>
      </c>
      <c r="C1968" s="1" t="n">
        <v>45734</v>
      </c>
      <c r="D1968" t="inlineStr">
        <is>
          <t>JÄMTLANDS LÄN</t>
        </is>
      </c>
      <c r="E1968" t="inlineStr">
        <is>
          <t>STRÖMSUND</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57016-2022</t>
        </is>
      </c>
      <c r="B1969" s="1" t="n">
        <v>44894</v>
      </c>
      <c r="C1969" s="1" t="n">
        <v>45734</v>
      </c>
      <c r="D1969" t="inlineStr">
        <is>
          <t>JÄMTLANDS LÄN</t>
        </is>
      </c>
      <c r="E1969" t="inlineStr">
        <is>
          <t>STRÖMSUND</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57272-2022</t>
        </is>
      </c>
      <c r="B1970" s="1" t="n">
        <v>44895</v>
      </c>
      <c r="C1970" s="1" t="n">
        <v>45734</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57278-2022</t>
        </is>
      </c>
      <c r="B1971" s="1" t="n">
        <v>44895</v>
      </c>
      <c r="C1971" s="1" t="n">
        <v>45734</v>
      </c>
      <c r="D1971" t="inlineStr">
        <is>
          <t>JÄMTLANDS LÄN</t>
        </is>
      </c>
      <c r="E1971" t="inlineStr">
        <is>
          <t>STRÖMSUND</t>
        </is>
      </c>
      <c r="F1971" t="inlineStr">
        <is>
          <t>SCA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57274-2022</t>
        </is>
      </c>
      <c r="B1972" s="1" t="n">
        <v>44895</v>
      </c>
      <c r="C1972" s="1" t="n">
        <v>45734</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57280-2022</t>
        </is>
      </c>
      <c r="B1973" s="1" t="n">
        <v>44895</v>
      </c>
      <c r="C1973" s="1" t="n">
        <v>45734</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57277-2022</t>
        </is>
      </c>
      <c r="B1974" s="1" t="n">
        <v>44895</v>
      </c>
      <c r="C1974" s="1" t="n">
        <v>45734</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57297-2022</t>
        </is>
      </c>
      <c r="B1975" s="1" t="n">
        <v>44895</v>
      </c>
      <c r="C1975" s="1" t="n">
        <v>45734</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57626-2022</t>
        </is>
      </c>
      <c r="B1976" s="1" t="n">
        <v>44897</v>
      </c>
      <c r="C1976" s="1" t="n">
        <v>45734</v>
      </c>
      <c r="D1976" t="inlineStr">
        <is>
          <t>JÄMTLANDS LÄN</t>
        </is>
      </c>
      <c r="E1976" t="inlineStr">
        <is>
          <t>STRÖMSUND</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57829-2022</t>
        </is>
      </c>
      <c r="B1977" s="1" t="n">
        <v>44897</v>
      </c>
      <c r="C1977" s="1" t="n">
        <v>45734</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58179-2022</t>
        </is>
      </c>
      <c r="B1978" s="1" t="n">
        <v>44900</v>
      </c>
      <c r="C1978" s="1" t="n">
        <v>45734</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58170-2022</t>
        </is>
      </c>
      <c r="B1979" s="1" t="n">
        <v>44900</v>
      </c>
      <c r="C1979" s="1" t="n">
        <v>45734</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58183-2022</t>
        </is>
      </c>
      <c r="B1980" s="1" t="n">
        <v>44900</v>
      </c>
      <c r="C1980" s="1" t="n">
        <v>45734</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59725-2022</t>
        </is>
      </c>
      <c r="B1981" s="1" t="n">
        <v>44900</v>
      </c>
      <c r="C1981" s="1" t="n">
        <v>45734</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58449-2022</t>
        </is>
      </c>
      <c r="B1982" s="1" t="n">
        <v>44901</v>
      </c>
      <c r="C1982" s="1" t="n">
        <v>45734</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58729-2022</t>
        </is>
      </c>
      <c r="B1983" s="1" t="n">
        <v>44902</v>
      </c>
      <c r="C1983" s="1" t="n">
        <v>45734</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58743-2022</t>
        </is>
      </c>
      <c r="B1984" s="1" t="n">
        <v>44902</v>
      </c>
      <c r="C1984" s="1" t="n">
        <v>45734</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59003-2022</t>
        </is>
      </c>
      <c r="B1985" s="1" t="n">
        <v>44903</v>
      </c>
      <c r="C1985" s="1" t="n">
        <v>45734</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58973-2022</t>
        </is>
      </c>
      <c r="B1986" s="1" t="n">
        <v>44903</v>
      </c>
      <c r="C1986" s="1" t="n">
        <v>45734</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58905-2022</t>
        </is>
      </c>
      <c r="B1987" s="1" t="n">
        <v>44903</v>
      </c>
      <c r="C1987" s="1" t="n">
        <v>45734</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59035-2022</t>
        </is>
      </c>
      <c r="B1988" s="1" t="n">
        <v>44903</v>
      </c>
      <c r="C1988" s="1" t="n">
        <v>45734</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59367-2022</t>
        </is>
      </c>
      <c r="B1989" s="1" t="n">
        <v>44904</v>
      </c>
      <c r="C1989" s="1" t="n">
        <v>45734</v>
      </c>
      <c r="D1989" t="inlineStr">
        <is>
          <t>JÄMTLANDS LÄN</t>
        </is>
      </c>
      <c r="E1989" t="inlineStr">
        <is>
          <t>STRÖMSUND</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59372-2022</t>
        </is>
      </c>
      <c r="B1990" s="1" t="n">
        <v>44904</v>
      </c>
      <c r="C1990" s="1" t="n">
        <v>45734</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59376-2022</t>
        </is>
      </c>
      <c r="B1991" s="1" t="n">
        <v>44904</v>
      </c>
      <c r="C1991" s="1" t="n">
        <v>45734</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59461-2022</t>
        </is>
      </c>
      <c r="B1992" s="1" t="n">
        <v>44907</v>
      </c>
      <c r="C1992" s="1" t="n">
        <v>45734</v>
      </c>
      <c r="D1992" t="inlineStr">
        <is>
          <t>JÄMTLANDS LÄN</t>
        </is>
      </c>
      <c r="E1992" t="inlineStr">
        <is>
          <t>STRÖMSUND</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59637-2022</t>
        </is>
      </c>
      <c r="B1993" s="1" t="n">
        <v>44908</v>
      </c>
      <c r="C1993" s="1" t="n">
        <v>45734</v>
      </c>
      <c r="D1993" t="inlineStr">
        <is>
          <t>JÄMTLANDS LÄN</t>
        </is>
      </c>
      <c r="E1993" t="inlineStr">
        <is>
          <t>STRÖMSUND</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59645-2022</t>
        </is>
      </c>
      <c r="B1994" s="1" t="n">
        <v>44908</v>
      </c>
      <c r="C1994" s="1" t="n">
        <v>45734</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59646-2022</t>
        </is>
      </c>
      <c r="B1995" s="1" t="n">
        <v>44908</v>
      </c>
      <c r="C1995" s="1" t="n">
        <v>45734</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60639-2022</t>
        </is>
      </c>
      <c r="B1996" s="1" t="n">
        <v>44907</v>
      </c>
      <c r="C1996" s="1" t="n">
        <v>45734</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60775-2022</t>
        </is>
      </c>
      <c r="B1997" s="1" t="n">
        <v>44907</v>
      </c>
      <c r="C1997" s="1" t="n">
        <v>45734</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45734</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60667-2022</t>
        </is>
      </c>
      <c r="B1999" s="1" t="n">
        <v>44911</v>
      </c>
      <c r="C1999" s="1" t="n">
        <v>45734</v>
      </c>
      <c r="D1999" t="inlineStr">
        <is>
          <t>JÄMTLANDS LÄN</t>
        </is>
      </c>
      <c r="E1999" t="inlineStr">
        <is>
          <t>STRÖMSUND</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60740-2022</t>
        </is>
      </c>
      <c r="B2000" s="1" t="n">
        <v>44913</v>
      </c>
      <c r="C2000" s="1" t="n">
        <v>45734</v>
      </c>
      <c r="D2000" t="inlineStr">
        <is>
          <t>JÄMTLANDS LÄN</t>
        </is>
      </c>
      <c r="E2000" t="inlineStr">
        <is>
          <t>STRÖMSUND</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60742-2022</t>
        </is>
      </c>
      <c r="B2001" s="1" t="n">
        <v>44913</v>
      </c>
      <c r="C2001" s="1" t="n">
        <v>45734</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60801-2022</t>
        </is>
      </c>
      <c r="B2002" s="1" t="n">
        <v>44914</v>
      </c>
      <c r="C2002" s="1" t="n">
        <v>45734</v>
      </c>
      <c r="D2002" t="inlineStr">
        <is>
          <t>JÄMTLANDS LÄN</t>
        </is>
      </c>
      <c r="E2002" t="inlineStr">
        <is>
          <t>STRÖMSUND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61038-2022</t>
        </is>
      </c>
      <c r="B2003" s="1" t="n">
        <v>44914</v>
      </c>
      <c r="C2003" s="1" t="n">
        <v>45734</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61374-2022</t>
        </is>
      </c>
      <c r="B2004" s="1" t="n">
        <v>44915</v>
      </c>
      <c r="C2004" s="1" t="n">
        <v>45734</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61380-2022</t>
        </is>
      </c>
      <c r="B2005" s="1" t="n">
        <v>44915</v>
      </c>
      <c r="C2005" s="1" t="n">
        <v>45734</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61375-2022</t>
        </is>
      </c>
      <c r="B2006" s="1" t="n">
        <v>44915</v>
      </c>
      <c r="C2006" s="1" t="n">
        <v>45734</v>
      </c>
      <c r="D2006" t="inlineStr">
        <is>
          <t>JÄMTLANDS LÄN</t>
        </is>
      </c>
      <c r="E2006" t="inlineStr">
        <is>
          <t>STRÖMSUND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61382-2022</t>
        </is>
      </c>
      <c r="B2007" s="1" t="n">
        <v>44915</v>
      </c>
      <c r="C2007" s="1" t="n">
        <v>45734</v>
      </c>
      <c r="D2007" t="inlineStr">
        <is>
          <t>JÄMTLANDS LÄN</t>
        </is>
      </c>
      <c r="E2007" t="inlineStr">
        <is>
          <t>STRÖMSUND</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62211-2022</t>
        </is>
      </c>
      <c r="B2008" s="1" t="n">
        <v>44915</v>
      </c>
      <c r="C2008" s="1" t="n">
        <v>45734</v>
      </c>
      <c r="D2008" t="inlineStr">
        <is>
          <t>JÄMTLANDS LÄN</t>
        </is>
      </c>
      <c r="E2008" t="inlineStr">
        <is>
          <t>STRÖMSUND</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62229-2022</t>
        </is>
      </c>
      <c r="B2009" s="1" t="n">
        <v>44916</v>
      </c>
      <c r="C2009" s="1" t="n">
        <v>45734</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61921-2022</t>
        </is>
      </c>
      <c r="B2010" s="1" t="n">
        <v>44917</v>
      </c>
      <c r="C2010" s="1" t="n">
        <v>45734</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31-2023</t>
        </is>
      </c>
      <c r="B2011" s="1" t="n">
        <v>44918</v>
      </c>
      <c r="C2011" s="1" t="n">
        <v>45734</v>
      </c>
      <c r="D2011" t="inlineStr">
        <is>
          <t>JÄMTLANDS LÄN</t>
        </is>
      </c>
      <c r="E2011" t="inlineStr">
        <is>
          <t>STRÖMSUND</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25-2023</t>
        </is>
      </c>
      <c r="B2012" s="1" t="n">
        <v>44928</v>
      </c>
      <c r="C2012" s="1" t="n">
        <v>45734</v>
      </c>
      <c r="D2012" t="inlineStr">
        <is>
          <t>JÄMTLANDS LÄN</t>
        </is>
      </c>
      <c r="E2012" t="inlineStr">
        <is>
          <t>STRÖMSUND</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286-2023</t>
        </is>
      </c>
      <c r="B2013" s="1" t="n">
        <v>44928</v>
      </c>
      <c r="C2013" s="1" t="n">
        <v>45734</v>
      </c>
      <c r="D2013" t="inlineStr">
        <is>
          <t>JÄMTLANDS LÄN</t>
        </is>
      </c>
      <c r="E2013" t="inlineStr">
        <is>
          <t>STRÖMSUND</t>
        </is>
      </c>
      <c r="F2013" t="inlineStr">
        <is>
          <t>SCA</t>
        </is>
      </c>
      <c r="G2013" t="n">
        <v>40.5</v>
      </c>
      <c r="H2013" t="n">
        <v>0</v>
      </c>
      <c r="I2013" t="n">
        <v>0</v>
      </c>
      <c r="J2013" t="n">
        <v>0</v>
      </c>
      <c r="K2013" t="n">
        <v>0</v>
      </c>
      <c r="L2013" t="n">
        <v>0</v>
      </c>
      <c r="M2013" t="n">
        <v>0</v>
      </c>
      <c r="N2013" t="n">
        <v>0</v>
      </c>
      <c r="O2013" t="n">
        <v>0</v>
      </c>
      <c r="P2013" t="n">
        <v>0</v>
      </c>
      <c r="Q2013" t="n">
        <v>0</v>
      </c>
      <c r="R2013" s="2" t="inlineStr"/>
    </row>
    <row r="2014" ht="15" customHeight="1">
      <c r="A2014" t="inlineStr">
        <is>
          <t>A 536-2023</t>
        </is>
      </c>
      <c r="B2014" s="1" t="n">
        <v>44930</v>
      </c>
      <c r="C2014" s="1" t="n">
        <v>45734</v>
      </c>
      <c r="D2014" t="inlineStr">
        <is>
          <t>JÄMTLANDS LÄN</t>
        </is>
      </c>
      <c r="E2014" t="inlineStr">
        <is>
          <t>STRÖMSUND</t>
        </is>
      </c>
      <c r="G2014" t="n">
        <v>35.4</v>
      </c>
      <c r="H2014" t="n">
        <v>0</v>
      </c>
      <c r="I2014" t="n">
        <v>0</v>
      </c>
      <c r="J2014" t="n">
        <v>0</v>
      </c>
      <c r="K2014" t="n">
        <v>0</v>
      </c>
      <c r="L2014" t="n">
        <v>0</v>
      </c>
      <c r="M2014" t="n">
        <v>0</v>
      </c>
      <c r="N2014" t="n">
        <v>0</v>
      </c>
      <c r="O2014" t="n">
        <v>0</v>
      </c>
      <c r="P2014" t="n">
        <v>0</v>
      </c>
      <c r="Q2014" t="n">
        <v>0</v>
      </c>
      <c r="R2014" s="2" t="inlineStr"/>
    </row>
    <row r="2015" ht="15" customHeight="1">
      <c r="A2015" t="inlineStr">
        <is>
          <t>A 1187-2023</t>
        </is>
      </c>
      <c r="B2015" s="1" t="n">
        <v>44930</v>
      </c>
      <c r="C2015" s="1" t="n">
        <v>45734</v>
      </c>
      <c r="D2015" t="inlineStr">
        <is>
          <t>JÄMTLANDS LÄN</t>
        </is>
      </c>
      <c r="E2015" t="inlineStr">
        <is>
          <t>STRÖMSUND</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897-2023</t>
        </is>
      </c>
      <c r="B2016" s="1" t="n">
        <v>44931</v>
      </c>
      <c r="C2016" s="1" t="n">
        <v>45734</v>
      </c>
      <c r="D2016" t="inlineStr">
        <is>
          <t>JÄMTLANDS LÄN</t>
        </is>
      </c>
      <c r="E2016" t="inlineStr">
        <is>
          <t>STRÖMSUND</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1288-2023</t>
        </is>
      </c>
      <c r="B2017" s="1" t="n">
        <v>44931</v>
      </c>
      <c r="C2017" s="1" t="n">
        <v>45734</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1224-2023</t>
        </is>
      </c>
      <c r="B2018" s="1" t="n">
        <v>44935</v>
      </c>
      <c r="C2018" s="1" t="n">
        <v>45734</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1747-2023</t>
        </is>
      </c>
      <c r="B2019" s="1" t="n">
        <v>44936</v>
      </c>
      <c r="C2019" s="1" t="n">
        <v>45734</v>
      </c>
      <c r="D2019" t="inlineStr">
        <is>
          <t>JÄMTLANDS LÄN</t>
        </is>
      </c>
      <c r="E2019" t="inlineStr">
        <is>
          <t>STRÖMSUND</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1744-2023</t>
        </is>
      </c>
      <c r="B2020" s="1" t="n">
        <v>44936</v>
      </c>
      <c r="C2020" s="1" t="n">
        <v>45734</v>
      </c>
      <c r="D2020" t="inlineStr">
        <is>
          <t>JÄMTLANDS LÄN</t>
        </is>
      </c>
      <c r="E2020" t="inlineStr">
        <is>
          <t>STRÖMSUND</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1641-2023</t>
        </is>
      </c>
      <c r="B2021" s="1" t="n">
        <v>44937</v>
      </c>
      <c r="C2021" s="1" t="n">
        <v>45734</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1642-2023</t>
        </is>
      </c>
      <c r="B2022" s="1" t="n">
        <v>44937</v>
      </c>
      <c r="C2022" s="1" t="n">
        <v>45734</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1952-2023</t>
        </is>
      </c>
      <c r="B2023" s="1" t="n">
        <v>44938</v>
      </c>
      <c r="C2023" s="1" t="n">
        <v>45734</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2050-2023</t>
        </is>
      </c>
      <c r="B2024" s="1" t="n">
        <v>44939</v>
      </c>
      <c r="C2024" s="1" t="n">
        <v>45734</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2246-2023</t>
        </is>
      </c>
      <c r="B2025" s="1" t="n">
        <v>44939</v>
      </c>
      <c r="C2025" s="1" t="n">
        <v>45734</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2296-2023</t>
        </is>
      </c>
      <c r="B2026" s="1" t="n">
        <v>44942</v>
      </c>
      <c r="C2026" s="1" t="n">
        <v>45734</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2675-2023</t>
        </is>
      </c>
      <c r="B2027" s="1" t="n">
        <v>44942</v>
      </c>
      <c r="C2027" s="1" t="n">
        <v>45734</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3182-2023</t>
        </is>
      </c>
      <c r="B2028" s="1" t="n">
        <v>44942</v>
      </c>
      <c r="C2028" s="1" t="n">
        <v>45734</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3027-2023</t>
        </is>
      </c>
      <c r="B2029" s="1" t="n">
        <v>44945</v>
      </c>
      <c r="C2029" s="1" t="n">
        <v>45734</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3481-2023</t>
        </is>
      </c>
      <c r="B2030" s="1" t="n">
        <v>44949</v>
      </c>
      <c r="C2030" s="1" t="n">
        <v>45734</v>
      </c>
      <c r="D2030" t="inlineStr">
        <is>
          <t>JÄMTLANDS LÄN</t>
        </is>
      </c>
      <c r="E2030" t="inlineStr">
        <is>
          <t>STRÖMSUND</t>
        </is>
      </c>
      <c r="G2030" t="n">
        <v>21.6</v>
      </c>
      <c r="H2030" t="n">
        <v>0</v>
      </c>
      <c r="I2030" t="n">
        <v>0</v>
      </c>
      <c r="J2030" t="n">
        <v>0</v>
      </c>
      <c r="K2030" t="n">
        <v>0</v>
      </c>
      <c r="L2030" t="n">
        <v>0</v>
      </c>
      <c r="M2030" t="n">
        <v>0</v>
      </c>
      <c r="N2030" t="n">
        <v>0</v>
      </c>
      <c r="O2030" t="n">
        <v>0</v>
      </c>
      <c r="P2030" t="n">
        <v>0</v>
      </c>
      <c r="Q2030" t="n">
        <v>0</v>
      </c>
      <c r="R2030" s="2" t="inlineStr"/>
    </row>
    <row r="2031" ht="15" customHeight="1">
      <c r="A2031" t="inlineStr">
        <is>
          <t>A 3693-2023</t>
        </is>
      </c>
      <c r="B2031" s="1" t="n">
        <v>44950</v>
      </c>
      <c r="C2031" s="1" t="n">
        <v>45734</v>
      </c>
      <c r="D2031" t="inlineStr">
        <is>
          <t>JÄMTLANDS LÄN</t>
        </is>
      </c>
      <c r="E2031" t="inlineStr">
        <is>
          <t>STRÖMSUND</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4045-2023</t>
        </is>
      </c>
      <c r="B2032" s="1" t="n">
        <v>44952</v>
      </c>
      <c r="C2032" s="1" t="n">
        <v>45734</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4537-2023</t>
        </is>
      </c>
      <c r="B2033" s="1" t="n">
        <v>44952</v>
      </c>
      <c r="C2033" s="1" t="n">
        <v>45734</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4050-2023</t>
        </is>
      </c>
      <c r="B2034" s="1" t="n">
        <v>44952</v>
      </c>
      <c r="C2034" s="1" t="n">
        <v>45734</v>
      </c>
      <c r="D2034" t="inlineStr">
        <is>
          <t>JÄMTLANDS LÄN</t>
        </is>
      </c>
      <c r="E2034" t="inlineStr">
        <is>
          <t>STRÖMSUND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4684-2023</t>
        </is>
      </c>
      <c r="B2035" s="1" t="n">
        <v>44952</v>
      </c>
      <c r="C2035" s="1" t="n">
        <v>45734</v>
      </c>
      <c r="D2035" t="inlineStr">
        <is>
          <t>JÄMTLANDS LÄN</t>
        </is>
      </c>
      <c r="E2035" t="inlineStr">
        <is>
          <t>STRÖMSUND</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4523-2023</t>
        </is>
      </c>
      <c r="B2036" s="1" t="n">
        <v>44952</v>
      </c>
      <c r="C2036" s="1" t="n">
        <v>45734</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4388-2023</t>
        </is>
      </c>
      <c r="B2037" s="1" t="n">
        <v>44955</v>
      </c>
      <c r="C2037" s="1" t="n">
        <v>45734</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4621-2023</t>
        </is>
      </c>
      <c r="B2038" s="1" t="n">
        <v>44956</v>
      </c>
      <c r="C2038" s="1" t="n">
        <v>45734</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4988-2023</t>
        </is>
      </c>
      <c r="B2039" s="1" t="n">
        <v>44956</v>
      </c>
      <c r="C2039" s="1" t="n">
        <v>45734</v>
      </c>
      <c r="D2039" t="inlineStr">
        <is>
          <t>JÄMTLANDS LÄN</t>
        </is>
      </c>
      <c r="E2039" t="inlineStr">
        <is>
          <t>STRÖMSUND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4981-2023</t>
        </is>
      </c>
      <c r="B2040" s="1" t="n">
        <v>44956</v>
      </c>
      <c r="C2040" s="1" t="n">
        <v>45734</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4880-2023</t>
        </is>
      </c>
      <c r="B2041" s="1" t="n">
        <v>44957</v>
      </c>
      <c r="C2041" s="1" t="n">
        <v>45734</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5154-2023</t>
        </is>
      </c>
      <c r="B2042" s="1" t="n">
        <v>44958</v>
      </c>
      <c r="C2042" s="1" t="n">
        <v>45734</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45734</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5155-2023</t>
        </is>
      </c>
      <c r="B2044" s="1" t="n">
        <v>44958</v>
      </c>
      <c r="C2044" s="1" t="n">
        <v>45734</v>
      </c>
      <c r="D2044" t="inlineStr">
        <is>
          <t>JÄMTLANDS LÄN</t>
        </is>
      </c>
      <c r="E2044" t="inlineStr">
        <is>
          <t>STRÖMSUND</t>
        </is>
      </c>
      <c r="F2044" t="inlineStr">
        <is>
          <t>SCA</t>
        </is>
      </c>
      <c r="G2044" t="n">
        <v>34.1</v>
      </c>
      <c r="H2044" t="n">
        <v>0</v>
      </c>
      <c r="I2044" t="n">
        <v>0</v>
      </c>
      <c r="J2044" t="n">
        <v>0</v>
      </c>
      <c r="K2044" t="n">
        <v>0</v>
      </c>
      <c r="L2044" t="n">
        <v>0</v>
      </c>
      <c r="M2044" t="n">
        <v>0</v>
      </c>
      <c r="N2044" t="n">
        <v>0</v>
      </c>
      <c r="O2044" t="n">
        <v>0</v>
      </c>
      <c r="P2044" t="n">
        <v>0</v>
      </c>
      <c r="Q2044" t="n">
        <v>0</v>
      </c>
      <c r="R2044" s="2" t="inlineStr"/>
    </row>
    <row r="2045" ht="15" customHeight="1">
      <c r="A2045" t="inlineStr">
        <is>
          <t>A 5162-2023</t>
        </is>
      </c>
      <c r="B2045" s="1" t="n">
        <v>44958</v>
      </c>
      <c r="C2045" s="1" t="n">
        <v>45734</v>
      </c>
      <c r="D2045" t="inlineStr">
        <is>
          <t>JÄMTLANDS LÄN</t>
        </is>
      </c>
      <c r="E2045" t="inlineStr">
        <is>
          <t>STRÖMSUND</t>
        </is>
      </c>
      <c r="F2045" t="inlineStr">
        <is>
          <t>SCA</t>
        </is>
      </c>
      <c r="G2045" t="n">
        <v>62.1</v>
      </c>
      <c r="H2045" t="n">
        <v>0</v>
      </c>
      <c r="I2045" t="n">
        <v>0</v>
      </c>
      <c r="J2045" t="n">
        <v>0</v>
      </c>
      <c r="K2045" t="n">
        <v>0</v>
      </c>
      <c r="L2045" t="n">
        <v>0</v>
      </c>
      <c r="M2045" t="n">
        <v>0</v>
      </c>
      <c r="N2045" t="n">
        <v>0</v>
      </c>
      <c r="O2045" t="n">
        <v>0</v>
      </c>
      <c r="P2045" t="n">
        <v>0</v>
      </c>
      <c r="Q2045" t="n">
        <v>0</v>
      </c>
      <c r="R2045" s="2" t="inlineStr"/>
    </row>
    <row r="2046" ht="15" customHeight="1">
      <c r="A2046" t="inlineStr">
        <is>
          <t>A 5279-2023</t>
        </is>
      </c>
      <c r="B2046" s="1" t="n">
        <v>44959</v>
      </c>
      <c r="C2046" s="1" t="n">
        <v>45734</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5277-2023</t>
        </is>
      </c>
      <c r="B2047" s="1" t="n">
        <v>44959</v>
      </c>
      <c r="C2047" s="1" t="n">
        <v>45734</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5278-2023</t>
        </is>
      </c>
      <c r="B2048" s="1" t="n">
        <v>44959</v>
      </c>
      <c r="C2048" s="1" t="n">
        <v>45734</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5397-2023</t>
        </is>
      </c>
      <c r="B2049" s="1" t="n">
        <v>44959</v>
      </c>
      <c r="C2049" s="1" t="n">
        <v>45734</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5452-2023</t>
        </is>
      </c>
      <c r="B2050" s="1" t="n">
        <v>44959</v>
      </c>
      <c r="C2050" s="1" t="n">
        <v>45734</v>
      </c>
      <c r="D2050" t="inlineStr">
        <is>
          <t>JÄMTLANDS LÄN</t>
        </is>
      </c>
      <c r="E2050" t="inlineStr">
        <is>
          <t>STRÖMSUND</t>
        </is>
      </c>
      <c r="F2050" t="inlineStr">
        <is>
          <t>SCA</t>
        </is>
      </c>
      <c r="G2050" t="n">
        <v>33.6</v>
      </c>
      <c r="H2050" t="n">
        <v>0</v>
      </c>
      <c r="I2050" t="n">
        <v>0</v>
      </c>
      <c r="J2050" t="n">
        <v>0</v>
      </c>
      <c r="K2050" t="n">
        <v>0</v>
      </c>
      <c r="L2050" t="n">
        <v>0</v>
      </c>
      <c r="M2050" t="n">
        <v>0</v>
      </c>
      <c r="N2050" t="n">
        <v>0</v>
      </c>
      <c r="O2050" t="n">
        <v>0</v>
      </c>
      <c r="P2050" t="n">
        <v>0</v>
      </c>
      <c r="Q2050" t="n">
        <v>0</v>
      </c>
      <c r="R2050" s="2" t="inlineStr"/>
      <c r="U2050">
        <f>HYPERLINK("https://klasma.github.io/Logging_2313/knärot/A 5452-2023 karta knärot.png", "A 5452-2023")</f>
        <v/>
      </c>
      <c r="V2050">
        <f>HYPERLINK("https://klasma.github.io/Logging_2313/klagomål/A 5452-2023 FSC-klagomål.docx", "A 5452-2023")</f>
        <v/>
      </c>
      <c r="W2050">
        <f>HYPERLINK("https://klasma.github.io/Logging_2313/klagomålsmail/A 5452-2023 FSC-klagomål mail.docx", "A 5452-2023")</f>
        <v/>
      </c>
      <c r="X2050">
        <f>HYPERLINK("https://klasma.github.io/Logging_2313/tillsyn/A 5452-2023 tillsynsbegäran.docx", "A 5452-2023")</f>
        <v/>
      </c>
      <c r="Y2050">
        <f>HYPERLINK("https://klasma.github.io/Logging_2313/tillsynsmail/A 5452-2023 tillsynsbegäran mail.docx", "A 5452-2023")</f>
        <v/>
      </c>
    </row>
    <row r="2051" ht="15" customHeight="1">
      <c r="A2051" t="inlineStr">
        <is>
          <t>A 5714-2023</t>
        </is>
      </c>
      <c r="B2051" s="1" t="n">
        <v>44960</v>
      </c>
      <c r="C2051" s="1" t="n">
        <v>45734</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6267-2023</t>
        </is>
      </c>
      <c r="B2052" s="1" t="n">
        <v>44960</v>
      </c>
      <c r="C2052" s="1" t="n">
        <v>45734</v>
      </c>
      <c r="D2052" t="inlineStr">
        <is>
          <t>JÄMTLANDS LÄN</t>
        </is>
      </c>
      <c r="E2052" t="inlineStr">
        <is>
          <t>STRÖMSUND</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6581-2023</t>
        </is>
      </c>
      <c r="B2053" s="1" t="n">
        <v>44963</v>
      </c>
      <c r="C2053" s="1" t="n">
        <v>45734</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6583-2023</t>
        </is>
      </c>
      <c r="B2054" s="1" t="n">
        <v>44963</v>
      </c>
      <c r="C2054" s="1" t="n">
        <v>45734</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5956-2023</t>
        </is>
      </c>
      <c r="B2055" s="1" t="n">
        <v>44963</v>
      </c>
      <c r="C2055" s="1" t="n">
        <v>45734</v>
      </c>
      <c r="D2055" t="inlineStr">
        <is>
          <t>JÄMTLANDS LÄN</t>
        </is>
      </c>
      <c r="E2055" t="inlineStr">
        <is>
          <t>STRÖMSUND</t>
        </is>
      </c>
      <c r="F2055" t="inlineStr">
        <is>
          <t>SCA</t>
        </is>
      </c>
      <c r="G2055" t="n">
        <v>20.2</v>
      </c>
      <c r="H2055" t="n">
        <v>0</v>
      </c>
      <c r="I2055" t="n">
        <v>0</v>
      </c>
      <c r="J2055" t="n">
        <v>0</v>
      </c>
      <c r="K2055" t="n">
        <v>0</v>
      </c>
      <c r="L2055" t="n">
        <v>0</v>
      </c>
      <c r="M2055" t="n">
        <v>0</v>
      </c>
      <c r="N2055" t="n">
        <v>0</v>
      </c>
      <c r="O2055" t="n">
        <v>0</v>
      </c>
      <c r="P2055" t="n">
        <v>0</v>
      </c>
      <c r="Q2055" t="n">
        <v>0</v>
      </c>
      <c r="R2055" s="2" t="inlineStr"/>
    </row>
    <row r="2056" ht="15" customHeight="1">
      <c r="A2056" t="inlineStr">
        <is>
          <t>A 6234-2023</t>
        </is>
      </c>
      <c r="B2056" s="1" t="n">
        <v>44964</v>
      </c>
      <c r="C2056" s="1" t="n">
        <v>45734</v>
      </c>
      <c r="D2056" t="inlineStr">
        <is>
          <t>JÄMTLANDS LÄN</t>
        </is>
      </c>
      <c r="E2056" t="inlineStr">
        <is>
          <t>STRÖMSUND</t>
        </is>
      </c>
      <c r="F2056" t="inlineStr">
        <is>
          <t>SCA</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6928-2023</t>
        </is>
      </c>
      <c r="B2057" s="1" t="n">
        <v>44964</v>
      </c>
      <c r="C2057" s="1" t="n">
        <v>45734</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6932-2023</t>
        </is>
      </c>
      <c r="B2058" s="1" t="n">
        <v>44964</v>
      </c>
      <c r="C2058" s="1" t="n">
        <v>45734</v>
      </c>
      <c r="D2058" t="inlineStr">
        <is>
          <t>JÄMTLANDS LÄN</t>
        </is>
      </c>
      <c r="E2058" t="inlineStr">
        <is>
          <t>STRÖMSUND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6455-2023</t>
        </is>
      </c>
      <c r="B2059" s="1" t="n">
        <v>44965</v>
      </c>
      <c r="C2059" s="1" t="n">
        <v>45734</v>
      </c>
      <c r="D2059" t="inlineStr">
        <is>
          <t>JÄMTLANDS LÄN</t>
        </is>
      </c>
      <c r="E2059" t="inlineStr">
        <is>
          <t>STRÖMSUND</t>
        </is>
      </c>
      <c r="F2059" t="inlineStr">
        <is>
          <t>SCA</t>
        </is>
      </c>
      <c r="G2059" t="n">
        <v>74.7</v>
      </c>
      <c r="H2059" t="n">
        <v>0</v>
      </c>
      <c r="I2059" t="n">
        <v>0</v>
      </c>
      <c r="J2059" t="n">
        <v>0</v>
      </c>
      <c r="K2059" t="n">
        <v>0</v>
      </c>
      <c r="L2059" t="n">
        <v>0</v>
      </c>
      <c r="M2059" t="n">
        <v>0</v>
      </c>
      <c r="N2059" t="n">
        <v>0</v>
      </c>
      <c r="O2059" t="n">
        <v>0</v>
      </c>
      <c r="P2059" t="n">
        <v>0</v>
      </c>
      <c r="Q2059" t="n">
        <v>0</v>
      </c>
      <c r="R2059" s="2" t="inlineStr"/>
    </row>
    <row r="2060" ht="15" customHeight="1">
      <c r="A2060" t="inlineStr">
        <is>
          <t>A 6462-2023</t>
        </is>
      </c>
      <c r="B2060" s="1" t="n">
        <v>44965</v>
      </c>
      <c r="C2060" s="1" t="n">
        <v>45734</v>
      </c>
      <c r="D2060" t="inlineStr">
        <is>
          <t>JÄMTLANDS LÄN</t>
        </is>
      </c>
      <c r="E2060" t="inlineStr">
        <is>
          <t>STRÖMSUND</t>
        </is>
      </c>
      <c r="F2060" t="inlineStr">
        <is>
          <t>SCA</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6773-2023</t>
        </is>
      </c>
      <c r="B2061" s="1" t="n">
        <v>44966</v>
      </c>
      <c r="C2061" s="1" t="n">
        <v>45734</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6798-2023</t>
        </is>
      </c>
      <c r="B2062" s="1" t="n">
        <v>44966</v>
      </c>
      <c r="C2062" s="1" t="n">
        <v>45734</v>
      </c>
      <c r="D2062" t="inlineStr">
        <is>
          <t>JÄMTLANDS LÄN</t>
        </is>
      </c>
      <c r="E2062" t="inlineStr">
        <is>
          <t>STRÖMSUND</t>
        </is>
      </c>
      <c r="F2062" t="inlineStr">
        <is>
          <t>SCA</t>
        </is>
      </c>
      <c r="G2062" t="n">
        <v>70.3</v>
      </c>
      <c r="H2062" t="n">
        <v>0</v>
      </c>
      <c r="I2062" t="n">
        <v>0</v>
      </c>
      <c r="J2062" t="n">
        <v>0</v>
      </c>
      <c r="K2062" t="n">
        <v>0</v>
      </c>
      <c r="L2062" t="n">
        <v>0</v>
      </c>
      <c r="M2062" t="n">
        <v>0</v>
      </c>
      <c r="N2062" t="n">
        <v>0</v>
      </c>
      <c r="O2062" t="n">
        <v>0</v>
      </c>
      <c r="P2062" t="n">
        <v>0</v>
      </c>
      <c r="Q2062" t="n">
        <v>0</v>
      </c>
      <c r="R2062" s="2" t="inlineStr"/>
    </row>
    <row r="2063" ht="15" customHeight="1">
      <c r="A2063" t="inlineStr">
        <is>
          <t>A 6780-2023</t>
        </is>
      </c>
      <c r="B2063" s="1" t="n">
        <v>44966</v>
      </c>
      <c r="C2063" s="1" t="n">
        <v>45734</v>
      </c>
      <c r="D2063" t="inlineStr">
        <is>
          <t>JÄMTLANDS LÄN</t>
        </is>
      </c>
      <c r="E2063" t="inlineStr">
        <is>
          <t>STRÖMSUND</t>
        </is>
      </c>
      <c r="F2063" t="inlineStr">
        <is>
          <t>SCA</t>
        </is>
      </c>
      <c r="G2063" t="n">
        <v>38.5</v>
      </c>
      <c r="H2063" t="n">
        <v>0</v>
      </c>
      <c r="I2063" t="n">
        <v>0</v>
      </c>
      <c r="J2063" t="n">
        <v>0</v>
      </c>
      <c r="K2063" t="n">
        <v>0</v>
      </c>
      <c r="L2063" t="n">
        <v>0</v>
      </c>
      <c r="M2063" t="n">
        <v>0</v>
      </c>
      <c r="N2063" t="n">
        <v>0</v>
      </c>
      <c r="O2063" t="n">
        <v>0</v>
      </c>
      <c r="P2063" t="n">
        <v>0</v>
      </c>
      <c r="Q2063" t="n">
        <v>0</v>
      </c>
      <c r="R2063" s="2" t="inlineStr"/>
    </row>
    <row r="2064" ht="15" customHeight="1">
      <c r="A2064" t="inlineStr">
        <is>
          <t>A 7489-2023</t>
        </is>
      </c>
      <c r="B2064" s="1" t="n">
        <v>44966</v>
      </c>
      <c r="C2064" s="1" t="n">
        <v>45734</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7020-2023</t>
        </is>
      </c>
      <c r="B2065" s="1" t="n">
        <v>44967</v>
      </c>
      <c r="C2065" s="1" t="n">
        <v>45734</v>
      </c>
      <c r="D2065" t="inlineStr">
        <is>
          <t>JÄMTLANDS LÄN</t>
        </is>
      </c>
      <c r="E2065" t="inlineStr">
        <is>
          <t>STRÖMSUND</t>
        </is>
      </c>
      <c r="F2065" t="inlineStr">
        <is>
          <t>SCA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7015-2023</t>
        </is>
      </c>
      <c r="B2066" s="1" t="n">
        <v>44967</v>
      </c>
      <c r="C2066" s="1" t="n">
        <v>45734</v>
      </c>
      <c r="D2066" t="inlineStr">
        <is>
          <t>JÄMTLANDS LÄN</t>
        </is>
      </c>
      <c r="E2066" t="inlineStr">
        <is>
          <t>STRÖMSUND</t>
        </is>
      </c>
      <c r="F2066" t="inlineStr">
        <is>
          <t>SCA</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7326-2023</t>
        </is>
      </c>
      <c r="B2067" s="1" t="n">
        <v>44971</v>
      </c>
      <c r="C2067" s="1" t="n">
        <v>45734</v>
      </c>
      <c r="D2067" t="inlineStr">
        <is>
          <t>JÄMTLANDS LÄN</t>
        </is>
      </c>
      <c r="E2067" t="inlineStr">
        <is>
          <t>STRÖMSUND</t>
        </is>
      </c>
      <c r="F2067" t="inlineStr">
        <is>
          <t>SCA</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7334-2023</t>
        </is>
      </c>
      <c r="B2068" s="1" t="n">
        <v>44971</v>
      </c>
      <c r="C2068" s="1" t="n">
        <v>45734</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8031-2023</t>
        </is>
      </c>
      <c r="B2069" s="1" t="n">
        <v>44973</v>
      </c>
      <c r="C2069" s="1" t="n">
        <v>45734</v>
      </c>
      <c r="D2069" t="inlineStr">
        <is>
          <t>JÄMTLANDS LÄN</t>
        </is>
      </c>
      <c r="E2069" t="inlineStr">
        <is>
          <t>STRÖMSUND</t>
        </is>
      </c>
      <c r="F2069" t="inlineStr">
        <is>
          <t>SCA</t>
        </is>
      </c>
      <c r="G2069" t="n">
        <v>39.1</v>
      </c>
      <c r="H2069" t="n">
        <v>0</v>
      </c>
      <c r="I2069" t="n">
        <v>0</v>
      </c>
      <c r="J2069" t="n">
        <v>0</v>
      </c>
      <c r="K2069" t="n">
        <v>0</v>
      </c>
      <c r="L2069" t="n">
        <v>0</v>
      </c>
      <c r="M2069" t="n">
        <v>0</v>
      </c>
      <c r="N2069" t="n">
        <v>0</v>
      </c>
      <c r="O2069" t="n">
        <v>0</v>
      </c>
      <c r="P2069" t="n">
        <v>0</v>
      </c>
      <c r="Q2069" t="n">
        <v>0</v>
      </c>
      <c r="R2069" s="2" t="inlineStr"/>
    </row>
    <row r="2070" ht="15" customHeight="1">
      <c r="A2070" t="inlineStr">
        <is>
          <t>A 8647-2023</t>
        </is>
      </c>
      <c r="B2070" s="1" t="n">
        <v>44977</v>
      </c>
      <c r="C2070" s="1" t="n">
        <v>45734</v>
      </c>
      <c r="D2070" t="inlineStr">
        <is>
          <t>JÄMTLANDS LÄN</t>
        </is>
      </c>
      <c r="E2070" t="inlineStr">
        <is>
          <t>STRÖMSUND</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8676-2023</t>
        </is>
      </c>
      <c r="B2071" s="1" t="n">
        <v>44978</v>
      </c>
      <c r="C2071" s="1" t="n">
        <v>45734</v>
      </c>
      <c r="D2071" t="inlineStr">
        <is>
          <t>JÄMTLANDS LÄN</t>
        </is>
      </c>
      <c r="E2071" t="inlineStr">
        <is>
          <t>STRÖMSUND</t>
        </is>
      </c>
      <c r="F2071" t="inlineStr">
        <is>
          <t>SCA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9301-2023</t>
        </is>
      </c>
      <c r="B2072" s="1" t="n">
        <v>44977</v>
      </c>
      <c r="C2072" s="1" t="n">
        <v>45734</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9716-2023</t>
        </is>
      </c>
      <c r="B2073" s="1" t="n">
        <v>44978</v>
      </c>
      <c r="C2073" s="1" t="n">
        <v>45734</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9089-2023</t>
        </is>
      </c>
      <c r="B2074" s="1" t="n">
        <v>44979</v>
      </c>
      <c r="C2074" s="1" t="n">
        <v>45734</v>
      </c>
      <c r="D2074" t="inlineStr">
        <is>
          <t>JÄMTLANDS LÄN</t>
        </is>
      </c>
      <c r="E2074" t="inlineStr">
        <is>
          <t>STRÖMSUND</t>
        </is>
      </c>
      <c r="F2074" t="inlineStr">
        <is>
          <t>SCA</t>
        </is>
      </c>
      <c r="G2074" t="n">
        <v>41.2</v>
      </c>
      <c r="H2074" t="n">
        <v>0</v>
      </c>
      <c r="I2074" t="n">
        <v>0</v>
      </c>
      <c r="J2074" t="n">
        <v>0</v>
      </c>
      <c r="K2074" t="n">
        <v>0</v>
      </c>
      <c r="L2074" t="n">
        <v>0</v>
      </c>
      <c r="M2074" t="n">
        <v>0</v>
      </c>
      <c r="N2074" t="n">
        <v>0</v>
      </c>
      <c r="O2074" t="n">
        <v>0</v>
      </c>
      <c r="P2074" t="n">
        <v>0</v>
      </c>
      <c r="Q2074" t="n">
        <v>0</v>
      </c>
      <c r="R2074" s="2" t="inlineStr"/>
    </row>
    <row r="2075" ht="15" customHeight="1">
      <c r="A2075" t="inlineStr">
        <is>
          <t>A 9354-2023</t>
        </is>
      </c>
      <c r="B2075" s="1" t="n">
        <v>44980</v>
      </c>
      <c r="C2075" s="1" t="n">
        <v>45734</v>
      </c>
      <c r="D2075" t="inlineStr">
        <is>
          <t>JÄMTLANDS LÄN</t>
        </is>
      </c>
      <c r="E2075" t="inlineStr">
        <is>
          <t>STRÖMSUND</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9353-2023</t>
        </is>
      </c>
      <c r="B2076" s="1" t="n">
        <v>44980</v>
      </c>
      <c r="C2076" s="1" t="n">
        <v>45734</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9555-2023</t>
        </is>
      </c>
      <c r="B2077" s="1" t="n">
        <v>44981</v>
      </c>
      <c r="C2077" s="1" t="n">
        <v>45734</v>
      </c>
      <c r="D2077" t="inlineStr">
        <is>
          <t>JÄMTLANDS LÄN</t>
        </is>
      </c>
      <c r="E2077" t="inlineStr">
        <is>
          <t>STRÖMSUND</t>
        </is>
      </c>
      <c r="F2077" t="inlineStr">
        <is>
          <t>SCA</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9554-2023</t>
        </is>
      </c>
      <c r="B2078" s="1" t="n">
        <v>44981</v>
      </c>
      <c r="C2078" s="1" t="n">
        <v>45734</v>
      </c>
      <c r="D2078" t="inlineStr">
        <is>
          <t>JÄMTLANDS LÄN</t>
        </is>
      </c>
      <c r="E2078" t="inlineStr">
        <is>
          <t>STRÖMSUND</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9678-2023</t>
        </is>
      </c>
      <c r="B2079" s="1" t="n">
        <v>44984</v>
      </c>
      <c r="C2079" s="1" t="n">
        <v>45734</v>
      </c>
      <c r="D2079" t="inlineStr">
        <is>
          <t>JÄMTLANDS LÄN</t>
        </is>
      </c>
      <c r="E2079" t="inlineStr">
        <is>
          <t>STRÖMSUND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9851-2023</t>
        </is>
      </c>
      <c r="B2080" s="1" t="n">
        <v>44984</v>
      </c>
      <c r="C2080" s="1" t="n">
        <v>45734</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10738-2023</t>
        </is>
      </c>
      <c r="B2081" s="1" t="n">
        <v>44984</v>
      </c>
      <c r="C2081" s="1" t="n">
        <v>45734</v>
      </c>
      <c r="D2081" t="inlineStr">
        <is>
          <t>JÄMTLANDS LÄN</t>
        </is>
      </c>
      <c r="E2081" t="inlineStr">
        <is>
          <t>STRÖMSUND</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10101-2023</t>
        </is>
      </c>
      <c r="B2082" s="1" t="n">
        <v>44985</v>
      </c>
      <c r="C2082" s="1" t="n">
        <v>45734</v>
      </c>
      <c r="D2082" t="inlineStr">
        <is>
          <t>JÄMTLANDS LÄN</t>
        </is>
      </c>
      <c r="E2082" t="inlineStr">
        <is>
          <t>STRÖMSUND</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10102-2023</t>
        </is>
      </c>
      <c r="B2083" s="1" t="n">
        <v>44985</v>
      </c>
      <c r="C2083" s="1" t="n">
        <v>45734</v>
      </c>
      <c r="D2083" t="inlineStr">
        <is>
          <t>JÄMTLANDS LÄN</t>
        </is>
      </c>
      <c r="E2083" t="inlineStr">
        <is>
          <t>STRÖMSUND</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10074-2023</t>
        </is>
      </c>
      <c r="B2084" s="1" t="n">
        <v>44985</v>
      </c>
      <c r="C2084" s="1" t="n">
        <v>45734</v>
      </c>
      <c r="D2084" t="inlineStr">
        <is>
          <t>JÄMTLANDS LÄN</t>
        </is>
      </c>
      <c r="E2084" t="inlineStr">
        <is>
          <t>STRÖMSUND</t>
        </is>
      </c>
      <c r="F2084" t="inlineStr">
        <is>
          <t>SCA</t>
        </is>
      </c>
      <c r="G2084" t="n">
        <v>58.9</v>
      </c>
      <c r="H2084" t="n">
        <v>0</v>
      </c>
      <c r="I2084" t="n">
        <v>0</v>
      </c>
      <c r="J2084" t="n">
        <v>0</v>
      </c>
      <c r="K2084" t="n">
        <v>0</v>
      </c>
      <c r="L2084" t="n">
        <v>0</v>
      </c>
      <c r="M2084" t="n">
        <v>0</v>
      </c>
      <c r="N2084" t="n">
        <v>0</v>
      </c>
      <c r="O2084" t="n">
        <v>0</v>
      </c>
      <c r="P2084" t="n">
        <v>0</v>
      </c>
      <c r="Q2084" t="n">
        <v>0</v>
      </c>
      <c r="R2084" s="2" t="inlineStr"/>
    </row>
    <row r="2085" ht="15" customHeight="1">
      <c r="A2085" t="inlineStr">
        <is>
          <t>A 10944-2023</t>
        </is>
      </c>
      <c r="B2085" s="1" t="n">
        <v>44985</v>
      </c>
      <c r="C2085" s="1" t="n">
        <v>45734</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10537-2023</t>
        </is>
      </c>
      <c r="B2086" s="1" t="n">
        <v>44987</v>
      </c>
      <c r="C2086" s="1" t="n">
        <v>45734</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10826-2023</t>
        </is>
      </c>
      <c r="B2087" s="1" t="n">
        <v>44990</v>
      </c>
      <c r="C2087" s="1" t="n">
        <v>45734</v>
      </c>
      <c r="D2087" t="inlineStr">
        <is>
          <t>JÄMTLANDS LÄN</t>
        </is>
      </c>
      <c r="E2087" t="inlineStr">
        <is>
          <t>STRÖMSUND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11058-2023</t>
        </is>
      </c>
      <c r="B2088" s="1" t="n">
        <v>44991</v>
      </c>
      <c r="C2088" s="1" t="n">
        <v>45734</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11061-2023</t>
        </is>
      </c>
      <c r="B2089" s="1" t="n">
        <v>44991</v>
      </c>
      <c r="C2089" s="1" t="n">
        <v>45734</v>
      </c>
      <c r="D2089" t="inlineStr">
        <is>
          <t>JÄMTLANDS LÄN</t>
        </is>
      </c>
      <c r="E2089" t="inlineStr">
        <is>
          <t>STRÖMSUND</t>
        </is>
      </c>
      <c r="F2089" t="inlineStr">
        <is>
          <t>SCA</t>
        </is>
      </c>
      <c r="G2089" t="n">
        <v>26.7</v>
      </c>
      <c r="H2089" t="n">
        <v>0</v>
      </c>
      <c r="I2089" t="n">
        <v>0</v>
      </c>
      <c r="J2089" t="n">
        <v>0</v>
      </c>
      <c r="K2089" t="n">
        <v>0</v>
      </c>
      <c r="L2089" t="n">
        <v>0</v>
      </c>
      <c r="M2089" t="n">
        <v>0</v>
      </c>
      <c r="N2089" t="n">
        <v>0</v>
      </c>
      <c r="O2089" t="n">
        <v>0</v>
      </c>
      <c r="P2089" t="n">
        <v>0</v>
      </c>
      <c r="Q2089" t="n">
        <v>0</v>
      </c>
      <c r="R2089" s="2" t="inlineStr"/>
    </row>
    <row r="2090" ht="15" customHeight="1">
      <c r="A2090" t="inlineStr">
        <is>
          <t>A 11458-2023</t>
        </is>
      </c>
      <c r="B2090" s="1" t="n">
        <v>44991</v>
      </c>
      <c r="C2090" s="1" t="n">
        <v>45734</v>
      </c>
      <c r="D2090" t="inlineStr">
        <is>
          <t>JÄMTLANDS LÄN</t>
        </is>
      </c>
      <c r="E2090" t="inlineStr">
        <is>
          <t>STRÖMSUND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11444-2023</t>
        </is>
      </c>
      <c r="B2091" s="1" t="n">
        <v>44991</v>
      </c>
      <c r="C2091" s="1" t="n">
        <v>45734</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11303-2023</t>
        </is>
      </c>
      <c r="B2092" s="1" t="n">
        <v>44993</v>
      </c>
      <c r="C2092" s="1" t="n">
        <v>45734</v>
      </c>
      <c r="D2092" t="inlineStr">
        <is>
          <t>JÄMTLANDS LÄN</t>
        </is>
      </c>
      <c r="E2092" t="inlineStr">
        <is>
          <t>STRÖMSUND</t>
        </is>
      </c>
      <c r="F2092" t="inlineStr">
        <is>
          <t>SCA</t>
        </is>
      </c>
      <c r="G2092" t="n">
        <v>39.2</v>
      </c>
      <c r="H2092" t="n">
        <v>0</v>
      </c>
      <c r="I2092" t="n">
        <v>0</v>
      </c>
      <c r="J2092" t="n">
        <v>0</v>
      </c>
      <c r="K2092" t="n">
        <v>0</v>
      </c>
      <c r="L2092" t="n">
        <v>0</v>
      </c>
      <c r="M2092" t="n">
        <v>0</v>
      </c>
      <c r="N2092" t="n">
        <v>0</v>
      </c>
      <c r="O2092" t="n">
        <v>0</v>
      </c>
      <c r="P2092" t="n">
        <v>0</v>
      </c>
      <c r="Q2092" t="n">
        <v>0</v>
      </c>
      <c r="R2092" s="2" t="inlineStr"/>
    </row>
    <row r="2093" ht="15" customHeight="1">
      <c r="A2093" t="inlineStr">
        <is>
          <t>A 11302-2023</t>
        </is>
      </c>
      <c r="B2093" s="1" t="n">
        <v>44993</v>
      </c>
      <c r="C2093" s="1" t="n">
        <v>45734</v>
      </c>
      <c r="D2093" t="inlineStr">
        <is>
          <t>JÄMTLANDS LÄN</t>
        </is>
      </c>
      <c r="E2093" t="inlineStr">
        <is>
          <t>STRÖMSUND</t>
        </is>
      </c>
      <c r="F2093" t="inlineStr">
        <is>
          <t>SCA</t>
        </is>
      </c>
      <c r="G2093" t="n">
        <v>67.40000000000001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11324-2023</t>
        </is>
      </c>
      <c r="B2094" s="1" t="n">
        <v>44993</v>
      </c>
      <c r="C2094" s="1" t="n">
        <v>45734</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12042-2023</t>
        </is>
      </c>
      <c r="B2095" s="1" t="n">
        <v>44996</v>
      </c>
      <c r="C2095" s="1" t="n">
        <v>45734</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12644-2023</t>
        </is>
      </c>
      <c r="B2096" s="1" t="n">
        <v>45000</v>
      </c>
      <c r="C2096" s="1" t="n">
        <v>45734</v>
      </c>
      <c r="D2096" t="inlineStr">
        <is>
          <t>JÄMTLANDS LÄN</t>
        </is>
      </c>
      <c r="E2096" t="inlineStr">
        <is>
          <t>STRÖMSUND</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12731-2023</t>
        </is>
      </c>
      <c r="B2097" s="1" t="n">
        <v>45000</v>
      </c>
      <c r="C2097" s="1" t="n">
        <v>45734</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12971-2023</t>
        </is>
      </c>
      <c r="B2098" s="1" t="n">
        <v>45001</v>
      </c>
      <c r="C2098" s="1" t="n">
        <v>45734</v>
      </c>
      <c r="D2098" t="inlineStr">
        <is>
          <t>JÄMTLANDS LÄN</t>
        </is>
      </c>
      <c r="E2098" t="inlineStr">
        <is>
          <t>STRÖMSUND</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12993-2023</t>
        </is>
      </c>
      <c r="B2099" s="1" t="n">
        <v>45002</v>
      </c>
      <c r="C2099" s="1" t="n">
        <v>45734</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12994-2023</t>
        </is>
      </c>
      <c r="B2100" s="1" t="n">
        <v>45002</v>
      </c>
      <c r="C2100" s="1" t="n">
        <v>45734</v>
      </c>
      <c r="D2100" t="inlineStr">
        <is>
          <t>JÄMTLANDS LÄN</t>
        </is>
      </c>
      <c r="E2100" t="inlineStr">
        <is>
          <t>STRÖMSUND</t>
        </is>
      </c>
      <c r="F2100" t="inlineStr">
        <is>
          <t>SCA</t>
        </is>
      </c>
      <c r="G2100" t="n">
        <v>14.5</v>
      </c>
      <c r="H2100" t="n">
        <v>0</v>
      </c>
      <c r="I2100" t="n">
        <v>0</v>
      </c>
      <c r="J2100" t="n">
        <v>0</v>
      </c>
      <c r="K2100" t="n">
        <v>0</v>
      </c>
      <c r="L2100" t="n">
        <v>0</v>
      </c>
      <c r="M2100" t="n">
        <v>0</v>
      </c>
      <c r="N2100" t="n">
        <v>0</v>
      </c>
      <c r="O2100" t="n">
        <v>0</v>
      </c>
      <c r="P2100" t="n">
        <v>0</v>
      </c>
      <c r="Q2100" t="n">
        <v>0</v>
      </c>
      <c r="R2100" s="2" t="inlineStr"/>
    </row>
    <row r="2101" ht="15" customHeight="1">
      <c r="A2101" t="inlineStr">
        <is>
          <t>A 13685-2023</t>
        </is>
      </c>
      <c r="B2101" s="1" t="n">
        <v>45006</v>
      </c>
      <c r="C2101" s="1" t="n">
        <v>45734</v>
      </c>
      <c r="D2101" t="inlineStr">
        <is>
          <t>JÄMTLANDS LÄN</t>
        </is>
      </c>
      <c r="E2101" t="inlineStr">
        <is>
          <t>STRÖMSUND</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13684-2023</t>
        </is>
      </c>
      <c r="B2102" s="1" t="n">
        <v>45006</v>
      </c>
      <c r="C2102" s="1" t="n">
        <v>45734</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13687-2023</t>
        </is>
      </c>
      <c r="B2103" s="1" t="n">
        <v>45006</v>
      </c>
      <c r="C2103" s="1" t="n">
        <v>45734</v>
      </c>
      <c r="D2103" t="inlineStr">
        <is>
          <t>JÄMTLANDS LÄN</t>
        </is>
      </c>
      <c r="E2103" t="inlineStr">
        <is>
          <t>STRÖMSUND</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13686-2023</t>
        </is>
      </c>
      <c r="B2104" s="1" t="n">
        <v>45006</v>
      </c>
      <c r="C2104" s="1" t="n">
        <v>45734</v>
      </c>
      <c r="D2104" t="inlineStr">
        <is>
          <t>JÄMTLANDS LÄN</t>
        </is>
      </c>
      <c r="E2104" t="inlineStr">
        <is>
          <t>STRÖMSUND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14070-2023</t>
        </is>
      </c>
      <c r="B2105" s="1" t="n">
        <v>45008</v>
      </c>
      <c r="C2105" s="1" t="n">
        <v>45734</v>
      </c>
      <c r="D2105" t="inlineStr">
        <is>
          <t>JÄMTLANDS LÄN</t>
        </is>
      </c>
      <c r="E2105" t="inlineStr">
        <is>
          <t>STRÖMSUND</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14069-2023</t>
        </is>
      </c>
      <c r="B2106" s="1" t="n">
        <v>45008</v>
      </c>
      <c r="C2106" s="1" t="n">
        <v>45734</v>
      </c>
      <c r="D2106" t="inlineStr">
        <is>
          <t>JÄMTLANDS LÄN</t>
        </is>
      </c>
      <c r="E2106" t="inlineStr">
        <is>
          <t>STRÖMSUND</t>
        </is>
      </c>
      <c r="G2106" t="n">
        <v>28.2</v>
      </c>
      <c r="H2106" t="n">
        <v>0</v>
      </c>
      <c r="I2106" t="n">
        <v>0</v>
      </c>
      <c r="J2106" t="n">
        <v>0</v>
      </c>
      <c r="K2106" t="n">
        <v>0</v>
      </c>
      <c r="L2106" t="n">
        <v>0</v>
      </c>
      <c r="M2106" t="n">
        <v>0</v>
      </c>
      <c r="N2106" t="n">
        <v>0</v>
      </c>
      <c r="O2106" t="n">
        <v>0</v>
      </c>
      <c r="P2106" t="n">
        <v>0</v>
      </c>
      <c r="Q2106" t="n">
        <v>0</v>
      </c>
      <c r="R2106" s="2" t="inlineStr"/>
    </row>
    <row r="2107" ht="15" customHeight="1">
      <c r="A2107" t="inlineStr">
        <is>
          <t>A 14068-2023</t>
        </is>
      </c>
      <c r="B2107" s="1" t="n">
        <v>45009</v>
      </c>
      <c r="C2107" s="1" t="n">
        <v>45734</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14072-2023</t>
        </is>
      </c>
      <c r="B2108" s="1" t="n">
        <v>45009</v>
      </c>
      <c r="C2108" s="1" t="n">
        <v>45734</v>
      </c>
      <c r="D2108" t="inlineStr">
        <is>
          <t>JÄMTLANDS LÄN</t>
        </is>
      </c>
      <c r="E2108" t="inlineStr">
        <is>
          <t>STRÖMSUND</t>
        </is>
      </c>
      <c r="F2108" t="inlineStr">
        <is>
          <t>SCA</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14338-2023</t>
        </is>
      </c>
      <c r="B2109" s="1" t="n">
        <v>45012</v>
      </c>
      <c r="C2109" s="1" t="n">
        <v>45734</v>
      </c>
      <c r="D2109" t="inlineStr">
        <is>
          <t>JÄMTLANDS LÄN</t>
        </is>
      </c>
      <c r="E2109" t="inlineStr">
        <is>
          <t>STRÖMSUND</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14344-2023</t>
        </is>
      </c>
      <c r="B2110" s="1" t="n">
        <v>45012</v>
      </c>
      <c r="C2110" s="1" t="n">
        <v>45734</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14371-2023</t>
        </is>
      </c>
      <c r="B2111" s="1" t="n">
        <v>45012</v>
      </c>
      <c r="C2111" s="1" t="n">
        <v>45734</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14347-2023</t>
        </is>
      </c>
      <c r="B2112" s="1" t="n">
        <v>45012</v>
      </c>
      <c r="C2112" s="1" t="n">
        <v>45734</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14528-2023</t>
        </is>
      </c>
      <c r="B2113" s="1" t="n">
        <v>45012</v>
      </c>
      <c r="C2113" s="1" t="n">
        <v>45734</v>
      </c>
      <c r="D2113" t="inlineStr">
        <is>
          <t>JÄMTLANDS LÄN</t>
        </is>
      </c>
      <c r="E2113" t="inlineStr">
        <is>
          <t>STRÖMSUND</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14975-2023</t>
        </is>
      </c>
      <c r="B2114" s="1" t="n">
        <v>45013</v>
      </c>
      <c r="C2114" s="1" t="n">
        <v>45734</v>
      </c>
      <c r="D2114" t="inlineStr">
        <is>
          <t>JÄMTLANDS LÄN</t>
        </is>
      </c>
      <c r="E2114" t="inlineStr">
        <is>
          <t>STRÖMSUND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14821-2023</t>
        </is>
      </c>
      <c r="B2115" s="1" t="n">
        <v>45013</v>
      </c>
      <c r="C2115" s="1" t="n">
        <v>45734</v>
      </c>
      <c r="D2115" t="inlineStr">
        <is>
          <t>JÄMTLANDS LÄN</t>
        </is>
      </c>
      <c r="E2115" t="inlineStr">
        <is>
          <t>STRÖMSUND</t>
        </is>
      </c>
      <c r="G2115" t="n">
        <v>39.3</v>
      </c>
      <c r="H2115" t="n">
        <v>0</v>
      </c>
      <c r="I2115" t="n">
        <v>0</v>
      </c>
      <c r="J2115" t="n">
        <v>0</v>
      </c>
      <c r="K2115" t="n">
        <v>0</v>
      </c>
      <c r="L2115" t="n">
        <v>0</v>
      </c>
      <c r="M2115" t="n">
        <v>0</v>
      </c>
      <c r="N2115" t="n">
        <v>0</v>
      </c>
      <c r="O2115" t="n">
        <v>0</v>
      </c>
      <c r="P2115" t="n">
        <v>0</v>
      </c>
      <c r="Q2115" t="n">
        <v>0</v>
      </c>
      <c r="R2115" s="2" t="inlineStr"/>
    </row>
    <row r="2116" ht="15" customHeight="1">
      <c r="A2116" t="inlineStr">
        <is>
          <t>A 14861-2023</t>
        </is>
      </c>
      <c r="B2116" s="1" t="n">
        <v>45015</v>
      </c>
      <c r="C2116" s="1" t="n">
        <v>45734</v>
      </c>
      <c r="D2116" t="inlineStr">
        <is>
          <t>JÄMTLANDS LÄN</t>
        </is>
      </c>
      <c r="E2116" t="inlineStr">
        <is>
          <t>STRÖMSUND</t>
        </is>
      </c>
      <c r="F2116" t="inlineStr">
        <is>
          <t>SCA</t>
        </is>
      </c>
      <c r="G2116" t="n">
        <v>26.3</v>
      </c>
      <c r="H2116" t="n">
        <v>0</v>
      </c>
      <c r="I2116" t="n">
        <v>0</v>
      </c>
      <c r="J2116" t="n">
        <v>0</v>
      </c>
      <c r="K2116" t="n">
        <v>0</v>
      </c>
      <c r="L2116" t="n">
        <v>0</v>
      </c>
      <c r="M2116" t="n">
        <v>0</v>
      </c>
      <c r="N2116" t="n">
        <v>0</v>
      </c>
      <c r="O2116" t="n">
        <v>0</v>
      </c>
      <c r="P2116" t="n">
        <v>0</v>
      </c>
      <c r="Q2116" t="n">
        <v>0</v>
      </c>
      <c r="R2116" s="2" t="inlineStr"/>
    </row>
    <row r="2117" ht="15" customHeight="1">
      <c r="A2117" t="inlineStr">
        <is>
          <t>A 14867-2023</t>
        </is>
      </c>
      <c r="B2117" s="1" t="n">
        <v>45015</v>
      </c>
      <c r="C2117" s="1" t="n">
        <v>45734</v>
      </c>
      <c r="D2117" t="inlineStr">
        <is>
          <t>JÄMTLANDS LÄN</t>
        </is>
      </c>
      <c r="E2117" t="inlineStr">
        <is>
          <t>STRÖMSUND</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14866-2023</t>
        </is>
      </c>
      <c r="B2118" s="1" t="n">
        <v>45015</v>
      </c>
      <c r="C2118" s="1" t="n">
        <v>45734</v>
      </c>
      <c r="D2118" t="inlineStr">
        <is>
          <t>JÄMTLANDS LÄN</t>
        </is>
      </c>
      <c r="E2118" t="inlineStr">
        <is>
          <t>STRÖMSUND</t>
        </is>
      </c>
      <c r="F2118" t="inlineStr">
        <is>
          <t>SCA</t>
        </is>
      </c>
      <c r="G2118" t="n">
        <v>64.90000000000001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15064-2023</t>
        </is>
      </c>
      <c r="B2119" s="1" t="n">
        <v>45015</v>
      </c>
      <c r="C2119" s="1" t="n">
        <v>45734</v>
      </c>
      <c r="D2119" t="inlineStr">
        <is>
          <t>JÄMTLANDS LÄN</t>
        </is>
      </c>
      <c r="E2119" t="inlineStr">
        <is>
          <t>STRÖMSUND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15207-2023</t>
        </is>
      </c>
      <c r="B2120" s="1" t="n">
        <v>45018</v>
      </c>
      <c r="C2120" s="1" t="n">
        <v>45734</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15455-2023</t>
        </is>
      </c>
      <c r="B2121" s="1" t="n">
        <v>45019</v>
      </c>
      <c r="C2121" s="1" t="n">
        <v>45734</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15818-2023</t>
        </is>
      </c>
      <c r="B2122" s="1" t="n">
        <v>45021</v>
      </c>
      <c r="C2122" s="1" t="n">
        <v>45734</v>
      </c>
      <c r="D2122" t="inlineStr">
        <is>
          <t>JÄMTLANDS LÄN</t>
        </is>
      </c>
      <c r="E2122" t="inlineStr">
        <is>
          <t>STRÖMSUND</t>
        </is>
      </c>
      <c r="G2122" t="n">
        <v>17.9</v>
      </c>
      <c r="H2122" t="n">
        <v>0</v>
      </c>
      <c r="I2122" t="n">
        <v>0</v>
      </c>
      <c r="J2122" t="n">
        <v>0</v>
      </c>
      <c r="K2122" t="n">
        <v>0</v>
      </c>
      <c r="L2122" t="n">
        <v>0</v>
      </c>
      <c r="M2122" t="n">
        <v>0</v>
      </c>
      <c r="N2122" t="n">
        <v>0</v>
      </c>
      <c r="O2122" t="n">
        <v>0</v>
      </c>
      <c r="P2122" t="n">
        <v>0</v>
      </c>
      <c r="Q2122" t="n">
        <v>0</v>
      </c>
      <c r="R2122" s="2" t="inlineStr"/>
    </row>
    <row r="2123" ht="15" customHeight="1">
      <c r="A2123" t="inlineStr">
        <is>
          <t>A 16780-2023</t>
        </is>
      </c>
      <c r="B2123" s="1" t="n">
        <v>45032</v>
      </c>
      <c r="C2123" s="1" t="n">
        <v>45734</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17334-2023</t>
        </is>
      </c>
      <c r="B2124" s="1" t="n">
        <v>45033</v>
      </c>
      <c r="C2124" s="1" t="n">
        <v>45734</v>
      </c>
      <c r="D2124" t="inlineStr">
        <is>
          <t>JÄMTLANDS LÄN</t>
        </is>
      </c>
      <c r="E2124" t="inlineStr">
        <is>
          <t>STRÖMSUND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17006-2023</t>
        </is>
      </c>
      <c r="B2125" s="1" t="n">
        <v>45033</v>
      </c>
      <c r="C2125" s="1" t="n">
        <v>45734</v>
      </c>
      <c r="D2125" t="inlineStr">
        <is>
          <t>JÄMTLANDS LÄN</t>
        </is>
      </c>
      <c r="E2125" t="inlineStr">
        <is>
          <t>STRÖMSUND</t>
        </is>
      </c>
      <c r="F2125" t="inlineStr">
        <is>
          <t>SCA</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17337-2023</t>
        </is>
      </c>
      <c r="B2126" s="1" t="n">
        <v>45033</v>
      </c>
      <c r="C2126" s="1" t="n">
        <v>45734</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17338-2023</t>
        </is>
      </c>
      <c r="B2127" s="1" t="n">
        <v>45033</v>
      </c>
      <c r="C2127" s="1" t="n">
        <v>45734</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17222-2023</t>
        </is>
      </c>
      <c r="B2128" s="1" t="n">
        <v>45035</v>
      </c>
      <c r="C2128" s="1" t="n">
        <v>45734</v>
      </c>
      <c r="D2128" t="inlineStr">
        <is>
          <t>JÄMTLANDS LÄN</t>
        </is>
      </c>
      <c r="E2128" t="inlineStr">
        <is>
          <t>STRÖMSUND</t>
        </is>
      </c>
      <c r="F2128" t="inlineStr">
        <is>
          <t>SCA</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17220-2023</t>
        </is>
      </c>
      <c r="B2129" s="1" t="n">
        <v>45035</v>
      </c>
      <c r="C2129" s="1" t="n">
        <v>45734</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17433-2023</t>
        </is>
      </c>
      <c r="B2130" s="1" t="n">
        <v>45035</v>
      </c>
      <c r="C2130" s="1" t="n">
        <v>45734</v>
      </c>
      <c r="D2130" t="inlineStr">
        <is>
          <t>JÄMTLANDS LÄN</t>
        </is>
      </c>
      <c r="E2130" t="inlineStr">
        <is>
          <t>STRÖMSUND</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17663-2023</t>
        </is>
      </c>
      <c r="B2131" s="1" t="n">
        <v>45037</v>
      </c>
      <c r="C2131" s="1" t="n">
        <v>45734</v>
      </c>
      <c r="D2131" t="inlineStr">
        <is>
          <t>JÄMTLANDS LÄN</t>
        </is>
      </c>
      <c r="E2131" t="inlineStr">
        <is>
          <t>STRÖMSUND</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17662-2023</t>
        </is>
      </c>
      <c r="B2132" s="1" t="n">
        <v>45037</v>
      </c>
      <c r="C2132" s="1" t="n">
        <v>45734</v>
      </c>
      <c r="D2132" t="inlineStr">
        <is>
          <t>JÄMTLANDS LÄN</t>
        </is>
      </c>
      <c r="E2132" t="inlineStr">
        <is>
          <t>STRÖMSUND</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17798-2023</t>
        </is>
      </c>
      <c r="B2133" s="1" t="n">
        <v>45036</v>
      </c>
      <c r="C2133" s="1" t="n">
        <v>45734</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17789-2023</t>
        </is>
      </c>
      <c r="B2134" s="1" t="n">
        <v>45036</v>
      </c>
      <c r="C2134" s="1" t="n">
        <v>45734</v>
      </c>
      <c r="D2134" t="inlineStr">
        <is>
          <t>JÄMTLANDS LÄN</t>
        </is>
      </c>
      <c r="E2134" t="inlineStr">
        <is>
          <t>STRÖMSUND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18158-2023</t>
        </is>
      </c>
      <c r="B2135" s="1" t="n">
        <v>45040</v>
      </c>
      <c r="C2135" s="1" t="n">
        <v>45734</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18369-2023</t>
        </is>
      </c>
      <c r="B2136" s="1" t="n">
        <v>45042</v>
      </c>
      <c r="C2136" s="1" t="n">
        <v>45734</v>
      </c>
      <c r="D2136" t="inlineStr">
        <is>
          <t>JÄMTLANDS LÄN</t>
        </is>
      </c>
      <c r="E2136" t="inlineStr">
        <is>
          <t>STRÖMSUND</t>
        </is>
      </c>
      <c r="F2136" t="inlineStr">
        <is>
          <t>SCA</t>
        </is>
      </c>
      <c r="G2136" t="n">
        <v>100.1</v>
      </c>
      <c r="H2136" t="n">
        <v>0</v>
      </c>
      <c r="I2136" t="n">
        <v>0</v>
      </c>
      <c r="J2136" t="n">
        <v>0</v>
      </c>
      <c r="K2136" t="n">
        <v>0</v>
      </c>
      <c r="L2136" t="n">
        <v>0</v>
      </c>
      <c r="M2136" t="n">
        <v>0</v>
      </c>
      <c r="N2136" t="n">
        <v>0</v>
      </c>
      <c r="O2136" t="n">
        <v>0</v>
      </c>
      <c r="P2136" t="n">
        <v>0</v>
      </c>
      <c r="Q2136" t="n">
        <v>0</v>
      </c>
      <c r="R2136" s="2" t="inlineStr"/>
    </row>
    <row r="2137" ht="15" customHeight="1">
      <c r="A2137" t="inlineStr">
        <is>
          <t>A 18374-2023</t>
        </is>
      </c>
      <c r="B2137" s="1" t="n">
        <v>45041</v>
      </c>
      <c r="C2137" s="1" t="n">
        <v>45734</v>
      </c>
      <c r="D2137" t="inlineStr">
        <is>
          <t>JÄMTLANDS LÄN</t>
        </is>
      </c>
      <c r="E2137" t="inlineStr">
        <is>
          <t>STRÖMSUND</t>
        </is>
      </c>
      <c r="F2137" t="inlineStr">
        <is>
          <t>SCA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18553-2023</t>
        </is>
      </c>
      <c r="B2138" s="1" t="n">
        <v>45042</v>
      </c>
      <c r="C2138" s="1" t="n">
        <v>45734</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18564-2023</t>
        </is>
      </c>
      <c r="B2139" s="1" t="n">
        <v>45043</v>
      </c>
      <c r="C2139" s="1" t="n">
        <v>45734</v>
      </c>
      <c r="D2139" t="inlineStr">
        <is>
          <t>JÄMTLANDS LÄN</t>
        </is>
      </c>
      <c r="E2139" t="inlineStr">
        <is>
          <t>STRÖMSUND</t>
        </is>
      </c>
      <c r="F2139" t="inlineStr">
        <is>
          <t>SCA</t>
        </is>
      </c>
      <c r="G2139" t="n">
        <v>40.5</v>
      </c>
      <c r="H2139" t="n">
        <v>0</v>
      </c>
      <c r="I2139" t="n">
        <v>0</v>
      </c>
      <c r="J2139" t="n">
        <v>0</v>
      </c>
      <c r="K2139" t="n">
        <v>0</v>
      </c>
      <c r="L2139" t="n">
        <v>0</v>
      </c>
      <c r="M2139" t="n">
        <v>0</v>
      </c>
      <c r="N2139" t="n">
        <v>0</v>
      </c>
      <c r="O2139" t="n">
        <v>0</v>
      </c>
      <c r="P2139" t="n">
        <v>0</v>
      </c>
      <c r="Q2139" t="n">
        <v>0</v>
      </c>
      <c r="R2139" s="2" t="inlineStr"/>
    </row>
    <row r="2140" ht="15" customHeight="1">
      <c r="A2140" t="inlineStr">
        <is>
          <t>A 18775-2023</t>
        </is>
      </c>
      <c r="B2140" s="1" t="n">
        <v>45044</v>
      </c>
      <c r="C2140" s="1" t="n">
        <v>45734</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18773-2023</t>
        </is>
      </c>
      <c r="B2141" s="1" t="n">
        <v>45044</v>
      </c>
      <c r="C2141" s="1" t="n">
        <v>45734</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18783-2023</t>
        </is>
      </c>
      <c r="B2142" s="1" t="n">
        <v>45043</v>
      </c>
      <c r="C2142" s="1" t="n">
        <v>45734</v>
      </c>
      <c r="D2142" t="inlineStr">
        <is>
          <t>JÄMTLANDS LÄN</t>
        </is>
      </c>
      <c r="E2142" t="inlineStr">
        <is>
          <t>STRÖMSUND</t>
        </is>
      </c>
      <c r="F2142" t="inlineStr">
        <is>
          <t>SCA</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18768-2023</t>
        </is>
      </c>
      <c r="B2143" s="1" t="n">
        <v>45043</v>
      </c>
      <c r="C2143" s="1" t="n">
        <v>45734</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18777-2023</t>
        </is>
      </c>
      <c r="B2144" s="1" t="n">
        <v>45044</v>
      </c>
      <c r="C2144" s="1" t="n">
        <v>45734</v>
      </c>
      <c r="D2144" t="inlineStr">
        <is>
          <t>JÄMTLANDS LÄN</t>
        </is>
      </c>
      <c r="E2144" t="inlineStr">
        <is>
          <t>STRÖMSUND</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18774-2023</t>
        </is>
      </c>
      <c r="B2145" s="1" t="n">
        <v>45044</v>
      </c>
      <c r="C2145" s="1" t="n">
        <v>45734</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18788-2023</t>
        </is>
      </c>
      <c r="B2146" s="1" t="n">
        <v>45044</v>
      </c>
      <c r="C2146" s="1" t="n">
        <v>45734</v>
      </c>
      <c r="D2146" t="inlineStr">
        <is>
          <t>JÄMTLANDS LÄN</t>
        </is>
      </c>
      <c r="E2146" t="inlineStr">
        <is>
          <t>STRÖMSUND</t>
        </is>
      </c>
      <c r="F2146" t="inlineStr">
        <is>
          <t>SCA</t>
        </is>
      </c>
      <c r="G2146" t="n">
        <v>69.09999999999999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18992-2023</t>
        </is>
      </c>
      <c r="B2147" s="1" t="n">
        <v>45044</v>
      </c>
      <c r="C2147" s="1" t="n">
        <v>45734</v>
      </c>
      <c r="D2147" t="inlineStr">
        <is>
          <t>JÄMTLANDS LÄN</t>
        </is>
      </c>
      <c r="E2147" t="inlineStr">
        <is>
          <t>STRÖMSUND</t>
        </is>
      </c>
      <c r="F2147" t="inlineStr">
        <is>
          <t>SCA</t>
        </is>
      </c>
      <c r="G2147" t="n">
        <v>25.7</v>
      </c>
      <c r="H2147" t="n">
        <v>0</v>
      </c>
      <c r="I2147" t="n">
        <v>0</v>
      </c>
      <c r="J2147" t="n">
        <v>0</v>
      </c>
      <c r="K2147" t="n">
        <v>0</v>
      </c>
      <c r="L2147" t="n">
        <v>0</v>
      </c>
      <c r="M2147" t="n">
        <v>0</v>
      </c>
      <c r="N2147" t="n">
        <v>0</v>
      </c>
      <c r="O2147" t="n">
        <v>0</v>
      </c>
      <c r="P2147" t="n">
        <v>0</v>
      </c>
      <c r="Q2147" t="n">
        <v>0</v>
      </c>
      <c r="R2147" s="2" t="inlineStr"/>
    </row>
    <row r="2148" ht="15" customHeight="1">
      <c r="A2148" t="inlineStr">
        <is>
          <t>A 18993-2023</t>
        </is>
      </c>
      <c r="B2148" s="1" t="n">
        <v>45044</v>
      </c>
      <c r="C2148" s="1" t="n">
        <v>45734</v>
      </c>
      <c r="D2148" t="inlineStr">
        <is>
          <t>JÄMTLANDS LÄN</t>
        </is>
      </c>
      <c r="E2148" t="inlineStr">
        <is>
          <t>STRÖMSUND</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18997-2023</t>
        </is>
      </c>
      <c r="B2149" s="1" t="n">
        <v>45044</v>
      </c>
      <c r="C2149" s="1" t="n">
        <v>45734</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18994-2023</t>
        </is>
      </c>
      <c r="B2150" s="1" t="n">
        <v>45045</v>
      </c>
      <c r="C2150" s="1" t="n">
        <v>45734</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19029-2023</t>
        </is>
      </c>
      <c r="B2151" s="1" t="n">
        <v>45047</v>
      </c>
      <c r="C2151" s="1" t="n">
        <v>45734</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19027-2023</t>
        </is>
      </c>
      <c r="B2152" s="1" t="n">
        <v>45047</v>
      </c>
      <c r="C2152" s="1" t="n">
        <v>45734</v>
      </c>
      <c r="D2152" t="inlineStr">
        <is>
          <t>JÄMTLANDS LÄN</t>
        </is>
      </c>
      <c r="E2152" t="inlineStr">
        <is>
          <t>STRÖMSUND</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19026-2023</t>
        </is>
      </c>
      <c r="B2153" s="1" t="n">
        <v>45047</v>
      </c>
      <c r="C2153" s="1" t="n">
        <v>45734</v>
      </c>
      <c r="D2153" t="inlineStr">
        <is>
          <t>JÄMTLANDS LÄN</t>
        </is>
      </c>
      <c r="E2153" t="inlineStr">
        <is>
          <t>STRÖMSUND</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19239-2023</t>
        </is>
      </c>
      <c r="B2154" s="1" t="n">
        <v>45048</v>
      </c>
      <c r="C2154" s="1" t="n">
        <v>45734</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19261-2023</t>
        </is>
      </c>
      <c r="B2155" s="1" t="n">
        <v>45048</v>
      </c>
      <c r="C2155" s="1" t="n">
        <v>45734</v>
      </c>
      <c r="D2155" t="inlineStr">
        <is>
          <t>JÄMTLANDS LÄN</t>
        </is>
      </c>
      <c r="E2155" t="inlineStr">
        <is>
          <t>STRÖMSUND</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19621-2023</t>
        </is>
      </c>
      <c r="B2156" s="1" t="n">
        <v>45051</v>
      </c>
      <c r="C2156" s="1" t="n">
        <v>45734</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19658-2023</t>
        </is>
      </c>
      <c r="B2157" s="1" t="n">
        <v>45050</v>
      </c>
      <c r="C2157" s="1" t="n">
        <v>45734</v>
      </c>
      <c r="D2157" t="inlineStr">
        <is>
          <t>JÄMTLANDS LÄN</t>
        </is>
      </c>
      <c r="E2157" t="inlineStr">
        <is>
          <t>STRÖMSUND</t>
        </is>
      </c>
      <c r="F2157" t="inlineStr">
        <is>
          <t>Kommuner</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19652-2023</t>
        </is>
      </c>
      <c r="B2158" s="1" t="n">
        <v>45050</v>
      </c>
      <c r="C2158" s="1" t="n">
        <v>45734</v>
      </c>
      <c r="D2158" t="inlineStr">
        <is>
          <t>JÄMTLANDS LÄN</t>
        </is>
      </c>
      <c r="E2158" t="inlineStr">
        <is>
          <t>STRÖMSUND</t>
        </is>
      </c>
      <c r="F2158" t="inlineStr">
        <is>
          <t>Kommuner</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19656-2023</t>
        </is>
      </c>
      <c r="B2159" s="1" t="n">
        <v>45050</v>
      </c>
      <c r="C2159" s="1" t="n">
        <v>45734</v>
      </c>
      <c r="D2159" t="inlineStr">
        <is>
          <t>JÄMTLANDS LÄN</t>
        </is>
      </c>
      <c r="E2159" t="inlineStr">
        <is>
          <t>STRÖMSUND</t>
        </is>
      </c>
      <c r="F2159" t="inlineStr">
        <is>
          <t>Kommuner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19826-2023</t>
        </is>
      </c>
      <c r="B2160" s="1" t="n">
        <v>45052</v>
      </c>
      <c r="C2160" s="1" t="n">
        <v>45734</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19831-2023</t>
        </is>
      </c>
      <c r="B2161" s="1" t="n">
        <v>45052</v>
      </c>
      <c r="C2161" s="1" t="n">
        <v>45734</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20590-2023</t>
        </is>
      </c>
      <c r="B2162" s="1" t="n">
        <v>45058</v>
      </c>
      <c r="C2162" s="1" t="n">
        <v>45734</v>
      </c>
      <c r="D2162" t="inlineStr">
        <is>
          <t>JÄMTLANDS LÄN</t>
        </is>
      </c>
      <c r="E2162" t="inlineStr">
        <is>
          <t>STRÖMSUND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20631-2023</t>
        </is>
      </c>
      <c r="B2163" s="1" t="n">
        <v>45057</v>
      </c>
      <c r="C2163" s="1" t="n">
        <v>45734</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21146-2023</t>
        </is>
      </c>
      <c r="B2164" s="1" t="n">
        <v>45057</v>
      </c>
      <c r="C2164" s="1" t="n">
        <v>45734</v>
      </c>
      <c r="D2164" t="inlineStr">
        <is>
          <t>JÄMTLANDS LÄN</t>
        </is>
      </c>
      <c r="E2164" t="inlineStr">
        <is>
          <t>STRÖMSUND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20597-2023</t>
        </is>
      </c>
      <c r="B2165" s="1" t="n">
        <v>45058</v>
      </c>
      <c r="C2165" s="1" t="n">
        <v>45734</v>
      </c>
      <c r="D2165" t="inlineStr">
        <is>
          <t>JÄMTLANDS LÄN</t>
        </is>
      </c>
      <c r="E2165" t="inlineStr">
        <is>
          <t>STRÖMSUND</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20592-2023</t>
        </is>
      </c>
      <c r="B2166" s="1" t="n">
        <v>45057</v>
      </c>
      <c r="C2166" s="1" t="n">
        <v>45734</v>
      </c>
      <c r="D2166" t="inlineStr">
        <is>
          <t>JÄMTLANDS LÄN</t>
        </is>
      </c>
      <c r="E2166" t="inlineStr">
        <is>
          <t>STRÖMSUND</t>
        </is>
      </c>
      <c r="F2166" t="inlineStr">
        <is>
          <t>SCA</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20887-2023</t>
        </is>
      </c>
      <c r="B2167" s="1" t="n">
        <v>45058</v>
      </c>
      <c r="C2167" s="1" t="n">
        <v>45734</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21115-2023</t>
        </is>
      </c>
      <c r="B2168" s="1" t="n">
        <v>45061</v>
      </c>
      <c r="C2168" s="1" t="n">
        <v>45734</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21110-2023</t>
        </is>
      </c>
      <c r="B2169" s="1" t="n">
        <v>45061</v>
      </c>
      <c r="C2169" s="1" t="n">
        <v>45734</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21358-2023</t>
        </is>
      </c>
      <c r="B2170" s="1" t="n">
        <v>45063</v>
      </c>
      <c r="C2170" s="1" t="n">
        <v>45734</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21338-2023</t>
        </is>
      </c>
      <c r="B2171" s="1" t="n">
        <v>45062</v>
      </c>
      <c r="C2171" s="1" t="n">
        <v>45734</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21339-2023</t>
        </is>
      </c>
      <c r="B2172" s="1" t="n">
        <v>45063</v>
      </c>
      <c r="C2172" s="1" t="n">
        <v>45734</v>
      </c>
      <c r="D2172" t="inlineStr">
        <is>
          <t>JÄMTLANDS LÄN</t>
        </is>
      </c>
      <c r="E2172" t="inlineStr">
        <is>
          <t>STRÖMSUND</t>
        </is>
      </c>
      <c r="F2172" t="inlineStr">
        <is>
          <t>SCA</t>
        </is>
      </c>
      <c r="G2172" t="n">
        <v>22.5</v>
      </c>
      <c r="H2172" t="n">
        <v>0</v>
      </c>
      <c r="I2172" t="n">
        <v>0</v>
      </c>
      <c r="J2172" t="n">
        <v>0</v>
      </c>
      <c r="K2172" t="n">
        <v>0</v>
      </c>
      <c r="L2172" t="n">
        <v>0</v>
      </c>
      <c r="M2172" t="n">
        <v>0</v>
      </c>
      <c r="N2172" t="n">
        <v>0</v>
      </c>
      <c r="O2172" t="n">
        <v>0</v>
      </c>
      <c r="P2172" t="n">
        <v>0</v>
      </c>
      <c r="Q2172" t="n">
        <v>0</v>
      </c>
      <c r="R2172" s="2" t="inlineStr"/>
    </row>
    <row r="2173" ht="15" customHeight="1">
      <c r="A2173" t="inlineStr">
        <is>
          <t>A 21687-2023</t>
        </is>
      </c>
      <c r="B2173" s="1" t="n">
        <v>45063</v>
      </c>
      <c r="C2173" s="1" t="n">
        <v>45734</v>
      </c>
      <c r="D2173" t="inlineStr">
        <is>
          <t>JÄMTLANDS LÄN</t>
        </is>
      </c>
      <c r="E2173" t="inlineStr">
        <is>
          <t>STRÖMSUND</t>
        </is>
      </c>
      <c r="F2173" t="inlineStr">
        <is>
          <t>SCA</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21685-2023</t>
        </is>
      </c>
      <c r="B2174" s="1" t="n">
        <v>45064</v>
      </c>
      <c r="C2174" s="1" t="n">
        <v>45734</v>
      </c>
      <c r="D2174" t="inlineStr">
        <is>
          <t>JÄMTLANDS LÄN</t>
        </is>
      </c>
      <c r="E2174" t="inlineStr">
        <is>
          <t>STRÖMSUND</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21711-2023</t>
        </is>
      </c>
      <c r="B2175" s="1" t="n">
        <v>45065</v>
      </c>
      <c r="C2175" s="1" t="n">
        <v>45734</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22223-2023</t>
        </is>
      </c>
      <c r="B2176" s="1" t="n">
        <v>45069</v>
      </c>
      <c r="C2176" s="1" t="n">
        <v>45734</v>
      </c>
      <c r="D2176" t="inlineStr">
        <is>
          <t>JÄMTLANDS LÄN</t>
        </is>
      </c>
      <c r="E2176" t="inlineStr">
        <is>
          <t>STRÖMSUND</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22475-2023</t>
        </is>
      </c>
      <c r="B2177" s="1" t="n">
        <v>45071</v>
      </c>
      <c r="C2177" s="1" t="n">
        <v>45734</v>
      </c>
      <c r="D2177" t="inlineStr">
        <is>
          <t>JÄMTLANDS LÄN</t>
        </is>
      </c>
      <c r="E2177" t="inlineStr">
        <is>
          <t>STRÖMSUND</t>
        </is>
      </c>
      <c r="F2177" t="inlineStr">
        <is>
          <t>SCA</t>
        </is>
      </c>
      <c r="G2177" t="n">
        <v>35.1</v>
      </c>
      <c r="H2177" t="n">
        <v>0</v>
      </c>
      <c r="I2177" t="n">
        <v>0</v>
      </c>
      <c r="J2177" t="n">
        <v>0</v>
      </c>
      <c r="K2177" t="n">
        <v>0</v>
      </c>
      <c r="L2177" t="n">
        <v>0</v>
      </c>
      <c r="M2177" t="n">
        <v>0</v>
      </c>
      <c r="N2177" t="n">
        <v>0</v>
      </c>
      <c r="O2177" t="n">
        <v>0</v>
      </c>
      <c r="P2177" t="n">
        <v>0</v>
      </c>
      <c r="Q2177" t="n">
        <v>0</v>
      </c>
      <c r="R2177" s="2" t="inlineStr"/>
    </row>
    <row r="2178" ht="15" customHeight="1">
      <c r="A2178" t="inlineStr">
        <is>
          <t>A 22346-2023</t>
        </is>
      </c>
      <c r="B2178" s="1" t="n">
        <v>45070</v>
      </c>
      <c r="C2178" s="1" t="n">
        <v>45734</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22468-2023</t>
        </is>
      </c>
      <c r="B2179" s="1" t="n">
        <v>45070</v>
      </c>
      <c r="C2179" s="1" t="n">
        <v>45734</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22478-2023</t>
        </is>
      </c>
      <c r="B2180" s="1" t="n">
        <v>45071</v>
      </c>
      <c r="C2180" s="1" t="n">
        <v>45734</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22476-2023</t>
        </is>
      </c>
      <c r="B2181" s="1" t="n">
        <v>45070</v>
      </c>
      <c r="C2181" s="1" t="n">
        <v>45734</v>
      </c>
      <c r="D2181" t="inlineStr">
        <is>
          <t>JÄMTLANDS LÄN</t>
        </is>
      </c>
      <c r="E2181" t="inlineStr">
        <is>
          <t>STRÖMSUND</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22477-2023</t>
        </is>
      </c>
      <c r="B2182" s="1" t="n">
        <v>45070</v>
      </c>
      <c r="C2182" s="1" t="n">
        <v>45734</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22745-2023</t>
        </is>
      </c>
      <c r="B2183" s="1" t="n">
        <v>45072</v>
      </c>
      <c r="C2183" s="1" t="n">
        <v>45734</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23303-2023</t>
        </is>
      </c>
      <c r="B2184" s="1" t="n">
        <v>45076</v>
      </c>
      <c r="C2184" s="1" t="n">
        <v>45734</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23310-2023</t>
        </is>
      </c>
      <c r="B2185" s="1" t="n">
        <v>45075</v>
      </c>
      <c r="C2185" s="1" t="n">
        <v>45734</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23309-2023</t>
        </is>
      </c>
      <c r="B2186" s="1" t="n">
        <v>45075</v>
      </c>
      <c r="C2186" s="1" t="n">
        <v>45734</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23311-2023</t>
        </is>
      </c>
      <c r="B2187" s="1" t="n">
        <v>45075</v>
      </c>
      <c r="C2187" s="1" t="n">
        <v>45734</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23906-2023</t>
        </is>
      </c>
      <c r="B2188" s="1" t="n">
        <v>45075</v>
      </c>
      <c r="C2188" s="1" t="n">
        <v>45734</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23839-2023</t>
        </is>
      </c>
      <c r="B2189" s="1" t="n">
        <v>45075</v>
      </c>
      <c r="C2189" s="1" t="n">
        <v>45734</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23446-2023</t>
        </is>
      </c>
      <c r="B2190" s="1" t="n">
        <v>45076</v>
      </c>
      <c r="C2190" s="1" t="n">
        <v>45734</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23406-2023</t>
        </is>
      </c>
      <c r="B2191" s="1" t="n">
        <v>45076</v>
      </c>
      <c r="C2191" s="1" t="n">
        <v>45734</v>
      </c>
      <c r="D2191" t="inlineStr">
        <is>
          <t>JÄMTLANDS LÄN</t>
        </is>
      </c>
      <c r="E2191" t="inlineStr">
        <is>
          <t>STRÖMSUND</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23528-2023</t>
        </is>
      </c>
      <c r="B2192" s="1" t="n">
        <v>45076</v>
      </c>
      <c r="C2192" s="1" t="n">
        <v>45734</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23518-2023</t>
        </is>
      </c>
      <c r="B2193" s="1" t="n">
        <v>45077</v>
      </c>
      <c r="C2193" s="1" t="n">
        <v>45734</v>
      </c>
      <c r="D2193" t="inlineStr">
        <is>
          <t>JÄMTLANDS LÄN</t>
        </is>
      </c>
      <c r="E2193" t="inlineStr">
        <is>
          <t>STRÖMSUND</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23525-2023</t>
        </is>
      </c>
      <c r="B2194" s="1" t="n">
        <v>45076</v>
      </c>
      <c r="C2194" s="1" t="n">
        <v>45734</v>
      </c>
      <c r="D2194" t="inlineStr">
        <is>
          <t>JÄMTLANDS LÄN</t>
        </is>
      </c>
      <c r="E2194" t="inlineStr">
        <is>
          <t>STRÖMSUND</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23748-2023</t>
        </is>
      </c>
      <c r="B2195" s="1" t="n">
        <v>45077</v>
      </c>
      <c r="C2195" s="1" t="n">
        <v>45734</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23777-2023</t>
        </is>
      </c>
      <c r="B2196" s="1" t="n">
        <v>45078</v>
      </c>
      <c r="C2196" s="1" t="n">
        <v>45734</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23770-2023</t>
        </is>
      </c>
      <c r="B2197" s="1" t="n">
        <v>45078</v>
      </c>
      <c r="C2197" s="1" t="n">
        <v>45734</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23780-2023</t>
        </is>
      </c>
      <c r="B2198" s="1" t="n">
        <v>45078</v>
      </c>
      <c r="C2198" s="1" t="n">
        <v>45734</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45078</v>
      </c>
      <c r="C2199" s="1" t="n">
        <v>45734</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45078</v>
      </c>
      <c r="C2200" s="1" t="n">
        <v>45734</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24073-2023</t>
        </is>
      </c>
      <c r="B2201" s="1" t="n">
        <v>45079</v>
      </c>
      <c r="C2201" s="1" t="n">
        <v>45734</v>
      </c>
      <c r="D2201" t="inlineStr">
        <is>
          <t>JÄMTLANDS LÄN</t>
        </is>
      </c>
      <c r="E2201" t="inlineStr">
        <is>
          <t>STRÖMSUND</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24071-2023</t>
        </is>
      </c>
      <c r="B2202" s="1" t="n">
        <v>45079</v>
      </c>
      <c r="C2202" s="1" t="n">
        <v>45734</v>
      </c>
      <c r="D2202" t="inlineStr">
        <is>
          <t>JÄMTLANDS LÄN</t>
        </is>
      </c>
      <c r="E2202" t="inlineStr">
        <is>
          <t>STRÖMSUND</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24070-2023</t>
        </is>
      </c>
      <c r="B2203" s="1" t="n">
        <v>45078</v>
      </c>
      <c r="C2203" s="1" t="n">
        <v>45734</v>
      </c>
      <c r="D2203" t="inlineStr">
        <is>
          <t>JÄMTLANDS LÄN</t>
        </is>
      </c>
      <c r="E2203" t="inlineStr">
        <is>
          <t>STRÖMSUND</t>
        </is>
      </c>
      <c r="F2203" t="inlineStr">
        <is>
          <t>SCA</t>
        </is>
      </c>
      <c r="G2203" t="n">
        <v>25.2</v>
      </c>
      <c r="H2203" t="n">
        <v>0</v>
      </c>
      <c r="I2203" t="n">
        <v>0</v>
      </c>
      <c r="J2203" t="n">
        <v>0</v>
      </c>
      <c r="K2203" t="n">
        <v>0</v>
      </c>
      <c r="L2203" t="n">
        <v>0</v>
      </c>
      <c r="M2203" t="n">
        <v>0</v>
      </c>
      <c r="N2203" t="n">
        <v>0</v>
      </c>
      <c r="O2203" t="n">
        <v>0</v>
      </c>
      <c r="P2203" t="n">
        <v>0</v>
      </c>
      <c r="Q2203" t="n">
        <v>0</v>
      </c>
      <c r="R2203" s="2" t="inlineStr"/>
    </row>
    <row r="2204" ht="15" customHeight="1">
      <c r="A2204" t="inlineStr">
        <is>
          <t>A 24315-2023</t>
        </is>
      </c>
      <c r="B2204" s="1" t="n">
        <v>45079</v>
      </c>
      <c r="C2204" s="1" t="n">
        <v>45734</v>
      </c>
      <c r="D2204" t="inlineStr">
        <is>
          <t>JÄMTLANDS LÄN</t>
        </is>
      </c>
      <c r="E2204" t="inlineStr">
        <is>
          <t>STRÖMSUND</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24303-2023</t>
        </is>
      </c>
      <c r="B2205" s="1" t="n">
        <v>45079</v>
      </c>
      <c r="C2205" s="1" t="n">
        <v>45734</v>
      </c>
      <c r="D2205" t="inlineStr">
        <is>
          <t>JÄMTLANDS LÄN</t>
        </is>
      </c>
      <c r="E2205" t="inlineStr">
        <is>
          <t>STRÖMSUND</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24301-2023</t>
        </is>
      </c>
      <c r="B2206" s="1" t="n">
        <v>45080</v>
      </c>
      <c r="C2206" s="1" t="n">
        <v>45734</v>
      </c>
      <c r="D2206" t="inlineStr">
        <is>
          <t>JÄMTLANDS LÄN</t>
        </is>
      </c>
      <c r="E2206" t="inlineStr">
        <is>
          <t>STRÖMSUND</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24308-2023</t>
        </is>
      </c>
      <c r="B2207" s="1" t="n">
        <v>45080</v>
      </c>
      <c r="C2207" s="1" t="n">
        <v>45734</v>
      </c>
      <c r="D2207" t="inlineStr">
        <is>
          <t>JÄMTLANDS LÄN</t>
        </is>
      </c>
      <c r="E2207" t="inlineStr">
        <is>
          <t>STRÖMSUND</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24313-2023</t>
        </is>
      </c>
      <c r="B2208" s="1" t="n">
        <v>45080</v>
      </c>
      <c r="C2208" s="1" t="n">
        <v>45734</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24317-2023</t>
        </is>
      </c>
      <c r="B2209" s="1" t="n">
        <v>45080</v>
      </c>
      <c r="C2209" s="1" t="n">
        <v>45734</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24312-2023</t>
        </is>
      </c>
      <c r="B2210" s="1" t="n">
        <v>45080</v>
      </c>
      <c r="C2210" s="1" t="n">
        <v>45734</v>
      </c>
      <c r="D2210" t="inlineStr">
        <is>
          <t>JÄMTLANDS LÄN</t>
        </is>
      </c>
      <c r="E2210" t="inlineStr">
        <is>
          <t>STRÖMSUND</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24316-2023</t>
        </is>
      </c>
      <c r="B2211" s="1" t="n">
        <v>45079</v>
      </c>
      <c r="C2211" s="1" t="n">
        <v>45734</v>
      </c>
      <c r="D2211" t="inlineStr">
        <is>
          <t>JÄMTLANDS LÄN</t>
        </is>
      </c>
      <c r="E2211" t="inlineStr">
        <is>
          <t>STRÖMSUND</t>
        </is>
      </c>
      <c r="F2211" t="inlineStr">
        <is>
          <t>SCA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24397-2023</t>
        </is>
      </c>
      <c r="B2212" s="1" t="n">
        <v>45082</v>
      </c>
      <c r="C2212" s="1" t="n">
        <v>45734</v>
      </c>
      <c r="D2212" t="inlineStr">
        <is>
          <t>JÄMTLANDS LÄN</t>
        </is>
      </c>
      <c r="E2212" t="inlineStr">
        <is>
          <t>STRÖMSUND</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24599-2023</t>
        </is>
      </c>
      <c r="B2213" s="1" t="n">
        <v>45084</v>
      </c>
      <c r="C2213" s="1" t="n">
        <v>45734</v>
      </c>
      <c r="D2213" t="inlineStr">
        <is>
          <t>JÄMTLANDS LÄN</t>
        </is>
      </c>
      <c r="E2213" t="inlineStr">
        <is>
          <t>STRÖMSUND</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24602-2023</t>
        </is>
      </c>
      <c r="B2214" s="1" t="n">
        <v>45083</v>
      </c>
      <c r="C2214" s="1" t="n">
        <v>45734</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24601-2023</t>
        </is>
      </c>
      <c r="B2215" s="1" t="n">
        <v>45084</v>
      </c>
      <c r="C2215" s="1" t="n">
        <v>45734</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24600-2023</t>
        </is>
      </c>
      <c r="B2216" s="1" t="n">
        <v>45084</v>
      </c>
      <c r="C2216" s="1" t="n">
        <v>45734</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24831-2023</t>
        </is>
      </c>
      <c r="B2217" s="1" t="n">
        <v>45085</v>
      </c>
      <c r="C2217" s="1" t="n">
        <v>45734</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24833-2023</t>
        </is>
      </c>
      <c r="B2218" s="1" t="n">
        <v>45084</v>
      </c>
      <c r="C2218" s="1" t="n">
        <v>45734</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24830-2023</t>
        </is>
      </c>
      <c r="B2219" s="1" t="n">
        <v>45085</v>
      </c>
      <c r="C2219" s="1" t="n">
        <v>45734</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25052-2023</t>
        </is>
      </c>
      <c r="B2220" s="1" t="n">
        <v>45086</v>
      </c>
      <c r="C2220" s="1" t="n">
        <v>45734</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25026-2023</t>
        </is>
      </c>
      <c r="B2221" s="1" t="n">
        <v>45085</v>
      </c>
      <c r="C2221" s="1" t="n">
        <v>45734</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25066-2023</t>
        </is>
      </c>
      <c r="B2222" s="1" t="n">
        <v>45085</v>
      </c>
      <c r="C2222" s="1" t="n">
        <v>45734</v>
      </c>
      <c r="D2222" t="inlineStr">
        <is>
          <t>JÄMTLANDS LÄN</t>
        </is>
      </c>
      <c r="E2222" t="inlineStr">
        <is>
          <t>STRÖMSUND</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25328-2023</t>
        </is>
      </c>
      <c r="B2223" s="1" t="n">
        <v>45087</v>
      </c>
      <c r="C2223" s="1" t="n">
        <v>45734</v>
      </c>
      <c r="D2223" t="inlineStr">
        <is>
          <t>JÄMTLANDS LÄN</t>
        </is>
      </c>
      <c r="E2223" t="inlineStr">
        <is>
          <t>STRÖMSUND</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26226-2023</t>
        </is>
      </c>
      <c r="B2224" s="1" t="n">
        <v>45086</v>
      </c>
      <c r="C2224" s="1" t="n">
        <v>45734</v>
      </c>
      <c r="D2224" t="inlineStr">
        <is>
          <t>JÄMTLANDS LÄN</t>
        </is>
      </c>
      <c r="E2224" t="inlineStr">
        <is>
          <t>STRÖMSUND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25326-2023</t>
        </is>
      </c>
      <c r="B2225" s="1" t="n">
        <v>45087</v>
      </c>
      <c r="C2225" s="1" t="n">
        <v>45734</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25673-2023</t>
        </is>
      </c>
      <c r="B2226" s="1" t="n">
        <v>45090</v>
      </c>
      <c r="C2226" s="1" t="n">
        <v>45734</v>
      </c>
      <c r="D2226" t="inlineStr">
        <is>
          <t>JÄMTLANDS LÄN</t>
        </is>
      </c>
      <c r="E2226" t="inlineStr">
        <is>
          <t>STRÖMSUND</t>
        </is>
      </c>
      <c r="F2226" t="inlineStr">
        <is>
          <t>SCA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25682-2023</t>
        </is>
      </c>
      <c r="B2227" s="1" t="n">
        <v>45089</v>
      </c>
      <c r="C2227" s="1" t="n">
        <v>45734</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26346-2023</t>
        </is>
      </c>
      <c r="B2228" s="1" t="n">
        <v>45092</v>
      </c>
      <c r="C2228" s="1" t="n">
        <v>45734</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26349-2023</t>
        </is>
      </c>
      <c r="B2229" s="1" t="n">
        <v>45092</v>
      </c>
      <c r="C2229" s="1" t="n">
        <v>45734</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26348-2023</t>
        </is>
      </c>
      <c r="B2230" s="1" t="n">
        <v>45092</v>
      </c>
      <c r="C2230" s="1" t="n">
        <v>45734</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26368-2023</t>
        </is>
      </c>
      <c r="B2231" s="1" t="n">
        <v>45091</v>
      </c>
      <c r="C2231" s="1" t="n">
        <v>45734</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26666-2023</t>
        </is>
      </c>
      <c r="B2232" s="1" t="n">
        <v>45093</v>
      </c>
      <c r="C2232" s="1" t="n">
        <v>45734</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26665-2023</t>
        </is>
      </c>
      <c r="B2233" s="1" t="n">
        <v>45093</v>
      </c>
      <c r="C2233" s="1" t="n">
        <v>45734</v>
      </c>
      <c r="D2233" t="inlineStr">
        <is>
          <t>JÄMTLANDS LÄN</t>
        </is>
      </c>
      <c r="E2233" t="inlineStr">
        <is>
          <t>STRÖMSUND</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26650-2023</t>
        </is>
      </c>
      <c r="B2234" s="1" t="n">
        <v>45093</v>
      </c>
      <c r="C2234" s="1" t="n">
        <v>45734</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26659-2023</t>
        </is>
      </c>
      <c r="B2235" s="1" t="n">
        <v>45092</v>
      </c>
      <c r="C2235" s="1" t="n">
        <v>45734</v>
      </c>
      <c r="D2235" t="inlineStr">
        <is>
          <t>JÄMTLANDS LÄN</t>
        </is>
      </c>
      <c r="E2235" t="inlineStr">
        <is>
          <t>STRÖMSUND</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26660-2023</t>
        </is>
      </c>
      <c r="B2236" s="1" t="n">
        <v>45092</v>
      </c>
      <c r="C2236" s="1" t="n">
        <v>45734</v>
      </c>
      <c r="D2236" t="inlineStr">
        <is>
          <t>JÄMTLANDS LÄN</t>
        </is>
      </c>
      <c r="E2236" t="inlineStr">
        <is>
          <t>STRÖMSUND</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26799-2023</t>
        </is>
      </c>
      <c r="B2237" s="1" t="n">
        <v>45093</v>
      </c>
      <c r="C2237" s="1" t="n">
        <v>45734</v>
      </c>
      <c r="D2237" t="inlineStr">
        <is>
          <t>JÄMTLANDS LÄN</t>
        </is>
      </c>
      <c r="E2237" t="inlineStr">
        <is>
          <t>STRÖMSUND</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26735-2023</t>
        </is>
      </c>
      <c r="B2238" s="1" t="n">
        <v>45093</v>
      </c>
      <c r="C2238" s="1" t="n">
        <v>45734</v>
      </c>
      <c r="D2238" t="inlineStr">
        <is>
          <t>JÄMTLANDS LÄN</t>
        </is>
      </c>
      <c r="E2238" t="inlineStr">
        <is>
          <t>STRÖMSUND</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27389-2023</t>
        </is>
      </c>
      <c r="B2239" s="1" t="n">
        <v>45096</v>
      </c>
      <c r="C2239" s="1" t="n">
        <v>45734</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27366-2023</t>
        </is>
      </c>
      <c r="B2240" s="1" t="n">
        <v>45096</v>
      </c>
      <c r="C2240" s="1" t="n">
        <v>45734</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27386-2023</t>
        </is>
      </c>
      <c r="B2241" s="1" t="n">
        <v>45097</v>
      </c>
      <c r="C2241" s="1" t="n">
        <v>45734</v>
      </c>
      <c r="D2241" t="inlineStr">
        <is>
          <t>JÄMTLANDS LÄN</t>
        </is>
      </c>
      <c r="E2241" t="inlineStr">
        <is>
          <t>STRÖMSUND</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27374-2023</t>
        </is>
      </c>
      <c r="B2242" s="1" t="n">
        <v>45097</v>
      </c>
      <c r="C2242" s="1" t="n">
        <v>45734</v>
      </c>
      <c r="D2242" t="inlineStr">
        <is>
          <t>JÄMTLANDS LÄN</t>
        </is>
      </c>
      <c r="E2242" t="inlineStr">
        <is>
          <t>STRÖMSUND</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27388-2023</t>
        </is>
      </c>
      <c r="B2243" s="1" t="n">
        <v>45097</v>
      </c>
      <c r="C2243" s="1" t="n">
        <v>45734</v>
      </c>
      <c r="D2243" t="inlineStr">
        <is>
          <t>JÄMTLANDS LÄN</t>
        </is>
      </c>
      <c r="E2243" t="inlineStr">
        <is>
          <t>STRÖMSUND</t>
        </is>
      </c>
      <c r="F2243" t="inlineStr">
        <is>
          <t>SCA</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27368-2023</t>
        </is>
      </c>
      <c r="B2244" s="1" t="n">
        <v>45096</v>
      </c>
      <c r="C2244" s="1" t="n">
        <v>45734</v>
      </c>
      <c r="D2244" t="inlineStr">
        <is>
          <t>JÄMTLANDS LÄN</t>
        </is>
      </c>
      <c r="E2244" t="inlineStr">
        <is>
          <t>STRÖMSUND</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27365-2023</t>
        </is>
      </c>
      <c r="B2245" s="1" t="n">
        <v>45097</v>
      </c>
      <c r="C2245" s="1" t="n">
        <v>45734</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27387-2023</t>
        </is>
      </c>
      <c r="B2246" s="1" t="n">
        <v>45097</v>
      </c>
      <c r="C2246" s="1" t="n">
        <v>45734</v>
      </c>
      <c r="D2246" t="inlineStr">
        <is>
          <t>JÄMTLANDS LÄN</t>
        </is>
      </c>
      <c r="E2246" t="inlineStr">
        <is>
          <t>STRÖMSUND</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27375-2023</t>
        </is>
      </c>
      <c r="B2247" s="1" t="n">
        <v>45097</v>
      </c>
      <c r="C2247" s="1" t="n">
        <v>45734</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28660-2023</t>
        </is>
      </c>
      <c r="B2248" s="1" t="n">
        <v>45096</v>
      </c>
      <c r="C2248" s="1" t="n">
        <v>45734</v>
      </c>
      <c r="D2248" t="inlineStr">
        <is>
          <t>JÄMTLANDS LÄN</t>
        </is>
      </c>
      <c r="E2248" t="inlineStr">
        <is>
          <t>STRÖMSUND</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27679-2023</t>
        </is>
      </c>
      <c r="B2249" s="1" t="n">
        <v>45098</v>
      </c>
      <c r="C2249" s="1" t="n">
        <v>45734</v>
      </c>
      <c r="D2249" t="inlineStr">
        <is>
          <t>JÄMTLANDS LÄN</t>
        </is>
      </c>
      <c r="E2249" t="inlineStr">
        <is>
          <t>STRÖMSUND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28005-2023</t>
        </is>
      </c>
      <c r="B2250" s="1" t="n">
        <v>45099</v>
      </c>
      <c r="C2250" s="1" t="n">
        <v>45734</v>
      </c>
      <c r="D2250" t="inlineStr">
        <is>
          <t>JÄMTLANDS LÄN</t>
        </is>
      </c>
      <c r="E2250" t="inlineStr">
        <is>
          <t>STRÖMSUND</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28006-2023</t>
        </is>
      </c>
      <c r="B2251" s="1" t="n">
        <v>45099</v>
      </c>
      <c r="C2251" s="1" t="n">
        <v>45734</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28014-2023</t>
        </is>
      </c>
      <c r="B2252" s="1" t="n">
        <v>45098</v>
      </c>
      <c r="C2252" s="1" t="n">
        <v>45734</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45099</v>
      </c>
      <c r="C2253" s="1" t="n">
        <v>45734</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28004-2023</t>
        </is>
      </c>
      <c r="B2254" s="1" t="n">
        <v>45099</v>
      </c>
      <c r="C2254" s="1" t="n">
        <v>45734</v>
      </c>
      <c r="D2254" t="inlineStr">
        <is>
          <t>JÄMTLANDS LÄN</t>
        </is>
      </c>
      <c r="E2254" t="inlineStr">
        <is>
          <t>STRÖMSUND</t>
        </is>
      </c>
      <c r="F2254" t="inlineStr">
        <is>
          <t>SCA</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28016-2023</t>
        </is>
      </c>
      <c r="B2255" s="1" t="n">
        <v>45099</v>
      </c>
      <c r="C2255" s="1" t="n">
        <v>45734</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29593-2023</t>
        </is>
      </c>
      <c r="B2256" s="1" t="n">
        <v>45098</v>
      </c>
      <c r="C2256" s="1" t="n">
        <v>45734</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28297-2023</t>
        </is>
      </c>
      <c r="B2257" s="1" t="n">
        <v>45099</v>
      </c>
      <c r="C2257" s="1" t="n">
        <v>45734</v>
      </c>
      <c r="D2257" t="inlineStr">
        <is>
          <t>JÄMTLANDS LÄN</t>
        </is>
      </c>
      <c r="E2257" t="inlineStr">
        <is>
          <t>STRÖMSUND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28365-2023</t>
        </is>
      </c>
      <c r="B2258" s="1" t="n">
        <v>45100</v>
      </c>
      <c r="C2258" s="1" t="n">
        <v>45734</v>
      </c>
      <c r="D2258" t="inlineStr">
        <is>
          <t>JÄMTLANDS LÄN</t>
        </is>
      </c>
      <c r="E2258" t="inlineStr">
        <is>
          <t>STRÖMSUND</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28376-2023</t>
        </is>
      </c>
      <c r="B2259" s="1" t="n">
        <v>45100</v>
      </c>
      <c r="C2259" s="1" t="n">
        <v>45734</v>
      </c>
      <c r="D2259" t="inlineStr">
        <is>
          <t>JÄMTLANDS LÄN</t>
        </is>
      </c>
      <c r="E2259" t="inlineStr">
        <is>
          <t>STRÖMSUND</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28364-2023</t>
        </is>
      </c>
      <c r="B2260" s="1" t="n">
        <v>45100</v>
      </c>
      <c r="C2260" s="1" t="n">
        <v>45734</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28362-2023</t>
        </is>
      </c>
      <c r="B2261" s="1" t="n">
        <v>45100</v>
      </c>
      <c r="C2261" s="1" t="n">
        <v>45734</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28377-2023</t>
        </is>
      </c>
      <c r="B2262" s="1" t="n">
        <v>45100</v>
      </c>
      <c r="C2262" s="1" t="n">
        <v>45734</v>
      </c>
      <c r="D2262" t="inlineStr">
        <is>
          <t>JÄMTLANDS LÄN</t>
        </is>
      </c>
      <c r="E2262" t="inlineStr">
        <is>
          <t>STRÖMSUND</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28405-2023</t>
        </is>
      </c>
      <c r="B2263" s="1" t="n">
        <v>45101</v>
      </c>
      <c r="C2263" s="1" t="n">
        <v>45734</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28715-2023</t>
        </is>
      </c>
      <c r="B2264" s="1" t="n">
        <v>45103</v>
      </c>
      <c r="C2264" s="1" t="n">
        <v>45734</v>
      </c>
      <c r="D2264" t="inlineStr">
        <is>
          <t>JÄMTLANDS LÄN</t>
        </is>
      </c>
      <c r="E2264" t="inlineStr">
        <is>
          <t>STRÖMSUND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28740-2023</t>
        </is>
      </c>
      <c r="B2265" s="1" t="n">
        <v>45104</v>
      </c>
      <c r="C2265" s="1" t="n">
        <v>45734</v>
      </c>
      <c r="D2265" t="inlineStr">
        <is>
          <t>JÄMTLANDS LÄN</t>
        </is>
      </c>
      <c r="E2265" t="inlineStr">
        <is>
          <t>STRÖMSUND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28744-2023</t>
        </is>
      </c>
      <c r="B2266" s="1" t="n">
        <v>45104</v>
      </c>
      <c r="C2266" s="1" t="n">
        <v>45734</v>
      </c>
      <c r="D2266" t="inlineStr">
        <is>
          <t>JÄMTLANDS LÄN</t>
        </is>
      </c>
      <c r="E2266" t="inlineStr">
        <is>
          <t>STRÖMSUND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28753-2023</t>
        </is>
      </c>
      <c r="B2267" s="1" t="n">
        <v>45104</v>
      </c>
      <c r="C2267" s="1" t="n">
        <v>45734</v>
      </c>
      <c r="D2267" t="inlineStr">
        <is>
          <t>JÄMTLANDS LÄN</t>
        </is>
      </c>
      <c r="E2267" t="inlineStr">
        <is>
          <t>STRÖMSUND</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28766-2023</t>
        </is>
      </c>
      <c r="B2268" s="1" t="n">
        <v>45104</v>
      </c>
      <c r="C2268" s="1" t="n">
        <v>45734</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28713-2023</t>
        </is>
      </c>
      <c r="B2269" s="1" t="n">
        <v>45103</v>
      </c>
      <c r="C2269" s="1" t="n">
        <v>45734</v>
      </c>
      <c r="D2269" t="inlineStr">
        <is>
          <t>JÄMTLANDS LÄN</t>
        </is>
      </c>
      <c r="E2269" t="inlineStr">
        <is>
          <t>STRÖMSUND</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28741-2023</t>
        </is>
      </c>
      <c r="B2270" s="1" t="n">
        <v>45103</v>
      </c>
      <c r="C2270" s="1" t="n">
        <v>45734</v>
      </c>
      <c r="D2270" t="inlineStr">
        <is>
          <t>JÄMTLANDS LÄN</t>
        </is>
      </c>
      <c r="E2270" t="inlineStr">
        <is>
          <t>STRÖMSUND</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28754-2023</t>
        </is>
      </c>
      <c r="B2271" s="1" t="n">
        <v>45104</v>
      </c>
      <c r="C2271" s="1" t="n">
        <v>45734</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45104</v>
      </c>
      <c r="C2272" s="1" t="n">
        <v>45734</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31156-2023</t>
        </is>
      </c>
      <c r="B2273" s="1" t="n">
        <v>45103</v>
      </c>
      <c r="C2273" s="1" t="n">
        <v>45734</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28714-2023</t>
        </is>
      </c>
      <c r="B2274" s="1" t="n">
        <v>45103</v>
      </c>
      <c r="C2274" s="1" t="n">
        <v>45734</v>
      </c>
      <c r="D2274" t="inlineStr">
        <is>
          <t>JÄMTLANDS LÄN</t>
        </is>
      </c>
      <c r="E2274" t="inlineStr">
        <is>
          <t>STRÖMSUND</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28735-2023</t>
        </is>
      </c>
      <c r="B2275" s="1" t="n">
        <v>45104</v>
      </c>
      <c r="C2275" s="1" t="n">
        <v>45734</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28743-2023</t>
        </is>
      </c>
      <c r="B2276" s="1" t="n">
        <v>45103</v>
      </c>
      <c r="C2276" s="1" t="n">
        <v>45734</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28752-2023</t>
        </is>
      </c>
      <c r="B2277" s="1" t="n">
        <v>45104</v>
      </c>
      <c r="C2277" s="1" t="n">
        <v>45734</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29039-2023</t>
        </is>
      </c>
      <c r="B2278" s="1" t="n">
        <v>45104</v>
      </c>
      <c r="C2278" s="1" t="n">
        <v>45734</v>
      </c>
      <c r="D2278" t="inlineStr">
        <is>
          <t>JÄMTLANDS LÄN</t>
        </is>
      </c>
      <c r="E2278" t="inlineStr">
        <is>
          <t>STRÖMSUND</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29069-2023</t>
        </is>
      </c>
      <c r="B2279" s="1" t="n">
        <v>45105</v>
      </c>
      <c r="C2279" s="1" t="n">
        <v>45734</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29040-2023</t>
        </is>
      </c>
      <c r="B2280" s="1" t="n">
        <v>45104</v>
      </c>
      <c r="C2280" s="1" t="n">
        <v>45734</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29305-2023</t>
        </is>
      </c>
      <c r="B2281" s="1" t="n">
        <v>45106</v>
      </c>
      <c r="C2281" s="1" t="n">
        <v>45734</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29329-2023</t>
        </is>
      </c>
      <c r="B2282" s="1" t="n">
        <v>45106</v>
      </c>
      <c r="C2282" s="1" t="n">
        <v>45734</v>
      </c>
      <c r="D2282" t="inlineStr">
        <is>
          <t>JÄMTLANDS LÄN</t>
        </is>
      </c>
      <c r="E2282" t="inlineStr">
        <is>
          <t>STRÖMSUND</t>
        </is>
      </c>
      <c r="F2282" t="inlineStr">
        <is>
          <t>SCA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29328-2023</t>
        </is>
      </c>
      <c r="B2283" s="1" t="n">
        <v>45106</v>
      </c>
      <c r="C2283" s="1" t="n">
        <v>45734</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29335-2023</t>
        </is>
      </c>
      <c r="B2284" s="1" t="n">
        <v>45106</v>
      </c>
      <c r="C2284" s="1" t="n">
        <v>45734</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29343-2023</t>
        </is>
      </c>
      <c r="B2285" s="1" t="n">
        <v>45106</v>
      </c>
      <c r="C2285" s="1" t="n">
        <v>45734</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29605-2023</t>
        </is>
      </c>
      <c r="B2286" s="1" t="n">
        <v>45107</v>
      </c>
      <c r="C2286" s="1" t="n">
        <v>45734</v>
      </c>
      <c r="D2286" t="inlineStr">
        <is>
          <t>JÄMTLANDS LÄN</t>
        </is>
      </c>
      <c r="E2286" t="inlineStr">
        <is>
          <t>STRÖMSUND</t>
        </is>
      </c>
      <c r="F2286" t="inlineStr">
        <is>
          <t>SCA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29632-2023</t>
        </is>
      </c>
      <c r="B2287" s="1" t="n">
        <v>45107</v>
      </c>
      <c r="C2287" s="1" t="n">
        <v>45734</v>
      </c>
      <c r="D2287" t="inlineStr">
        <is>
          <t>JÄMTLANDS LÄN</t>
        </is>
      </c>
      <c r="E2287" t="inlineStr">
        <is>
          <t>STRÖMSUND</t>
        </is>
      </c>
      <c r="F2287" t="inlineStr">
        <is>
          <t>SCA</t>
        </is>
      </c>
      <c r="G2287" t="n">
        <v>13.7</v>
      </c>
      <c r="H2287" t="n">
        <v>0</v>
      </c>
      <c r="I2287" t="n">
        <v>0</v>
      </c>
      <c r="J2287" t="n">
        <v>0</v>
      </c>
      <c r="K2287" t="n">
        <v>0</v>
      </c>
      <c r="L2287" t="n">
        <v>0</v>
      </c>
      <c r="M2287" t="n">
        <v>0</v>
      </c>
      <c r="N2287" t="n">
        <v>0</v>
      </c>
      <c r="O2287" t="n">
        <v>0</v>
      </c>
      <c r="P2287" t="n">
        <v>0</v>
      </c>
      <c r="Q2287" t="n">
        <v>0</v>
      </c>
      <c r="R2287" s="2" t="inlineStr"/>
    </row>
    <row r="2288" ht="15" customHeight="1">
      <c r="A2288" t="inlineStr">
        <is>
          <t>A 29631-2023</t>
        </is>
      </c>
      <c r="B2288" s="1" t="n">
        <v>45107</v>
      </c>
      <c r="C2288" s="1" t="n">
        <v>45734</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29635-2023</t>
        </is>
      </c>
      <c r="B2289" s="1" t="n">
        <v>45107</v>
      </c>
      <c r="C2289" s="1" t="n">
        <v>45734</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29965-2023</t>
        </is>
      </c>
      <c r="B2290" s="1" t="n">
        <v>45107</v>
      </c>
      <c r="C2290" s="1" t="n">
        <v>45734</v>
      </c>
      <c r="D2290" t="inlineStr">
        <is>
          <t>JÄMTLANDS LÄN</t>
        </is>
      </c>
      <c r="E2290" t="inlineStr">
        <is>
          <t>STRÖMSUND</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29959-2023</t>
        </is>
      </c>
      <c r="B2291" s="1" t="n">
        <v>45108</v>
      </c>
      <c r="C2291" s="1" t="n">
        <v>45734</v>
      </c>
      <c r="D2291" t="inlineStr">
        <is>
          <t>JÄMTLANDS LÄN</t>
        </is>
      </c>
      <c r="E2291" t="inlineStr">
        <is>
          <t>STRÖMSUND</t>
        </is>
      </c>
      <c r="F2291" t="inlineStr">
        <is>
          <t>SCA</t>
        </is>
      </c>
      <c r="G2291" t="n">
        <v>14.9</v>
      </c>
      <c r="H2291" t="n">
        <v>0</v>
      </c>
      <c r="I2291" t="n">
        <v>0</v>
      </c>
      <c r="J2291" t="n">
        <v>0</v>
      </c>
      <c r="K2291" t="n">
        <v>0</v>
      </c>
      <c r="L2291" t="n">
        <v>0</v>
      </c>
      <c r="M2291" t="n">
        <v>0</v>
      </c>
      <c r="N2291" t="n">
        <v>0</v>
      </c>
      <c r="O2291" t="n">
        <v>0</v>
      </c>
      <c r="P2291" t="n">
        <v>0</v>
      </c>
      <c r="Q2291" t="n">
        <v>0</v>
      </c>
      <c r="R2291" s="2" t="inlineStr"/>
    </row>
    <row r="2292" ht="15" customHeight="1">
      <c r="A2292" t="inlineStr">
        <is>
          <t>A 30170-2023</t>
        </is>
      </c>
      <c r="B2292" s="1" t="n">
        <v>45110</v>
      </c>
      <c r="C2292" s="1" t="n">
        <v>45734</v>
      </c>
      <c r="D2292" t="inlineStr">
        <is>
          <t>JÄMTLANDS LÄN</t>
        </is>
      </c>
      <c r="E2292" t="inlineStr">
        <is>
          <t>STRÖMSUND</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32379-2023</t>
        </is>
      </c>
      <c r="B2293" s="1" t="n">
        <v>45110</v>
      </c>
      <c r="C2293" s="1" t="n">
        <v>45734</v>
      </c>
      <c r="D2293" t="inlineStr">
        <is>
          <t>JÄMTLANDS LÄN</t>
        </is>
      </c>
      <c r="E2293" t="inlineStr">
        <is>
          <t>STRÖMSUND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30284-2023</t>
        </is>
      </c>
      <c r="B2294" s="1" t="n">
        <v>45110</v>
      </c>
      <c r="C2294" s="1" t="n">
        <v>45734</v>
      </c>
      <c r="D2294" t="inlineStr">
        <is>
          <t>JÄMTLANDS LÄN</t>
        </is>
      </c>
      <c r="E2294" t="inlineStr">
        <is>
          <t>STRÖMSUND</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30285-2023</t>
        </is>
      </c>
      <c r="B2295" s="1" t="n">
        <v>45110</v>
      </c>
      <c r="C2295" s="1" t="n">
        <v>45734</v>
      </c>
      <c r="D2295" t="inlineStr">
        <is>
          <t>JÄMTLANDS LÄN</t>
        </is>
      </c>
      <c r="E2295" t="inlineStr">
        <is>
          <t>STRÖMSUND</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30565-2023</t>
        </is>
      </c>
      <c r="B2296" s="1" t="n">
        <v>45112</v>
      </c>
      <c r="C2296" s="1" t="n">
        <v>45734</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32530-2023</t>
        </is>
      </c>
      <c r="B2297" s="1" t="n">
        <v>45111</v>
      </c>
      <c r="C2297" s="1" t="n">
        <v>45734</v>
      </c>
      <c r="D2297" t="inlineStr">
        <is>
          <t>JÄMTLANDS LÄN</t>
        </is>
      </c>
      <c r="E2297" t="inlineStr">
        <is>
          <t>STRÖMSUND</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32572-2023</t>
        </is>
      </c>
      <c r="B2298" s="1" t="n">
        <v>45111</v>
      </c>
      <c r="C2298" s="1" t="n">
        <v>45734</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32546-2023</t>
        </is>
      </c>
      <c r="B2299" s="1" t="n">
        <v>45111</v>
      </c>
      <c r="C2299" s="1" t="n">
        <v>45734</v>
      </c>
      <c r="D2299" t="inlineStr">
        <is>
          <t>JÄMTLANDS LÄN</t>
        </is>
      </c>
      <c r="E2299" t="inlineStr">
        <is>
          <t>STRÖMSUND</t>
        </is>
      </c>
      <c r="F2299" t="inlineStr">
        <is>
          <t>Kommuner</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32538-2023</t>
        </is>
      </c>
      <c r="B2300" s="1" t="n">
        <v>45111</v>
      </c>
      <c r="C2300" s="1" t="n">
        <v>45734</v>
      </c>
      <c r="D2300" t="inlineStr">
        <is>
          <t>JÄMTLANDS LÄN</t>
        </is>
      </c>
      <c r="E2300" t="inlineStr">
        <is>
          <t>STRÖMSUND</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32550-2023</t>
        </is>
      </c>
      <c r="B2301" s="1" t="n">
        <v>45111</v>
      </c>
      <c r="C2301" s="1" t="n">
        <v>45734</v>
      </c>
      <c r="D2301" t="inlineStr">
        <is>
          <t>JÄMTLANDS LÄN</t>
        </is>
      </c>
      <c r="E2301" t="inlineStr">
        <is>
          <t>STRÖMSUND</t>
        </is>
      </c>
      <c r="F2301" t="inlineStr">
        <is>
          <t>Kommuner</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30818-2023</t>
        </is>
      </c>
      <c r="B2302" s="1" t="n">
        <v>45112</v>
      </c>
      <c r="C2302" s="1" t="n">
        <v>45734</v>
      </c>
      <c r="D2302" t="inlineStr">
        <is>
          <t>JÄMTLANDS LÄN</t>
        </is>
      </c>
      <c r="E2302" t="inlineStr">
        <is>
          <t>STRÖMSUND</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30830-2023</t>
        </is>
      </c>
      <c r="B2303" s="1" t="n">
        <v>45113</v>
      </c>
      <c r="C2303" s="1" t="n">
        <v>45734</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30842-2023</t>
        </is>
      </c>
      <c r="B2304" s="1" t="n">
        <v>45113</v>
      </c>
      <c r="C2304" s="1" t="n">
        <v>45734</v>
      </c>
      <c r="D2304" t="inlineStr">
        <is>
          <t>JÄMTLANDS LÄN</t>
        </is>
      </c>
      <c r="E2304" t="inlineStr">
        <is>
          <t>STRÖMSUND</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30849-2023</t>
        </is>
      </c>
      <c r="B2305" s="1" t="n">
        <v>45113</v>
      </c>
      <c r="C2305" s="1" t="n">
        <v>45734</v>
      </c>
      <c r="D2305" t="inlineStr">
        <is>
          <t>JÄMTLANDS LÄN</t>
        </is>
      </c>
      <c r="E2305" t="inlineStr">
        <is>
          <t>STRÖMSUND</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30819-2023</t>
        </is>
      </c>
      <c r="B2306" s="1" t="n">
        <v>45113</v>
      </c>
      <c r="C2306" s="1" t="n">
        <v>45734</v>
      </c>
      <c r="D2306" t="inlineStr">
        <is>
          <t>JÄMTLANDS LÄN</t>
        </is>
      </c>
      <c r="E2306" t="inlineStr">
        <is>
          <t>STRÖMSUND</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30831-2023</t>
        </is>
      </c>
      <c r="B2307" s="1" t="n">
        <v>45113</v>
      </c>
      <c r="C2307" s="1" t="n">
        <v>45734</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30816-2023</t>
        </is>
      </c>
      <c r="B2308" s="1" t="n">
        <v>45112</v>
      </c>
      <c r="C2308" s="1" t="n">
        <v>45734</v>
      </c>
      <c r="D2308" t="inlineStr">
        <is>
          <t>JÄMTLANDS LÄN</t>
        </is>
      </c>
      <c r="E2308" t="inlineStr">
        <is>
          <t>STRÖMSUND</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30828-2023</t>
        </is>
      </c>
      <c r="B2309" s="1" t="n">
        <v>45113</v>
      </c>
      <c r="C2309" s="1" t="n">
        <v>45734</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30832-2023</t>
        </is>
      </c>
      <c r="B2310" s="1" t="n">
        <v>45112</v>
      </c>
      <c r="C2310" s="1" t="n">
        <v>45734</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30836-2023</t>
        </is>
      </c>
      <c r="B2311" s="1" t="n">
        <v>45113</v>
      </c>
      <c r="C2311" s="1" t="n">
        <v>45734</v>
      </c>
      <c r="D2311" t="inlineStr">
        <is>
          <t>JÄMTLANDS LÄN</t>
        </is>
      </c>
      <c r="E2311" t="inlineStr">
        <is>
          <t>STRÖMSUND</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32871-2023</t>
        </is>
      </c>
      <c r="B2312" s="1" t="n">
        <v>45112</v>
      </c>
      <c r="C2312" s="1" t="n">
        <v>45734</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32873-2023</t>
        </is>
      </c>
      <c r="B2313" s="1" t="n">
        <v>45112</v>
      </c>
      <c r="C2313" s="1" t="n">
        <v>45734</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32882-2023</t>
        </is>
      </c>
      <c r="B2314" s="1" t="n">
        <v>45112</v>
      </c>
      <c r="C2314" s="1" t="n">
        <v>45734</v>
      </c>
      <c r="D2314" t="inlineStr">
        <is>
          <t>JÄMTLANDS LÄN</t>
        </is>
      </c>
      <c r="E2314" t="inlineStr">
        <is>
          <t>STRÖMSUND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32883-2023</t>
        </is>
      </c>
      <c r="B2315" s="1" t="n">
        <v>45112</v>
      </c>
      <c r="C2315" s="1" t="n">
        <v>45734</v>
      </c>
      <c r="D2315" t="inlineStr">
        <is>
          <t>JÄMTLANDS LÄN</t>
        </is>
      </c>
      <c r="E2315" t="inlineStr">
        <is>
          <t>STRÖMSUND</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32884-2023</t>
        </is>
      </c>
      <c r="B2316" s="1" t="n">
        <v>45112</v>
      </c>
      <c r="C2316" s="1" t="n">
        <v>45734</v>
      </c>
      <c r="D2316" t="inlineStr">
        <is>
          <t>JÄMTLANDS LÄN</t>
        </is>
      </c>
      <c r="E2316" t="inlineStr">
        <is>
          <t>STRÖMSUND</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31201-2023</t>
        </is>
      </c>
      <c r="B2317" s="1" t="n">
        <v>45113</v>
      </c>
      <c r="C2317" s="1" t="n">
        <v>45734</v>
      </c>
      <c r="D2317" t="inlineStr">
        <is>
          <t>JÄMTLANDS LÄN</t>
        </is>
      </c>
      <c r="E2317" t="inlineStr">
        <is>
          <t>STRÖMSUND</t>
        </is>
      </c>
      <c r="F2317" t="inlineStr">
        <is>
          <t>SCA</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31210-2023</t>
        </is>
      </c>
      <c r="B2318" s="1" t="n">
        <v>45114</v>
      </c>
      <c r="C2318" s="1" t="n">
        <v>45734</v>
      </c>
      <c r="D2318" t="inlineStr">
        <is>
          <t>JÄMTLANDS LÄN</t>
        </is>
      </c>
      <c r="E2318" t="inlineStr">
        <is>
          <t>STRÖMSUND</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31182-2023</t>
        </is>
      </c>
      <c r="B2319" s="1" t="n">
        <v>45113</v>
      </c>
      <c r="C2319" s="1" t="n">
        <v>45734</v>
      </c>
      <c r="D2319" t="inlineStr">
        <is>
          <t>JÄMTLANDS LÄN</t>
        </is>
      </c>
      <c r="E2319" t="inlineStr">
        <is>
          <t>STRÖMSUND</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31491-2023</t>
        </is>
      </c>
      <c r="B2320" s="1" t="n">
        <v>45114</v>
      </c>
      <c r="C2320" s="1" t="n">
        <v>45734</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31497-2023</t>
        </is>
      </c>
      <c r="B2321" s="1" t="n">
        <v>45115</v>
      </c>
      <c r="C2321" s="1" t="n">
        <v>45734</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31929-2023</t>
        </is>
      </c>
      <c r="B2322" s="1" t="n">
        <v>45118</v>
      </c>
      <c r="C2322" s="1" t="n">
        <v>45734</v>
      </c>
      <c r="D2322" t="inlineStr">
        <is>
          <t>JÄMTLANDS LÄN</t>
        </is>
      </c>
      <c r="E2322" t="inlineStr">
        <is>
          <t>STRÖMSUND</t>
        </is>
      </c>
      <c r="F2322" t="inlineStr">
        <is>
          <t>SCA</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32210-2023</t>
        </is>
      </c>
      <c r="B2323" s="1" t="n">
        <v>45120</v>
      </c>
      <c r="C2323" s="1" t="n">
        <v>45734</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32220-2023</t>
        </is>
      </c>
      <c r="B2324" s="1" t="n">
        <v>45120</v>
      </c>
      <c r="C2324" s="1" t="n">
        <v>45734</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32231-2023</t>
        </is>
      </c>
      <c r="B2325" s="1" t="n">
        <v>45120</v>
      </c>
      <c r="C2325" s="1" t="n">
        <v>45734</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32730-2023</t>
        </is>
      </c>
      <c r="B2326" s="1" t="n">
        <v>45122</v>
      </c>
      <c r="C2326" s="1" t="n">
        <v>45734</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32724-2023</t>
        </is>
      </c>
      <c r="B2327" s="1" t="n">
        <v>45121</v>
      </c>
      <c r="C2327" s="1" t="n">
        <v>45734</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32729-2023</t>
        </is>
      </c>
      <c r="B2328" s="1" t="n">
        <v>45122</v>
      </c>
      <c r="C2328" s="1" t="n">
        <v>45734</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32731-2023</t>
        </is>
      </c>
      <c r="B2329" s="1" t="n">
        <v>45122</v>
      </c>
      <c r="C2329" s="1" t="n">
        <v>45734</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32907-2023</t>
        </is>
      </c>
      <c r="B2330" s="1" t="n">
        <v>45124</v>
      </c>
      <c r="C2330" s="1" t="n">
        <v>45734</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32911-2023</t>
        </is>
      </c>
      <c r="B2331" s="1" t="n">
        <v>45125</v>
      </c>
      <c r="C2331" s="1" t="n">
        <v>45734</v>
      </c>
      <c r="D2331" t="inlineStr">
        <is>
          <t>JÄMTLANDS LÄN</t>
        </is>
      </c>
      <c r="E2331" t="inlineStr">
        <is>
          <t>STRÖMSUND</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32906-2023</t>
        </is>
      </c>
      <c r="B2332" s="1" t="n">
        <v>45125</v>
      </c>
      <c r="C2332" s="1" t="n">
        <v>45734</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32910-2023</t>
        </is>
      </c>
      <c r="B2333" s="1" t="n">
        <v>45125</v>
      </c>
      <c r="C2333" s="1" t="n">
        <v>45734</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33045-2023</t>
        </is>
      </c>
      <c r="B2334" s="1" t="n">
        <v>45126</v>
      </c>
      <c r="C2334" s="1" t="n">
        <v>45734</v>
      </c>
      <c r="D2334" t="inlineStr">
        <is>
          <t>JÄMTLANDS LÄN</t>
        </is>
      </c>
      <c r="E2334" t="inlineStr">
        <is>
          <t>STRÖMSUND</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33176-2023</t>
        </is>
      </c>
      <c r="B2335" s="1" t="n">
        <v>45127</v>
      </c>
      <c r="C2335" s="1" t="n">
        <v>45734</v>
      </c>
      <c r="D2335" t="inlineStr">
        <is>
          <t>JÄMTLANDS LÄN</t>
        </is>
      </c>
      <c r="E2335" t="inlineStr">
        <is>
          <t>STRÖMSUND</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33426-2023</t>
        </is>
      </c>
      <c r="B2336" s="1" t="n">
        <v>45129</v>
      </c>
      <c r="C2336" s="1" t="n">
        <v>45734</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33427-2023</t>
        </is>
      </c>
      <c r="B2337" s="1" t="n">
        <v>45128</v>
      </c>
      <c r="C2337" s="1" t="n">
        <v>45734</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33433-2023</t>
        </is>
      </c>
      <c r="B2338" s="1" t="n">
        <v>45129</v>
      </c>
      <c r="C2338" s="1" t="n">
        <v>45734</v>
      </c>
      <c r="D2338" t="inlineStr">
        <is>
          <t>JÄMTLANDS LÄN</t>
        </is>
      </c>
      <c r="E2338" t="inlineStr">
        <is>
          <t>STRÖMSUND</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33453-2023</t>
        </is>
      </c>
      <c r="B2339" s="1" t="n">
        <v>45130</v>
      </c>
      <c r="C2339" s="1" t="n">
        <v>45734</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33532-2023</t>
        </is>
      </c>
      <c r="B2340" s="1" t="n">
        <v>45131</v>
      </c>
      <c r="C2340" s="1" t="n">
        <v>45734</v>
      </c>
      <c r="D2340" t="inlineStr">
        <is>
          <t>JÄMTLANDS LÄN</t>
        </is>
      </c>
      <c r="E2340" t="inlineStr">
        <is>
          <t>STRÖMSUND</t>
        </is>
      </c>
      <c r="F2340" t="inlineStr">
        <is>
          <t>Kyrkan</t>
        </is>
      </c>
      <c r="G2340" t="n">
        <v>20.3</v>
      </c>
      <c r="H2340" t="n">
        <v>0</v>
      </c>
      <c r="I2340" t="n">
        <v>0</v>
      </c>
      <c r="J2340" t="n">
        <v>0</v>
      </c>
      <c r="K2340" t="n">
        <v>0</v>
      </c>
      <c r="L2340" t="n">
        <v>0</v>
      </c>
      <c r="M2340" t="n">
        <v>0</v>
      </c>
      <c r="N2340" t="n">
        <v>0</v>
      </c>
      <c r="O2340" t="n">
        <v>0</v>
      </c>
      <c r="P2340" t="n">
        <v>0</v>
      </c>
      <c r="Q2340" t="n">
        <v>0</v>
      </c>
      <c r="R2340" s="2" t="inlineStr"/>
    </row>
    <row r="2341" ht="15" customHeight="1">
      <c r="A2341" t="inlineStr">
        <is>
          <t>A 33590-2023</t>
        </is>
      </c>
      <c r="B2341" s="1" t="n">
        <v>45132</v>
      </c>
      <c r="C2341" s="1" t="n">
        <v>45734</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33718-2023</t>
        </is>
      </c>
      <c r="B2342" s="1" t="n">
        <v>45133</v>
      </c>
      <c r="C2342" s="1" t="n">
        <v>45734</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34002-2023</t>
        </is>
      </c>
      <c r="B2343" s="1" t="n">
        <v>45135</v>
      </c>
      <c r="C2343" s="1" t="n">
        <v>45734</v>
      </c>
      <c r="D2343" t="inlineStr">
        <is>
          <t>JÄMTLANDS LÄN</t>
        </is>
      </c>
      <c r="E2343" t="inlineStr">
        <is>
          <t>STRÖMSUND</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34010-2023</t>
        </is>
      </c>
      <c r="B2344" s="1" t="n">
        <v>45134</v>
      </c>
      <c r="C2344" s="1" t="n">
        <v>45734</v>
      </c>
      <c r="D2344" t="inlineStr">
        <is>
          <t>JÄMTLANDS LÄN</t>
        </is>
      </c>
      <c r="E2344" t="inlineStr">
        <is>
          <t>STRÖMSUND</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34001-2023</t>
        </is>
      </c>
      <c r="B2345" s="1" t="n">
        <v>45135</v>
      </c>
      <c r="C2345" s="1" t="n">
        <v>45734</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34005-2023</t>
        </is>
      </c>
      <c r="B2346" s="1" t="n">
        <v>45134</v>
      </c>
      <c r="C2346" s="1" t="n">
        <v>45734</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34003-2023</t>
        </is>
      </c>
      <c r="B2347" s="1" t="n">
        <v>45135</v>
      </c>
      <c r="C2347" s="1" t="n">
        <v>45734</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34007-2023</t>
        </is>
      </c>
      <c r="B2348" s="1" t="n">
        <v>45135</v>
      </c>
      <c r="C2348" s="1" t="n">
        <v>45734</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34009-2023</t>
        </is>
      </c>
      <c r="B2349" s="1" t="n">
        <v>45135</v>
      </c>
      <c r="C2349" s="1" t="n">
        <v>45734</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34004-2023</t>
        </is>
      </c>
      <c r="B2350" s="1" t="n">
        <v>45135</v>
      </c>
      <c r="C2350" s="1" t="n">
        <v>45734</v>
      </c>
      <c r="D2350" t="inlineStr">
        <is>
          <t>JÄMTLANDS LÄN</t>
        </is>
      </c>
      <c r="E2350" t="inlineStr">
        <is>
          <t>STRÖMSUND</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34008-2023</t>
        </is>
      </c>
      <c r="B2351" s="1" t="n">
        <v>45134</v>
      </c>
      <c r="C2351" s="1" t="n">
        <v>45734</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34479-2023</t>
        </is>
      </c>
      <c r="B2352" s="1" t="n">
        <v>45139</v>
      </c>
      <c r="C2352" s="1" t="n">
        <v>45734</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34480-2023</t>
        </is>
      </c>
      <c r="B2353" s="1" t="n">
        <v>45140</v>
      </c>
      <c r="C2353" s="1" t="n">
        <v>45734</v>
      </c>
      <c r="D2353" t="inlineStr">
        <is>
          <t>JÄMTLANDS LÄN</t>
        </is>
      </c>
      <c r="E2353" t="inlineStr">
        <is>
          <t>STRÖMSUND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34824-2023</t>
        </is>
      </c>
      <c r="B2354" s="1" t="n">
        <v>45141</v>
      </c>
      <c r="C2354" s="1" t="n">
        <v>45734</v>
      </c>
      <c r="D2354" t="inlineStr">
        <is>
          <t>JÄMTLANDS LÄN</t>
        </is>
      </c>
      <c r="E2354" t="inlineStr">
        <is>
          <t>STRÖMSUND</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34907-2023</t>
        </is>
      </c>
      <c r="B2355" s="1" t="n">
        <v>45141</v>
      </c>
      <c r="C2355" s="1" t="n">
        <v>45734</v>
      </c>
      <c r="D2355" t="inlineStr">
        <is>
          <t>JÄMTLANDS LÄN</t>
        </is>
      </c>
      <c r="E2355" t="inlineStr">
        <is>
          <t>STRÖMSUND</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35004-2023</t>
        </is>
      </c>
      <c r="B2356" s="1" t="n">
        <v>45143</v>
      </c>
      <c r="C2356" s="1" t="n">
        <v>45734</v>
      </c>
      <c r="D2356" t="inlineStr">
        <is>
          <t>JÄMTLANDS LÄN</t>
        </is>
      </c>
      <c r="E2356" t="inlineStr">
        <is>
          <t>STRÖMSUND</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35007-2023</t>
        </is>
      </c>
      <c r="B2357" s="1" t="n">
        <v>45143</v>
      </c>
      <c r="C2357" s="1" t="n">
        <v>45734</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35012-2023</t>
        </is>
      </c>
      <c r="B2358" s="1" t="n">
        <v>45143</v>
      </c>
      <c r="C2358" s="1" t="n">
        <v>45734</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45143</v>
      </c>
      <c r="C2359" s="1" t="n">
        <v>45734</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35279-2023</t>
        </is>
      </c>
      <c r="B2360" s="1" t="n">
        <v>45146</v>
      </c>
      <c r="C2360" s="1" t="n">
        <v>45734</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35385-2023</t>
        </is>
      </c>
      <c r="B2361" s="1" t="n">
        <v>45145</v>
      </c>
      <c r="C2361" s="1" t="n">
        <v>45734</v>
      </c>
      <c r="D2361" t="inlineStr">
        <is>
          <t>JÄMTLANDS LÄN</t>
        </is>
      </c>
      <c r="E2361" t="inlineStr">
        <is>
          <t>STRÖMSUND</t>
        </is>
      </c>
      <c r="G2361" t="n">
        <v>29.8</v>
      </c>
      <c r="H2361" t="n">
        <v>0</v>
      </c>
      <c r="I2361" t="n">
        <v>0</v>
      </c>
      <c r="J2361" t="n">
        <v>0</v>
      </c>
      <c r="K2361" t="n">
        <v>0</v>
      </c>
      <c r="L2361" t="n">
        <v>0</v>
      </c>
      <c r="M2361" t="n">
        <v>0</v>
      </c>
      <c r="N2361" t="n">
        <v>0</v>
      </c>
      <c r="O2361" t="n">
        <v>0</v>
      </c>
      <c r="P2361" t="n">
        <v>0</v>
      </c>
      <c r="Q2361" t="n">
        <v>0</v>
      </c>
      <c r="R2361" s="2" t="inlineStr"/>
    </row>
    <row r="2362" ht="15" customHeight="1">
      <c r="A2362" t="inlineStr">
        <is>
          <t>A 35278-2023</t>
        </is>
      </c>
      <c r="B2362" s="1" t="n">
        <v>45146</v>
      </c>
      <c r="C2362" s="1" t="n">
        <v>45734</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35461-2023</t>
        </is>
      </c>
      <c r="B2363" s="1" t="n">
        <v>45146</v>
      </c>
      <c r="C2363" s="1" t="n">
        <v>45734</v>
      </c>
      <c r="D2363" t="inlineStr">
        <is>
          <t>JÄMTLANDS LÄN</t>
        </is>
      </c>
      <c r="E2363" t="inlineStr">
        <is>
          <t>STRÖMSUND</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35897-2023</t>
        </is>
      </c>
      <c r="B2364" s="1" t="n">
        <v>45148</v>
      </c>
      <c r="C2364" s="1" t="n">
        <v>45734</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36503-2023</t>
        </is>
      </c>
      <c r="B2365" s="1" t="n">
        <v>45153</v>
      </c>
      <c r="C2365" s="1" t="n">
        <v>45734</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36507-2023</t>
        </is>
      </c>
      <c r="B2366" s="1" t="n">
        <v>45152</v>
      </c>
      <c r="C2366" s="1" t="n">
        <v>45734</v>
      </c>
      <c r="D2366" t="inlineStr">
        <is>
          <t>JÄMTLANDS LÄN</t>
        </is>
      </c>
      <c r="E2366" t="inlineStr">
        <is>
          <t>STRÖMSUND</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36524-2023</t>
        </is>
      </c>
      <c r="B2367" s="1" t="n">
        <v>45152</v>
      </c>
      <c r="C2367" s="1" t="n">
        <v>45734</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36394-2023</t>
        </is>
      </c>
      <c r="B2368" s="1" t="n">
        <v>45152</v>
      </c>
      <c r="C2368" s="1" t="n">
        <v>45734</v>
      </c>
      <c r="D2368" t="inlineStr">
        <is>
          <t>JÄMTLANDS LÄN</t>
        </is>
      </c>
      <c r="E2368" t="inlineStr">
        <is>
          <t>STRÖMSUND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36502-2023</t>
        </is>
      </c>
      <c r="B2369" s="1" t="n">
        <v>45153</v>
      </c>
      <c r="C2369" s="1" t="n">
        <v>45734</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36764-2023</t>
        </is>
      </c>
      <c r="B2370" s="1" t="n">
        <v>45154</v>
      </c>
      <c r="C2370" s="1" t="n">
        <v>45734</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36749-2023</t>
        </is>
      </c>
      <c r="B2371" s="1" t="n">
        <v>45154</v>
      </c>
      <c r="C2371" s="1" t="n">
        <v>45734</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36773-2023</t>
        </is>
      </c>
      <c r="B2372" s="1" t="n">
        <v>45154</v>
      </c>
      <c r="C2372" s="1" t="n">
        <v>45734</v>
      </c>
      <c r="D2372" t="inlineStr">
        <is>
          <t>JÄMTLANDS LÄN</t>
        </is>
      </c>
      <c r="E2372" t="inlineStr">
        <is>
          <t>STRÖMSUND</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36968-2023</t>
        </is>
      </c>
      <c r="B2373" s="1" t="n">
        <v>45155</v>
      </c>
      <c r="C2373" s="1" t="n">
        <v>45734</v>
      </c>
      <c r="D2373" t="inlineStr">
        <is>
          <t>JÄMTLANDS LÄN</t>
        </is>
      </c>
      <c r="E2373" t="inlineStr">
        <is>
          <t>STRÖMSUND</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36993-2023</t>
        </is>
      </c>
      <c r="B2374" s="1" t="n">
        <v>45155</v>
      </c>
      <c r="C2374" s="1" t="n">
        <v>45734</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36959-2023</t>
        </is>
      </c>
      <c r="B2375" s="1" t="n">
        <v>45155</v>
      </c>
      <c r="C2375" s="1" t="n">
        <v>45734</v>
      </c>
      <c r="D2375" t="inlineStr">
        <is>
          <t>JÄMTLANDS LÄN</t>
        </is>
      </c>
      <c r="E2375" t="inlineStr">
        <is>
          <t>STRÖMSUND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37146-2023</t>
        </is>
      </c>
      <c r="B2376" s="1" t="n">
        <v>45155</v>
      </c>
      <c r="C2376" s="1" t="n">
        <v>45734</v>
      </c>
      <c r="D2376" t="inlineStr">
        <is>
          <t>JÄMTLANDS LÄN</t>
        </is>
      </c>
      <c r="E2376" t="inlineStr">
        <is>
          <t>STRÖMSUND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37261-2023</t>
        </is>
      </c>
      <c r="B2377" s="1" t="n">
        <v>45155</v>
      </c>
      <c r="C2377" s="1" t="n">
        <v>45734</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37143-2023</t>
        </is>
      </c>
      <c r="B2378" s="1" t="n">
        <v>45155</v>
      </c>
      <c r="C2378" s="1" t="n">
        <v>45734</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37260-2023</t>
        </is>
      </c>
      <c r="B2379" s="1" t="n">
        <v>45155</v>
      </c>
      <c r="C2379" s="1" t="n">
        <v>45734</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37258-2023</t>
        </is>
      </c>
      <c r="B2380" s="1" t="n">
        <v>45156</v>
      </c>
      <c r="C2380" s="1" t="n">
        <v>45734</v>
      </c>
      <c r="D2380" t="inlineStr">
        <is>
          <t>JÄMTLANDS LÄN</t>
        </is>
      </c>
      <c r="E2380" t="inlineStr">
        <is>
          <t>STRÖMSUND</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37469-2023</t>
        </is>
      </c>
      <c r="B2381" s="1" t="n">
        <v>45157</v>
      </c>
      <c r="C2381" s="1" t="n">
        <v>45734</v>
      </c>
      <c r="D2381" t="inlineStr">
        <is>
          <t>JÄMTLANDS LÄN</t>
        </is>
      </c>
      <c r="E2381" t="inlineStr">
        <is>
          <t>STRÖMSUND</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37490-2023</t>
        </is>
      </c>
      <c r="B2382" s="1" t="n">
        <v>45157</v>
      </c>
      <c r="C2382" s="1" t="n">
        <v>45734</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37803-2023</t>
        </is>
      </c>
      <c r="B2383" s="1" t="n">
        <v>45160</v>
      </c>
      <c r="C2383" s="1" t="n">
        <v>45734</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37809-2023</t>
        </is>
      </c>
      <c r="B2384" s="1" t="n">
        <v>45160</v>
      </c>
      <c r="C2384" s="1" t="n">
        <v>45734</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38418-2023</t>
        </is>
      </c>
      <c r="B2385" s="1" t="n">
        <v>45160</v>
      </c>
      <c r="C2385" s="1" t="n">
        <v>45734</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38248-2023</t>
        </is>
      </c>
      <c r="B2386" s="1" t="n">
        <v>45161</v>
      </c>
      <c r="C2386" s="1" t="n">
        <v>45734</v>
      </c>
      <c r="D2386" t="inlineStr">
        <is>
          <t>JÄMTLANDS LÄN</t>
        </is>
      </c>
      <c r="E2386" t="inlineStr">
        <is>
          <t>STRÖMSUND</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38374-2023</t>
        </is>
      </c>
      <c r="B2387" s="1" t="n">
        <v>45162</v>
      </c>
      <c r="C2387" s="1" t="n">
        <v>45734</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38642-2023</t>
        </is>
      </c>
      <c r="B2388" s="1" t="n">
        <v>45162</v>
      </c>
      <c r="C2388" s="1" t="n">
        <v>45734</v>
      </c>
      <c r="D2388" t="inlineStr">
        <is>
          <t>JÄMTLANDS LÄN</t>
        </is>
      </c>
      <c r="E2388" t="inlineStr">
        <is>
          <t>STRÖMSUND</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38842-2023</t>
        </is>
      </c>
      <c r="B2389" s="1" t="n">
        <v>45163</v>
      </c>
      <c r="C2389" s="1" t="n">
        <v>45734</v>
      </c>
      <c r="D2389" t="inlineStr">
        <is>
          <t>JÄMTLANDS LÄN</t>
        </is>
      </c>
      <c r="E2389" t="inlineStr">
        <is>
          <t>STRÖMSUND</t>
        </is>
      </c>
      <c r="F2389" t="inlineStr">
        <is>
          <t>Holmen skog AB</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39051-2023</t>
        </is>
      </c>
      <c r="B2390" s="1" t="n">
        <v>45163</v>
      </c>
      <c r="C2390" s="1" t="n">
        <v>45734</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39054-2023</t>
        </is>
      </c>
      <c r="B2391" s="1" t="n">
        <v>45164</v>
      </c>
      <c r="C2391" s="1" t="n">
        <v>45734</v>
      </c>
      <c r="D2391" t="inlineStr">
        <is>
          <t>JÄMTLANDS LÄN</t>
        </is>
      </c>
      <c r="E2391" t="inlineStr">
        <is>
          <t>STRÖMSUND</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39066-2023</t>
        </is>
      </c>
      <c r="B2392" s="1" t="n">
        <v>45164</v>
      </c>
      <c r="C2392" s="1" t="n">
        <v>45734</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38698-2023</t>
        </is>
      </c>
      <c r="B2393" s="1" t="n">
        <v>45163</v>
      </c>
      <c r="C2393" s="1" t="n">
        <v>45734</v>
      </c>
      <c r="D2393" t="inlineStr">
        <is>
          <t>JÄMTLANDS LÄN</t>
        </is>
      </c>
      <c r="E2393" t="inlineStr">
        <is>
          <t>STRÖMSUND</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39064-2023</t>
        </is>
      </c>
      <c r="B2394" s="1" t="n">
        <v>45163</v>
      </c>
      <c r="C2394" s="1" t="n">
        <v>45734</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39080-2023</t>
        </is>
      </c>
      <c r="B2395" s="1" t="n">
        <v>45164</v>
      </c>
      <c r="C2395" s="1" t="n">
        <v>45734</v>
      </c>
      <c r="D2395" t="inlineStr">
        <is>
          <t>JÄMTLANDS LÄN</t>
        </is>
      </c>
      <c r="E2395" t="inlineStr">
        <is>
          <t>STRÖMSUND</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38740-2023</t>
        </is>
      </c>
      <c r="B2396" s="1" t="n">
        <v>45163</v>
      </c>
      <c r="C2396" s="1" t="n">
        <v>45734</v>
      </c>
      <c r="D2396" t="inlineStr">
        <is>
          <t>JÄMTLANDS LÄN</t>
        </is>
      </c>
      <c r="E2396" t="inlineStr">
        <is>
          <t>STRÖMSUND</t>
        </is>
      </c>
      <c r="F2396" t="inlineStr">
        <is>
          <t>Holmen skog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39480-2023</t>
        </is>
      </c>
      <c r="B2397" s="1" t="n">
        <v>45167</v>
      </c>
      <c r="C2397" s="1" t="n">
        <v>45734</v>
      </c>
      <c r="D2397" t="inlineStr">
        <is>
          <t>JÄMTLANDS LÄN</t>
        </is>
      </c>
      <c r="E2397" t="inlineStr">
        <is>
          <t>STRÖMSUND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39479-2023</t>
        </is>
      </c>
      <c r="B2398" s="1" t="n">
        <v>45167</v>
      </c>
      <c r="C2398" s="1" t="n">
        <v>45734</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39490-2023</t>
        </is>
      </c>
      <c r="B2399" s="1" t="n">
        <v>45166</v>
      </c>
      <c r="C2399" s="1" t="n">
        <v>45734</v>
      </c>
      <c r="D2399" t="inlineStr">
        <is>
          <t>JÄMTLANDS LÄN</t>
        </is>
      </c>
      <c r="E2399" t="inlineStr">
        <is>
          <t>STRÖMSUND</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39671-2023</t>
        </is>
      </c>
      <c r="B2400" s="1" t="n">
        <v>45167</v>
      </c>
      <c r="C2400" s="1" t="n">
        <v>45734</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39799-2023</t>
        </is>
      </c>
      <c r="B2401" s="1" t="n">
        <v>45168</v>
      </c>
      <c r="C2401" s="1" t="n">
        <v>45734</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39817-2023</t>
        </is>
      </c>
      <c r="B2402" s="1" t="n">
        <v>45168</v>
      </c>
      <c r="C2402" s="1" t="n">
        <v>45734</v>
      </c>
      <c r="D2402" t="inlineStr">
        <is>
          <t>JÄMTLANDS LÄN</t>
        </is>
      </c>
      <c r="E2402" t="inlineStr">
        <is>
          <t>STRÖMSUND</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39792-2023</t>
        </is>
      </c>
      <c r="B2403" s="1" t="n">
        <v>45168</v>
      </c>
      <c r="C2403" s="1" t="n">
        <v>45734</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39800-2023</t>
        </is>
      </c>
      <c r="B2404" s="1" t="n">
        <v>45168</v>
      </c>
      <c r="C2404" s="1" t="n">
        <v>45734</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39870-2023</t>
        </is>
      </c>
      <c r="B2405" s="1" t="n">
        <v>45168</v>
      </c>
      <c r="C2405" s="1" t="n">
        <v>45734</v>
      </c>
      <c r="D2405" t="inlineStr">
        <is>
          <t>JÄMTLANDS LÄN</t>
        </is>
      </c>
      <c r="E2405" t="inlineStr">
        <is>
          <t>STRÖMSUND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39922-2023</t>
        </is>
      </c>
      <c r="B2406" s="1" t="n">
        <v>45168</v>
      </c>
      <c r="C2406" s="1" t="n">
        <v>45734</v>
      </c>
      <c r="D2406" t="inlineStr">
        <is>
          <t>JÄMTLANDS LÄN</t>
        </is>
      </c>
      <c r="E2406" t="inlineStr">
        <is>
          <t>STRÖMSUND</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39946-2023</t>
        </is>
      </c>
      <c r="B2407" s="1" t="n">
        <v>45168</v>
      </c>
      <c r="C2407" s="1" t="n">
        <v>45734</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40104-2023</t>
        </is>
      </c>
      <c r="B2408" s="1" t="n">
        <v>45169</v>
      </c>
      <c r="C2408" s="1" t="n">
        <v>45734</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40102-2023</t>
        </is>
      </c>
      <c r="B2409" s="1" t="n">
        <v>45169</v>
      </c>
      <c r="C2409" s="1" t="n">
        <v>45734</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40110-2023</t>
        </is>
      </c>
      <c r="B2410" s="1" t="n">
        <v>45168</v>
      </c>
      <c r="C2410" s="1" t="n">
        <v>45734</v>
      </c>
      <c r="D2410" t="inlineStr">
        <is>
          <t>JÄMTLANDS LÄN</t>
        </is>
      </c>
      <c r="E2410" t="inlineStr">
        <is>
          <t>STRÖMSUND</t>
        </is>
      </c>
      <c r="F2410" t="inlineStr">
        <is>
          <t>SCA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40103-2023</t>
        </is>
      </c>
      <c r="B2411" s="1" t="n">
        <v>45169</v>
      </c>
      <c r="C2411" s="1" t="n">
        <v>45734</v>
      </c>
      <c r="D2411" t="inlineStr">
        <is>
          <t>JÄMTLANDS LÄN</t>
        </is>
      </c>
      <c r="E2411" t="inlineStr">
        <is>
          <t>STRÖMSUND</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40101-2023</t>
        </is>
      </c>
      <c r="B2412" s="1" t="n">
        <v>45169</v>
      </c>
      <c r="C2412" s="1" t="n">
        <v>45734</v>
      </c>
      <c r="D2412" t="inlineStr">
        <is>
          <t>JÄMTLANDS LÄN</t>
        </is>
      </c>
      <c r="E2412" t="inlineStr">
        <is>
          <t>STRÖMSUND</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40105-2023</t>
        </is>
      </c>
      <c r="B2413" s="1" t="n">
        <v>45169</v>
      </c>
      <c r="C2413" s="1" t="n">
        <v>45734</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40109-2023</t>
        </is>
      </c>
      <c r="B2414" s="1" t="n">
        <v>45168</v>
      </c>
      <c r="C2414" s="1" t="n">
        <v>45734</v>
      </c>
      <c r="D2414" t="inlineStr">
        <is>
          <t>JÄMTLANDS LÄN</t>
        </is>
      </c>
      <c r="E2414" t="inlineStr">
        <is>
          <t>STRÖMSUND</t>
        </is>
      </c>
      <c r="F2414" t="inlineStr">
        <is>
          <t>SCA</t>
        </is>
      </c>
      <c r="G2414" t="n">
        <v>55.1</v>
      </c>
      <c r="H2414" t="n">
        <v>0</v>
      </c>
      <c r="I2414" t="n">
        <v>0</v>
      </c>
      <c r="J2414" t="n">
        <v>0</v>
      </c>
      <c r="K2414" t="n">
        <v>0</v>
      </c>
      <c r="L2414" t="n">
        <v>0</v>
      </c>
      <c r="M2414" t="n">
        <v>0</v>
      </c>
      <c r="N2414" t="n">
        <v>0</v>
      </c>
      <c r="O2414" t="n">
        <v>0</v>
      </c>
      <c r="P2414" t="n">
        <v>0</v>
      </c>
      <c r="Q2414" t="n">
        <v>0</v>
      </c>
      <c r="R2414" s="2" t="inlineStr"/>
    </row>
    <row r="2415" ht="15" customHeight="1">
      <c r="A2415" t="inlineStr">
        <is>
          <t>A 40395-2023</t>
        </is>
      </c>
      <c r="B2415" s="1" t="n">
        <v>45170</v>
      </c>
      <c r="C2415" s="1" t="n">
        <v>45734</v>
      </c>
      <c r="D2415" t="inlineStr">
        <is>
          <t>JÄMTLANDS LÄN</t>
        </is>
      </c>
      <c r="E2415" t="inlineStr">
        <is>
          <t>STRÖMSUND</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40399-2023</t>
        </is>
      </c>
      <c r="B2416" s="1" t="n">
        <v>45170</v>
      </c>
      <c r="C2416" s="1" t="n">
        <v>45734</v>
      </c>
      <c r="D2416" t="inlineStr">
        <is>
          <t>JÄMTLANDS LÄN</t>
        </is>
      </c>
      <c r="E2416" t="inlineStr">
        <is>
          <t>STRÖMSUND</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40407-2023</t>
        </is>
      </c>
      <c r="B2417" s="1" t="n">
        <v>45170</v>
      </c>
      <c r="C2417" s="1" t="n">
        <v>45734</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40398-2023</t>
        </is>
      </c>
      <c r="B2418" s="1" t="n">
        <v>45170</v>
      </c>
      <c r="C2418" s="1" t="n">
        <v>45734</v>
      </c>
      <c r="D2418" t="inlineStr">
        <is>
          <t>JÄMTLANDS LÄN</t>
        </is>
      </c>
      <c r="E2418" t="inlineStr">
        <is>
          <t>STRÖMSUND</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40440-2023</t>
        </is>
      </c>
      <c r="B2419" s="1" t="n">
        <v>45170</v>
      </c>
      <c r="C2419" s="1" t="n">
        <v>45734</v>
      </c>
      <c r="D2419" t="inlineStr">
        <is>
          <t>JÄMTLANDS LÄN</t>
        </is>
      </c>
      <c r="E2419" t="inlineStr">
        <is>
          <t>STRÖMSUND</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40427-2023</t>
        </is>
      </c>
      <c r="B2420" s="1" t="n">
        <v>45170</v>
      </c>
      <c r="C2420" s="1" t="n">
        <v>45734</v>
      </c>
      <c r="D2420" t="inlineStr">
        <is>
          <t>JÄMTLANDS LÄN</t>
        </is>
      </c>
      <c r="E2420" t="inlineStr">
        <is>
          <t>STRÖMSUND</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40402-2023</t>
        </is>
      </c>
      <c r="B2421" s="1" t="n">
        <v>45170</v>
      </c>
      <c r="C2421" s="1" t="n">
        <v>45734</v>
      </c>
      <c r="D2421" t="inlineStr">
        <is>
          <t>JÄMTLANDS LÄN</t>
        </is>
      </c>
      <c r="E2421" t="inlineStr">
        <is>
          <t>STRÖMSUND</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40396-2023</t>
        </is>
      </c>
      <c r="B2422" s="1" t="n">
        <v>45170</v>
      </c>
      <c r="C2422" s="1" t="n">
        <v>45734</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40439-2023</t>
        </is>
      </c>
      <c r="B2423" s="1" t="n">
        <v>45169</v>
      </c>
      <c r="C2423" s="1" t="n">
        <v>45734</v>
      </c>
      <c r="D2423" t="inlineStr">
        <is>
          <t>JÄMTLANDS LÄN</t>
        </is>
      </c>
      <c r="E2423" t="inlineStr">
        <is>
          <t>STRÖMSUND</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40408-2023</t>
        </is>
      </c>
      <c r="B2424" s="1" t="n">
        <v>45170</v>
      </c>
      <c r="C2424" s="1" t="n">
        <v>45734</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40424-2023</t>
        </is>
      </c>
      <c r="B2425" s="1" t="n">
        <v>45170</v>
      </c>
      <c r="C2425" s="1" t="n">
        <v>45734</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40441-2023</t>
        </is>
      </c>
      <c r="B2426" s="1" t="n">
        <v>45169</v>
      </c>
      <c r="C2426" s="1" t="n">
        <v>45734</v>
      </c>
      <c r="D2426" t="inlineStr">
        <is>
          <t>JÄMTLANDS LÄN</t>
        </is>
      </c>
      <c r="E2426" t="inlineStr">
        <is>
          <t>STRÖMSUND</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40625-2023</t>
        </is>
      </c>
      <c r="B2427" s="1" t="n">
        <v>45169</v>
      </c>
      <c r="C2427" s="1" t="n">
        <v>45734</v>
      </c>
      <c r="D2427" t="inlineStr">
        <is>
          <t>JÄMTLANDS LÄN</t>
        </is>
      </c>
      <c r="E2427" t="inlineStr">
        <is>
          <t>STRÖMSUND</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41150-2023</t>
        </is>
      </c>
      <c r="B2428" s="1" t="n">
        <v>45174</v>
      </c>
      <c r="C2428" s="1" t="n">
        <v>45734</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41536-2023</t>
        </is>
      </c>
      <c r="B2429" s="1" t="n">
        <v>45173</v>
      </c>
      <c r="C2429" s="1" t="n">
        <v>45734</v>
      </c>
      <c r="D2429" t="inlineStr">
        <is>
          <t>JÄMTLANDS LÄN</t>
        </is>
      </c>
      <c r="E2429" t="inlineStr">
        <is>
          <t>STRÖMSUND</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41268-2023</t>
        </is>
      </c>
      <c r="B2430" s="1" t="n">
        <v>45174</v>
      </c>
      <c r="C2430" s="1" t="n">
        <v>45734</v>
      </c>
      <c r="D2430" t="inlineStr">
        <is>
          <t>JÄMTLANDS LÄN</t>
        </is>
      </c>
      <c r="E2430" t="inlineStr">
        <is>
          <t>STRÖMSUND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41970-2023</t>
        </is>
      </c>
      <c r="B2431" s="1" t="n">
        <v>45174</v>
      </c>
      <c r="C2431" s="1" t="n">
        <v>45734</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41978-2023</t>
        </is>
      </c>
      <c r="B2432" s="1" t="n">
        <v>45174</v>
      </c>
      <c r="C2432" s="1" t="n">
        <v>45734</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41644-2023</t>
        </is>
      </c>
      <c r="B2433" s="1" t="n">
        <v>45175</v>
      </c>
      <c r="C2433" s="1" t="n">
        <v>45734</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41902-2023</t>
        </is>
      </c>
      <c r="B2434" s="1" t="n">
        <v>45176</v>
      </c>
      <c r="C2434" s="1" t="n">
        <v>45734</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41917-2023</t>
        </is>
      </c>
      <c r="B2435" s="1" t="n">
        <v>45177</v>
      </c>
      <c r="C2435" s="1" t="n">
        <v>45734</v>
      </c>
      <c r="D2435" t="inlineStr">
        <is>
          <t>JÄMTLANDS LÄN</t>
        </is>
      </c>
      <c r="E2435" t="inlineStr">
        <is>
          <t>STRÖMSUND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41921-2023</t>
        </is>
      </c>
      <c r="B2436" s="1" t="n">
        <v>45177</v>
      </c>
      <c r="C2436" s="1" t="n">
        <v>45734</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41903-2023</t>
        </is>
      </c>
      <c r="B2437" s="1" t="n">
        <v>45176</v>
      </c>
      <c r="C2437" s="1" t="n">
        <v>45734</v>
      </c>
      <c r="D2437" t="inlineStr">
        <is>
          <t>JÄMTLANDS LÄN</t>
        </is>
      </c>
      <c r="E2437" t="inlineStr">
        <is>
          <t>STRÖMSUND</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41916-2023</t>
        </is>
      </c>
      <c r="B2438" s="1" t="n">
        <v>45177</v>
      </c>
      <c r="C2438" s="1" t="n">
        <v>45734</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41939-2023</t>
        </is>
      </c>
      <c r="B2439" s="1" t="n">
        <v>45177</v>
      </c>
      <c r="C2439" s="1" t="n">
        <v>45734</v>
      </c>
      <c r="D2439" t="inlineStr">
        <is>
          <t>JÄMTLANDS LÄN</t>
        </is>
      </c>
      <c r="E2439" t="inlineStr">
        <is>
          <t>STRÖMSUND</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41940-2023</t>
        </is>
      </c>
      <c r="B2440" s="1" t="n">
        <v>45176</v>
      </c>
      <c r="C2440" s="1" t="n">
        <v>45734</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42284-2023</t>
        </is>
      </c>
      <c r="B2441" s="1" t="n">
        <v>45180</v>
      </c>
      <c r="C2441" s="1" t="n">
        <v>45734</v>
      </c>
      <c r="D2441" t="inlineStr">
        <is>
          <t>JÄMTLANDS LÄN</t>
        </is>
      </c>
      <c r="E2441" t="inlineStr">
        <is>
          <t>STRÖMSUND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42502-2023</t>
        </is>
      </c>
      <c r="B2442" s="1" t="n">
        <v>45181</v>
      </c>
      <c r="C2442" s="1" t="n">
        <v>45734</v>
      </c>
      <c r="D2442" t="inlineStr">
        <is>
          <t>JÄMTLANDS LÄN</t>
        </is>
      </c>
      <c r="E2442" t="inlineStr">
        <is>
          <t>STRÖMSUND</t>
        </is>
      </c>
      <c r="F2442" t="inlineStr">
        <is>
          <t>SCA</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42287-2023</t>
        </is>
      </c>
      <c r="B2443" s="1" t="n">
        <v>45180</v>
      </c>
      <c r="C2443" s="1" t="n">
        <v>45734</v>
      </c>
      <c r="D2443" t="inlineStr">
        <is>
          <t>JÄMTLANDS LÄN</t>
        </is>
      </c>
      <c r="E2443" t="inlineStr">
        <is>
          <t>STRÖMSUND</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42291-2023</t>
        </is>
      </c>
      <c r="B2444" s="1" t="n">
        <v>45180</v>
      </c>
      <c r="C2444" s="1" t="n">
        <v>45734</v>
      </c>
      <c r="D2444" t="inlineStr">
        <is>
          <t>JÄMTLANDS LÄN</t>
        </is>
      </c>
      <c r="E2444" t="inlineStr">
        <is>
          <t>STRÖMSUND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42428-2023</t>
        </is>
      </c>
      <c r="B2445" s="1" t="n">
        <v>45180</v>
      </c>
      <c r="C2445" s="1" t="n">
        <v>45734</v>
      </c>
      <c r="D2445" t="inlineStr">
        <is>
          <t>JÄMTLANDS LÄN</t>
        </is>
      </c>
      <c r="E2445" t="inlineStr">
        <is>
          <t>STRÖMSUND</t>
        </is>
      </c>
      <c r="F2445" t="inlineStr">
        <is>
          <t>Holmen skog AB</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42448-2023</t>
        </is>
      </c>
      <c r="B2446" s="1" t="n">
        <v>45180</v>
      </c>
      <c r="C2446" s="1" t="n">
        <v>45734</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43565-2023</t>
        </is>
      </c>
      <c r="B2447" s="1" t="n">
        <v>45181</v>
      </c>
      <c r="C2447" s="1" t="n">
        <v>45734</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43558-2023</t>
        </is>
      </c>
      <c r="B2448" s="1" t="n">
        <v>45181</v>
      </c>
      <c r="C2448" s="1" t="n">
        <v>45734</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42966-2023</t>
        </is>
      </c>
      <c r="B2449" s="1" t="n">
        <v>45182</v>
      </c>
      <c r="C2449" s="1" t="n">
        <v>45734</v>
      </c>
      <c r="D2449" t="inlineStr">
        <is>
          <t>JÄMTLANDS LÄN</t>
        </is>
      </c>
      <c r="E2449" t="inlineStr">
        <is>
          <t>STRÖMSUND</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42964-2023</t>
        </is>
      </c>
      <c r="B2450" s="1" t="n">
        <v>45182</v>
      </c>
      <c r="C2450" s="1" t="n">
        <v>45734</v>
      </c>
      <c r="D2450" t="inlineStr">
        <is>
          <t>JÄMTLANDS LÄN</t>
        </is>
      </c>
      <c r="E2450" t="inlineStr">
        <is>
          <t>STRÖMSUND</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43112-2023</t>
        </is>
      </c>
      <c r="B2451" s="1" t="n">
        <v>45183</v>
      </c>
      <c r="C2451" s="1" t="n">
        <v>45734</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43421-2023</t>
        </is>
      </c>
      <c r="B2452" s="1" t="n">
        <v>45184</v>
      </c>
      <c r="C2452" s="1" t="n">
        <v>45734</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44642-2023</t>
        </is>
      </c>
      <c r="B2453" s="1" t="n">
        <v>45184</v>
      </c>
      <c r="C2453" s="1" t="n">
        <v>45734</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43947-2023</t>
        </is>
      </c>
      <c r="B2454" s="1" t="n">
        <v>45188</v>
      </c>
      <c r="C2454" s="1" t="n">
        <v>45734</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43955-2023</t>
        </is>
      </c>
      <c r="B2455" s="1" t="n">
        <v>45188</v>
      </c>
      <c r="C2455" s="1" t="n">
        <v>45734</v>
      </c>
      <c r="D2455" t="inlineStr">
        <is>
          <t>JÄMTLANDS LÄN</t>
        </is>
      </c>
      <c r="E2455" t="inlineStr">
        <is>
          <t>STRÖMSUND</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43953-2023</t>
        </is>
      </c>
      <c r="B2456" s="1" t="n">
        <v>45187</v>
      </c>
      <c r="C2456" s="1" t="n">
        <v>45734</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43956-2023</t>
        </is>
      </c>
      <c r="B2457" s="1" t="n">
        <v>45188</v>
      </c>
      <c r="C2457" s="1" t="n">
        <v>45734</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43976-2023</t>
        </is>
      </c>
      <c r="B2458" s="1" t="n">
        <v>45187</v>
      </c>
      <c r="C2458" s="1" t="n">
        <v>45734</v>
      </c>
      <c r="D2458" t="inlineStr">
        <is>
          <t>JÄMTLANDS LÄN</t>
        </is>
      </c>
      <c r="E2458" t="inlineStr">
        <is>
          <t>STRÖMSUND</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44385-2023</t>
        </is>
      </c>
      <c r="B2459" s="1" t="n">
        <v>45189</v>
      </c>
      <c r="C2459" s="1" t="n">
        <v>45734</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44384-2023</t>
        </is>
      </c>
      <c r="B2460" s="1" t="n">
        <v>45189</v>
      </c>
      <c r="C2460" s="1" t="n">
        <v>45734</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44411-2023</t>
        </is>
      </c>
      <c r="B2461" s="1" t="n">
        <v>45189</v>
      </c>
      <c r="C2461" s="1" t="n">
        <v>45734</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44390-2023</t>
        </is>
      </c>
      <c r="B2462" s="1" t="n">
        <v>45189</v>
      </c>
      <c r="C2462" s="1" t="n">
        <v>45734</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44402-2023</t>
        </is>
      </c>
      <c r="B2463" s="1" t="n">
        <v>45188</v>
      </c>
      <c r="C2463" s="1" t="n">
        <v>45734</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45928-2023</t>
        </is>
      </c>
      <c r="B2464" s="1" t="n">
        <v>45189</v>
      </c>
      <c r="C2464" s="1" t="n">
        <v>45734</v>
      </c>
      <c r="D2464" t="inlineStr">
        <is>
          <t>JÄMTLANDS LÄN</t>
        </is>
      </c>
      <c r="E2464" t="inlineStr">
        <is>
          <t>STRÖMSUND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44995-2023</t>
        </is>
      </c>
      <c r="B2465" s="1" t="n">
        <v>45191</v>
      </c>
      <c r="C2465" s="1" t="n">
        <v>45734</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44813-2023</t>
        </is>
      </c>
      <c r="B2466" s="1" t="n">
        <v>45190</v>
      </c>
      <c r="C2466" s="1" t="n">
        <v>45734</v>
      </c>
      <c r="D2466" t="inlineStr">
        <is>
          <t>JÄMTLANDS LÄN</t>
        </is>
      </c>
      <c r="E2466" t="inlineStr">
        <is>
          <t>STRÖMSUND</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44969-2023</t>
        </is>
      </c>
      <c r="B2467" s="1" t="n">
        <v>45191</v>
      </c>
      <c r="C2467" s="1" t="n">
        <v>45734</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45091-2023</t>
        </is>
      </c>
      <c r="B2468" s="1" t="n">
        <v>45191</v>
      </c>
      <c r="C2468" s="1" t="n">
        <v>45734</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45329-2023</t>
        </is>
      </c>
      <c r="B2469" s="1" t="n">
        <v>45192</v>
      </c>
      <c r="C2469" s="1" t="n">
        <v>45734</v>
      </c>
      <c r="D2469" t="inlineStr">
        <is>
          <t>JÄMTLANDS LÄN</t>
        </is>
      </c>
      <c r="E2469" t="inlineStr">
        <is>
          <t>STRÖMSUND</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45341-2023</t>
        </is>
      </c>
      <c r="B2470" s="1" t="n">
        <v>45192</v>
      </c>
      <c r="C2470" s="1" t="n">
        <v>45734</v>
      </c>
      <c r="D2470" t="inlineStr">
        <is>
          <t>JÄMTLANDS LÄN</t>
        </is>
      </c>
      <c r="E2470" t="inlineStr">
        <is>
          <t>STRÖMSUND</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45340-2023</t>
        </is>
      </c>
      <c r="B2471" s="1" t="n">
        <v>45192</v>
      </c>
      <c r="C2471" s="1" t="n">
        <v>45734</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45315-2023</t>
        </is>
      </c>
      <c r="B2472" s="1" t="n">
        <v>45191</v>
      </c>
      <c r="C2472" s="1" t="n">
        <v>45734</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45339-2023</t>
        </is>
      </c>
      <c r="B2473" s="1" t="n">
        <v>45192</v>
      </c>
      <c r="C2473" s="1" t="n">
        <v>45734</v>
      </c>
      <c r="D2473" t="inlineStr">
        <is>
          <t>JÄMTLANDS LÄN</t>
        </is>
      </c>
      <c r="E2473" t="inlineStr">
        <is>
          <t>STRÖMSUND</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45366-2023</t>
        </is>
      </c>
      <c r="B2474" s="1" t="n">
        <v>45192</v>
      </c>
      <c r="C2474" s="1" t="n">
        <v>45734</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45497-2023</t>
        </is>
      </c>
      <c r="B2475" s="1" t="n">
        <v>45194</v>
      </c>
      <c r="C2475" s="1" t="n">
        <v>45734</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45566-2023</t>
        </is>
      </c>
      <c r="B2476" s="1" t="n">
        <v>45194</v>
      </c>
      <c r="C2476" s="1" t="n">
        <v>45734</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45506-2023</t>
        </is>
      </c>
      <c r="B2477" s="1" t="n">
        <v>45194</v>
      </c>
      <c r="C2477" s="1" t="n">
        <v>45734</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45584-2023</t>
        </is>
      </c>
      <c r="B2478" s="1" t="n">
        <v>45194</v>
      </c>
      <c r="C2478" s="1" t="n">
        <v>45734</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45502-2023</t>
        </is>
      </c>
      <c r="B2479" s="1" t="n">
        <v>45194</v>
      </c>
      <c r="C2479" s="1" t="n">
        <v>45734</v>
      </c>
      <c r="D2479" t="inlineStr">
        <is>
          <t>JÄMTLANDS LÄN</t>
        </is>
      </c>
      <c r="E2479" t="inlineStr">
        <is>
          <t>STRÖMSUND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45809-2023</t>
        </is>
      </c>
      <c r="B2480" s="1" t="n">
        <v>45195</v>
      </c>
      <c r="C2480" s="1" t="n">
        <v>45734</v>
      </c>
      <c r="D2480" t="inlineStr">
        <is>
          <t>JÄMTLANDS LÄN</t>
        </is>
      </c>
      <c r="E2480" t="inlineStr">
        <is>
          <t>STRÖMSUND</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45938-2023</t>
        </is>
      </c>
      <c r="B2481" s="1" t="n">
        <v>45196</v>
      </c>
      <c r="C2481" s="1" t="n">
        <v>45734</v>
      </c>
      <c r="D2481" t="inlineStr">
        <is>
          <t>JÄMTLANDS LÄN</t>
        </is>
      </c>
      <c r="E2481" t="inlineStr">
        <is>
          <t>STRÖMSUND</t>
        </is>
      </c>
      <c r="F2481" t="inlineStr">
        <is>
          <t>SCA</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46788-2023</t>
        </is>
      </c>
      <c r="B2482" s="1" t="n">
        <v>45195</v>
      </c>
      <c r="C2482" s="1" t="n">
        <v>45734</v>
      </c>
      <c r="D2482" t="inlineStr">
        <is>
          <t>JÄMTLANDS LÄN</t>
        </is>
      </c>
      <c r="E2482" t="inlineStr">
        <is>
          <t>STRÖMSUND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45975-2023</t>
        </is>
      </c>
      <c r="B2483" s="1" t="n">
        <v>45196</v>
      </c>
      <c r="C2483" s="1" t="n">
        <v>45734</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46789-2023</t>
        </is>
      </c>
      <c r="B2484" s="1" t="n">
        <v>45195</v>
      </c>
      <c r="C2484" s="1" t="n">
        <v>45734</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46776-2023</t>
        </is>
      </c>
      <c r="B2485" s="1" t="n">
        <v>45195</v>
      </c>
      <c r="C2485" s="1" t="n">
        <v>45734</v>
      </c>
      <c r="D2485" t="inlineStr">
        <is>
          <t>JÄMTLANDS LÄN</t>
        </is>
      </c>
      <c r="E2485" t="inlineStr">
        <is>
          <t>STRÖMSUND</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46794-2023</t>
        </is>
      </c>
      <c r="B2486" s="1" t="n">
        <v>45195</v>
      </c>
      <c r="C2486" s="1" t="n">
        <v>45734</v>
      </c>
      <c r="D2486" t="inlineStr">
        <is>
          <t>JÄMTLANDS LÄN</t>
        </is>
      </c>
      <c r="E2486" t="inlineStr">
        <is>
          <t>STRÖMSUND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46793-2023</t>
        </is>
      </c>
      <c r="B2487" s="1" t="n">
        <v>45195</v>
      </c>
      <c r="C2487" s="1" t="n">
        <v>45734</v>
      </c>
      <c r="D2487" t="inlineStr">
        <is>
          <t>JÄMTLANDS LÄN</t>
        </is>
      </c>
      <c r="E2487" t="inlineStr">
        <is>
          <t>STRÖMSUND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46258-2023</t>
        </is>
      </c>
      <c r="B2488" s="1" t="n">
        <v>45197</v>
      </c>
      <c r="C2488" s="1" t="n">
        <v>45734</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46265-2023</t>
        </is>
      </c>
      <c r="B2489" s="1" t="n">
        <v>45196</v>
      </c>
      <c r="C2489" s="1" t="n">
        <v>45734</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46259-2023</t>
        </is>
      </c>
      <c r="B2490" s="1" t="n">
        <v>45197</v>
      </c>
      <c r="C2490" s="1" t="n">
        <v>45734</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46365-2023</t>
        </is>
      </c>
      <c r="B2491" s="1" t="n">
        <v>45197</v>
      </c>
      <c r="C2491" s="1" t="n">
        <v>45734</v>
      </c>
      <c r="D2491" t="inlineStr">
        <is>
          <t>JÄMTLANDS LÄN</t>
        </is>
      </c>
      <c r="E2491" t="inlineStr">
        <is>
          <t>STRÖMSUND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46545-2023</t>
        </is>
      </c>
      <c r="B2492" s="1" t="n">
        <v>45198</v>
      </c>
      <c r="C2492" s="1" t="n">
        <v>45734</v>
      </c>
      <c r="D2492" t="inlineStr">
        <is>
          <t>JÄMTLANDS LÄN</t>
        </is>
      </c>
      <c r="E2492" t="inlineStr">
        <is>
          <t>STRÖMSUND</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46556-2023</t>
        </is>
      </c>
      <c r="B2493" s="1" t="n">
        <v>45198</v>
      </c>
      <c r="C2493" s="1" t="n">
        <v>45734</v>
      </c>
      <c r="D2493" t="inlineStr">
        <is>
          <t>JÄMTLANDS LÄN</t>
        </is>
      </c>
      <c r="E2493" t="inlineStr">
        <is>
          <t>STRÖMSUND</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46557-2023</t>
        </is>
      </c>
      <c r="B2494" s="1" t="n">
        <v>45197</v>
      </c>
      <c r="C2494" s="1" t="n">
        <v>45734</v>
      </c>
      <c r="D2494" t="inlineStr">
        <is>
          <t>JÄMTLANDS LÄN</t>
        </is>
      </c>
      <c r="E2494" t="inlineStr">
        <is>
          <t>STRÖMSUND</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46807-2023</t>
        </is>
      </c>
      <c r="B2495" s="1" t="n">
        <v>45199</v>
      </c>
      <c r="C2495" s="1" t="n">
        <v>45734</v>
      </c>
      <c r="D2495" t="inlineStr">
        <is>
          <t>JÄMTLANDS LÄN</t>
        </is>
      </c>
      <c r="E2495" t="inlineStr">
        <is>
          <t>STRÖMSUND</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46811-2023</t>
        </is>
      </c>
      <c r="B2496" s="1" t="n">
        <v>45199</v>
      </c>
      <c r="C2496" s="1" t="n">
        <v>45734</v>
      </c>
      <c r="D2496" t="inlineStr">
        <is>
          <t>JÄMTLANDS LÄN</t>
        </is>
      </c>
      <c r="E2496" t="inlineStr">
        <is>
          <t>STRÖMSUND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46813-2023</t>
        </is>
      </c>
      <c r="B2497" s="1" t="n">
        <v>45199</v>
      </c>
      <c r="C2497" s="1" t="n">
        <v>45734</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46770-2023</t>
        </is>
      </c>
      <c r="B2498" s="1" t="n">
        <v>45198</v>
      </c>
      <c r="C2498" s="1" t="n">
        <v>45734</v>
      </c>
      <c r="D2498" t="inlineStr">
        <is>
          <t>JÄMTLANDS LÄN</t>
        </is>
      </c>
      <c r="E2498" t="inlineStr">
        <is>
          <t>STRÖMSUND</t>
        </is>
      </c>
      <c r="F2498" t="inlineStr">
        <is>
          <t>Sveaskog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46774-2023</t>
        </is>
      </c>
      <c r="B2499" s="1" t="n">
        <v>45198</v>
      </c>
      <c r="C2499" s="1" t="n">
        <v>45734</v>
      </c>
      <c r="D2499" t="inlineStr">
        <is>
          <t>JÄMTLANDS LÄN</t>
        </is>
      </c>
      <c r="E2499" t="inlineStr">
        <is>
          <t>STRÖMSUND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47151-2023</t>
        </is>
      </c>
      <c r="B2500" s="1" t="n">
        <v>45201</v>
      </c>
      <c r="C2500" s="1" t="n">
        <v>45734</v>
      </c>
      <c r="D2500" t="inlineStr">
        <is>
          <t>JÄMTLANDS LÄN</t>
        </is>
      </c>
      <c r="E2500" t="inlineStr">
        <is>
          <t>STRÖMSUND</t>
        </is>
      </c>
      <c r="F2500" t="inlineStr">
        <is>
          <t>Holmen skog AB</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47178-2023</t>
        </is>
      </c>
      <c r="B2501" s="1" t="n">
        <v>45201</v>
      </c>
      <c r="C2501" s="1" t="n">
        <v>45734</v>
      </c>
      <c r="D2501" t="inlineStr">
        <is>
          <t>JÄMTLANDS LÄN</t>
        </is>
      </c>
      <c r="E2501" t="inlineStr">
        <is>
          <t>STRÖMSUND</t>
        </is>
      </c>
      <c r="F2501" t="inlineStr">
        <is>
          <t>SCA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47182-2023</t>
        </is>
      </c>
      <c r="B2502" s="1" t="n">
        <v>45202</v>
      </c>
      <c r="C2502" s="1" t="n">
        <v>45734</v>
      </c>
      <c r="D2502" t="inlineStr">
        <is>
          <t>JÄMTLANDS LÄN</t>
        </is>
      </c>
      <c r="E2502" t="inlineStr">
        <is>
          <t>STRÖMSUND</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47116-2023</t>
        </is>
      </c>
      <c r="B2503" s="1" t="n">
        <v>45201</v>
      </c>
      <c r="C2503" s="1" t="n">
        <v>45734</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48328-2023</t>
        </is>
      </c>
      <c r="B2504" s="1" t="n">
        <v>45201</v>
      </c>
      <c r="C2504" s="1" t="n">
        <v>45734</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47491-2023</t>
        </is>
      </c>
      <c r="B2505" s="1" t="n">
        <v>45203</v>
      </c>
      <c r="C2505" s="1" t="n">
        <v>45734</v>
      </c>
      <c r="D2505" t="inlineStr">
        <is>
          <t>JÄMTLANDS LÄN</t>
        </is>
      </c>
      <c r="E2505" t="inlineStr">
        <is>
          <t>STRÖMSUND</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47843-2023</t>
        </is>
      </c>
      <c r="B2506" s="1" t="n">
        <v>45204</v>
      </c>
      <c r="C2506" s="1" t="n">
        <v>45734</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48038-2023</t>
        </is>
      </c>
      <c r="B2507" s="1" t="n">
        <v>45204</v>
      </c>
      <c r="C2507" s="1" t="n">
        <v>45734</v>
      </c>
      <c r="D2507" t="inlineStr">
        <is>
          <t>JÄMTLANDS LÄN</t>
        </is>
      </c>
      <c r="E2507" t="inlineStr">
        <is>
          <t>STRÖMSUND</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48042-2023</t>
        </is>
      </c>
      <c r="B2508" s="1" t="n">
        <v>45204</v>
      </c>
      <c r="C2508" s="1" t="n">
        <v>45734</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48071-2023</t>
        </is>
      </c>
      <c r="B2509" s="1" t="n">
        <v>45205</v>
      </c>
      <c r="C2509" s="1" t="n">
        <v>45734</v>
      </c>
      <c r="D2509" t="inlineStr">
        <is>
          <t>JÄMTLANDS LÄN</t>
        </is>
      </c>
      <c r="E2509" t="inlineStr">
        <is>
          <t>STRÖMSUND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48070-2023</t>
        </is>
      </c>
      <c r="B2510" s="1" t="n">
        <v>45204</v>
      </c>
      <c r="C2510" s="1" t="n">
        <v>45734</v>
      </c>
      <c r="D2510" t="inlineStr">
        <is>
          <t>JÄMTLANDS LÄN</t>
        </is>
      </c>
      <c r="E2510" t="inlineStr">
        <is>
          <t>STRÖMSUND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48982-2023</t>
        </is>
      </c>
      <c r="B2511" s="1" t="n">
        <v>45204</v>
      </c>
      <c r="C2511" s="1" t="n">
        <v>45734</v>
      </c>
      <c r="D2511" t="inlineStr">
        <is>
          <t>JÄMTLANDS LÄN</t>
        </is>
      </c>
      <c r="E2511" t="inlineStr">
        <is>
          <t>STRÖMSUND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48994-2023</t>
        </is>
      </c>
      <c r="B2512" s="1" t="n">
        <v>45204</v>
      </c>
      <c r="C2512" s="1" t="n">
        <v>45734</v>
      </c>
      <c r="D2512" t="inlineStr">
        <is>
          <t>JÄMTLANDS LÄN</t>
        </is>
      </c>
      <c r="E2512" t="inlineStr">
        <is>
          <t>STRÖMSUND</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49008-2023</t>
        </is>
      </c>
      <c r="B2513" s="1" t="n">
        <v>45204</v>
      </c>
      <c r="C2513" s="1" t="n">
        <v>45734</v>
      </c>
      <c r="D2513" t="inlineStr">
        <is>
          <t>JÄMTLANDS LÄN</t>
        </is>
      </c>
      <c r="E2513" t="inlineStr">
        <is>
          <t>STRÖMSUND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48976-2023</t>
        </is>
      </c>
      <c r="B2514" s="1" t="n">
        <v>45204</v>
      </c>
      <c r="C2514" s="1" t="n">
        <v>45734</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48991-2023</t>
        </is>
      </c>
      <c r="B2515" s="1" t="n">
        <v>45204</v>
      </c>
      <c r="C2515" s="1" t="n">
        <v>45734</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48988-2023</t>
        </is>
      </c>
      <c r="B2516" s="1" t="n">
        <v>45204</v>
      </c>
      <c r="C2516" s="1" t="n">
        <v>45734</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48997-2023</t>
        </is>
      </c>
      <c r="B2517" s="1" t="n">
        <v>45204</v>
      </c>
      <c r="C2517" s="1" t="n">
        <v>45734</v>
      </c>
      <c r="D2517" t="inlineStr">
        <is>
          <t>JÄMTLANDS LÄN</t>
        </is>
      </c>
      <c r="E2517" t="inlineStr">
        <is>
          <t>STRÖMSUND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49091-2023</t>
        </is>
      </c>
      <c r="B2518" s="1" t="n">
        <v>45204</v>
      </c>
      <c r="C2518" s="1" t="n">
        <v>45734</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48388-2023</t>
        </is>
      </c>
      <c r="B2519" s="1" t="n">
        <v>45205</v>
      </c>
      <c r="C2519" s="1" t="n">
        <v>45734</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48420-2023</t>
        </is>
      </c>
      <c r="B2520" s="1" t="n">
        <v>45205</v>
      </c>
      <c r="C2520" s="1" t="n">
        <v>45734</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48476-2023</t>
        </is>
      </c>
      <c r="B2521" s="1" t="n">
        <v>45206</v>
      </c>
      <c r="C2521" s="1" t="n">
        <v>45734</v>
      </c>
      <c r="D2521" t="inlineStr">
        <is>
          <t>JÄMTLANDS LÄN</t>
        </is>
      </c>
      <c r="E2521" t="inlineStr">
        <is>
          <t>STRÖMSUND</t>
        </is>
      </c>
      <c r="F2521" t="inlineStr">
        <is>
          <t>SCA</t>
        </is>
      </c>
      <c r="G2521" t="n">
        <v>16.7</v>
      </c>
      <c r="H2521" t="n">
        <v>0</v>
      </c>
      <c r="I2521" t="n">
        <v>0</v>
      </c>
      <c r="J2521" t="n">
        <v>0</v>
      </c>
      <c r="K2521" t="n">
        <v>0</v>
      </c>
      <c r="L2521" t="n">
        <v>0</v>
      </c>
      <c r="M2521" t="n">
        <v>0</v>
      </c>
      <c r="N2521" t="n">
        <v>0</v>
      </c>
      <c r="O2521" t="n">
        <v>0</v>
      </c>
      <c r="P2521" t="n">
        <v>0</v>
      </c>
      <c r="Q2521" t="n">
        <v>0</v>
      </c>
      <c r="R2521" s="2" t="inlineStr"/>
    </row>
    <row r="2522" ht="15" customHeight="1">
      <c r="A2522" t="inlineStr">
        <is>
          <t>A 48775-2023</t>
        </is>
      </c>
      <c r="B2522" s="1" t="n">
        <v>45209</v>
      </c>
      <c r="C2522" s="1" t="n">
        <v>45734</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48637-2023</t>
        </is>
      </c>
      <c r="B2523" s="1" t="n">
        <v>45208</v>
      </c>
      <c r="C2523" s="1" t="n">
        <v>45734</v>
      </c>
      <c r="D2523" t="inlineStr">
        <is>
          <t>JÄMTLANDS LÄN</t>
        </is>
      </c>
      <c r="E2523" t="inlineStr">
        <is>
          <t>STRÖMSUND</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49763-2023</t>
        </is>
      </c>
      <c r="B2524" s="1" t="n">
        <v>45208</v>
      </c>
      <c r="C2524" s="1" t="n">
        <v>45734</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49147-2023</t>
        </is>
      </c>
      <c r="B2525" s="1" t="n">
        <v>45210</v>
      </c>
      <c r="C2525" s="1" t="n">
        <v>45734</v>
      </c>
      <c r="D2525" t="inlineStr">
        <is>
          <t>JÄMTLANDS LÄN</t>
        </is>
      </c>
      <c r="E2525" t="inlineStr">
        <is>
          <t>STRÖMSUND</t>
        </is>
      </c>
      <c r="F2525" t="inlineStr">
        <is>
          <t>Holmen skog AB</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50647-2023</t>
        </is>
      </c>
      <c r="B2526" s="1" t="n">
        <v>45210</v>
      </c>
      <c r="C2526" s="1" t="n">
        <v>45734</v>
      </c>
      <c r="D2526" t="inlineStr">
        <is>
          <t>JÄMTLANDS LÄN</t>
        </is>
      </c>
      <c r="E2526" t="inlineStr">
        <is>
          <t>STRÖMSUND</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49377-2023</t>
        </is>
      </c>
      <c r="B2527" s="1" t="n">
        <v>45211</v>
      </c>
      <c r="C2527" s="1" t="n">
        <v>45734</v>
      </c>
      <c r="D2527" t="inlineStr">
        <is>
          <t>JÄMTLANDS LÄN</t>
        </is>
      </c>
      <c r="E2527" t="inlineStr">
        <is>
          <t>STRÖMSUND</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49415-2023</t>
        </is>
      </c>
      <c r="B2528" s="1" t="n">
        <v>45211</v>
      </c>
      <c r="C2528" s="1" t="n">
        <v>45734</v>
      </c>
      <c r="D2528" t="inlineStr">
        <is>
          <t>JÄMTLANDS LÄN</t>
        </is>
      </c>
      <c r="E2528" t="inlineStr">
        <is>
          <t>STRÖMSUND</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51074-2023</t>
        </is>
      </c>
      <c r="B2529" s="1" t="n">
        <v>45211</v>
      </c>
      <c r="C2529" s="1" t="n">
        <v>45734</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51077-2023</t>
        </is>
      </c>
      <c r="B2530" s="1" t="n">
        <v>45211</v>
      </c>
      <c r="C2530" s="1" t="n">
        <v>45734</v>
      </c>
      <c r="D2530" t="inlineStr">
        <is>
          <t>JÄMTLANDS LÄN</t>
        </is>
      </c>
      <c r="E2530" t="inlineStr">
        <is>
          <t>STRÖMSUND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51075-2023</t>
        </is>
      </c>
      <c r="B2531" s="1" t="n">
        <v>45211</v>
      </c>
      <c r="C2531" s="1" t="n">
        <v>45734</v>
      </c>
      <c r="D2531" t="inlineStr">
        <is>
          <t>JÄMTLANDS LÄN</t>
        </is>
      </c>
      <c r="E2531" t="inlineStr">
        <is>
          <t>STRÖMSUND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49861-2023</t>
        </is>
      </c>
      <c r="B2532" s="1" t="n">
        <v>45212</v>
      </c>
      <c r="C2532" s="1" t="n">
        <v>45734</v>
      </c>
      <c r="D2532" t="inlineStr">
        <is>
          <t>JÄMTLANDS LÄN</t>
        </is>
      </c>
      <c r="E2532" t="inlineStr">
        <is>
          <t>STRÖMSUND</t>
        </is>
      </c>
      <c r="F2532" t="inlineStr">
        <is>
          <t>SCA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50203-2023</t>
        </is>
      </c>
      <c r="B2533" s="1" t="n">
        <v>45216</v>
      </c>
      <c r="C2533" s="1" t="n">
        <v>45734</v>
      </c>
      <c r="D2533" t="inlineStr">
        <is>
          <t>JÄMTLANDS LÄN</t>
        </is>
      </c>
      <c r="E2533" t="inlineStr">
        <is>
          <t>STRÖMSUND</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50495-2023</t>
        </is>
      </c>
      <c r="B2534" s="1" t="n">
        <v>45216</v>
      </c>
      <c r="C2534" s="1" t="n">
        <v>45734</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52303-2023</t>
        </is>
      </c>
      <c r="B2535" s="1" t="n">
        <v>45217</v>
      </c>
      <c r="C2535" s="1" t="n">
        <v>45734</v>
      </c>
      <c r="D2535" t="inlineStr">
        <is>
          <t>JÄMTLANDS LÄN</t>
        </is>
      </c>
      <c r="E2535" t="inlineStr">
        <is>
          <t>STRÖMSUND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51429-2023</t>
        </is>
      </c>
      <c r="B2536" s="1" t="n">
        <v>45220</v>
      </c>
      <c r="C2536" s="1" t="n">
        <v>45734</v>
      </c>
      <c r="D2536" t="inlineStr">
        <is>
          <t>JÄMTLANDS LÄN</t>
        </is>
      </c>
      <c r="E2536" t="inlineStr">
        <is>
          <t>STRÖMSUND</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51795-2023</t>
        </is>
      </c>
      <c r="B2537" s="1" t="n">
        <v>45222</v>
      </c>
      <c r="C2537" s="1" t="n">
        <v>45734</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51799-2023</t>
        </is>
      </c>
      <c r="B2538" s="1" t="n">
        <v>45223</v>
      </c>
      <c r="C2538" s="1" t="n">
        <v>45734</v>
      </c>
      <c r="D2538" t="inlineStr">
        <is>
          <t>JÄMTLANDS LÄN</t>
        </is>
      </c>
      <c r="E2538" t="inlineStr">
        <is>
          <t>STRÖMSUND</t>
        </is>
      </c>
      <c r="F2538" t="inlineStr">
        <is>
          <t>SCA</t>
        </is>
      </c>
      <c r="G2538" t="n">
        <v>42.6</v>
      </c>
      <c r="H2538" t="n">
        <v>0</v>
      </c>
      <c r="I2538" t="n">
        <v>0</v>
      </c>
      <c r="J2538" t="n">
        <v>0</v>
      </c>
      <c r="K2538" t="n">
        <v>0</v>
      </c>
      <c r="L2538" t="n">
        <v>0</v>
      </c>
      <c r="M2538" t="n">
        <v>0</v>
      </c>
      <c r="N2538" t="n">
        <v>0</v>
      </c>
      <c r="O2538" t="n">
        <v>0</v>
      </c>
      <c r="P2538" t="n">
        <v>0</v>
      </c>
      <c r="Q2538" t="n">
        <v>0</v>
      </c>
      <c r="R2538" s="2" t="inlineStr"/>
    </row>
    <row r="2539" ht="15" customHeight="1">
      <c r="A2539" t="inlineStr">
        <is>
          <t>A 51796-2023</t>
        </is>
      </c>
      <c r="B2539" s="1" t="n">
        <v>45222</v>
      </c>
      <c r="C2539" s="1" t="n">
        <v>45734</v>
      </c>
      <c r="D2539" t="inlineStr">
        <is>
          <t>JÄMTLANDS LÄN</t>
        </is>
      </c>
      <c r="E2539" t="inlineStr">
        <is>
          <t>STRÖMSUND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53025-2023</t>
        </is>
      </c>
      <c r="B2540" s="1" t="n">
        <v>45222</v>
      </c>
      <c r="C2540" s="1" t="n">
        <v>45734</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53024-2023</t>
        </is>
      </c>
      <c r="B2541" s="1" t="n">
        <v>45222</v>
      </c>
      <c r="C2541" s="1" t="n">
        <v>45734</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51786-2023</t>
        </is>
      </c>
      <c r="B2542" s="1" t="n">
        <v>45222</v>
      </c>
      <c r="C2542" s="1" t="n">
        <v>45734</v>
      </c>
      <c r="D2542" t="inlineStr">
        <is>
          <t>JÄMTLANDS LÄN</t>
        </is>
      </c>
      <c r="E2542" t="inlineStr">
        <is>
          <t>STRÖMSUND</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52139-2023</t>
        </is>
      </c>
      <c r="B2543" s="1" t="n">
        <v>45223</v>
      </c>
      <c r="C2543" s="1" t="n">
        <v>45734</v>
      </c>
      <c r="D2543" t="inlineStr">
        <is>
          <t>JÄMTLANDS LÄN</t>
        </is>
      </c>
      <c r="E2543" t="inlineStr">
        <is>
          <t>STRÖMSUND</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52108-2023</t>
        </is>
      </c>
      <c r="B2544" s="1" t="n">
        <v>45224</v>
      </c>
      <c r="C2544" s="1" t="n">
        <v>45734</v>
      </c>
      <c r="D2544" t="inlineStr">
        <is>
          <t>JÄMTLANDS LÄN</t>
        </is>
      </c>
      <c r="E2544" t="inlineStr">
        <is>
          <t>STRÖMSUND</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52113-2023</t>
        </is>
      </c>
      <c r="B2545" s="1" t="n">
        <v>45224</v>
      </c>
      <c r="C2545" s="1" t="n">
        <v>45734</v>
      </c>
      <c r="D2545" t="inlineStr">
        <is>
          <t>JÄMTLANDS LÄN</t>
        </is>
      </c>
      <c r="E2545" t="inlineStr">
        <is>
          <t>STRÖMSUND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52121-2023</t>
        </is>
      </c>
      <c r="B2546" s="1" t="n">
        <v>45223</v>
      </c>
      <c r="C2546" s="1" t="n">
        <v>45734</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52134-2023</t>
        </is>
      </c>
      <c r="B2547" s="1" t="n">
        <v>45223</v>
      </c>
      <c r="C2547" s="1" t="n">
        <v>45734</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52402-2023</t>
        </is>
      </c>
      <c r="B2548" s="1" t="n">
        <v>45225</v>
      </c>
      <c r="C2548" s="1" t="n">
        <v>45734</v>
      </c>
      <c r="D2548" t="inlineStr">
        <is>
          <t>JÄMTLANDS LÄN</t>
        </is>
      </c>
      <c r="E2548" t="inlineStr">
        <is>
          <t>STRÖMSUND</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52478-2023</t>
        </is>
      </c>
      <c r="B2549" s="1" t="n">
        <v>45225</v>
      </c>
      <c r="C2549" s="1" t="n">
        <v>45734</v>
      </c>
      <c r="D2549" t="inlineStr">
        <is>
          <t>JÄMTLANDS LÄN</t>
        </is>
      </c>
      <c r="E2549" t="inlineStr">
        <is>
          <t>STRÖMSUND</t>
        </is>
      </c>
      <c r="F2549" t="inlineStr">
        <is>
          <t>Holmen skog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52725-2023</t>
        </is>
      </c>
      <c r="B2550" s="1" t="n">
        <v>45226</v>
      </c>
      <c r="C2550" s="1" t="n">
        <v>45734</v>
      </c>
      <c r="D2550" t="inlineStr">
        <is>
          <t>JÄMTLANDS LÄN</t>
        </is>
      </c>
      <c r="E2550" t="inlineStr">
        <is>
          <t>STRÖMSUND</t>
        </is>
      </c>
      <c r="G2550" t="n">
        <v>17.2</v>
      </c>
      <c r="H2550" t="n">
        <v>0</v>
      </c>
      <c r="I2550" t="n">
        <v>0</v>
      </c>
      <c r="J2550" t="n">
        <v>0</v>
      </c>
      <c r="K2550" t="n">
        <v>0</v>
      </c>
      <c r="L2550" t="n">
        <v>0</v>
      </c>
      <c r="M2550" t="n">
        <v>0</v>
      </c>
      <c r="N2550" t="n">
        <v>0</v>
      </c>
      <c r="O2550" t="n">
        <v>0</v>
      </c>
      <c r="P2550" t="n">
        <v>0</v>
      </c>
      <c r="Q2550" t="n">
        <v>0</v>
      </c>
      <c r="R2550" s="2" t="inlineStr"/>
    </row>
    <row r="2551" ht="15" customHeight="1">
      <c r="A2551" t="inlineStr">
        <is>
          <t>A 52733-2023</t>
        </is>
      </c>
      <c r="B2551" s="1" t="n">
        <v>45226</v>
      </c>
      <c r="C2551" s="1" t="n">
        <v>45734</v>
      </c>
      <c r="D2551" t="inlineStr">
        <is>
          <t>JÄMTLANDS LÄN</t>
        </is>
      </c>
      <c r="E2551" t="inlineStr">
        <is>
          <t>STRÖMSUND</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52737-2023</t>
        </is>
      </c>
      <c r="B2552" s="1" t="n">
        <v>45226</v>
      </c>
      <c r="C2552" s="1" t="n">
        <v>45734</v>
      </c>
      <c r="D2552" t="inlineStr">
        <is>
          <t>JÄMTLANDS LÄN</t>
        </is>
      </c>
      <c r="E2552" t="inlineStr">
        <is>
          <t>STRÖMSUND</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52735-2023</t>
        </is>
      </c>
      <c r="B2553" s="1" t="n">
        <v>45225</v>
      </c>
      <c r="C2553" s="1" t="n">
        <v>45734</v>
      </c>
      <c r="D2553" t="inlineStr">
        <is>
          <t>JÄMTLANDS LÄN</t>
        </is>
      </c>
      <c r="E2553" t="inlineStr">
        <is>
          <t>STRÖMSUND</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52736-2023</t>
        </is>
      </c>
      <c r="B2554" s="1" t="n">
        <v>45226</v>
      </c>
      <c r="C2554" s="1" t="n">
        <v>45734</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52726-2023</t>
        </is>
      </c>
      <c r="B2555" s="1" t="n">
        <v>45225</v>
      </c>
      <c r="C2555" s="1" t="n">
        <v>45734</v>
      </c>
      <c r="D2555" t="inlineStr">
        <is>
          <t>JÄMTLANDS LÄN</t>
        </is>
      </c>
      <c r="E2555" t="inlineStr">
        <is>
          <t>STRÖMSUND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52734-2023</t>
        </is>
      </c>
      <c r="B2556" s="1" t="n">
        <v>45225</v>
      </c>
      <c r="C2556" s="1" t="n">
        <v>45734</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52756-2023</t>
        </is>
      </c>
      <c r="B2557" s="1" t="n">
        <v>45225</v>
      </c>
      <c r="C2557" s="1" t="n">
        <v>45734</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54549-2023</t>
        </is>
      </c>
      <c r="B2558" s="1" t="n">
        <v>45226</v>
      </c>
      <c r="C2558" s="1" t="n">
        <v>45734</v>
      </c>
      <c r="D2558" t="inlineStr">
        <is>
          <t>JÄMTLANDS LÄN</t>
        </is>
      </c>
      <c r="E2558" t="inlineStr">
        <is>
          <t>STRÖMSUND</t>
        </is>
      </c>
      <c r="G2558" t="n">
        <v>29.2</v>
      </c>
      <c r="H2558" t="n">
        <v>0</v>
      </c>
      <c r="I2558" t="n">
        <v>0</v>
      </c>
      <c r="J2558" t="n">
        <v>0</v>
      </c>
      <c r="K2558" t="n">
        <v>0</v>
      </c>
      <c r="L2558" t="n">
        <v>0</v>
      </c>
      <c r="M2558" t="n">
        <v>0</v>
      </c>
      <c r="N2558" t="n">
        <v>0</v>
      </c>
      <c r="O2558" t="n">
        <v>0</v>
      </c>
      <c r="P2558" t="n">
        <v>0</v>
      </c>
      <c r="Q2558" t="n">
        <v>0</v>
      </c>
      <c r="R2558" s="2" t="inlineStr"/>
    </row>
    <row r="2559" ht="15" customHeight="1">
      <c r="A2559" t="inlineStr">
        <is>
          <t>A 53050-2023</t>
        </is>
      </c>
      <c r="B2559" s="1" t="n">
        <v>45227</v>
      </c>
      <c r="C2559" s="1" t="n">
        <v>45734</v>
      </c>
      <c r="D2559" t="inlineStr">
        <is>
          <t>JÄMTLANDS LÄN</t>
        </is>
      </c>
      <c r="E2559" t="inlineStr">
        <is>
          <t>STRÖMSUND</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52855-2023</t>
        </is>
      </c>
      <c r="B2560" s="1" t="n">
        <v>45226</v>
      </c>
      <c r="C2560" s="1" t="n">
        <v>45734</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52850-2023</t>
        </is>
      </c>
      <c r="B2561" s="1" t="n">
        <v>45226</v>
      </c>
      <c r="C2561" s="1" t="n">
        <v>45734</v>
      </c>
      <c r="D2561" t="inlineStr">
        <is>
          <t>JÄMTLANDS LÄN</t>
        </is>
      </c>
      <c r="E2561" t="inlineStr">
        <is>
          <t>STRÖMSUND</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52826-2023</t>
        </is>
      </c>
      <c r="B2562" s="1" t="n">
        <v>45226</v>
      </c>
      <c r="C2562" s="1" t="n">
        <v>45734</v>
      </c>
      <c r="D2562" t="inlineStr">
        <is>
          <t>JÄMTLANDS LÄN</t>
        </is>
      </c>
      <c r="E2562" t="inlineStr">
        <is>
          <t>STRÖMSUND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52818-2023</t>
        </is>
      </c>
      <c r="B2563" s="1" t="n">
        <v>45226</v>
      </c>
      <c r="C2563" s="1" t="n">
        <v>45734</v>
      </c>
      <c r="D2563" t="inlineStr">
        <is>
          <t>JÄMTLANDS LÄN</t>
        </is>
      </c>
      <c r="E2563" t="inlineStr">
        <is>
          <t>STRÖMSUND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53051-2023</t>
        </is>
      </c>
      <c r="B2564" s="1" t="n">
        <v>45227</v>
      </c>
      <c r="C2564" s="1" t="n">
        <v>45734</v>
      </c>
      <c r="D2564" t="inlineStr">
        <is>
          <t>JÄMTLANDS LÄN</t>
        </is>
      </c>
      <c r="E2564" t="inlineStr">
        <is>
          <t>STRÖMSUND</t>
        </is>
      </c>
      <c r="F2564" t="inlineStr">
        <is>
          <t>SCA</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53053-2023</t>
        </is>
      </c>
      <c r="B2565" s="1" t="n">
        <v>45226</v>
      </c>
      <c r="C2565" s="1" t="n">
        <v>45734</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53052-2023</t>
        </is>
      </c>
      <c r="B2566" s="1" t="n">
        <v>45226</v>
      </c>
      <c r="C2566" s="1" t="n">
        <v>45734</v>
      </c>
      <c r="D2566" t="inlineStr">
        <is>
          <t>JÄMTLANDS LÄN</t>
        </is>
      </c>
      <c r="E2566" t="inlineStr">
        <is>
          <t>STRÖMSUND</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53142-2023</t>
        </is>
      </c>
      <c r="B2567" s="1" t="n">
        <v>45229</v>
      </c>
      <c r="C2567" s="1" t="n">
        <v>45734</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54899-2023</t>
        </is>
      </c>
      <c r="B2568" s="1" t="n">
        <v>45229</v>
      </c>
      <c r="C2568" s="1" t="n">
        <v>45734</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54063-2023</t>
        </is>
      </c>
      <c r="B2569" s="1" t="n">
        <v>45231</v>
      </c>
      <c r="C2569" s="1" t="n">
        <v>45734</v>
      </c>
      <c r="D2569" t="inlineStr">
        <is>
          <t>JÄMTLANDS LÄN</t>
        </is>
      </c>
      <c r="E2569" t="inlineStr">
        <is>
          <t>STRÖMSUND</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54038-2023</t>
        </is>
      </c>
      <c r="B2570" s="1" t="n">
        <v>45231</v>
      </c>
      <c r="C2570" s="1" t="n">
        <v>45734</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54042-2023</t>
        </is>
      </c>
      <c r="B2571" s="1" t="n">
        <v>45232</v>
      </c>
      <c r="C2571" s="1" t="n">
        <v>45734</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54066-2023</t>
        </is>
      </c>
      <c r="B2572" s="1" t="n">
        <v>45231</v>
      </c>
      <c r="C2572" s="1" t="n">
        <v>45734</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54031-2023</t>
        </is>
      </c>
      <c r="B2573" s="1" t="n">
        <v>45231</v>
      </c>
      <c r="C2573" s="1" t="n">
        <v>45734</v>
      </c>
      <c r="D2573" t="inlineStr">
        <is>
          <t>JÄMTLANDS LÄN</t>
        </is>
      </c>
      <c r="E2573" t="inlineStr">
        <is>
          <t>STRÖMSUND</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54028-2023</t>
        </is>
      </c>
      <c r="B2574" s="1" t="n">
        <v>45231</v>
      </c>
      <c r="C2574" s="1" t="n">
        <v>45734</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54032-2023</t>
        </is>
      </c>
      <c r="B2575" s="1" t="n">
        <v>45231</v>
      </c>
      <c r="C2575" s="1" t="n">
        <v>45734</v>
      </c>
      <c r="D2575" t="inlineStr">
        <is>
          <t>JÄMTLANDS LÄN</t>
        </is>
      </c>
      <c r="E2575" t="inlineStr">
        <is>
          <t>STRÖMSUND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54061-2023</t>
        </is>
      </c>
      <c r="B2576" s="1" t="n">
        <v>45232</v>
      </c>
      <c r="C2576" s="1" t="n">
        <v>45734</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54077-2023</t>
        </is>
      </c>
      <c r="B2577" s="1" t="n">
        <v>45231</v>
      </c>
      <c r="C2577" s="1" t="n">
        <v>45734</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54315-2023</t>
        </is>
      </c>
      <c r="B2578" s="1" t="n">
        <v>45232</v>
      </c>
      <c r="C2578" s="1" t="n">
        <v>45734</v>
      </c>
      <c r="D2578" t="inlineStr">
        <is>
          <t>JÄMTLANDS LÄN</t>
        </is>
      </c>
      <c r="E2578" t="inlineStr">
        <is>
          <t>STRÖMSUND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54319-2023</t>
        </is>
      </c>
      <c r="B2579" s="1" t="n">
        <v>45232</v>
      </c>
      <c r="C2579" s="1" t="n">
        <v>45734</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56074-2023</t>
        </is>
      </c>
      <c r="B2580" s="1" t="n">
        <v>45233</v>
      </c>
      <c r="C2580" s="1" t="n">
        <v>45734</v>
      </c>
      <c r="D2580" t="inlineStr">
        <is>
          <t>JÄMTLANDS LÄN</t>
        </is>
      </c>
      <c r="E2580" t="inlineStr">
        <is>
          <t>STRÖMSUND</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54482-2023</t>
        </is>
      </c>
      <c r="B2581" s="1" t="n">
        <v>45233</v>
      </c>
      <c r="C2581" s="1" t="n">
        <v>45734</v>
      </c>
      <c r="D2581" t="inlineStr">
        <is>
          <t>JÄMTLANDS LÄN</t>
        </is>
      </c>
      <c r="E2581" t="inlineStr">
        <is>
          <t>STRÖMSUND</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54478-2023</t>
        </is>
      </c>
      <c r="B2582" s="1" t="n">
        <v>45233</v>
      </c>
      <c r="C2582" s="1" t="n">
        <v>45734</v>
      </c>
      <c r="D2582" t="inlineStr">
        <is>
          <t>JÄMTLANDS LÄN</t>
        </is>
      </c>
      <c r="E2582" t="inlineStr">
        <is>
          <t>STRÖMSUND</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54598-2023</t>
        </is>
      </c>
      <c r="B2583" s="1" t="n">
        <v>45233</v>
      </c>
      <c r="C2583" s="1" t="n">
        <v>45734</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54479-2023</t>
        </is>
      </c>
      <c r="B2584" s="1" t="n">
        <v>45233</v>
      </c>
      <c r="C2584" s="1" t="n">
        <v>45734</v>
      </c>
      <c r="D2584" t="inlineStr">
        <is>
          <t>JÄMTLANDS LÄN</t>
        </is>
      </c>
      <c r="E2584" t="inlineStr">
        <is>
          <t>STRÖMSUND</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54753-2023</t>
        </is>
      </c>
      <c r="B2585" s="1" t="n">
        <v>45236</v>
      </c>
      <c r="C2585" s="1" t="n">
        <v>45734</v>
      </c>
      <c r="D2585" t="inlineStr">
        <is>
          <t>JÄMTLANDS LÄN</t>
        </is>
      </c>
      <c r="E2585" t="inlineStr">
        <is>
          <t>STRÖMSUND</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54980-2023</t>
        </is>
      </c>
      <c r="B2586" s="1" t="n">
        <v>45237</v>
      </c>
      <c r="C2586" s="1" t="n">
        <v>45734</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54974-2023</t>
        </is>
      </c>
      <c r="B2587" s="1" t="n">
        <v>45236</v>
      </c>
      <c r="C2587" s="1" t="n">
        <v>45734</v>
      </c>
      <c r="D2587" t="inlineStr">
        <is>
          <t>JÄMTLANDS LÄN</t>
        </is>
      </c>
      <c r="E2587" t="inlineStr">
        <is>
          <t>STRÖMSUND</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55073-2023</t>
        </is>
      </c>
      <c r="B2588" s="1" t="n">
        <v>45237</v>
      </c>
      <c r="C2588" s="1" t="n">
        <v>45734</v>
      </c>
      <c r="D2588" t="inlineStr">
        <is>
          <t>JÄMTLANDS LÄN</t>
        </is>
      </c>
      <c r="E2588" t="inlineStr">
        <is>
          <t>STRÖMSUND</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55177-2023</t>
        </is>
      </c>
      <c r="B2589" s="1" t="n">
        <v>45237</v>
      </c>
      <c r="C2589" s="1" t="n">
        <v>45734</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55067-2023</t>
        </is>
      </c>
      <c r="B2590" s="1" t="n">
        <v>45237</v>
      </c>
      <c r="C2590" s="1" t="n">
        <v>45734</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55156-2023</t>
        </is>
      </c>
      <c r="B2591" s="1" t="n">
        <v>45237</v>
      </c>
      <c r="C2591" s="1" t="n">
        <v>45734</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55321-2023</t>
        </is>
      </c>
      <c r="B2592" s="1" t="n">
        <v>45237</v>
      </c>
      <c r="C2592" s="1" t="n">
        <v>45734</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55322-2023</t>
        </is>
      </c>
      <c r="B2593" s="1" t="n">
        <v>45237</v>
      </c>
      <c r="C2593" s="1" t="n">
        <v>45734</v>
      </c>
      <c r="D2593" t="inlineStr">
        <is>
          <t>JÄMTLANDS LÄN</t>
        </is>
      </c>
      <c r="E2593" t="inlineStr">
        <is>
          <t>STRÖMSUND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56468-2023</t>
        </is>
      </c>
      <c r="B2594" s="1" t="n">
        <v>45237</v>
      </c>
      <c r="C2594" s="1" t="n">
        <v>45734</v>
      </c>
      <c r="D2594" t="inlineStr">
        <is>
          <t>JÄMTLANDS LÄN</t>
        </is>
      </c>
      <c r="E2594" t="inlineStr">
        <is>
          <t>STRÖMSUND</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55340-2023</t>
        </is>
      </c>
      <c r="B2595" s="1" t="n">
        <v>45237</v>
      </c>
      <c r="C2595" s="1" t="n">
        <v>45734</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56422-2023</t>
        </is>
      </c>
      <c r="B2596" s="1" t="n">
        <v>45237</v>
      </c>
      <c r="C2596" s="1" t="n">
        <v>45734</v>
      </c>
      <c r="D2596" t="inlineStr">
        <is>
          <t>JÄMTLANDS LÄN</t>
        </is>
      </c>
      <c r="E2596" t="inlineStr">
        <is>
          <t>STRÖMSUND</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56437-2023</t>
        </is>
      </c>
      <c r="B2597" s="1" t="n">
        <v>45237</v>
      </c>
      <c r="C2597" s="1" t="n">
        <v>45734</v>
      </c>
      <c r="D2597" t="inlineStr">
        <is>
          <t>JÄMTLANDS LÄN</t>
        </is>
      </c>
      <c r="E2597" t="inlineStr">
        <is>
          <t>STRÖMSUND</t>
        </is>
      </c>
      <c r="G2597" t="n">
        <v>35.8</v>
      </c>
      <c r="H2597" t="n">
        <v>0</v>
      </c>
      <c r="I2597" t="n">
        <v>0</v>
      </c>
      <c r="J2597" t="n">
        <v>0</v>
      </c>
      <c r="K2597" t="n">
        <v>0</v>
      </c>
      <c r="L2597" t="n">
        <v>0</v>
      </c>
      <c r="M2597" t="n">
        <v>0</v>
      </c>
      <c r="N2597" t="n">
        <v>0</v>
      </c>
      <c r="O2597" t="n">
        <v>0</v>
      </c>
      <c r="P2597" t="n">
        <v>0</v>
      </c>
      <c r="Q2597" t="n">
        <v>0</v>
      </c>
      <c r="R2597" s="2" t="inlineStr"/>
    </row>
    <row r="2598" ht="15" customHeight="1">
      <c r="A2598" t="inlineStr">
        <is>
          <t>A 55323-2023</t>
        </is>
      </c>
      <c r="B2598" s="1" t="n">
        <v>45237</v>
      </c>
      <c r="C2598" s="1" t="n">
        <v>45734</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56484-2023</t>
        </is>
      </c>
      <c r="B2599" s="1" t="n">
        <v>45237</v>
      </c>
      <c r="C2599" s="1" t="n">
        <v>45734</v>
      </c>
      <c r="D2599" t="inlineStr">
        <is>
          <t>JÄMTLANDS LÄN</t>
        </is>
      </c>
      <c r="E2599" t="inlineStr">
        <is>
          <t>STRÖMSUND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56480-2023</t>
        </is>
      </c>
      <c r="B2600" s="1" t="n">
        <v>45237</v>
      </c>
      <c r="C2600" s="1" t="n">
        <v>45734</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56490-2023</t>
        </is>
      </c>
      <c r="B2601" s="1" t="n">
        <v>45237</v>
      </c>
      <c r="C2601" s="1" t="n">
        <v>45734</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55657-2023</t>
        </is>
      </c>
      <c r="B2602" s="1" t="n">
        <v>45238</v>
      </c>
      <c r="C2602" s="1" t="n">
        <v>45734</v>
      </c>
      <c r="D2602" t="inlineStr">
        <is>
          <t>JÄMTLANDS LÄN</t>
        </is>
      </c>
      <c r="E2602" t="inlineStr">
        <is>
          <t>STRÖMSUND</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55656-2023</t>
        </is>
      </c>
      <c r="B2603" s="1" t="n">
        <v>45239</v>
      </c>
      <c r="C2603" s="1" t="n">
        <v>45734</v>
      </c>
      <c r="D2603" t="inlineStr">
        <is>
          <t>JÄMTLANDS LÄN</t>
        </is>
      </c>
      <c r="E2603" t="inlineStr">
        <is>
          <t>STRÖMSUND</t>
        </is>
      </c>
      <c r="F2603" t="inlineStr">
        <is>
          <t>SCA</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55655-2023</t>
        </is>
      </c>
      <c r="B2604" s="1" t="n">
        <v>45239</v>
      </c>
      <c r="C2604" s="1" t="n">
        <v>45734</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57476-2023</t>
        </is>
      </c>
      <c r="B2605" s="1" t="n">
        <v>45240</v>
      </c>
      <c r="C2605" s="1" t="n">
        <v>45734</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57348-2023</t>
        </is>
      </c>
      <c r="B2606" s="1" t="n">
        <v>45240</v>
      </c>
      <c r="C2606" s="1" t="n">
        <v>45734</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57361-2023</t>
        </is>
      </c>
      <c r="B2607" s="1" t="n">
        <v>45240</v>
      </c>
      <c r="C2607" s="1" t="n">
        <v>45734</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57431-2023</t>
        </is>
      </c>
      <c r="B2608" s="1" t="n">
        <v>45240</v>
      </c>
      <c r="C2608" s="1" t="n">
        <v>45734</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57429-2023</t>
        </is>
      </c>
      <c r="B2609" s="1" t="n">
        <v>45240</v>
      </c>
      <c r="C2609" s="1" t="n">
        <v>45734</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56312-2023</t>
        </is>
      </c>
      <c r="B2610" s="1" t="n">
        <v>45242</v>
      </c>
      <c r="C2610" s="1" t="n">
        <v>45734</v>
      </c>
      <c r="D2610" t="inlineStr">
        <is>
          <t>JÄMTLANDS LÄN</t>
        </is>
      </c>
      <c r="E2610" t="inlineStr">
        <is>
          <t>STRÖMSUND</t>
        </is>
      </c>
      <c r="F2610" t="inlineStr">
        <is>
          <t>SCA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56313-2023</t>
        </is>
      </c>
      <c r="B2611" s="1" t="n">
        <v>45243</v>
      </c>
      <c r="C2611" s="1" t="n">
        <v>45734</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56314-2023</t>
        </is>
      </c>
      <c r="B2612" s="1" t="n">
        <v>45243</v>
      </c>
      <c r="C2612" s="1" t="n">
        <v>45734</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56691-2023</t>
        </is>
      </c>
      <c r="B2613" s="1" t="n">
        <v>45244</v>
      </c>
      <c r="C2613" s="1" t="n">
        <v>45734</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57805-2023</t>
        </is>
      </c>
      <c r="B2614" s="1" t="n">
        <v>45243</v>
      </c>
      <c r="C2614" s="1" t="n">
        <v>45734</v>
      </c>
      <c r="D2614" t="inlineStr">
        <is>
          <t>JÄMTLANDS LÄN</t>
        </is>
      </c>
      <c r="E2614" t="inlineStr">
        <is>
          <t>STRÖMSUND</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57729-2023</t>
        </is>
      </c>
      <c r="B2615" s="1" t="n">
        <v>45243</v>
      </c>
      <c r="C2615" s="1" t="n">
        <v>45734</v>
      </c>
      <c r="D2615" t="inlineStr">
        <is>
          <t>JÄMTLANDS LÄN</t>
        </is>
      </c>
      <c r="E2615" t="inlineStr">
        <is>
          <t>STRÖMSUND</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57804-2023</t>
        </is>
      </c>
      <c r="B2616" s="1" t="n">
        <v>45243</v>
      </c>
      <c r="C2616" s="1" t="n">
        <v>45734</v>
      </c>
      <c r="D2616" t="inlineStr">
        <is>
          <t>JÄMTLANDS LÄN</t>
        </is>
      </c>
      <c r="E2616" t="inlineStr">
        <is>
          <t>STRÖMSUND</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57055-2023</t>
        </is>
      </c>
      <c r="B2617" s="1" t="n">
        <v>45244</v>
      </c>
      <c r="C2617" s="1" t="n">
        <v>45734</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57048-2023</t>
        </is>
      </c>
      <c r="B2618" s="1" t="n">
        <v>45244</v>
      </c>
      <c r="C2618" s="1" t="n">
        <v>45734</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57068-2023</t>
        </is>
      </c>
      <c r="B2619" s="1" t="n">
        <v>45244</v>
      </c>
      <c r="C2619" s="1" t="n">
        <v>45734</v>
      </c>
      <c r="D2619" t="inlineStr">
        <is>
          <t>JÄMTLANDS LÄN</t>
        </is>
      </c>
      <c r="E2619" t="inlineStr">
        <is>
          <t>STRÖMSUND</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57084-2023</t>
        </is>
      </c>
      <c r="B2620" s="1" t="n">
        <v>45245</v>
      </c>
      <c r="C2620" s="1" t="n">
        <v>45734</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57083-2023</t>
        </is>
      </c>
      <c r="B2621" s="1" t="n">
        <v>45244</v>
      </c>
      <c r="C2621" s="1" t="n">
        <v>45734</v>
      </c>
      <c r="D2621" t="inlineStr">
        <is>
          <t>JÄMTLANDS LÄN</t>
        </is>
      </c>
      <c r="E2621" t="inlineStr">
        <is>
          <t>STRÖMSUND</t>
        </is>
      </c>
      <c r="F2621" t="inlineStr">
        <is>
          <t>SCA</t>
        </is>
      </c>
      <c r="G2621" t="n">
        <v>31.1</v>
      </c>
      <c r="H2621" t="n">
        <v>0</v>
      </c>
      <c r="I2621" t="n">
        <v>0</v>
      </c>
      <c r="J2621" t="n">
        <v>0</v>
      </c>
      <c r="K2621" t="n">
        <v>0</v>
      </c>
      <c r="L2621" t="n">
        <v>0</v>
      </c>
      <c r="M2621" t="n">
        <v>0</v>
      </c>
      <c r="N2621" t="n">
        <v>0</v>
      </c>
      <c r="O2621" t="n">
        <v>0</v>
      </c>
      <c r="P2621" t="n">
        <v>0</v>
      </c>
      <c r="Q2621" t="n">
        <v>0</v>
      </c>
      <c r="R2621" s="2" t="inlineStr"/>
    </row>
    <row r="2622" ht="15" customHeight="1">
      <c r="A2622" t="inlineStr">
        <is>
          <t>A 57082-2023</t>
        </is>
      </c>
      <c r="B2622" s="1" t="n">
        <v>45245</v>
      </c>
      <c r="C2622" s="1" t="n">
        <v>45734</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57049-2023</t>
        </is>
      </c>
      <c r="B2623" s="1" t="n">
        <v>45244</v>
      </c>
      <c r="C2623" s="1" t="n">
        <v>45734</v>
      </c>
      <c r="D2623" t="inlineStr">
        <is>
          <t>JÄMTLANDS LÄN</t>
        </is>
      </c>
      <c r="E2623" t="inlineStr">
        <is>
          <t>STRÖMSUND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57069-2023</t>
        </is>
      </c>
      <c r="B2624" s="1" t="n">
        <v>45244</v>
      </c>
      <c r="C2624" s="1" t="n">
        <v>45734</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57077-2023</t>
        </is>
      </c>
      <c r="B2625" s="1" t="n">
        <v>45245</v>
      </c>
      <c r="C2625" s="1" t="n">
        <v>45734</v>
      </c>
      <c r="D2625" t="inlineStr">
        <is>
          <t>JÄMTLANDS LÄN</t>
        </is>
      </c>
      <c r="E2625" t="inlineStr">
        <is>
          <t>STRÖMSUND</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57081-2023</t>
        </is>
      </c>
      <c r="B2626" s="1" t="n">
        <v>45244</v>
      </c>
      <c r="C2626" s="1" t="n">
        <v>45734</v>
      </c>
      <c r="D2626" t="inlineStr">
        <is>
          <t>JÄMTLANDS LÄN</t>
        </is>
      </c>
      <c r="E2626" t="inlineStr">
        <is>
          <t>STRÖMSUND</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57416-2023</t>
        </is>
      </c>
      <c r="B2627" s="1" t="n">
        <v>45245</v>
      </c>
      <c r="C2627" s="1" t="n">
        <v>45734</v>
      </c>
      <c r="D2627" t="inlineStr">
        <is>
          <t>JÄMTLANDS LÄN</t>
        </is>
      </c>
      <c r="E2627" t="inlineStr">
        <is>
          <t>STRÖMSUND</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57382-2023</t>
        </is>
      </c>
      <c r="B2628" s="1" t="n">
        <v>45245</v>
      </c>
      <c r="C2628" s="1" t="n">
        <v>45734</v>
      </c>
      <c r="D2628" t="inlineStr">
        <is>
          <t>JÄMTLANDS LÄN</t>
        </is>
      </c>
      <c r="E2628" t="inlineStr">
        <is>
          <t>STRÖMSUND</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57385-2023</t>
        </is>
      </c>
      <c r="B2629" s="1" t="n">
        <v>45245</v>
      </c>
      <c r="C2629" s="1" t="n">
        <v>45734</v>
      </c>
      <c r="D2629" t="inlineStr">
        <is>
          <t>JÄMTLANDS LÄN</t>
        </is>
      </c>
      <c r="E2629" t="inlineStr">
        <is>
          <t>STRÖMSUND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57383-2023</t>
        </is>
      </c>
      <c r="B2630" s="1" t="n">
        <v>45245</v>
      </c>
      <c r="C2630" s="1" t="n">
        <v>45734</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57387-2023</t>
        </is>
      </c>
      <c r="B2631" s="1" t="n">
        <v>45245</v>
      </c>
      <c r="C2631" s="1" t="n">
        <v>45734</v>
      </c>
      <c r="D2631" t="inlineStr">
        <is>
          <t>JÄMTLANDS LÄN</t>
        </is>
      </c>
      <c r="E2631" t="inlineStr">
        <is>
          <t>STRÖMSUND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57415-2023</t>
        </is>
      </c>
      <c r="B2632" s="1" t="n">
        <v>45246</v>
      </c>
      <c r="C2632" s="1" t="n">
        <v>45734</v>
      </c>
      <c r="D2632" t="inlineStr">
        <is>
          <t>JÄMTLANDS LÄN</t>
        </is>
      </c>
      <c r="E2632" t="inlineStr">
        <is>
          <t>STRÖMSUND</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57501-2023</t>
        </is>
      </c>
      <c r="B2633" s="1" t="n">
        <v>45246</v>
      </c>
      <c r="C2633" s="1" t="n">
        <v>45734</v>
      </c>
      <c r="D2633" t="inlineStr">
        <is>
          <t>JÄMTLANDS LÄN</t>
        </is>
      </c>
      <c r="E2633" t="inlineStr">
        <is>
          <t>STRÖMSUND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57581-2023</t>
        </is>
      </c>
      <c r="B2634" s="1" t="n">
        <v>45246</v>
      </c>
      <c r="C2634" s="1" t="n">
        <v>45734</v>
      </c>
      <c r="D2634" t="inlineStr">
        <is>
          <t>JÄMTLANDS LÄN</t>
        </is>
      </c>
      <c r="E2634" t="inlineStr">
        <is>
          <t>STRÖMSUND</t>
        </is>
      </c>
      <c r="F2634" t="inlineStr">
        <is>
          <t>Holmen skog AB</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57450-2023</t>
        </is>
      </c>
      <c r="B2635" s="1" t="n">
        <v>45246</v>
      </c>
      <c r="C2635" s="1" t="n">
        <v>45734</v>
      </c>
      <c r="D2635" t="inlineStr">
        <is>
          <t>JÄMTLANDS LÄN</t>
        </is>
      </c>
      <c r="E2635" t="inlineStr">
        <is>
          <t>STRÖMSUND</t>
        </is>
      </c>
      <c r="F2635" t="inlineStr">
        <is>
          <t>Holmen skog AB</t>
        </is>
      </c>
      <c r="G2635" t="n">
        <v>19.5</v>
      </c>
      <c r="H2635" t="n">
        <v>0</v>
      </c>
      <c r="I2635" t="n">
        <v>0</v>
      </c>
      <c r="J2635" t="n">
        <v>0</v>
      </c>
      <c r="K2635" t="n">
        <v>0</v>
      </c>
      <c r="L2635" t="n">
        <v>0</v>
      </c>
      <c r="M2635" t="n">
        <v>0</v>
      </c>
      <c r="N2635" t="n">
        <v>0</v>
      </c>
      <c r="O2635" t="n">
        <v>0</v>
      </c>
      <c r="P2635" t="n">
        <v>0</v>
      </c>
      <c r="Q2635" t="n">
        <v>0</v>
      </c>
      <c r="R2635" s="2" t="inlineStr"/>
    </row>
    <row r="2636" ht="15" customHeight="1">
      <c r="A2636" t="inlineStr">
        <is>
          <t>A 57454-2023</t>
        </is>
      </c>
      <c r="B2636" s="1" t="n">
        <v>45246</v>
      </c>
      <c r="C2636" s="1" t="n">
        <v>45734</v>
      </c>
      <c r="D2636" t="inlineStr">
        <is>
          <t>JÄMTLANDS LÄN</t>
        </is>
      </c>
      <c r="E2636" t="inlineStr">
        <is>
          <t>STRÖMSUND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57499-2023</t>
        </is>
      </c>
      <c r="B2637" s="1" t="n">
        <v>45246</v>
      </c>
      <c r="C2637" s="1" t="n">
        <v>45734</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57504-2023</t>
        </is>
      </c>
      <c r="B2638" s="1" t="n">
        <v>45246</v>
      </c>
      <c r="C2638" s="1" t="n">
        <v>45734</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57507-2023</t>
        </is>
      </c>
      <c r="B2639" s="1" t="n">
        <v>45246</v>
      </c>
      <c r="C2639" s="1" t="n">
        <v>45734</v>
      </c>
      <c r="D2639" t="inlineStr">
        <is>
          <t>JÄMTLANDS LÄN</t>
        </is>
      </c>
      <c r="E2639" t="inlineStr">
        <is>
          <t>STRÖMSUND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57540-2023</t>
        </is>
      </c>
      <c r="B2640" s="1" t="n">
        <v>45246</v>
      </c>
      <c r="C2640" s="1" t="n">
        <v>45734</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57549-2023</t>
        </is>
      </c>
      <c r="B2641" s="1" t="n">
        <v>45246</v>
      </c>
      <c r="C2641" s="1" t="n">
        <v>45734</v>
      </c>
      <c r="D2641" t="inlineStr">
        <is>
          <t>JÄMTLANDS LÄN</t>
        </is>
      </c>
      <c r="E2641" t="inlineStr">
        <is>
          <t>STRÖMSUND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57445-2023</t>
        </is>
      </c>
      <c r="B2642" s="1" t="n">
        <v>45246</v>
      </c>
      <c r="C2642" s="1" t="n">
        <v>45734</v>
      </c>
      <c r="D2642" t="inlineStr">
        <is>
          <t>JÄMTLANDS LÄN</t>
        </is>
      </c>
      <c r="E2642" t="inlineStr">
        <is>
          <t>STRÖMSUND</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57537-2023</t>
        </is>
      </c>
      <c r="B2643" s="1" t="n">
        <v>45246</v>
      </c>
      <c r="C2643" s="1" t="n">
        <v>45734</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57542-2023</t>
        </is>
      </c>
      <c r="B2644" s="1" t="n">
        <v>45246</v>
      </c>
      <c r="C2644" s="1" t="n">
        <v>45734</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57748-2023</t>
        </is>
      </c>
      <c r="B2645" s="1" t="n">
        <v>45246</v>
      </c>
      <c r="C2645" s="1" t="n">
        <v>45734</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57596-2023</t>
        </is>
      </c>
      <c r="B2646" s="1" t="n">
        <v>45246</v>
      </c>
      <c r="C2646" s="1" t="n">
        <v>45734</v>
      </c>
      <c r="D2646" t="inlineStr">
        <is>
          <t>JÄMTLANDS LÄN</t>
        </is>
      </c>
      <c r="E2646" t="inlineStr">
        <is>
          <t>STRÖMSUND</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57789-2023</t>
        </is>
      </c>
      <c r="B2647" s="1" t="n">
        <v>45247</v>
      </c>
      <c r="C2647" s="1" t="n">
        <v>45734</v>
      </c>
      <c r="D2647" t="inlineStr">
        <is>
          <t>JÄMTLANDS LÄN</t>
        </is>
      </c>
      <c r="E2647" t="inlineStr">
        <is>
          <t>STRÖMSUND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58584-2023</t>
        </is>
      </c>
      <c r="B2648" s="1" t="n">
        <v>45246</v>
      </c>
      <c r="C2648" s="1" t="n">
        <v>45734</v>
      </c>
      <c r="D2648" t="inlineStr">
        <is>
          <t>JÄMTLANDS LÄN</t>
        </is>
      </c>
      <c r="E2648" t="inlineStr">
        <is>
          <t>STRÖMSUND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57907-2023</t>
        </is>
      </c>
      <c r="B2649" s="1" t="n">
        <v>45247</v>
      </c>
      <c r="C2649" s="1" t="n">
        <v>45734</v>
      </c>
      <c r="D2649" t="inlineStr">
        <is>
          <t>JÄMTLANDS LÄN</t>
        </is>
      </c>
      <c r="E2649" t="inlineStr">
        <is>
          <t>STRÖMSUND</t>
        </is>
      </c>
      <c r="F2649" t="inlineStr">
        <is>
          <t>Kyrkan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57912-2023</t>
        </is>
      </c>
      <c r="B2650" s="1" t="n">
        <v>45247</v>
      </c>
      <c r="C2650" s="1" t="n">
        <v>45734</v>
      </c>
      <c r="D2650" t="inlineStr">
        <is>
          <t>JÄMTLANDS LÄN</t>
        </is>
      </c>
      <c r="E2650" t="inlineStr">
        <is>
          <t>STRÖMSUND</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57894-2023</t>
        </is>
      </c>
      <c r="B2651" s="1" t="n">
        <v>45247</v>
      </c>
      <c r="C2651" s="1" t="n">
        <v>45734</v>
      </c>
      <c r="D2651" t="inlineStr">
        <is>
          <t>JÄMTLANDS LÄN</t>
        </is>
      </c>
      <c r="E2651" t="inlineStr">
        <is>
          <t>STRÖMSUND</t>
        </is>
      </c>
      <c r="F2651" t="inlineStr">
        <is>
          <t>Kyrkan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57905-2023</t>
        </is>
      </c>
      <c r="B2652" s="1" t="n">
        <v>45247</v>
      </c>
      <c r="C2652" s="1" t="n">
        <v>45734</v>
      </c>
      <c r="D2652" t="inlineStr">
        <is>
          <t>JÄMTLANDS LÄN</t>
        </is>
      </c>
      <c r="E2652" t="inlineStr">
        <is>
          <t>STRÖMSUND</t>
        </is>
      </c>
      <c r="F2652" t="inlineStr">
        <is>
          <t>Kyrkan</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58076-2023</t>
        </is>
      </c>
      <c r="B2653" s="1" t="n">
        <v>45247</v>
      </c>
      <c r="C2653" s="1" t="n">
        <v>45734</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58152-2023</t>
        </is>
      </c>
      <c r="B2654" s="1" t="n">
        <v>45250</v>
      </c>
      <c r="C2654" s="1" t="n">
        <v>45734</v>
      </c>
      <c r="D2654" t="inlineStr">
        <is>
          <t>JÄMTLANDS LÄN</t>
        </is>
      </c>
      <c r="E2654" t="inlineStr">
        <is>
          <t>STRÖMSUND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58446-2023</t>
        </is>
      </c>
      <c r="B2655" s="1" t="n">
        <v>45250</v>
      </c>
      <c r="C2655" s="1" t="n">
        <v>45734</v>
      </c>
      <c r="D2655" t="inlineStr">
        <is>
          <t>JÄMTLANDS LÄN</t>
        </is>
      </c>
      <c r="E2655" t="inlineStr">
        <is>
          <t>STRÖMSUND</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58445-2023</t>
        </is>
      </c>
      <c r="B2656" s="1" t="n">
        <v>45250</v>
      </c>
      <c r="C2656" s="1" t="n">
        <v>45734</v>
      </c>
      <c r="D2656" t="inlineStr">
        <is>
          <t>JÄMTLANDS LÄN</t>
        </is>
      </c>
      <c r="E2656" t="inlineStr">
        <is>
          <t>STRÖMSUND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58580-2023</t>
        </is>
      </c>
      <c r="B2657" s="1" t="n">
        <v>45251</v>
      </c>
      <c r="C2657" s="1" t="n">
        <v>45734</v>
      </c>
      <c r="D2657" t="inlineStr">
        <is>
          <t>JÄMTLANDS LÄN</t>
        </is>
      </c>
      <c r="E2657" t="inlineStr">
        <is>
          <t>STRÖMSUND</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58587-2023</t>
        </is>
      </c>
      <c r="B2658" s="1" t="n">
        <v>45251</v>
      </c>
      <c r="C2658" s="1" t="n">
        <v>45734</v>
      </c>
      <c r="D2658" t="inlineStr">
        <is>
          <t>JÄMTLANDS LÄN</t>
        </is>
      </c>
      <c r="E2658" t="inlineStr">
        <is>
          <t>STRÖMSUND</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59108-2023</t>
        </is>
      </c>
      <c r="B2659" s="1" t="n">
        <v>45251</v>
      </c>
      <c r="C2659" s="1" t="n">
        <v>45734</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59149-2023</t>
        </is>
      </c>
      <c r="B2660" s="1" t="n">
        <v>45251</v>
      </c>
      <c r="C2660" s="1" t="n">
        <v>45734</v>
      </c>
      <c r="D2660" t="inlineStr">
        <is>
          <t>JÄMTLANDS LÄN</t>
        </is>
      </c>
      <c r="E2660" t="inlineStr">
        <is>
          <t>STRÖMSUND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58871-2023</t>
        </is>
      </c>
      <c r="B2661" s="1" t="n">
        <v>45252</v>
      </c>
      <c r="C2661" s="1" t="n">
        <v>45734</v>
      </c>
      <c r="D2661" t="inlineStr">
        <is>
          <t>JÄMTLANDS LÄN</t>
        </is>
      </c>
      <c r="E2661" t="inlineStr">
        <is>
          <t>STRÖMSUND</t>
        </is>
      </c>
      <c r="F2661" t="inlineStr">
        <is>
          <t>Holmen skog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58881-2023</t>
        </is>
      </c>
      <c r="B2662" s="1" t="n">
        <v>45252</v>
      </c>
      <c r="C2662" s="1" t="n">
        <v>45734</v>
      </c>
      <c r="D2662" t="inlineStr">
        <is>
          <t>JÄMTLANDS LÄN</t>
        </is>
      </c>
      <c r="E2662" t="inlineStr">
        <is>
          <t>STRÖMSUND</t>
        </is>
      </c>
      <c r="F2662" t="inlineStr">
        <is>
          <t>Holmen skog AB</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59097-2023</t>
        </is>
      </c>
      <c r="B2663" s="1" t="n">
        <v>45253</v>
      </c>
      <c r="C2663" s="1" t="n">
        <v>45734</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59334-2023</t>
        </is>
      </c>
      <c r="B2664" s="1" t="n">
        <v>45252</v>
      </c>
      <c r="C2664" s="1" t="n">
        <v>45734</v>
      </c>
      <c r="D2664" t="inlineStr">
        <is>
          <t>JÄMTLANDS LÄN</t>
        </is>
      </c>
      <c r="E2664" t="inlineStr">
        <is>
          <t>STRÖMSUND</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59360-2023</t>
        </is>
      </c>
      <c r="B2665" s="1" t="n">
        <v>45253</v>
      </c>
      <c r="C2665" s="1" t="n">
        <v>45734</v>
      </c>
      <c r="D2665" t="inlineStr">
        <is>
          <t>JÄMTLANDS LÄN</t>
        </is>
      </c>
      <c r="E2665" t="inlineStr">
        <is>
          <t>STRÖMSUND</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59358-2023</t>
        </is>
      </c>
      <c r="B2666" s="1" t="n">
        <v>45253</v>
      </c>
      <c r="C2666" s="1" t="n">
        <v>45734</v>
      </c>
      <c r="D2666" t="inlineStr">
        <is>
          <t>JÄMTLANDS LÄN</t>
        </is>
      </c>
      <c r="E2666" t="inlineStr">
        <is>
          <t>STRÖMSUND</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59403-2023</t>
        </is>
      </c>
      <c r="B2667" s="1" t="n">
        <v>45253</v>
      </c>
      <c r="C2667" s="1" t="n">
        <v>45734</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59436-2023</t>
        </is>
      </c>
      <c r="B2668" s="1" t="n">
        <v>45253</v>
      </c>
      <c r="C2668" s="1" t="n">
        <v>45734</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59506-2023</t>
        </is>
      </c>
      <c r="B2669" s="1" t="n">
        <v>45253</v>
      </c>
      <c r="C2669" s="1" t="n">
        <v>45734</v>
      </c>
      <c r="D2669" t="inlineStr">
        <is>
          <t>JÄMTLANDS LÄN</t>
        </is>
      </c>
      <c r="E2669" t="inlineStr">
        <is>
          <t>STRÖMSUND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59476-2023</t>
        </is>
      </c>
      <c r="B2670" s="1" t="n">
        <v>45254</v>
      </c>
      <c r="C2670" s="1" t="n">
        <v>45734</v>
      </c>
      <c r="D2670" t="inlineStr">
        <is>
          <t>JÄMTLANDS LÄN</t>
        </is>
      </c>
      <c r="E2670" t="inlineStr">
        <is>
          <t>STRÖMSUND</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59469-2023</t>
        </is>
      </c>
      <c r="B2671" s="1" t="n">
        <v>45254</v>
      </c>
      <c r="C2671" s="1" t="n">
        <v>45734</v>
      </c>
      <c r="D2671" t="inlineStr">
        <is>
          <t>JÄMTLANDS LÄN</t>
        </is>
      </c>
      <c r="E2671" t="inlineStr">
        <is>
          <t>STRÖMSUND</t>
        </is>
      </c>
      <c r="F2671" t="inlineStr">
        <is>
          <t>Holmen skog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59478-2023</t>
        </is>
      </c>
      <c r="B2672" s="1" t="n">
        <v>45254</v>
      </c>
      <c r="C2672" s="1" t="n">
        <v>45734</v>
      </c>
      <c r="D2672" t="inlineStr">
        <is>
          <t>JÄMTLANDS LÄN</t>
        </is>
      </c>
      <c r="E2672" t="inlineStr">
        <is>
          <t>STRÖMSUND</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59969-2023</t>
        </is>
      </c>
      <c r="B2673" s="1" t="n">
        <v>45254</v>
      </c>
      <c r="C2673" s="1" t="n">
        <v>45734</v>
      </c>
      <c r="D2673" t="inlineStr">
        <is>
          <t>JÄMTLANDS LÄN</t>
        </is>
      </c>
      <c r="E2673" t="inlineStr">
        <is>
          <t>STRÖMSUND</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59967-2023</t>
        </is>
      </c>
      <c r="B2674" s="1" t="n">
        <v>45254</v>
      </c>
      <c r="C2674" s="1" t="n">
        <v>45734</v>
      </c>
      <c r="D2674" t="inlineStr">
        <is>
          <t>JÄMTLANDS LÄN</t>
        </is>
      </c>
      <c r="E2674" t="inlineStr">
        <is>
          <t>STRÖMSUND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59742-2023</t>
        </is>
      </c>
      <c r="B2675" s="1" t="n">
        <v>45257</v>
      </c>
      <c r="C2675" s="1" t="n">
        <v>45734</v>
      </c>
      <c r="D2675" t="inlineStr">
        <is>
          <t>JÄMTLANDS LÄN</t>
        </is>
      </c>
      <c r="E2675" t="inlineStr">
        <is>
          <t>STRÖMSUND</t>
        </is>
      </c>
      <c r="F2675" t="inlineStr">
        <is>
          <t>Sveaskog</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60175-2023</t>
        </is>
      </c>
      <c r="B2676" s="1" t="n">
        <v>45257</v>
      </c>
      <c r="C2676" s="1" t="n">
        <v>45734</v>
      </c>
      <c r="D2676" t="inlineStr">
        <is>
          <t>JÄMTLANDS LÄN</t>
        </is>
      </c>
      <c r="E2676" t="inlineStr">
        <is>
          <t>STRÖMSUND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60009-2023</t>
        </is>
      </c>
      <c r="B2677" s="1" t="n">
        <v>45258</v>
      </c>
      <c r="C2677" s="1" t="n">
        <v>45734</v>
      </c>
      <c r="D2677" t="inlineStr">
        <is>
          <t>JÄMTLANDS LÄN</t>
        </is>
      </c>
      <c r="E2677" t="inlineStr">
        <is>
          <t>STRÖMSUND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60014-2023</t>
        </is>
      </c>
      <c r="B2678" s="1" t="n">
        <v>45258</v>
      </c>
      <c r="C2678" s="1" t="n">
        <v>45734</v>
      </c>
      <c r="D2678" t="inlineStr">
        <is>
          <t>JÄMTLANDS LÄN</t>
        </is>
      </c>
      <c r="E2678" t="inlineStr">
        <is>
          <t>STRÖMSUND</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60166-2023</t>
        </is>
      </c>
      <c r="B2679" s="1" t="n">
        <v>45257</v>
      </c>
      <c r="C2679" s="1" t="n">
        <v>45734</v>
      </c>
      <c r="D2679" t="inlineStr">
        <is>
          <t>JÄMTLANDS LÄN</t>
        </is>
      </c>
      <c r="E2679" t="inlineStr">
        <is>
          <t>STRÖMSUND</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60010-2023</t>
        </is>
      </c>
      <c r="B2680" s="1" t="n">
        <v>45257</v>
      </c>
      <c r="C2680" s="1" t="n">
        <v>45734</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60517-2023</t>
        </is>
      </c>
      <c r="B2681" s="1" t="n">
        <v>45257</v>
      </c>
      <c r="C2681" s="1" t="n">
        <v>45734</v>
      </c>
      <c r="D2681" t="inlineStr">
        <is>
          <t>JÄMTLANDS LÄN</t>
        </is>
      </c>
      <c r="E2681" t="inlineStr">
        <is>
          <t>STRÖMSUND</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60078-2023</t>
        </is>
      </c>
      <c r="B2682" s="1" t="n">
        <v>45258</v>
      </c>
      <c r="C2682" s="1" t="n">
        <v>45734</v>
      </c>
      <c r="D2682" t="inlineStr">
        <is>
          <t>JÄMTLANDS LÄN</t>
        </is>
      </c>
      <c r="E2682" t="inlineStr">
        <is>
          <t>STRÖMSUND</t>
        </is>
      </c>
      <c r="F2682" t="inlineStr">
        <is>
          <t>Holmen skog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60334-2023</t>
        </is>
      </c>
      <c r="B2683" s="1" t="n">
        <v>45258</v>
      </c>
      <c r="C2683" s="1" t="n">
        <v>45734</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60335-2023</t>
        </is>
      </c>
      <c r="B2684" s="1" t="n">
        <v>45258</v>
      </c>
      <c r="C2684" s="1" t="n">
        <v>45734</v>
      </c>
      <c r="D2684" t="inlineStr">
        <is>
          <t>JÄMTLANDS LÄN</t>
        </is>
      </c>
      <c r="E2684" t="inlineStr">
        <is>
          <t>STRÖMSUND</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60661-2023</t>
        </is>
      </c>
      <c r="B2685" s="1" t="n">
        <v>45259</v>
      </c>
      <c r="C2685" s="1" t="n">
        <v>45734</v>
      </c>
      <c r="D2685" t="inlineStr">
        <is>
          <t>JÄMTLANDS LÄN</t>
        </is>
      </c>
      <c r="E2685" t="inlineStr">
        <is>
          <t>STRÖMSUND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60684-2023</t>
        </is>
      </c>
      <c r="B2686" s="1" t="n">
        <v>45259</v>
      </c>
      <c r="C2686" s="1" t="n">
        <v>45734</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60726-2023</t>
        </is>
      </c>
      <c r="B2687" s="1" t="n">
        <v>45259</v>
      </c>
      <c r="C2687" s="1" t="n">
        <v>45734</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60848-2023</t>
        </is>
      </c>
      <c r="B2688" s="1" t="n">
        <v>45260</v>
      </c>
      <c r="C2688" s="1" t="n">
        <v>45734</v>
      </c>
      <c r="D2688" t="inlineStr">
        <is>
          <t>JÄMTLANDS LÄN</t>
        </is>
      </c>
      <c r="E2688" t="inlineStr">
        <is>
          <t>STRÖMSUND</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60850-2023</t>
        </is>
      </c>
      <c r="B2689" s="1" t="n">
        <v>45260</v>
      </c>
      <c r="C2689" s="1" t="n">
        <v>45734</v>
      </c>
      <c r="D2689" t="inlineStr">
        <is>
          <t>JÄMTLANDS LÄN</t>
        </is>
      </c>
      <c r="E2689" t="inlineStr">
        <is>
          <t>STRÖMSUND</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60849-2023</t>
        </is>
      </c>
      <c r="B2690" s="1" t="n">
        <v>45260</v>
      </c>
      <c r="C2690" s="1" t="n">
        <v>45734</v>
      </c>
      <c r="D2690" t="inlineStr">
        <is>
          <t>JÄMTLANDS LÄN</t>
        </is>
      </c>
      <c r="E2690" t="inlineStr">
        <is>
          <t>STRÖMSUND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60894-2023</t>
        </is>
      </c>
      <c r="B2691" s="1" t="n">
        <v>45261</v>
      </c>
      <c r="C2691" s="1" t="n">
        <v>45734</v>
      </c>
      <c r="D2691" t="inlineStr">
        <is>
          <t>JÄMTLANDS LÄN</t>
        </is>
      </c>
      <c r="E2691" t="inlineStr">
        <is>
          <t>STRÖMSUND</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61131-2023</t>
        </is>
      </c>
      <c r="B2692" s="1" t="n">
        <v>45261</v>
      </c>
      <c r="C2692" s="1" t="n">
        <v>45734</v>
      </c>
      <c r="D2692" t="inlineStr">
        <is>
          <t>JÄMTLANDS LÄN</t>
        </is>
      </c>
      <c r="E2692" t="inlineStr">
        <is>
          <t>STRÖMSUND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61136-2023</t>
        </is>
      </c>
      <c r="B2693" s="1" t="n">
        <v>45261</v>
      </c>
      <c r="C2693" s="1" t="n">
        <v>45734</v>
      </c>
      <c r="D2693" t="inlineStr">
        <is>
          <t>JÄMTLANDS LÄN</t>
        </is>
      </c>
      <c r="E2693" t="inlineStr">
        <is>
          <t>STRÖMSUND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61494-2023</t>
        </is>
      </c>
      <c r="B2694" s="1" t="n">
        <v>45264</v>
      </c>
      <c r="C2694" s="1" t="n">
        <v>45734</v>
      </c>
      <c r="D2694" t="inlineStr">
        <is>
          <t>JÄMTLANDS LÄN</t>
        </is>
      </c>
      <c r="E2694" t="inlineStr">
        <is>
          <t>STRÖMSUND</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61500-2023</t>
        </is>
      </c>
      <c r="B2695" s="1" t="n">
        <v>45264</v>
      </c>
      <c r="C2695" s="1" t="n">
        <v>45734</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61833-2023</t>
        </is>
      </c>
      <c r="B2696" s="1" t="n">
        <v>45264</v>
      </c>
      <c r="C2696" s="1" t="n">
        <v>45734</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62356-2023</t>
        </is>
      </c>
      <c r="B2697" s="1" t="n">
        <v>45267</v>
      </c>
      <c r="C2697" s="1" t="n">
        <v>45734</v>
      </c>
      <c r="D2697" t="inlineStr">
        <is>
          <t>JÄMTLANDS LÄN</t>
        </is>
      </c>
      <c r="E2697" t="inlineStr">
        <is>
          <t>STRÖMSUND</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62543-2023</t>
        </is>
      </c>
      <c r="B2698" s="1" t="n">
        <v>45267</v>
      </c>
      <c r="C2698" s="1" t="n">
        <v>45734</v>
      </c>
      <c r="D2698" t="inlineStr">
        <is>
          <t>JÄMTLANDS LÄN</t>
        </is>
      </c>
      <c r="E2698" t="inlineStr">
        <is>
          <t>STRÖMSUND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62544-2023</t>
        </is>
      </c>
      <c r="B2699" s="1" t="n">
        <v>45267</v>
      </c>
      <c r="C2699" s="1" t="n">
        <v>45734</v>
      </c>
      <c r="D2699" t="inlineStr">
        <is>
          <t>JÄMTLANDS LÄN</t>
        </is>
      </c>
      <c r="E2699" t="inlineStr">
        <is>
          <t>STRÖMSUND</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62470-2023</t>
        </is>
      </c>
      <c r="B2700" s="1" t="n">
        <v>45267</v>
      </c>
      <c r="C2700" s="1" t="n">
        <v>45734</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62493-2023</t>
        </is>
      </c>
      <c r="B2701" s="1" t="n">
        <v>45268</v>
      </c>
      <c r="C2701" s="1" t="n">
        <v>45734</v>
      </c>
      <c r="D2701" t="inlineStr">
        <is>
          <t>JÄMTLANDS LÄN</t>
        </is>
      </c>
      <c r="E2701" t="inlineStr">
        <is>
          <t>STRÖMSUND</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62760-2023</t>
        </is>
      </c>
      <c r="B2702" s="1" t="n">
        <v>45268</v>
      </c>
      <c r="C2702" s="1" t="n">
        <v>45734</v>
      </c>
      <c r="D2702" t="inlineStr">
        <is>
          <t>JÄMTLANDS LÄN</t>
        </is>
      </c>
      <c r="E2702" t="inlineStr">
        <is>
          <t>STRÖMSUND</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63054-2023</t>
        </is>
      </c>
      <c r="B2703" s="1" t="n">
        <v>45272</v>
      </c>
      <c r="C2703" s="1" t="n">
        <v>45734</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63140-2023</t>
        </is>
      </c>
      <c r="B2704" s="1" t="n">
        <v>45273</v>
      </c>
      <c r="C2704" s="1" t="n">
        <v>45734</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63286-2023</t>
        </is>
      </c>
      <c r="B2705" s="1" t="n">
        <v>45273</v>
      </c>
      <c r="C2705" s="1" t="n">
        <v>45734</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63362-2023</t>
        </is>
      </c>
      <c r="B2706" s="1" t="n">
        <v>45273</v>
      </c>
      <c r="C2706" s="1" t="n">
        <v>45734</v>
      </c>
      <c r="D2706" t="inlineStr">
        <is>
          <t>JÄMTLANDS LÄN</t>
        </is>
      </c>
      <c r="E2706" t="inlineStr">
        <is>
          <t>STRÖMSUND</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63354-2023</t>
        </is>
      </c>
      <c r="B2707" s="1" t="n">
        <v>45273</v>
      </c>
      <c r="C2707" s="1" t="n">
        <v>45734</v>
      </c>
      <c r="D2707" t="inlineStr">
        <is>
          <t>JÄMTLANDS LÄN</t>
        </is>
      </c>
      <c r="E2707" t="inlineStr">
        <is>
          <t>STRÖMSUND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63287-2023</t>
        </is>
      </c>
      <c r="B2708" s="1" t="n">
        <v>45273</v>
      </c>
      <c r="C2708" s="1" t="n">
        <v>45734</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63291-2023</t>
        </is>
      </c>
      <c r="B2709" s="1" t="n">
        <v>45273</v>
      </c>
      <c r="C2709" s="1" t="n">
        <v>45734</v>
      </c>
      <c r="D2709" t="inlineStr">
        <is>
          <t>JÄMTLANDS LÄN</t>
        </is>
      </c>
      <c r="E2709" t="inlineStr">
        <is>
          <t>STRÖMSUND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63403-2023</t>
        </is>
      </c>
      <c r="B2710" s="1" t="n">
        <v>45274</v>
      </c>
      <c r="C2710" s="1" t="n">
        <v>45734</v>
      </c>
      <c r="D2710" t="inlineStr">
        <is>
          <t>JÄMTLANDS LÄN</t>
        </is>
      </c>
      <c r="E2710" t="inlineStr">
        <is>
          <t>STRÖMSUND</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63425-2023</t>
        </is>
      </c>
      <c r="B2711" s="1" t="n">
        <v>45274</v>
      </c>
      <c r="C2711" s="1" t="n">
        <v>45734</v>
      </c>
      <c r="D2711" t="inlineStr">
        <is>
          <t>JÄMTLANDS LÄN</t>
        </is>
      </c>
      <c r="E2711" t="inlineStr">
        <is>
          <t>STRÖMSUND</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63497-2023</t>
        </is>
      </c>
      <c r="B2712" s="1" t="n">
        <v>45274</v>
      </c>
      <c r="C2712" s="1" t="n">
        <v>45734</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63756-2023</t>
        </is>
      </c>
      <c r="B2713" s="1" t="n">
        <v>45278</v>
      </c>
      <c r="C2713" s="1" t="n">
        <v>45734</v>
      </c>
      <c r="D2713" t="inlineStr">
        <is>
          <t>JÄMTLANDS LÄN</t>
        </is>
      </c>
      <c r="E2713" t="inlineStr">
        <is>
          <t>STRÖMSUND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63754-2023</t>
        </is>
      </c>
      <c r="B2714" s="1" t="n">
        <v>45278</v>
      </c>
      <c r="C2714" s="1" t="n">
        <v>45734</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63753-2023</t>
        </is>
      </c>
      <c r="B2715" s="1" t="n">
        <v>45278</v>
      </c>
      <c r="C2715" s="1" t="n">
        <v>45734</v>
      </c>
      <c r="D2715" t="inlineStr">
        <is>
          <t>JÄMTLANDS LÄN</t>
        </is>
      </c>
      <c r="E2715" t="inlineStr">
        <is>
          <t>STRÖMSUND</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64007-2023</t>
        </is>
      </c>
      <c r="B2716" s="1" t="n">
        <v>45278</v>
      </c>
      <c r="C2716" s="1" t="n">
        <v>45734</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64149-2023</t>
        </is>
      </c>
      <c r="B2717" s="1" t="n">
        <v>45279</v>
      </c>
      <c r="C2717" s="1" t="n">
        <v>45734</v>
      </c>
      <c r="D2717" t="inlineStr">
        <is>
          <t>JÄMTLANDS LÄN</t>
        </is>
      </c>
      <c r="E2717" t="inlineStr">
        <is>
          <t>STRÖMSUND</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64437-2023</t>
        </is>
      </c>
      <c r="B2718" s="1" t="n">
        <v>45280</v>
      </c>
      <c r="C2718" s="1" t="n">
        <v>45734</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64505-2023</t>
        </is>
      </c>
      <c r="B2719" s="1" t="n">
        <v>45280</v>
      </c>
      <c r="C2719" s="1" t="n">
        <v>45734</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64559-2023</t>
        </is>
      </c>
      <c r="B2720" s="1" t="n">
        <v>45281</v>
      </c>
      <c r="C2720" s="1" t="n">
        <v>45734</v>
      </c>
      <c r="D2720" t="inlineStr">
        <is>
          <t>JÄMTLANDS LÄN</t>
        </is>
      </c>
      <c r="E2720" t="inlineStr">
        <is>
          <t>STRÖMSUND</t>
        </is>
      </c>
      <c r="F2720" t="inlineStr">
        <is>
          <t>Kyrkan</t>
        </is>
      </c>
      <c r="G2720" t="n">
        <v>16.2</v>
      </c>
      <c r="H2720" t="n">
        <v>0</v>
      </c>
      <c r="I2720" t="n">
        <v>0</v>
      </c>
      <c r="J2720" t="n">
        <v>0</v>
      </c>
      <c r="K2720" t="n">
        <v>0</v>
      </c>
      <c r="L2720" t="n">
        <v>0</v>
      </c>
      <c r="M2720" t="n">
        <v>0</v>
      </c>
      <c r="N2720" t="n">
        <v>0</v>
      </c>
      <c r="O2720" t="n">
        <v>0</v>
      </c>
      <c r="P2720" t="n">
        <v>0</v>
      </c>
      <c r="Q2720" t="n">
        <v>0</v>
      </c>
      <c r="R2720" s="2" t="inlineStr"/>
    </row>
    <row r="2721" ht="15" customHeight="1">
      <c r="A2721" t="inlineStr">
        <is>
          <t>A 64599-2023</t>
        </is>
      </c>
      <c r="B2721" s="1" t="n">
        <v>45281</v>
      </c>
      <c r="C2721" s="1" t="n">
        <v>45734</v>
      </c>
      <c r="D2721" t="inlineStr">
        <is>
          <t>JÄMTLANDS LÄN</t>
        </is>
      </c>
      <c r="E2721" t="inlineStr">
        <is>
          <t>STRÖMSUND</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64759-2023</t>
        </is>
      </c>
      <c r="B2722" s="1" t="n">
        <v>45282</v>
      </c>
      <c r="C2722" s="1" t="n">
        <v>45734</v>
      </c>
      <c r="D2722" t="inlineStr">
        <is>
          <t>JÄMTLANDS LÄN</t>
        </is>
      </c>
      <c r="E2722" t="inlineStr">
        <is>
          <t>STRÖMSUND</t>
        </is>
      </c>
      <c r="G2722" t="n">
        <v>25.2</v>
      </c>
      <c r="H2722" t="n">
        <v>0</v>
      </c>
      <c r="I2722" t="n">
        <v>0</v>
      </c>
      <c r="J2722" t="n">
        <v>0</v>
      </c>
      <c r="K2722" t="n">
        <v>0</v>
      </c>
      <c r="L2722" t="n">
        <v>0</v>
      </c>
      <c r="M2722" t="n">
        <v>0</v>
      </c>
      <c r="N2722" t="n">
        <v>0</v>
      </c>
      <c r="O2722" t="n">
        <v>0</v>
      </c>
      <c r="P2722" t="n">
        <v>0</v>
      </c>
      <c r="Q2722" t="n">
        <v>0</v>
      </c>
      <c r="R2722" s="2" t="inlineStr"/>
    </row>
    <row r="2723" ht="15" customHeight="1">
      <c r="A2723" t="inlineStr">
        <is>
          <t>A 6-2024</t>
        </is>
      </c>
      <c r="B2723" s="1" t="n">
        <v>45293</v>
      </c>
      <c r="C2723" s="1" t="n">
        <v>45734</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254-2024</t>
        </is>
      </c>
      <c r="B2724" s="1" t="n">
        <v>45294</v>
      </c>
      <c r="C2724" s="1" t="n">
        <v>45734</v>
      </c>
      <c r="D2724" t="inlineStr">
        <is>
          <t>JÄMTLANDS LÄN</t>
        </is>
      </c>
      <c r="E2724" t="inlineStr">
        <is>
          <t>STRÖMSUND</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247-2024</t>
        </is>
      </c>
      <c r="B2725" s="1" t="n">
        <v>45294</v>
      </c>
      <c r="C2725" s="1" t="n">
        <v>45734</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508-2024</t>
        </is>
      </c>
      <c r="B2726" s="1" t="n">
        <v>45299</v>
      </c>
      <c r="C2726" s="1" t="n">
        <v>45734</v>
      </c>
      <c r="D2726" t="inlineStr">
        <is>
          <t>JÄMTLANDS LÄN</t>
        </is>
      </c>
      <c r="E2726" t="inlineStr">
        <is>
          <t>STRÖMSUND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655-2024</t>
        </is>
      </c>
      <c r="B2727" s="1" t="n">
        <v>45299</v>
      </c>
      <c r="C2727" s="1" t="n">
        <v>45734</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872-2024</t>
        </is>
      </c>
      <c r="B2728" s="1" t="n">
        <v>45301</v>
      </c>
      <c r="C2728" s="1" t="n">
        <v>45734</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1053-2024</t>
        </is>
      </c>
      <c r="B2729" s="1" t="n">
        <v>45302</v>
      </c>
      <c r="C2729" s="1" t="n">
        <v>45734</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1055-2024</t>
        </is>
      </c>
      <c r="B2730" s="1" t="n">
        <v>45302</v>
      </c>
      <c r="C2730" s="1" t="n">
        <v>45734</v>
      </c>
      <c r="D2730" t="inlineStr">
        <is>
          <t>JÄMTLANDS LÄN</t>
        </is>
      </c>
      <c r="E2730" t="inlineStr">
        <is>
          <t>STRÖMSUND</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1226-2024</t>
        </is>
      </c>
      <c r="B2731" s="1" t="n">
        <v>45302</v>
      </c>
      <c r="C2731" s="1" t="n">
        <v>45734</v>
      </c>
      <c r="D2731" t="inlineStr">
        <is>
          <t>JÄMTLANDS LÄN</t>
        </is>
      </c>
      <c r="E2731" t="inlineStr">
        <is>
          <t>STRÖMSUND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1271-2024</t>
        </is>
      </c>
      <c r="B2732" s="1" t="n">
        <v>45302</v>
      </c>
      <c r="C2732" s="1" t="n">
        <v>45734</v>
      </c>
      <c r="D2732" t="inlineStr">
        <is>
          <t>JÄMTLANDS LÄN</t>
        </is>
      </c>
      <c r="E2732" t="inlineStr">
        <is>
          <t>STRÖMSUND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1113-2024</t>
        </is>
      </c>
      <c r="B2733" s="1" t="n">
        <v>45302</v>
      </c>
      <c r="C2733" s="1" t="n">
        <v>45734</v>
      </c>
      <c r="D2733" t="inlineStr">
        <is>
          <t>JÄMTLANDS LÄN</t>
        </is>
      </c>
      <c r="E2733" t="inlineStr">
        <is>
          <t>STRÖMSUND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1270-2024</t>
        </is>
      </c>
      <c r="B2734" s="1" t="n">
        <v>45302</v>
      </c>
      <c r="C2734" s="1" t="n">
        <v>45734</v>
      </c>
      <c r="D2734" t="inlineStr">
        <is>
          <t>JÄMTLANDS LÄN</t>
        </is>
      </c>
      <c r="E2734" t="inlineStr">
        <is>
          <t>STRÖMSUND</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1609-2024</t>
        </is>
      </c>
      <c r="B2735" s="1" t="n">
        <v>45306</v>
      </c>
      <c r="C2735" s="1" t="n">
        <v>45734</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1676-2024</t>
        </is>
      </c>
      <c r="B2736" s="1" t="n">
        <v>45307</v>
      </c>
      <c r="C2736" s="1" t="n">
        <v>45734</v>
      </c>
      <c r="D2736" t="inlineStr">
        <is>
          <t>JÄMTLANDS LÄN</t>
        </is>
      </c>
      <c r="E2736" t="inlineStr">
        <is>
          <t>STRÖMSUND</t>
        </is>
      </c>
      <c r="F2736" t="inlineStr">
        <is>
          <t>SCA</t>
        </is>
      </c>
      <c r="G2736" t="n">
        <v>29.6</v>
      </c>
      <c r="H2736" t="n">
        <v>0</v>
      </c>
      <c r="I2736" t="n">
        <v>0</v>
      </c>
      <c r="J2736" t="n">
        <v>0</v>
      </c>
      <c r="K2736" t="n">
        <v>0</v>
      </c>
      <c r="L2736" t="n">
        <v>0</v>
      </c>
      <c r="M2736" t="n">
        <v>0</v>
      </c>
      <c r="N2736" t="n">
        <v>0</v>
      </c>
      <c r="O2736" t="n">
        <v>0</v>
      </c>
      <c r="P2736" t="n">
        <v>0</v>
      </c>
      <c r="Q2736" t="n">
        <v>0</v>
      </c>
      <c r="R2736" s="2" t="inlineStr"/>
    </row>
    <row r="2737" ht="15" customHeight="1">
      <c r="A2737" t="inlineStr">
        <is>
          <t>A 1677-2024</t>
        </is>
      </c>
      <c r="B2737" s="1" t="n">
        <v>45307</v>
      </c>
      <c r="C2737" s="1" t="n">
        <v>45734</v>
      </c>
      <c r="D2737" t="inlineStr">
        <is>
          <t>JÄMTLANDS LÄN</t>
        </is>
      </c>
      <c r="E2737" t="inlineStr">
        <is>
          <t>STRÖMSUND</t>
        </is>
      </c>
      <c r="F2737" t="inlineStr">
        <is>
          <t>SCA</t>
        </is>
      </c>
      <c r="G2737" t="n">
        <v>30.1</v>
      </c>
      <c r="H2737" t="n">
        <v>0</v>
      </c>
      <c r="I2737" t="n">
        <v>0</v>
      </c>
      <c r="J2737" t="n">
        <v>0</v>
      </c>
      <c r="K2737" t="n">
        <v>0</v>
      </c>
      <c r="L2737" t="n">
        <v>0</v>
      </c>
      <c r="M2737" t="n">
        <v>0</v>
      </c>
      <c r="N2737" t="n">
        <v>0</v>
      </c>
      <c r="O2737" t="n">
        <v>0</v>
      </c>
      <c r="P2737" t="n">
        <v>0</v>
      </c>
      <c r="Q2737" t="n">
        <v>0</v>
      </c>
      <c r="R2737" s="2" t="inlineStr"/>
    </row>
    <row r="2738" ht="15" customHeight="1">
      <c r="A2738" t="inlineStr">
        <is>
          <t>A 1798-2024</t>
        </is>
      </c>
      <c r="B2738" s="1" t="n">
        <v>45307</v>
      </c>
      <c r="C2738" s="1" t="n">
        <v>45734</v>
      </c>
      <c r="D2738" t="inlineStr">
        <is>
          <t>JÄMTLANDS LÄN</t>
        </is>
      </c>
      <c r="E2738" t="inlineStr">
        <is>
          <t>STRÖMSUND</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1801-2024</t>
        </is>
      </c>
      <c r="B2739" s="1" t="n">
        <v>45307</v>
      </c>
      <c r="C2739" s="1" t="n">
        <v>45734</v>
      </c>
      <c r="D2739" t="inlineStr">
        <is>
          <t>JÄMTLANDS LÄN</t>
        </is>
      </c>
      <c r="E2739" t="inlineStr">
        <is>
          <t>STRÖMSUND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1929-2024</t>
        </is>
      </c>
      <c r="B2740" s="1" t="n">
        <v>45308</v>
      </c>
      <c r="C2740" s="1" t="n">
        <v>45734</v>
      </c>
      <c r="D2740" t="inlineStr">
        <is>
          <t>JÄMTLANDS LÄN</t>
        </is>
      </c>
      <c r="E2740" t="inlineStr">
        <is>
          <t>STRÖMSUND</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2109-2024</t>
        </is>
      </c>
      <c r="B2741" s="1" t="n">
        <v>45309</v>
      </c>
      <c r="C2741" s="1" t="n">
        <v>45734</v>
      </c>
      <c r="D2741" t="inlineStr">
        <is>
          <t>JÄMTLANDS LÄN</t>
        </is>
      </c>
      <c r="E2741" t="inlineStr">
        <is>
          <t>STRÖMSUND</t>
        </is>
      </c>
      <c r="G2741" t="n">
        <v>23.5</v>
      </c>
      <c r="H2741" t="n">
        <v>0</v>
      </c>
      <c r="I2741" t="n">
        <v>0</v>
      </c>
      <c r="J2741" t="n">
        <v>0</v>
      </c>
      <c r="K2741" t="n">
        <v>0</v>
      </c>
      <c r="L2741" t="n">
        <v>0</v>
      </c>
      <c r="M2741" t="n">
        <v>0</v>
      </c>
      <c r="N2741" t="n">
        <v>0</v>
      </c>
      <c r="O2741" t="n">
        <v>0</v>
      </c>
      <c r="P2741" t="n">
        <v>0</v>
      </c>
      <c r="Q2741" t="n">
        <v>0</v>
      </c>
      <c r="R2741" s="2" t="inlineStr"/>
    </row>
    <row r="2742" ht="15" customHeight="1">
      <c r="A2742" t="inlineStr">
        <is>
          <t>A 2625-2024</t>
        </is>
      </c>
      <c r="B2742" s="1" t="n">
        <v>45313</v>
      </c>
      <c r="C2742" s="1" t="n">
        <v>45734</v>
      </c>
      <c r="D2742" t="inlineStr">
        <is>
          <t>JÄMTLANDS LÄN</t>
        </is>
      </c>
      <c r="E2742" t="inlineStr">
        <is>
          <t>STRÖMSUND</t>
        </is>
      </c>
      <c r="F2742" t="inlineStr">
        <is>
          <t>SCA</t>
        </is>
      </c>
      <c r="G2742" t="n">
        <v>32.2</v>
      </c>
      <c r="H2742" t="n">
        <v>0</v>
      </c>
      <c r="I2742" t="n">
        <v>0</v>
      </c>
      <c r="J2742" t="n">
        <v>0</v>
      </c>
      <c r="K2742" t="n">
        <v>0</v>
      </c>
      <c r="L2742" t="n">
        <v>0</v>
      </c>
      <c r="M2742" t="n">
        <v>0</v>
      </c>
      <c r="N2742" t="n">
        <v>0</v>
      </c>
      <c r="O2742" t="n">
        <v>0</v>
      </c>
      <c r="P2742" t="n">
        <v>0</v>
      </c>
      <c r="Q2742" t="n">
        <v>0</v>
      </c>
      <c r="R2742" s="2" t="inlineStr"/>
    </row>
    <row r="2743" ht="15" customHeight="1">
      <c r="A2743" t="inlineStr">
        <is>
          <t>A 2619-2024</t>
        </is>
      </c>
      <c r="B2743" s="1" t="n">
        <v>45313</v>
      </c>
      <c r="C2743" s="1" t="n">
        <v>45734</v>
      </c>
      <c r="D2743" t="inlineStr">
        <is>
          <t>JÄMTLANDS LÄN</t>
        </is>
      </c>
      <c r="E2743" t="inlineStr">
        <is>
          <t>STRÖMSUND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2623-2024</t>
        </is>
      </c>
      <c r="B2744" s="1" t="n">
        <v>45313</v>
      </c>
      <c r="C2744" s="1" t="n">
        <v>45734</v>
      </c>
      <c r="D2744" t="inlineStr">
        <is>
          <t>JÄMTLANDS LÄN</t>
        </is>
      </c>
      <c r="E2744" t="inlineStr">
        <is>
          <t>STRÖMSUND</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2626-2024</t>
        </is>
      </c>
      <c r="B2745" s="1" t="n">
        <v>45313</v>
      </c>
      <c r="C2745" s="1" t="n">
        <v>45734</v>
      </c>
      <c r="D2745" t="inlineStr">
        <is>
          <t>JÄMTLANDS LÄN</t>
        </is>
      </c>
      <c r="E2745" t="inlineStr">
        <is>
          <t>STRÖMSUND</t>
        </is>
      </c>
      <c r="F2745" t="inlineStr">
        <is>
          <t>SCA</t>
        </is>
      </c>
      <c r="G2745" t="n">
        <v>22.4</v>
      </c>
      <c r="H2745" t="n">
        <v>0</v>
      </c>
      <c r="I2745" t="n">
        <v>0</v>
      </c>
      <c r="J2745" t="n">
        <v>0</v>
      </c>
      <c r="K2745" t="n">
        <v>0</v>
      </c>
      <c r="L2745" t="n">
        <v>0</v>
      </c>
      <c r="M2745" t="n">
        <v>0</v>
      </c>
      <c r="N2745" t="n">
        <v>0</v>
      </c>
      <c r="O2745" t="n">
        <v>0</v>
      </c>
      <c r="P2745" t="n">
        <v>0</v>
      </c>
      <c r="Q2745" t="n">
        <v>0</v>
      </c>
      <c r="R2745" s="2" t="inlineStr"/>
    </row>
    <row r="2746" ht="15" customHeight="1">
      <c r="A2746" t="inlineStr">
        <is>
          <t>A 2624-2024</t>
        </is>
      </c>
      <c r="B2746" s="1" t="n">
        <v>45313</v>
      </c>
      <c r="C2746" s="1" t="n">
        <v>45734</v>
      </c>
      <c r="D2746" t="inlineStr">
        <is>
          <t>JÄMTLANDS LÄN</t>
        </is>
      </c>
      <c r="E2746" t="inlineStr">
        <is>
          <t>STRÖMSUND</t>
        </is>
      </c>
      <c r="F2746" t="inlineStr">
        <is>
          <t>SCA</t>
        </is>
      </c>
      <c r="G2746" t="n">
        <v>41.4</v>
      </c>
      <c r="H2746" t="n">
        <v>0</v>
      </c>
      <c r="I2746" t="n">
        <v>0</v>
      </c>
      <c r="J2746" t="n">
        <v>0</v>
      </c>
      <c r="K2746" t="n">
        <v>0</v>
      </c>
      <c r="L2746" t="n">
        <v>0</v>
      </c>
      <c r="M2746" t="n">
        <v>0</v>
      </c>
      <c r="N2746" t="n">
        <v>0</v>
      </c>
      <c r="O2746" t="n">
        <v>0</v>
      </c>
      <c r="P2746" t="n">
        <v>0</v>
      </c>
      <c r="Q2746" t="n">
        <v>0</v>
      </c>
      <c r="R2746" s="2" t="inlineStr"/>
    </row>
    <row r="2747" ht="15" customHeight="1">
      <c r="A2747" t="inlineStr">
        <is>
          <t>A 2663-2024</t>
        </is>
      </c>
      <c r="B2747" s="1" t="n">
        <v>45314</v>
      </c>
      <c r="C2747" s="1" t="n">
        <v>45734</v>
      </c>
      <c r="D2747" t="inlineStr">
        <is>
          <t>JÄMTLANDS LÄN</t>
        </is>
      </c>
      <c r="E2747" t="inlineStr">
        <is>
          <t>STRÖMSUND</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2643-2024</t>
        </is>
      </c>
      <c r="B2748" s="1" t="n">
        <v>45314</v>
      </c>
      <c r="C2748" s="1" t="n">
        <v>45734</v>
      </c>
      <c r="D2748" t="inlineStr">
        <is>
          <t>JÄMTLANDS LÄN</t>
        </is>
      </c>
      <c r="E2748" t="inlineStr">
        <is>
          <t>STRÖMSUND</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3239-2024</t>
        </is>
      </c>
      <c r="B2749" s="1" t="n">
        <v>45316</v>
      </c>
      <c r="C2749" s="1" t="n">
        <v>45734</v>
      </c>
      <c r="D2749" t="inlineStr">
        <is>
          <t>JÄMTLANDS LÄN</t>
        </is>
      </c>
      <c r="E2749" t="inlineStr">
        <is>
          <t>STRÖMSUND</t>
        </is>
      </c>
      <c r="F2749" t="inlineStr">
        <is>
          <t>SCA</t>
        </is>
      </c>
      <c r="G2749" t="n">
        <v>26.1</v>
      </c>
      <c r="H2749" t="n">
        <v>0</v>
      </c>
      <c r="I2749" t="n">
        <v>0</v>
      </c>
      <c r="J2749" t="n">
        <v>0</v>
      </c>
      <c r="K2749" t="n">
        <v>0</v>
      </c>
      <c r="L2749" t="n">
        <v>0</v>
      </c>
      <c r="M2749" t="n">
        <v>0</v>
      </c>
      <c r="N2749" t="n">
        <v>0</v>
      </c>
      <c r="O2749" t="n">
        <v>0</v>
      </c>
      <c r="P2749" t="n">
        <v>0</v>
      </c>
      <c r="Q2749" t="n">
        <v>0</v>
      </c>
      <c r="R2749" s="2" t="inlineStr"/>
    </row>
    <row r="2750" ht="15" customHeight="1">
      <c r="A2750" t="inlineStr">
        <is>
          <t>A 3519-2024</t>
        </is>
      </c>
      <c r="B2750" s="1" t="n">
        <v>45320</v>
      </c>
      <c r="C2750" s="1" t="n">
        <v>45734</v>
      </c>
      <c r="D2750" t="inlineStr">
        <is>
          <t>JÄMTLANDS LÄN</t>
        </is>
      </c>
      <c r="E2750" t="inlineStr">
        <is>
          <t>STRÖMSUND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3623-2024</t>
        </is>
      </c>
      <c r="B2751" s="1" t="n">
        <v>45320</v>
      </c>
      <c r="C2751" s="1" t="n">
        <v>45734</v>
      </c>
      <c r="D2751" t="inlineStr">
        <is>
          <t>JÄMTLANDS LÄN</t>
        </is>
      </c>
      <c r="E2751" t="inlineStr">
        <is>
          <t>STRÖMSUND</t>
        </is>
      </c>
      <c r="F2751" t="inlineStr">
        <is>
          <t>SCA</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3629-2024</t>
        </is>
      </c>
      <c r="B2752" s="1" t="n">
        <v>45320</v>
      </c>
      <c r="C2752" s="1" t="n">
        <v>45734</v>
      </c>
      <c r="D2752" t="inlineStr">
        <is>
          <t>JÄMTLANDS LÄN</t>
        </is>
      </c>
      <c r="E2752" t="inlineStr">
        <is>
          <t>STRÖMSUND</t>
        </is>
      </c>
      <c r="F2752" t="inlineStr">
        <is>
          <t>SCA</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3622-2024</t>
        </is>
      </c>
      <c r="B2753" s="1" t="n">
        <v>45320</v>
      </c>
      <c r="C2753" s="1" t="n">
        <v>45734</v>
      </c>
      <c r="D2753" t="inlineStr">
        <is>
          <t>JÄMTLANDS LÄN</t>
        </is>
      </c>
      <c r="E2753" t="inlineStr">
        <is>
          <t>STRÖMSUND</t>
        </is>
      </c>
      <c r="F2753" t="inlineStr">
        <is>
          <t>SCA</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3628-2024</t>
        </is>
      </c>
      <c r="B2754" s="1" t="n">
        <v>45320</v>
      </c>
      <c r="C2754" s="1" t="n">
        <v>45734</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3743-2024</t>
        </is>
      </c>
      <c r="B2755" s="1" t="n">
        <v>45321</v>
      </c>
      <c r="C2755" s="1" t="n">
        <v>45734</v>
      </c>
      <c r="D2755" t="inlineStr">
        <is>
          <t>JÄMTLANDS LÄN</t>
        </is>
      </c>
      <c r="E2755" t="inlineStr">
        <is>
          <t>STRÖMSUND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3835-2024</t>
        </is>
      </c>
      <c r="B2756" s="1" t="n">
        <v>45321</v>
      </c>
      <c r="C2756" s="1" t="n">
        <v>45734</v>
      </c>
      <c r="D2756" t="inlineStr">
        <is>
          <t>JÄMTLANDS LÄN</t>
        </is>
      </c>
      <c r="E2756" t="inlineStr">
        <is>
          <t>STRÖMSUND</t>
        </is>
      </c>
      <c r="F2756" t="inlineStr">
        <is>
          <t>SCA</t>
        </is>
      </c>
      <c r="G2756" t="n">
        <v>28.5</v>
      </c>
      <c r="H2756" t="n">
        <v>0</v>
      </c>
      <c r="I2756" t="n">
        <v>0</v>
      </c>
      <c r="J2756" t="n">
        <v>0</v>
      </c>
      <c r="K2756" t="n">
        <v>0</v>
      </c>
      <c r="L2756" t="n">
        <v>0</v>
      </c>
      <c r="M2756" t="n">
        <v>0</v>
      </c>
      <c r="N2756" t="n">
        <v>0</v>
      </c>
      <c r="O2756" t="n">
        <v>0</v>
      </c>
      <c r="P2756" t="n">
        <v>0</v>
      </c>
      <c r="Q2756" t="n">
        <v>0</v>
      </c>
      <c r="R2756" s="2" t="inlineStr"/>
    </row>
    <row r="2757" ht="15" customHeight="1">
      <c r="A2757" t="inlineStr">
        <is>
          <t>A 3834-2024</t>
        </is>
      </c>
      <c r="B2757" s="1" t="n">
        <v>45321</v>
      </c>
      <c r="C2757" s="1" t="n">
        <v>45734</v>
      </c>
      <c r="D2757" t="inlineStr">
        <is>
          <t>JÄMTLANDS LÄN</t>
        </is>
      </c>
      <c r="E2757" t="inlineStr">
        <is>
          <t>STRÖMSUND</t>
        </is>
      </c>
      <c r="F2757" t="inlineStr">
        <is>
          <t>SCA</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3841-2024</t>
        </is>
      </c>
      <c r="B2758" s="1" t="n">
        <v>45321</v>
      </c>
      <c r="C2758" s="1" t="n">
        <v>45734</v>
      </c>
      <c r="D2758" t="inlineStr">
        <is>
          <t>JÄMTLANDS LÄN</t>
        </is>
      </c>
      <c r="E2758" t="inlineStr">
        <is>
          <t>STRÖMSUND</t>
        </is>
      </c>
      <c r="F2758" t="inlineStr">
        <is>
          <t>SCA</t>
        </is>
      </c>
      <c r="G2758" t="n">
        <v>19.4</v>
      </c>
      <c r="H2758" t="n">
        <v>0</v>
      </c>
      <c r="I2758" t="n">
        <v>0</v>
      </c>
      <c r="J2758" t="n">
        <v>0</v>
      </c>
      <c r="K2758" t="n">
        <v>0</v>
      </c>
      <c r="L2758" t="n">
        <v>0</v>
      </c>
      <c r="M2758" t="n">
        <v>0</v>
      </c>
      <c r="N2758" t="n">
        <v>0</v>
      </c>
      <c r="O2758" t="n">
        <v>0</v>
      </c>
      <c r="P2758" t="n">
        <v>0</v>
      </c>
      <c r="Q2758" t="n">
        <v>0</v>
      </c>
      <c r="R2758" s="2" t="inlineStr"/>
    </row>
    <row r="2759" ht="15" customHeight="1">
      <c r="A2759" t="inlineStr">
        <is>
          <t>A 3994-2024</t>
        </is>
      </c>
      <c r="B2759" s="1" t="n">
        <v>45322</v>
      </c>
      <c r="C2759" s="1" t="n">
        <v>45734</v>
      </c>
      <c r="D2759" t="inlineStr">
        <is>
          <t>JÄMTLANDS LÄN</t>
        </is>
      </c>
      <c r="E2759" t="inlineStr">
        <is>
          <t>STRÖMSUND</t>
        </is>
      </c>
      <c r="F2759" t="inlineStr">
        <is>
          <t>SCA</t>
        </is>
      </c>
      <c r="G2759" t="n">
        <v>40.8</v>
      </c>
      <c r="H2759" t="n">
        <v>0</v>
      </c>
      <c r="I2759" t="n">
        <v>0</v>
      </c>
      <c r="J2759" t="n">
        <v>0</v>
      </c>
      <c r="K2759" t="n">
        <v>0</v>
      </c>
      <c r="L2759" t="n">
        <v>0</v>
      </c>
      <c r="M2759" t="n">
        <v>0</v>
      </c>
      <c r="N2759" t="n">
        <v>0</v>
      </c>
      <c r="O2759" t="n">
        <v>0</v>
      </c>
      <c r="P2759" t="n">
        <v>0</v>
      </c>
      <c r="Q2759" t="n">
        <v>0</v>
      </c>
      <c r="R2759" s="2" t="inlineStr"/>
    </row>
    <row r="2760" ht="15" customHeight="1">
      <c r="A2760" t="inlineStr">
        <is>
          <t>A 3997-2024</t>
        </is>
      </c>
      <c r="B2760" s="1" t="n">
        <v>45322</v>
      </c>
      <c r="C2760" s="1" t="n">
        <v>45734</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4178-2024</t>
        </is>
      </c>
      <c r="B2761" s="1" t="n">
        <v>45323</v>
      </c>
      <c r="C2761" s="1" t="n">
        <v>45734</v>
      </c>
      <c r="D2761" t="inlineStr">
        <is>
          <t>JÄMTLANDS LÄN</t>
        </is>
      </c>
      <c r="E2761" t="inlineStr">
        <is>
          <t>STRÖMSUND</t>
        </is>
      </c>
      <c r="F2761" t="inlineStr">
        <is>
          <t>SCA</t>
        </is>
      </c>
      <c r="G2761" t="n">
        <v>36.4</v>
      </c>
      <c r="H2761" t="n">
        <v>0</v>
      </c>
      <c r="I2761" t="n">
        <v>0</v>
      </c>
      <c r="J2761" t="n">
        <v>0</v>
      </c>
      <c r="K2761" t="n">
        <v>0</v>
      </c>
      <c r="L2761" t="n">
        <v>0</v>
      </c>
      <c r="M2761" t="n">
        <v>0</v>
      </c>
      <c r="N2761" t="n">
        <v>0</v>
      </c>
      <c r="O2761" t="n">
        <v>0</v>
      </c>
      <c r="P2761" t="n">
        <v>0</v>
      </c>
      <c r="Q2761" t="n">
        <v>0</v>
      </c>
      <c r="R2761" s="2" t="inlineStr"/>
    </row>
    <row r="2762" ht="15" customHeight="1">
      <c r="A2762" t="inlineStr">
        <is>
          <t>A 4177-2024</t>
        </is>
      </c>
      <c r="B2762" s="1" t="n">
        <v>45323</v>
      </c>
      <c r="C2762" s="1" t="n">
        <v>45734</v>
      </c>
      <c r="D2762" t="inlineStr">
        <is>
          <t>JÄMTLANDS LÄN</t>
        </is>
      </c>
      <c r="E2762" t="inlineStr">
        <is>
          <t>STRÖMSUND</t>
        </is>
      </c>
      <c r="F2762" t="inlineStr">
        <is>
          <t>SCA</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4179-2024</t>
        </is>
      </c>
      <c r="B2763" s="1" t="n">
        <v>45323</v>
      </c>
      <c r="C2763" s="1" t="n">
        <v>45734</v>
      </c>
      <c r="D2763" t="inlineStr">
        <is>
          <t>JÄMTLANDS LÄN</t>
        </is>
      </c>
      <c r="E2763" t="inlineStr">
        <is>
          <t>STRÖMSUND</t>
        </is>
      </c>
      <c r="F2763" t="inlineStr">
        <is>
          <t>SCA</t>
        </is>
      </c>
      <c r="G2763" t="n">
        <v>19.9</v>
      </c>
      <c r="H2763" t="n">
        <v>0</v>
      </c>
      <c r="I2763" t="n">
        <v>0</v>
      </c>
      <c r="J2763" t="n">
        <v>0</v>
      </c>
      <c r="K2763" t="n">
        <v>0</v>
      </c>
      <c r="L2763" t="n">
        <v>0</v>
      </c>
      <c r="M2763" t="n">
        <v>0</v>
      </c>
      <c r="N2763" t="n">
        <v>0</v>
      </c>
      <c r="O2763" t="n">
        <v>0</v>
      </c>
      <c r="P2763" t="n">
        <v>0</v>
      </c>
      <c r="Q2763" t="n">
        <v>0</v>
      </c>
      <c r="R2763" s="2" t="inlineStr"/>
    </row>
    <row r="2764" ht="15" customHeight="1">
      <c r="A2764" t="inlineStr">
        <is>
          <t>A 4449-2024</t>
        </is>
      </c>
      <c r="B2764" s="1" t="n">
        <v>45324</v>
      </c>
      <c r="C2764" s="1" t="n">
        <v>45734</v>
      </c>
      <c r="D2764" t="inlineStr">
        <is>
          <t>JÄMTLANDS LÄN</t>
        </is>
      </c>
      <c r="E2764" t="inlineStr">
        <is>
          <t>STRÖMSUND</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4378-2024</t>
        </is>
      </c>
      <c r="B2765" s="1" t="n">
        <v>45326</v>
      </c>
      <c r="C2765" s="1" t="n">
        <v>45734</v>
      </c>
      <c r="D2765" t="inlineStr">
        <is>
          <t>JÄMTLANDS LÄN</t>
        </is>
      </c>
      <c r="E2765" t="inlineStr">
        <is>
          <t>STRÖMSUND</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4436-2024</t>
        </is>
      </c>
      <c r="B2766" s="1" t="n">
        <v>45327</v>
      </c>
      <c r="C2766" s="1" t="n">
        <v>45734</v>
      </c>
      <c r="D2766" t="inlineStr">
        <is>
          <t>JÄMTLANDS LÄN</t>
        </is>
      </c>
      <c r="E2766" t="inlineStr">
        <is>
          <t>STRÖMSUND</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4507-2024</t>
        </is>
      </c>
      <c r="B2767" s="1" t="n">
        <v>45327</v>
      </c>
      <c r="C2767" s="1" t="n">
        <v>45734</v>
      </c>
      <c r="D2767" t="inlineStr">
        <is>
          <t>JÄMTLANDS LÄN</t>
        </is>
      </c>
      <c r="E2767" t="inlineStr">
        <is>
          <t>STRÖMSUND</t>
        </is>
      </c>
      <c r="F2767" t="inlineStr">
        <is>
          <t>Kyrkan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4514-2024</t>
        </is>
      </c>
      <c r="B2768" s="1" t="n">
        <v>45327</v>
      </c>
      <c r="C2768" s="1" t="n">
        <v>45734</v>
      </c>
      <c r="D2768" t="inlineStr">
        <is>
          <t>JÄMTLANDS LÄN</t>
        </is>
      </c>
      <c r="E2768" t="inlineStr">
        <is>
          <t>STRÖMSUND</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4586-2024</t>
        </is>
      </c>
      <c r="B2769" s="1" t="n">
        <v>45327</v>
      </c>
      <c r="C2769" s="1" t="n">
        <v>45734</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4579-2024</t>
        </is>
      </c>
      <c r="B2770" s="1" t="n">
        <v>45327</v>
      </c>
      <c r="C2770" s="1" t="n">
        <v>45734</v>
      </c>
      <c r="D2770" t="inlineStr">
        <is>
          <t>JÄMTLANDS LÄN</t>
        </is>
      </c>
      <c r="E2770" t="inlineStr">
        <is>
          <t>STRÖMSUND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4588-2024</t>
        </is>
      </c>
      <c r="B2771" s="1" t="n">
        <v>45327</v>
      </c>
      <c r="C2771" s="1" t="n">
        <v>45734</v>
      </c>
      <c r="D2771" t="inlineStr">
        <is>
          <t>JÄMTLANDS LÄN</t>
        </is>
      </c>
      <c r="E2771" t="inlineStr">
        <is>
          <t>STRÖMSUND</t>
        </is>
      </c>
      <c r="F2771" t="inlineStr">
        <is>
          <t>SCA</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4663-2024</t>
        </is>
      </c>
      <c r="B2772" s="1" t="n">
        <v>45328</v>
      </c>
      <c r="C2772" s="1" t="n">
        <v>45734</v>
      </c>
      <c r="D2772" t="inlineStr">
        <is>
          <t>JÄMTLANDS LÄN</t>
        </is>
      </c>
      <c r="E2772" t="inlineStr">
        <is>
          <t>STRÖMSUND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4825-2024</t>
        </is>
      </c>
      <c r="B2773" s="1" t="n">
        <v>45328</v>
      </c>
      <c r="C2773" s="1" t="n">
        <v>45734</v>
      </c>
      <c r="D2773" t="inlineStr">
        <is>
          <t>JÄMTLANDS LÄN</t>
        </is>
      </c>
      <c r="E2773" t="inlineStr">
        <is>
          <t>STRÖMSUND</t>
        </is>
      </c>
      <c r="F2773" t="inlineStr">
        <is>
          <t>SCA</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4823-2024</t>
        </is>
      </c>
      <c r="B2774" s="1" t="n">
        <v>45328</v>
      </c>
      <c r="C2774" s="1" t="n">
        <v>45734</v>
      </c>
      <c r="D2774" t="inlineStr">
        <is>
          <t>JÄMTLANDS LÄN</t>
        </is>
      </c>
      <c r="E2774" t="inlineStr">
        <is>
          <t>STRÖMSUND</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5068-2024</t>
        </is>
      </c>
      <c r="B2775" s="1" t="n">
        <v>45329</v>
      </c>
      <c r="C2775" s="1" t="n">
        <v>45734</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5105-2024</t>
        </is>
      </c>
      <c r="B2776" s="1" t="n">
        <v>45330</v>
      </c>
      <c r="C2776" s="1" t="n">
        <v>45734</v>
      </c>
      <c r="D2776" t="inlineStr">
        <is>
          <t>JÄMTLANDS LÄN</t>
        </is>
      </c>
      <c r="E2776" t="inlineStr">
        <is>
          <t>STRÖMSUND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5260-2024</t>
        </is>
      </c>
      <c r="B2777" s="1" t="n">
        <v>45331</v>
      </c>
      <c r="C2777" s="1" t="n">
        <v>45734</v>
      </c>
      <c r="D2777" t="inlineStr">
        <is>
          <t>JÄMTLANDS LÄN</t>
        </is>
      </c>
      <c r="E2777" t="inlineStr">
        <is>
          <t>STRÖMSUND</t>
        </is>
      </c>
      <c r="F2777" t="inlineStr">
        <is>
          <t>SCA</t>
        </is>
      </c>
      <c r="G2777" t="n">
        <v>22.6</v>
      </c>
      <c r="H2777" t="n">
        <v>0</v>
      </c>
      <c r="I2777" t="n">
        <v>0</v>
      </c>
      <c r="J2777" t="n">
        <v>0</v>
      </c>
      <c r="K2777" t="n">
        <v>0</v>
      </c>
      <c r="L2777" t="n">
        <v>0</v>
      </c>
      <c r="M2777" t="n">
        <v>0</v>
      </c>
      <c r="N2777" t="n">
        <v>0</v>
      </c>
      <c r="O2777" t="n">
        <v>0</v>
      </c>
      <c r="P2777" t="n">
        <v>0</v>
      </c>
      <c r="Q2777" t="n">
        <v>0</v>
      </c>
      <c r="R2777" s="2" t="inlineStr"/>
    </row>
    <row r="2778" ht="15" customHeight="1">
      <c r="A2778" t="inlineStr">
        <is>
          <t>A 5259-2024</t>
        </is>
      </c>
      <c r="B2778" s="1" t="n">
        <v>45330</v>
      </c>
      <c r="C2778" s="1" t="n">
        <v>45734</v>
      </c>
      <c r="D2778" t="inlineStr">
        <is>
          <t>JÄMTLANDS LÄN</t>
        </is>
      </c>
      <c r="E2778" t="inlineStr">
        <is>
          <t>STRÖMSUND</t>
        </is>
      </c>
      <c r="F2778" t="inlineStr">
        <is>
          <t>SCA</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5262-2024</t>
        </is>
      </c>
      <c r="B2779" s="1" t="n">
        <v>45330</v>
      </c>
      <c r="C2779" s="1" t="n">
        <v>45734</v>
      </c>
      <c r="D2779" t="inlineStr">
        <is>
          <t>JÄMTLANDS LÄN</t>
        </is>
      </c>
      <c r="E2779" t="inlineStr">
        <is>
          <t>STRÖMSUND</t>
        </is>
      </c>
      <c r="F2779" t="inlineStr">
        <is>
          <t>SCA</t>
        </is>
      </c>
      <c r="G2779" t="n">
        <v>19.7</v>
      </c>
      <c r="H2779" t="n">
        <v>0</v>
      </c>
      <c r="I2779" t="n">
        <v>0</v>
      </c>
      <c r="J2779" t="n">
        <v>0</v>
      </c>
      <c r="K2779" t="n">
        <v>0</v>
      </c>
      <c r="L2779" t="n">
        <v>0</v>
      </c>
      <c r="M2779" t="n">
        <v>0</v>
      </c>
      <c r="N2779" t="n">
        <v>0</v>
      </c>
      <c r="O2779" t="n">
        <v>0</v>
      </c>
      <c r="P2779" t="n">
        <v>0</v>
      </c>
      <c r="Q2779" t="n">
        <v>0</v>
      </c>
      <c r="R2779" s="2" t="inlineStr"/>
    </row>
    <row r="2780" ht="15" customHeight="1">
      <c r="A2780" t="inlineStr">
        <is>
          <t>A 5267-2024</t>
        </is>
      </c>
      <c r="B2780" s="1" t="n">
        <v>45331</v>
      </c>
      <c r="C2780" s="1" t="n">
        <v>45734</v>
      </c>
      <c r="D2780" t="inlineStr">
        <is>
          <t>JÄMTLANDS LÄN</t>
        </is>
      </c>
      <c r="E2780" t="inlineStr">
        <is>
          <t>STRÖMSUND</t>
        </is>
      </c>
      <c r="F2780" t="inlineStr">
        <is>
          <t>SCA</t>
        </is>
      </c>
      <c r="G2780" t="n">
        <v>29.1</v>
      </c>
      <c r="H2780" t="n">
        <v>0</v>
      </c>
      <c r="I2780" t="n">
        <v>0</v>
      </c>
      <c r="J2780" t="n">
        <v>0</v>
      </c>
      <c r="K2780" t="n">
        <v>0</v>
      </c>
      <c r="L2780" t="n">
        <v>0</v>
      </c>
      <c r="M2780" t="n">
        <v>0</v>
      </c>
      <c r="N2780" t="n">
        <v>0</v>
      </c>
      <c r="O2780" t="n">
        <v>0</v>
      </c>
      <c r="P2780" t="n">
        <v>0</v>
      </c>
      <c r="Q2780" t="n">
        <v>0</v>
      </c>
      <c r="R2780" s="2" t="inlineStr"/>
    </row>
    <row r="2781" ht="15" customHeight="1">
      <c r="A2781" t="inlineStr">
        <is>
          <t>A 5261-2024</t>
        </is>
      </c>
      <c r="B2781" s="1" t="n">
        <v>45331</v>
      </c>
      <c r="C2781" s="1" t="n">
        <v>45734</v>
      </c>
      <c r="D2781" t="inlineStr">
        <is>
          <t>JÄMTLANDS LÄN</t>
        </is>
      </c>
      <c r="E2781" t="inlineStr">
        <is>
          <t>STRÖMSUND</t>
        </is>
      </c>
      <c r="F2781" t="inlineStr">
        <is>
          <t>SCA</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5333-2024</t>
        </is>
      </c>
      <c r="B2782" s="1" t="n">
        <v>45331</v>
      </c>
      <c r="C2782" s="1" t="n">
        <v>45734</v>
      </c>
      <c r="D2782" t="inlineStr">
        <is>
          <t>JÄMTLANDS LÄN</t>
        </is>
      </c>
      <c r="E2782" t="inlineStr">
        <is>
          <t>STRÖMSUND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5350-2024</t>
        </is>
      </c>
      <c r="B2783" s="1" t="n">
        <v>45331</v>
      </c>
      <c r="C2783" s="1" t="n">
        <v>45734</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5327-2024</t>
        </is>
      </c>
      <c r="B2784" s="1" t="n">
        <v>45331</v>
      </c>
      <c r="C2784" s="1" t="n">
        <v>45734</v>
      </c>
      <c r="D2784" t="inlineStr">
        <is>
          <t>JÄMTLANDS LÄN</t>
        </is>
      </c>
      <c r="E2784" t="inlineStr">
        <is>
          <t>STRÖMSUND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5443-2024</t>
        </is>
      </c>
      <c r="B2785" s="1" t="n">
        <v>45331</v>
      </c>
      <c r="C2785" s="1" t="n">
        <v>45734</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5449-2024</t>
        </is>
      </c>
      <c r="B2786" s="1" t="n">
        <v>45331</v>
      </c>
      <c r="C2786" s="1" t="n">
        <v>45734</v>
      </c>
      <c r="D2786" t="inlineStr">
        <is>
          <t>JÄMTLANDS LÄN</t>
        </is>
      </c>
      <c r="E2786" t="inlineStr">
        <is>
          <t>STRÖMSUND</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5453-2024</t>
        </is>
      </c>
      <c r="B2787" s="1" t="n">
        <v>45331</v>
      </c>
      <c r="C2787" s="1" t="n">
        <v>45734</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5451-2024</t>
        </is>
      </c>
      <c r="B2788" s="1" t="n">
        <v>45331</v>
      </c>
      <c r="C2788" s="1" t="n">
        <v>45734</v>
      </c>
      <c r="D2788" t="inlineStr">
        <is>
          <t>JÄMTLANDS LÄN</t>
        </is>
      </c>
      <c r="E2788" t="inlineStr">
        <is>
          <t>STRÖMSUND</t>
        </is>
      </c>
      <c r="F2788" t="inlineStr">
        <is>
          <t>SCA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5444-2024</t>
        </is>
      </c>
      <c r="B2789" s="1" t="n">
        <v>45331</v>
      </c>
      <c r="C2789" s="1" t="n">
        <v>45734</v>
      </c>
      <c r="D2789" t="inlineStr">
        <is>
          <t>JÄMTLANDS LÄN</t>
        </is>
      </c>
      <c r="E2789" t="inlineStr">
        <is>
          <t>STRÖMSUND</t>
        </is>
      </c>
      <c r="F2789" t="inlineStr">
        <is>
          <t>SCA</t>
        </is>
      </c>
      <c r="G2789" t="n">
        <v>25.5</v>
      </c>
      <c r="H2789" t="n">
        <v>0</v>
      </c>
      <c r="I2789" t="n">
        <v>0</v>
      </c>
      <c r="J2789" t="n">
        <v>0</v>
      </c>
      <c r="K2789" t="n">
        <v>0</v>
      </c>
      <c r="L2789" t="n">
        <v>0</v>
      </c>
      <c r="M2789" t="n">
        <v>0</v>
      </c>
      <c r="N2789" t="n">
        <v>0</v>
      </c>
      <c r="O2789" t="n">
        <v>0</v>
      </c>
      <c r="P2789" t="n">
        <v>0</v>
      </c>
      <c r="Q2789" t="n">
        <v>0</v>
      </c>
      <c r="R2789" s="2" t="inlineStr"/>
    </row>
    <row r="2790" ht="15" customHeight="1">
      <c r="A2790" t="inlineStr">
        <is>
          <t>A 5450-2024</t>
        </is>
      </c>
      <c r="B2790" s="1" t="n">
        <v>45331</v>
      </c>
      <c r="C2790" s="1" t="n">
        <v>45734</v>
      </c>
      <c r="D2790" t="inlineStr">
        <is>
          <t>JÄMTLANDS LÄN</t>
        </is>
      </c>
      <c r="E2790" t="inlineStr">
        <is>
          <t>STRÖMSUND</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5454-2024</t>
        </is>
      </c>
      <c r="B2791" s="1" t="n">
        <v>45331</v>
      </c>
      <c r="C2791" s="1" t="n">
        <v>45734</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5736-2024</t>
        </is>
      </c>
      <c r="B2792" s="1" t="n">
        <v>45334</v>
      </c>
      <c r="C2792" s="1" t="n">
        <v>45734</v>
      </c>
      <c r="D2792" t="inlineStr">
        <is>
          <t>JÄMTLANDS LÄN</t>
        </is>
      </c>
      <c r="E2792" t="inlineStr">
        <is>
          <t>STRÖMSUND</t>
        </is>
      </c>
      <c r="F2792" t="inlineStr">
        <is>
          <t>SCA</t>
        </is>
      </c>
      <c r="G2792" t="n">
        <v>30.3</v>
      </c>
      <c r="H2792" t="n">
        <v>0</v>
      </c>
      <c r="I2792" t="n">
        <v>0</v>
      </c>
      <c r="J2792" t="n">
        <v>0</v>
      </c>
      <c r="K2792" t="n">
        <v>0</v>
      </c>
      <c r="L2792" t="n">
        <v>0</v>
      </c>
      <c r="M2792" t="n">
        <v>0</v>
      </c>
      <c r="N2792" t="n">
        <v>0</v>
      </c>
      <c r="O2792" t="n">
        <v>0</v>
      </c>
      <c r="P2792" t="n">
        <v>0</v>
      </c>
      <c r="Q2792" t="n">
        <v>0</v>
      </c>
      <c r="R2792" s="2" t="inlineStr"/>
    </row>
    <row r="2793" ht="15" customHeight="1">
      <c r="A2793" t="inlineStr">
        <is>
          <t>A 6083-2024</t>
        </is>
      </c>
      <c r="B2793" s="1" t="n">
        <v>45337</v>
      </c>
      <c r="C2793" s="1" t="n">
        <v>45734</v>
      </c>
      <c r="D2793" t="inlineStr">
        <is>
          <t>JÄMTLANDS LÄN</t>
        </is>
      </c>
      <c r="E2793" t="inlineStr">
        <is>
          <t>STRÖMSUND</t>
        </is>
      </c>
      <c r="F2793" t="inlineStr">
        <is>
          <t>SCA</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5930-2024</t>
        </is>
      </c>
      <c r="B2794" s="1" t="n">
        <v>45336</v>
      </c>
      <c r="C2794" s="1" t="n">
        <v>45734</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6085-2024</t>
        </is>
      </c>
      <c r="B2795" s="1" t="n">
        <v>45336</v>
      </c>
      <c r="C2795" s="1" t="n">
        <v>45734</v>
      </c>
      <c r="D2795" t="inlineStr">
        <is>
          <t>JÄMTLANDS LÄN</t>
        </is>
      </c>
      <c r="E2795" t="inlineStr">
        <is>
          <t>STRÖMSUND</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6174-2024</t>
        </is>
      </c>
      <c r="B2796" s="1" t="n">
        <v>45337</v>
      </c>
      <c r="C2796" s="1" t="n">
        <v>45734</v>
      </c>
      <c r="D2796" t="inlineStr">
        <is>
          <t>JÄMTLANDS LÄN</t>
        </is>
      </c>
      <c r="E2796" t="inlineStr">
        <is>
          <t>STRÖMSUND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6112-2024</t>
        </is>
      </c>
      <c r="B2797" s="1" t="n">
        <v>45337</v>
      </c>
      <c r="C2797" s="1" t="n">
        <v>45734</v>
      </c>
      <c r="D2797" t="inlineStr">
        <is>
          <t>JÄMTLANDS LÄN</t>
        </is>
      </c>
      <c r="E2797" t="inlineStr">
        <is>
          <t>STRÖMSUND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6287-2024</t>
        </is>
      </c>
      <c r="B2798" s="1" t="n">
        <v>45337</v>
      </c>
      <c r="C2798" s="1" t="n">
        <v>45734</v>
      </c>
      <c r="D2798" t="inlineStr">
        <is>
          <t>JÄMTLANDS LÄN</t>
        </is>
      </c>
      <c r="E2798" t="inlineStr">
        <is>
          <t>STRÖMSUND</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6476-2024</t>
        </is>
      </c>
      <c r="B2799" s="1" t="n">
        <v>45338</v>
      </c>
      <c r="C2799" s="1" t="n">
        <v>45734</v>
      </c>
      <c r="D2799" t="inlineStr">
        <is>
          <t>JÄMTLANDS LÄN</t>
        </is>
      </c>
      <c r="E2799" t="inlineStr">
        <is>
          <t>STRÖMSUND</t>
        </is>
      </c>
      <c r="F2799" t="inlineStr">
        <is>
          <t>SCA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6478-2024</t>
        </is>
      </c>
      <c r="B2800" s="1" t="n">
        <v>45338</v>
      </c>
      <c r="C2800" s="1" t="n">
        <v>45734</v>
      </c>
      <c r="D2800" t="inlineStr">
        <is>
          <t>JÄMTLANDS LÄN</t>
        </is>
      </c>
      <c r="E2800" t="inlineStr">
        <is>
          <t>STRÖMSUND</t>
        </is>
      </c>
      <c r="F2800" t="inlineStr">
        <is>
          <t>SCA</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6475-2024</t>
        </is>
      </c>
      <c r="B2801" s="1" t="n">
        <v>45338</v>
      </c>
      <c r="C2801" s="1" t="n">
        <v>45734</v>
      </c>
      <c r="D2801" t="inlineStr">
        <is>
          <t>JÄMTLANDS LÄN</t>
        </is>
      </c>
      <c r="E2801" t="inlineStr">
        <is>
          <t>STRÖMSUND</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6479-2024</t>
        </is>
      </c>
      <c r="B2802" s="1" t="n">
        <v>45338</v>
      </c>
      <c r="C2802" s="1" t="n">
        <v>45734</v>
      </c>
      <c r="D2802" t="inlineStr">
        <is>
          <t>JÄMTLANDS LÄN</t>
        </is>
      </c>
      <c r="E2802" t="inlineStr">
        <is>
          <t>STRÖMSUND</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6512-2024</t>
        </is>
      </c>
      <c r="B2803" s="1" t="n">
        <v>45340</v>
      </c>
      <c r="C2803" s="1" t="n">
        <v>45734</v>
      </c>
      <c r="D2803" t="inlineStr">
        <is>
          <t>JÄMTLANDS LÄN</t>
        </is>
      </c>
      <c r="E2803" t="inlineStr">
        <is>
          <t>STRÖMSUND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6566-2024</t>
        </is>
      </c>
      <c r="B2804" s="1" t="n">
        <v>45341</v>
      </c>
      <c r="C2804" s="1" t="n">
        <v>45734</v>
      </c>
      <c r="D2804" t="inlineStr">
        <is>
          <t>JÄMTLANDS LÄN</t>
        </is>
      </c>
      <c r="E2804" t="inlineStr">
        <is>
          <t>STRÖMSUND</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6693-2024</t>
        </is>
      </c>
      <c r="B2805" s="1" t="n">
        <v>45341</v>
      </c>
      <c r="C2805" s="1" t="n">
        <v>45734</v>
      </c>
      <c r="D2805" t="inlineStr">
        <is>
          <t>JÄMTLANDS LÄN</t>
        </is>
      </c>
      <c r="E2805" t="inlineStr">
        <is>
          <t>STRÖMSUND</t>
        </is>
      </c>
      <c r="F2805" t="inlineStr">
        <is>
          <t>SCA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6696-2024</t>
        </is>
      </c>
      <c r="B2806" s="1" t="n">
        <v>45341</v>
      </c>
      <c r="C2806" s="1" t="n">
        <v>45734</v>
      </c>
      <c r="D2806" t="inlineStr">
        <is>
          <t>JÄMTLANDS LÄN</t>
        </is>
      </c>
      <c r="E2806" t="inlineStr">
        <is>
          <t>STRÖMSUND</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6695-2024</t>
        </is>
      </c>
      <c r="B2807" s="1" t="n">
        <v>45341</v>
      </c>
      <c r="C2807" s="1" t="n">
        <v>45734</v>
      </c>
      <c r="D2807" t="inlineStr">
        <is>
          <t>JÄMTLANDS LÄN</t>
        </is>
      </c>
      <c r="E2807" t="inlineStr">
        <is>
          <t>STRÖMSUND</t>
        </is>
      </c>
      <c r="F2807" t="inlineStr">
        <is>
          <t>SCA</t>
        </is>
      </c>
      <c r="G2807" t="n">
        <v>19.5</v>
      </c>
      <c r="H2807" t="n">
        <v>0</v>
      </c>
      <c r="I2807" t="n">
        <v>0</v>
      </c>
      <c r="J2807" t="n">
        <v>0</v>
      </c>
      <c r="K2807" t="n">
        <v>0</v>
      </c>
      <c r="L2807" t="n">
        <v>0</v>
      </c>
      <c r="M2807" t="n">
        <v>0</v>
      </c>
      <c r="N2807" t="n">
        <v>0</v>
      </c>
      <c r="O2807" t="n">
        <v>0</v>
      </c>
      <c r="P2807" t="n">
        <v>0</v>
      </c>
      <c r="Q2807" t="n">
        <v>0</v>
      </c>
      <c r="R2807" s="2" t="inlineStr"/>
    </row>
    <row r="2808" ht="15" customHeight="1">
      <c r="A2808" t="inlineStr">
        <is>
          <t>A 6894-2024</t>
        </is>
      </c>
      <c r="B2808" s="1" t="n">
        <v>45342</v>
      </c>
      <c r="C2808" s="1" t="n">
        <v>45734</v>
      </c>
      <c r="D2808" t="inlineStr">
        <is>
          <t>JÄMTLANDS LÄN</t>
        </is>
      </c>
      <c r="E2808" t="inlineStr">
        <is>
          <t>STRÖMSUND</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6961-2024</t>
        </is>
      </c>
      <c r="B2809" s="1" t="n">
        <v>45343</v>
      </c>
      <c r="C2809" s="1" t="n">
        <v>45734</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7112-2024</t>
        </is>
      </c>
      <c r="B2810" s="1" t="n">
        <v>45343</v>
      </c>
      <c r="C2810" s="1" t="n">
        <v>45734</v>
      </c>
      <c r="D2810" t="inlineStr">
        <is>
          <t>JÄMTLANDS LÄN</t>
        </is>
      </c>
      <c r="E2810" t="inlineStr">
        <is>
          <t>STRÖMSUND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7293-2024</t>
        </is>
      </c>
      <c r="B2811" s="1" t="n">
        <v>45344</v>
      </c>
      <c r="C2811" s="1" t="n">
        <v>45734</v>
      </c>
      <c r="D2811" t="inlineStr">
        <is>
          <t>JÄMTLANDS LÄN</t>
        </is>
      </c>
      <c r="E2811" t="inlineStr">
        <is>
          <t>STRÖMSUND</t>
        </is>
      </c>
      <c r="F2811" t="inlineStr">
        <is>
          <t>SCA</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7302-2024</t>
        </is>
      </c>
      <c r="B2812" s="1" t="n">
        <v>45344</v>
      </c>
      <c r="C2812" s="1" t="n">
        <v>45734</v>
      </c>
      <c r="D2812" t="inlineStr">
        <is>
          <t>JÄMTLANDS LÄN</t>
        </is>
      </c>
      <c r="E2812" t="inlineStr">
        <is>
          <t>STRÖMSUND</t>
        </is>
      </c>
      <c r="F2812" t="inlineStr">
        <is>
          <t>SCA</t>
        </is>
      </c>
      <c r="G2812" t="n">
        <v>30.8</v>
      </c>
      <c r="H2812" t="n">
        <v>0</v>
      </c>
      <c r="I2812" t="n">
        <v>0</v>
      </c>
      <c r="J2812" t="n">
        <v>0</v>
      </c>
      <c r="K2812" t="n">
        <v>0</v>
      </c>
      <c r="L2812" t="n">
        <v>0</v>
      </c>
      <c r="M2812" t="n">
        <v>0</v>
      </c>
      <c r="N2812" t="n">
        <v>0</v>
      </c>
      <c r="O2812" t="n">
        <v>0</v>
      </c>
      <c r="P2812" t="n">
        <v>0</v>
      </c>
      <c r="Q2812" t="n">
        <v>0</v>
      </c>
      <c r="R2812" s="2" t="inlineStr"/>
    </row>
    <row r="2813" ht="15" customHeight="1">
      <c r="A2813" t="inlineStr">
        <is>
          <t>A 7301-2024</t>
        </is>
      </c>
      <c r="B2813" s="1" t="n">
        <v>45344</v>
      </c>
      <c r="C2813" s="1" t="n">
        <v>45734</v>
      </c>
      <c r="D2813" t="inlineStr">
        <is>
          <t>JÄMTLANDS LÄN</t>
        </is>
      </c>
      <c r="E2813" t="inlineStr">
        <is>
          <t>STRÖMSUND</t>
        </is>
      </c>
      <c r="F2813" t="inlineStr">
        <is>
          <t>SCA</t>
        </is>
      </c>
      <c r="G2813" t="n">
        <v>28.2</v>
      </c>
      <c r="H2813" t="n">
        <v>0</v>
      </c>
      <c r="I2813" t="n">
        <v>0</v>
      </c>
      <c r="J2813" t="n">
        <v>0</v>
      </c>
      <c r="K2813" t="n">
        <v>0</v>
      </c>
      <c r="L2813" t="n">
        <v>0</v>
      </c>
      <c r="M2813" t="n">
        <v>0</v>
      </c>
      <c r="N2813" t="n">
        <v>0</v>
      </c>
      <c r="O2813" t="n">
        <v>0</v>
      </c>
      <c r="P2813" t="n">
        <v>0</v>
      </c>
      <c r="Q2813" t="n">
        <v>0</v>
      </c>
      <c r="R2813" s="2" t="inlineStr"/>
    </row>
    <row r="2814" ht="15" customHeight="1">
      <c r="A2814" t="inlineStr">
        <is>
          <t>A 7572-2024</t>
        </is>
      </c>
      <c r="B2814" s="1" t="n">
        <v>45348</v>
      </c>
      <c r="C2814" s="1" t="n">
        <v>45734</v>
      </c>
      <c r="D2814" t="inlineStr">
        <is>
          <t>JÄMTLANDS LÄN</t>
        </is>
      </c>
      <c r="E2814" t="inlineStr">
        <is>
          <t>STRÖMSUND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7803-2024</t>
        </is>
      </c>
      <c r="B2815" s="1" t="n">
        <v>45348</v>
      </c>
      <c r="C2815" s="1" t="n">
        <v>45734</v>
      </c>
      <c r="D2815" t="inlineStr">
        <is>
          <t>JÄMTLANDS LÄN</t>
        </is>
      </c>
      <c r="E2815" t="inlineStr">
        <is>
          <t>STRÖMSUND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7690-2024</t>
        </is>
      </c>
      <c r="B2816" s="1" t="n">
        <v>45349</v>
      </c>
      <c r="C2816" s="1" t="n">
        <v>45734</v>
      </c>
      <c r="D2816" t="inlineStr">
        <is>
          <t>JÄMTLANDS LÄN</t>
        </is>
      </c>
      <c r="E2816" t="inlineStr">
        <is>
          <t>STRÖMSUND</t>
        </is>
      </c>
      <c r="F2816" t="inlineStr">
        <is>
          <t>SCA</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8134-2024</t>
        </is>
      </c>
      <c r="B2817" s="1" t="n">
        <v>45349</v>
      </c>
      <c r="C2817" s="1" t="n">
        <v>45734</v>
      </c>
      <c r="D2817" t="inlineStr">
        <is>
          <t>JÄMTLANDS LÄN</t>
        </is>
      </c>
      <c r="E2817" t="inlineStr">
        <is>
          <t>STRÖMSUND</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8133-2024</t>
        </is>
      </c>
      <c r="B2818" s="1" t="n">
        <v>45349</v>
      </c>
      <c r="C2818" s="1" t="n">
        <v>45734</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7854-2024</t>
        </is>
      </c>
      <c r="B2819" s="1" t="n">
        <v>45350</v>
      </c>
      <c r="C2819" s="1" t="n">
        <v>45734</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8297-2024</t>
        </is>
      </c>
      <c r="B2820" s="1" t="n">
        <v>45350</v>
      </c>
      <c r="C2820" s="1" t="n">
        <v>45734</v>
      </c>
      <c r="D2820" t="inlineStr">
        <is>
          <t>JÄMTLANDS LÄN</t>
        </is>
      </c>
      <c r="E2820" t="inlineStr">
        <is>
          <t>STRÖMSUND</t>
        </is>
      </c>
      <c r="F2820" t="inlineStr">
        <is>
          <t>Kyrkan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8419-2024</t>
        </is>
      </c>
      <c r="B2821" s="1" t="n">
        <v>45352</v>
      </c>
      <c r="C2821" s="1" t="n">
        <v>45734</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8420-2024</t>
        </is>
      </c>
      <c r="B2822" s="1" t="n">
        <v>45352</v>
      </c>
      <c r="C2822" s="1" t="n">
        <v>45734</v>
      </c>
      <c r="D2822" t="inlineStr">
        <is>
          <t>JÄMTLANDS LÄN</t>
        </is>
      </c>
      <c r="E2822" t="inlineStr">
        <is>
          <t>STRÖMSUND</t>
        </is>
      </c>
      <c r="F2822" t="inlineStr">
        <is>
          <t>SCA</t>
        </is>
      </c>
      <c r="G2822" t="n">
        <v>9.800000000000001</v>
      </c>
      <c r="H2822" t="n">
        <v>0</v>
      </c>
      <c r="I2822" t="n">
        <v>0</v>
      </c>
      <c r="J2822" t="n">
        <v>0</v>
      </c>
      <c r="K2822" t="n">
        <v>0</v>
      </c>
      <c r="L2822" t="n">
        <v>0</v>
      </c>
      <c r="M2822" t="n">
        <v>0</v>
      </c>
      <c r="N2822" t="n">
        <v>0</v>
      </c>
      <c r="O2822" t="n">
        <v>0</v>
      </c>
      <c r="P2822" t="n">
        <v>0</v>
      </c>
      <c r="Q2822" t="n">
        <v>0</v>
      </c>
      <c r="R2822" s="2" t="inlineStr"/>
      <c r="U2822">
        <f>HYPERLINK("https://klasma.github.io/Logging_2313/knärot/A 8420-2024 karta knärot.png", "A 8420-2024")</f>
        <v/>
      </c>
      <c r="V2822">
        <f>HYPERLINK("https://klasma.github.io/Logging_2313/klagomål/A 8420-2024 FSC-klagomål.docx", "A 8420-2024")</f>
        <v/>
      </c>
      <c r="W2822">
        <f>HYPERLINK("https://klasma.github.io/Logging_2313/klagomålsmail/A 8420-2024 FSC-klagomål mail.docx", "A 8420-2024")</f>
        <v/>
      </c>
      <c r="X2822">
        <f>HYPERLINK("https://klasma.github.io/Logging_2313/tillsyn/A 8420-2024 tillsynsbegäran.docx", "A 8420-2024")</f>
        <v/>
      </c>
      <c r="Y2822">
        <f>HYPERLINK("https://klasma.github.io/Logging_2313/tillsynsmail/A 8420-2024 tillsynsbegäran mail.docx", "A 8420-2024")</f>
        <v/>
      </c>
    </row>
    <row r="2823" ht="15" customHeight="1">
      <c r="A2823" t="inlineStr">
        <is>
          <t>A 8421-2024</t>
        </is>
      </c>
      <c r="B2823" s="1" t="n">
        <v>45353</v>
      </c>
      <c r="C2823" s="1" t="n">
        <v>45734</v>
      </c>
      <c r="D2823" t="inlineStr">
        <is>
          <t>JÄMTLANDS LÄN</t>
        </is>
      </c>
      <c r="E2823" t="inlineStr">
        <is>
          <t>STRÖMSUND</t>
        </is>
      </c>
      <c r="F2823" t="inlineStr">
        <is>
          <t>SCA</t>
        </is>
      </c>
      <c r="G2823" t="n">
        <v>35.8</v>
      </c>
      <c r="H2823" t="n">
        <v>0</v>
      </c>
      <c r="I2823" t="n">
        <v>0</v>
      </c>
      <c r="J2823" t="n">
        <v>0</v>
      </c>
      <c r="K2823" t="n">
        <v>0</v>
      </c>
      <c r="L2823" t="n">
        <v>0</v>
      </c>
      <c r="M2823" t="n">
        <v>0</v>
      </c>
      <c r="N2823" t="n">
        <v>0</v>
      </c>
      <c r="O2823" t="n">
        <v>0</v>
      </c>
      <c r="P2823" t="n">
        <v>0</v>
      </c>
      <c r="Q2823" t="n">
        <v>0</v>
      </c>
      <c r="R2823" s="2" t="inlineStr"/>
    </row>
    <row r="2824" ht="15" customHeight="1">
      <c r="A2824" t="inlineStr">
        <is>
          <t>A 8663-2024</t>
        </is>
      </c>
      <c r="B2824" s="1" t="n">
        <v>45356</v>
      </c>
      <c r="C2824" s="1" t="n">
        <v>45734</v>
      </c>
      <c r="D2824" t="inlineStr">
        <is>
          <t>JÄMTLANDS LÄN</t>
        </is>
      </c>
      <c r="E2824" t="inlineStr">
        <is>
          <t>STRÖMSUND</t>
        </is>
      </c>
      <c r="F2824" t="inlineStr">
        <is>
          <t>SCA</t>
        </is>
      </c>
      <c r="G2824" t="n">
        <v>24.8</v>
      </c>
      <c r="H2824" t="n">
        <v>0</v>
      </c>
      <c r="I2824" t="n">
        <v>0</v>
      </c>
      <c r="J2824" t="n">
        <v>0</v>
      </c>
      <c r="K2824" t="n">
        <v>0</v>
      </c>
      <c r="L2824" t="n">
        <v>0</v>
      </c>
      <c r="M2824" t="n">
        <v>0</v>
      </c>
      <c r="N2824" t="n">
        <v>0</v>
      </c>
      <c r="O2824" t="n">
        <v>0</v>
      </c>
      <c r="P2824" t="n">
        <v>0</v>
      </c>
      <c r="Q2824" t="n">
        <v>0</v>
      </c>
      <c r="R2824" s="2" t="inlineStr"/>
    </row>
    <row r="2825" ht="15" customHeight="1">
      <c r="A2825" t="inlineStr">
        <is>
          <t>A 8637-2024</t>
        </is>
      </c>
      <c r="B2825" s="1" t="n">
        <v>45356</v>
      </c>
      <c r="C2825" s="1" t="n">
        <v>45734</v>
      </c>
      <c r="D2825" t="inlineStr">
        <is>
          <t>JÄMTLANDS LÄN</t>
        </is>
      </c>
      <c r="E2825" t="inlineStr">
        <is>
          <t>STRÖMSUND</t>
        </is>
      </c>
      <c r="F2825" t="inlineStr">
        <is>
          <t>SCA</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8661-2024</t>
        </is>
      </c>
      <c r="B2826" s="1" t="n">
        <v>45356</v>
      </c>
      <c r="C2826" s="1" t="n">
        <v>45734</v>
      </c>
      <c r="D2826" t="inlineStr">
        <is>
          <t>JÄMTLANDS LÄN</t>
        </is>
      </c>
      <c r="E2826" t="inlineStr">
        <is>
          <t>STRÖMSUND</t>
        </is>
      </c>
      <c r="F2826" t="inlineStr">
        <is>
          <t>SCA</t>
        </is>
      </c>
      <c r="G2826" t="n">
        <v>28.8</v>
      </c>
      <c r="H2826" t="n">
        <v>0</v>
      </c>
      <c r="I2826" t="n">
        <v>0</v>
      </c>
      <c r="J2826" t="n">
        <v>0</v>
      </c>
      <c r="K2826" t="n">
        <v>0</v>
      </c>
      <c r="L2826" t="n">
        <v>0</v>
      </c>
      <c r="M2826" t="n">
        <v>0</v>
      </c>
      <c r="N2826" t="n">
        <v>0</v>
      </c>
      <c r="O2826" t="n">
        <v>0</v>
      </c>
      <c r="P2826" t="n">
        <v>0</v>
      </c>
      <c r="Q2826" t="n">
        <v>0</v>
      </c>
      <c r="R2826" s="2" t="inlineStr"/>
    </row>
    <row r="2827" ht="15" customHeight="1">
      <c r="A2827" t="inlineStr">
        <is>
          <t>A 8743-2024</t>
        </is>
      </c>
      <c r="B2827" s="1" t="n">
        <v>45356</v>
      </c>
      <c r="C2827" s="1" t="n">
        <v>45734</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8662-2024</t>
        </is>
      </c>
      <c r="B2828" s="1" t="n">
        <v>45356</v>
      </c>
      <c r="C2828" s="1" t="n">
        <v>45734</v>
      </c>
      <c r="D2828" t="inlineStr">
        <is>
          <t>JÄMTLANDS LÄN</t>
        </is>
      </c>
      <c r="E2828" t="inlineStr">
        <is>
          <t>STRÖMSUND</t>
        </is>
      </c>
      <c r="F2828" t="inlineStr">
        <is>
          <t>SCA</t>
        </is>
      </c>
      <c r="G2828" t="n">
        <v>24.6</v>
      </c>
      <c r="H2828" t="n">
        <v>0</v>
      </c>
      <c r="I2828" t="n">
        <v>0</v>
      </c>
      <c r="J2828" t="n">
        <v>0</v>
      </c>
      <c r="K2828" t="n">
        <v>0</v>
      </c>
      <c r="L2828" t="n">
        <v>0</v>
      </c>
      <c r="M2828" t="n">
        <v>0</v>
      </c>
      <c r="N2828" t="n">
        <v>0</v>
      </c>
      <c r="O2828" t="n">
        <v>0</v>
      </c>
      <c r="P2828" t="n">
        <v>0</v>
      </c>
      <c r="Q2828" t="n">
        <v>0</v>
      </c>
      <c r="R2828" s="2" t="inlineStr"/>
    </row>
    <row r="2829" ht="15" customHeight="1">
      <c r="A2829" t="inlineStr">
        <is>
          <t>A 8745-2024</t>
        </is>
      </c>
      <c r="B2829" s="1" t="n">
        <v>45356</v>
      </c>
      <c r="C2829" s="1" t="n">
        <v>45734</v>
      </c>
      <c r="D2829" t="inlineStr">
        <is>
          <t>JÄMTLANDS LÄN</t>
        </is>
      </c>
      <c r="E2829" t="inlineStr">
        <is>
          <t>STRÖMSUND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9035-2024</t>
        </is>
      </c>
      <c r="B2830" s="1" t="n">
        <v>45356</v>
      </c>
      <c r="C2830" s="1" t="n">
        <v>45734</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8895-2024</t>
        </is>
      </c>
      <c r="B2831" s="1" t="n">
        <v>45357</v>
      </c>
      <c r="C2831" s="1" t="n">
        <v>45734</v>
      </c>
      <c r="D2831" t="inlineStr">
        <is>
          <t>JÄMTLANDS LÄN</t>
        </is>
      </c>
      <c r="E2831" t="inlineStr">
        <is>
          <t>STRÖMSUND</t>
        </is>
      </c>
      <c r="F2831" t="inlineStr">
        <is>
          <t>Holmen skog AB</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9329-2024</t>
        </is>
      </c>
      <c r="B2832" s="1" t="n">
        <v>45359</v>
      </c>
      <c r="C2832" s="1" t="n">
        <v>45734</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9514-2024</t>
        </is>
      </c>
      <c r="B2833" s="1" t="n">
        <v>45359</v>
      </c>
      <c r="C2833" s="1" t="n">
        <v>45734</v>
      </c>
      <c r="D2833" t="inlineStr">
        <is>
          <t>JÄMTLANDS LÄN</t>
        </is>
      </c>
      <c r="E2833" t="inlineStr">
        <is>
          <t>STRÖMSUND</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9559-2024</t>
        </is>
      </c>
      <c r="B2834" s="1" t="n">
        <v>45360</v>
      </c>
      <c r="C2834" s="1" t="n">
        <v>45734</v>
      </c>
      <c r="D2834" t="inlineStr">
        <is>
          <t>JÄMTLANDS LÄN</t>
        </is>
      </c>
      <c r="E2834" t="inlineStr">
        <is>
          <t>STRÖMSUND</t>
        </is>
      </c>
      <c r="F2834" t="inlineStr">
        <is>
          <t>SCA</t>
        </is>
      </c>
      <c r="G2834" t="n">
        <v>28.3</v>
      </c>
      <c r="H2834" t="n">
        <v>0</v>
      </c>
      <c r="I2834" t="n">
        <v>0</v>
      </c>
      <c r="J2834" t="n">
        <v>0</v>
      </c>
      <c r="K2834" t="n">
        <v>0</v>
      </c>
      <c r="L2834" t="n">
        <v>0</v>
      </c>
      <c r="M2834" t="n">
        <v>0</v>
      </c>
      <c r="N2834" t="n">
        <v>0</v>
      </c>
      <c r="O2834" t="n">
        <v>0</v>
      </c>
      <c r="P2834" t="n">
        <v>0</v>
      </c>
      <c r="Q2834" t="n">
        <v>0</v>
      </c>
      <c r="R2834" s="2" t="inlineStr"/>
    </row>
    <row r="2835" ht="15" customHeight="1">
      <c r="A2835" t="inlineStr">
        <is>
          <t>A 9706-2024</t>
        </is>
      </c>
      <c r="B2835" s="1" t="n">
        <v>45362</v>
      </c>
      <c r="C2835" s="1" t="n">
        <v>45734</v>
      </c>
      <c r="D2835" t="inlineStr">
        <is>
          <t>JÄMTLANDS LÄN</t>
        </is>
      </c>
      <c r="E2835" t="inlineStr">
        <is>
          <t>STRÖMSUND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9707-2024</t>
        </is>
      </c>
      <c r="B2836" s="1" t="n">
        <v>45362</v>
      </c>
      <c r="C2836" s="1" t="n">
        <v>45734</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9824-2024</t>
        </is>
      </c>
      <c r="B2837" s="1" t="n">
        <v>45363</v>
      </c>
      <c r="C2837" s="1" t="n">
        <v>45734</v>
      </c>
      <c r="D2837" t="inlineStr">
        <is>
          <t>JÄMTLANDS LÄN</t>
        </is>
      </c>
      <c r="E2837" t="inlineStr">
        <is>
          <t>STRÖMSUND</t>
        </is>
      </c>
      <c r="F2837" t="inlineStr">
        <is>
          <t>SCA</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9940-2024</t>
        </is>
      </c>
      <c r="B2838" s="1" t="n">
        <v>45363</v>
      </c>
      <c r="C2838" s="1" t="n">
        <v>45734</v>
      </c>
      <c r="D2838" t="inlineStr">
        <is>
          <t>JÄMTLANDS LÄN</t>
        </is>
      </c>
      <c r="E2838" t="inlineStr">
        <is>
          <t>STRÖMSUND</t>
        </is>
      </c>
      <c r="F2838" t="inlineStr">
        <is>
          <t>Holmen skog AB</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10033-2024</t>
        </is>
      </c>
      <c r="B2839" s="1" t="n">
        <v>45364</v>
      </c>
      <c r="C2839" s="1" t="n">
        <v>45734</v>
      </c>
      <c r="D2839" t="inlineStr">
        <is>
          <t>JÄMTLANDS LÄN</t>
        </is>
      </c>
      <c r="E2839" t="inlineStr">
        <is>
          <t>STRÖMSUND</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10041-2024</t>
        </is>
      </c>
      <c r="B2840" s="1" t="n">
        <v>45364</v>
      </c>
      <c r="C2840" s="1" t="n">
        <v>45734</v>
      </c>
      <c r="D2840" t="inlineStr">
        <is>
          <t>JÄMTLANDS LÄN</t>
        </is>
      </c>
      <c r="E2840" t="inlineStr">
        <is>
          <t>STRÖMSUND</t>
        </is>
      </c>
      <c r="F2840" t="inlineStr">
        <is>
          <t>SCA</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10031-2024</t>
        </is>
      </c>
      <c r="B2841" s="1" t="n">
        <v>45364</v>
      </c>
      <c r="C2841" s="1" t="n">
        <v>45734</v>
      </c>
      <c r="D2841" t="inlineStr">
        <is>
          <t>JÄMTLANDS LÄN</t>
        </is>
      </c>
      <c r="E2841" t="inlineStr">
        <is>
          <t>STRÖMSUND</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10043-2024</t>
        </is>
      </c>
      <c r="B2842" s="1" t="n">
        <v>45364</v>
      </c>
      <c r="C2842" s="1" t="n">
        <v>45734</v>
      </c>
      <c r="D2842" t="inlineStr">
        <is>
          <t>JÄMTLANDS LÄN</t>
        </is>
      </c>
      <c r="E2842" t="inlineStr">
        <is>
          <t>STRÖMSUND</t>
        </is>
      </c>
      <c r="F2842" t="inlineStr">
        <is>
          <t>SCA</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10030-2024</t>
        </is>
      </c>
      <c r="B2843" s="1" t="n">
        <v>45364</v>
      </c>
      <c r="C2843" s="1" t="n">
        <v>45734</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10034-2024</t>
        </is>
      </c>
      <c r="B2844" s="1" t="n">
        <v>45364</v>
      </c>
      <c r="C2844" s="1" t="n">
        <v>45734</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10042-2024</t>
        </is>
      </c>
      <c r="B2845" s="1" t="n">
        <v>45364</v>
      </c>
      <c r="C2845" s="1" t="n">
        <v>45734</v>
      </c>
      <c r="D2845" t="inlineStr">
        <is>
          <t>JÄMTLANDS LÄN</t>
        </is>
      </c>
      <c r="E2845" t="inlineStr">
        <is>
          <t>STRÖMSUND</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10032-2024</t>
        </is>
      </c>
      <c r="B2846" s="1" t="n">
        <v>45364</v>
      </c>
      <c r="C2846" s="1" t="n">
        <v>45734</v>
      </c>
      <c r="D2846" t="inlineStr">
        <is>
          <t>JÄMTLANDS LÄN</t>
        </is>
      </c>
      <c r="E2846" t="inlineStr">
        <is>
          <t>STRÖMSUND</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10212-2024</t>
        </is>
      </c>
      <c r="B2847" s="1" t="n">
        <v>45364</v>
      </c>
      <c r="C2847" s="1" t="n">
        <v>45734</v>
      </c>
      <c r="D2847" t="inlineStr">
        <is>
          <t>JÄMTLANDS LÄN</t>
        </is>
      </c>
      <c r="E2847" t="inlineStr">
        <is>
          <t>STRÖMSUND</t>
        </is>
      </c>
      <c r="F2847" t="inlineStr">
        <is>
          <t>SCA</t>
        </is>
      </c>
      <c r="G2847" t="n">
        <v>36.5</v>
      </c>
      <c r="H2847" t="n">
        <v>0</v>
      </c>
      <c r="I2847" t="n">
        <v>0</v>
      </c>
      <c r="J2847" t="n">
        <v>0</v>
      </c>
      <c r="K2847" t="n">
        <v>0</v>
      </c>
      <c r="L2847" t="n">
        <v>0</v>
      </c>
      <c r="M2847" t="n">
        <v>0</v>
      </c>
      <c r="N2847" t="n">
        <v>0</v>
      </c>
      <c r="O2847" t="n">
        <v>0</v>
      </c>
      <c r="P2847" t="n">
        <v>0</v>
      </c>
      <c r="Q2847" t="n">
        <v>0</v>
      </c>
      <c r="R2847" s="2" t="inlineStr"/>
    </row>
    <row r="2848" ht="15" customHeight="1">
      <c r="A2848" t="inlineStr">
        <is>
          <t>A 10216-2024</t>
        </is>
      </c>
      <c r="B2848" s="1" t="n">
        <v>45364</v>
      </c>
      <c r="C2848" s="1" t="n">
        <v>45734</v>
      </c>
      <c r="D2848" t="inlineStr">
        <is>
          <t>JÄMTLANDS LÄN</t>
        </is>
      </c>
      <c r="E2848" t="inlineStr">
        <is>
          <t>STRÖMSUND</t>
        </is>
      </c>
      <c r="F2848" t="inlineStr">
        <is>
          <t>SCA</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10422-2024</t>
        </is>
      </c>
      <c r="B2849" s="1" t="n">
        <v>45365</v>
      </c>
      <c r="C2849" s="1" t="n">
        <v>45734</v>
      </c>
      <c r="D2849" t="inlineStr">
        <is>
          <t>JÄMTLANDS LÄN</t>
        </is>
      </c>
      <c r="E2849" t="inlineStr">
        <is>
          <t>STRÖMSUND</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10611-2024</t>
        </is>
      </c>
      <c r="B2850" s="1" t="n">
        <v>45367</v>
      </c>
      <c r="C2850" s="1" t="n">
        <v>45734</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10622-2024</t>
        </is>
      </c>
      <c r="B2851" s="1" t="n">
        <v>45367</v>
      </c>
      <c r="C2851" s="1" t="n">
        <v>45734</v>
      </c>
      <c r="D2851" t="inlineStr">
        <is>
          <t>JÄMTLANDS LÄN</t>
        </is>
      </c>
      <c r="E2851" t="inlineStr">
        <is>
          <t>STRÖMSUND</t>
        </is>
      </c>
      <c r="F2851" t="inlineStr">
        <is>
          <t>SCA</t>
        </is>
      </c>
      <c r="G2851" t="n">
        <v>30.8</v>
      </c>
      <c r="H2851" t="n">
        <v>0</v>
      </c>
      <c r="I2851" t="n">
        <v>0</v>
      </c>
      <c r="J2851" t="n">
        <v>0</v>
      </c>
      <c r="K2851" t="n">
        <v>0</v>
      </c>
      <c r="L2851" t="n">
        <v>0</v>
      </c>
      <c r="M2851" t="n">
        <v>0</v>
      </c>
      <c r="N2851" t="n">
        <v>0</v>
      </c>
      <c r="O2851" t="n">
        <v>0</v>
      </c>
      <c r="P2851" t="n">
        <v>0</v>
      </c>
      <c r="Q2851" t="n">
        <v>0</v>
      </c>
      <c r="R2851" s="2" t="inlineStr"/>
    </row>
    <row r="2852" ht="15" customHeight="1">
      <c r="A2852" t="inlineStr">
        <is>
          <t>A 10865-2024</t>
        </is>
      </c>
      <c r="B2852" s="1" t="n">
        <v>45370</v>
      </c>
      <c r="C2852" s="1" t="n">
        <v>45734</v>
      </c>
      <c r="D2852" t="inlineStr">
        <is>
          <t>JÄMTLANDS LÄN</t>
        </is>
      </c>
      <c r="E2852" t="inlineStr">
        <is>
          <t>STRÖMSUND</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10864-2024</t>
        </is>
      </c>
      <c r="B2853" s="1" t="n">
        <v>45370</v>
      </c>
      <c r="C2853" s="1" t="n">
        <v>45734</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11340-2024</t>
        </is>
      </c>
      <c r="B2854" s="1" t="n">
        <v>45372</v>
      </c>
      <c r="C2854" s="1" t="n">
        <v>45734</v>
      </c>
      <c r="D2854" t="inlineStr">
        <is>
          <t>JÄMTLANDS LÄN</t>
        </is>
      </c>
      <c r="E2854" t="inlineStr">
        <is>
          <t>STRÖMSUND</t>
        </is>
      </c>
      <c r="F2854" t="inlineStr">
        <is>
          <t>SCA</t>
        </is>
      </c>
      <c r="G2854" t="n">
        <v>13.7</v>
      </c>
      <c r="H2854" t="n">
        <v>0</v>
      </c>
      <c r="I2854" t="n">
        <v>0</v>
      </c>
      <c r="J2854" t="n">
        <v>0</v>
      </c>
      <c r="K2854" t="n">
        <v>0</v>
      </c>
      <c r="L2854" t="n">
        <v>0</v>
      </c>
      <c r="M2854" t="n">
        <v>0</v>
      </c>
      <c r="N2854" t="n">
        <v>0</v>
      </c>
      <c r="O2854" t="n">
        <v>0</v>
      </c>
      <c r="P2854" t="n">
        <v>0</v>
      </c>
      <c r="Q2854" t="n">
        <v>0</v>
      </c>
      <c r="R2854" s="2" t="inlineStr"/>
      <c r="U2854">
        <f>HYPERLINK("https://klasma.github.io/Logging_2313/knärot/A 11340-2024 karta knärot.png", "A 11340-2024")</f>
        <v/>
      </c>
      <c r="V2854">
        <f>HYPERLINK("https://klasma.github.io/Logging_2313/klagomål/A 11340-2024 FSC-klagomål.docx", "A 11340-2024")</f>
        <v/>
      </c>
      <c r="W2854">
        <f>HYPERLINK("https://klasma.github.io/Logging_2313/klagomålsmail/A 11340-2024 FSC-klagomål mail.docx", "A 11340-2024")</f>
        <v/>
      </c>
      <c r="X2854">
        <f>HYPERLINK("https://klasma.github.io/Logging_2313/tillsyn/A 11340-2024 tillsynsbegäran.docx", "A 11340-2024")</f>
        <v/>
      </c>
      <c r="Y2854">
        <f>HYPERLINK("https://klasma.github.io/Logging_2313/tillsynsmail/A 11340-2024 tillsynsbegäran mail.docx", "A 11340-2024")</f>
        <v/>
      </c>
    </row>
    <row r="2855" ht="15" customHeight="1">
      <c r="A2855" t="inlineStr">
        <is>
          <t>A 11341-2024</t>
        </is>
      </c>
      <c r="B2855" s="1" t="n">
        <v>45372</v>
      </c>
      <c r="C2855" s="1" t="n">
        <v>45734</v>
      </c>
      <c r="D2855" t="inlineStr">
        <is>
          <t>JÄMTLANDS LÄN</t>
        </is>
      </c>
      <c r="E2855" t="inlineStr">
        <is>
          <t>STRÖMSUND</t>
        </is>
      </c>
      <c r="F2855" t="inlineStr">
        <is>
          <t>SCA</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11753-2024</t>
        </is>
      </c>
      <c r="B2856" s="1" t="n">
        <v>45373</v>
      </c>
      <c r="C2856" s="1" t="n">
        <v>45734</v>
      </c>
      <c r="D2856" t="inlineStr">
        <is>
          <t>JÄMTLANDS LÄN</t>
        </is>
      </c>
      <c r="E2856" t="inlineStr">
        <is>
          <t>STRÖMSUND</t>
        </is>
      </c>
      <c r="F2856" t="inlineStr">
        <is>
          <t>SCA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11763-2024</t>
        </is>
      </c>
      <c r="B2857" s="1" t="n">
        <v>45373</v>
      </c>
      <c r="C2857" s="1" t="n">
        <v>45734</v>
      </c>
      <c r="D2857" t="inlineStr">
        <is>
          <t>JÄMTLANDS LÄN</t>
        </is>
      </c>
      <c r="E2857" t="inlineStr">
        <is>
          <t>STRÖMSUND</t>
        </is>
      </c>
      <c r="F2857" t="inlineStr">
        <is>
          <t>SCA</t>
        </is>
      </c>
      <c r="G2857" t="n">
        <v>31.6</v>
      </c>
      <c r="H2857" t="n">
        <v>0</v>
      </c>
      <c r="I2857" t="n">
        <v>0</v>
      </c>
      <c r="J2857" t="n">
        <v>0</v>
      </c>
      <c r="K2857" t="n">
        <v>0</v>
      </c>
      <c r="L2857" t="n">
        <v>0</v>
      </c>
      <c r="M2857" t="n">
        <v>0</v>
      </c>
      <c r="N2857" t="n">
        <v>0</v>
      </c>
      <c r="O2857" t="n">
        <v>0</v>
      </c>
      <c r="P2857" t="n">
        <v>0</v>
      </c>
      <c r="Q2857" t="n">
        <v>0</v>
      </c>
      <c r="R2857" s="2" t="inlineStr"/>
    </row>
    <row r="2858" ht="15" customHeight="1">
      <c r="A2858" t="inlineStr">
        <is>
          <t>A 11755-2024</t>
        </is>
      </c>
      <c r="B2858" s="1" t="n">
        <v>45373</v>
      </c>
      <c r="C2858" s="1" t="n">
        <v>45734</v>
      </c>
      <c r="D2858" t="inlineStr">
        <is>
          <t>JÄMTLANDS LÄN</t>
        </is>
      </c>
      <c r="E2858" t="inlineStr">
        <is>
          <t>STRÖMSUND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11762-2024</t>
        </is>
      </c>
      <c r="B2859" s="1" t="n">
        <v>45373</v>
      </c>
      <c r="C2859" s="1" t="n">
        <v>45734</v>
      </c>
      <c r="D2859" t="inlineStr">
        <is>
          <t>JÄMTLANDS LÄN</t>
        </is>
      </c>
      <c r="E2859" t="inlineStr">
        <is>
          <t>STRÖMSUND</t>
        </is>
      </c>
      <c r="F2859" t="inlineStr">
        <is>
          <t>SCA</t>
        </is>
      </c>
      <c r="G2859" t="n">
        <v>26.7</v>
      </c>
      <c r="H2859" t="n">
        <v>0</v>
      </c>
      <c r="I2859" t="n">
        <v>0</v>
      </c>
      <c r="J2859" t="n">
        <v>0</v>
      </c>
      <c r="K2859" t="n">
        <v>0</v>
      </c>
      <c r="L2859" t="n">
        <v>0</v>
      </c>
      <c r="M2859" t="n">
        <v>0</v>
      </c>
      <c r="N2859" t="n">
        <v>0</v>
      </c>
      <c r="O2859" t="n">
        <v>0</v>
      </c>
      <c r="P2859" t="n">
        <v>0</v>
      </c>
      <c r="Q2859" t="n">
        <v>0</v>
      </c>
      <c r="R2859" s="2" t="inlineStr"/>
    </row>
    <row r="2860" ht="15" customHeight="1">
      <c r="A2860" t="inlineStr">
        <is>
          <t>A 11811-2024</t>
        </is>
      </c>
      <c r="B2860" s="1" t="n">
        <v>45376</v>
      </c>
      <c r="C2860" s="1" t="n">
        <v>45734</v>
      </c>
      <c r="D2860" t="inlineStr">
        <is>
          <t>JÄMTLANDS LÄN</t>
        </is>
      </c>
      <c r="E2860" t="inlineStr">
        <is>
          <t>STRÖMSUND</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11978-2024</t>
        </is>
      </c>
      <c r="B2861" s="1" t="n">
        <v>45376</v>
      </c>
      <c r="C2861" s="1" t="n">
        <v>45734</v>
      </c>
      <c r="D2861" t="inlineStr">
        <is>
          <t>JÄMTLANDS LÄN</t>
        </is>
      </c>
      <c r="E2861" t="inlineStr">
        <is>
          <t>STRÖMSUND</t>
        </is>
      </c>
      <c r="F2861" t="inlineStr">
        <is>
          <t>SCA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12078-2024</t>
        </is>
      </c>
      <c r="B2862" s="1" t="n">
        <v>45377</v>
      </c>
      <c r="C2862" s="1" t="n">
        <v>45734</v>
      </c>
      <c r="D2862" t="inlineStr">
        <is>
          <t>JÄMTLANDS LÄN</t>
        </is>
      </c>
      <c r="E2862" t="inlineStr">
        <is>
          <t>STRÖMSUND</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12869-2024</t>
        </is>
      </c>
      <c r="B2863" s="1" t="n">
        <v>45385</v>
      </c>
      <c r="C2863" s="1" t="n">
        <v>45734</v>
      </c>
      <c r="D2863" t="inlineStr">
        <is>
          <t>JÄMTLANDS LÄN</t>
        </is>
      </c>
      <c r="E2863" t="inlineStr">
        <is>
          <t>STRÖMSUND</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12866-2024</t>
        </is>
      </c>
      <c r="B2864" s="1" t="n">
        <v>45385</v>
      </c>
      <c r="C2864" s="1" t="n">
        <v>45734</v>
      </c>
      <c r="D2864" t="inlineStr">
        <is>
          <t>JÄMTLANDS LÄN</t>
        </is>
      </c>
      <c r="E2864" t="inlineStr">
        <is>
          <t>STRÖMSUND</t>
        </is>
      </c>
      <c r="F2864" t="inlineStr">
        <is>
          <t>SCA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12956-2024</t>
        </is>
      </c>
      <c r="B2865" s="1" t="n">
        <v>45385</v>
      </c>
      <c r="C2865" s="1" t="n">
        <v>45734</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13129-2024</t>
        </is>
      </c>
      <c r="B2866" s="1" t="n">
        <v>45386</v>
      </c>
      <c r="C2866" s="1" t="n">
        <v>45734</v>
      </c>
      <c r="D2866" t="inlineStr">
        <is>
          <t>JÄMTLANDS LÄN</t>
        </is>
      </c>
      <c r="E2866" t="inlineStr">
        <is>
          <t>STRÖMSUND</t>
        </is>
      </c>
      <c r="F2866" t="inlineStr">
        <is>
          <t>SCA</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13236-2024</t>
        </is>
      </c>
      <c r="B2867" s="1" t="n">
        <v>45386</v>
      </c>
      <c r="C2867" s="1" t="n">
        <v>45734</v>
      </c>
      <c r="D2867" t="inlineStr">
        <is>
          <t>JÄMTLANDS LÄN</t>
        </is>
      </c>
      <c r="E2867" t="inlineStr">
        <is>
          <t>STRÖMSUND</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13339-2024</t>
        </is>
      </c>
      <c r="B2868" s="1" t="n">
        <v>45387</v>
      </c>
      <c r="C2868" s="1" t="n">
        <v>45734</v>
      </c>
      <c r="D2868" t="inlineStr">
        <is>
          <t>JÄMTLANDS LÄN</t>
        </is>
      </c>
      <c r="E2868" t="inlineStr">
        <is>
          <t>STRÖMSUND</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13499-2024</t>
        </is>
      </c>
      <c r="B2869" s="1" t="n">
        <v>45387</v>
      </c>
      <c r="C2869" s="1" t="n">
        <v>45734</v>
      </c>
      <c r="D2869" t="inlineStr">
        <is>
          <t>JÄMTLANDS LÄN</t>
        </is>
      </c>
      <c r="E2869" t="inlineStr">
        <is>
          <t>STRÖMSUND</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13494-2024</t>
        </is>
      </c>
      <c r="B2870" s="1" t="n">
        <v>45387</v>
      </c>
      <c r="C2870" s="1" t="n">
        <v>45734</v>
      </c>
      <c r="D2870" t="inlineStr">
        <is>
          <t>JÄMTLANDS LÄN</t>
        </is>
      </c>
      <c r="E2870" t="inlineStr">
        <is>
          <t>STRÖMSUND</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13590-2024</t>
        </is>
      </c>
      <c r="B2871" s="1" t="n">
        <v>45389</v>
      </c>
      <c r="C2871" s="1" t="n">
        <v>45734</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13584-2024</t>
        </is>
      </c>
      <c r="B2872" s="1" t="n">
        <v>45389</v>
      </c>
      <c r="C2872" s="1" t="n">
        <v>45734</v>
      </c>
      <c r="D2872" t="inlineStr">
        <is>
          <t>JÄMTLANDS LÄN</t>
        </is>
      </c>
      <c r="E2872" t="inlineStr">
        <is>
          <t>STRÖMSUND</t>
        </is>
      </c>
      <c r="G2872" t="n">
        <v>47.8</v>
      </c>
      <c r="H2872" t="n">
        <v>0</v>
      </c>
      <c r="I2872" t="n">
        <v>0</v>
      </c>
      <c r="J2872" t="n">
        <v>0</v>
      </c>
      <c r="K2872" t="n">
        <v>0</v>
      </c>
      <c r="L2872" t="n">
        <v>0</v>
      </c>
      <c r="M2872" t="n">
        <v>0</v>
      </c>
      <c r="N2872" t="n">
        <v>0</v>
      </c>
      <c r="O2872" t="n">
        <v>0</v>
      </c>
      <c r="P2872" t="n">
        <v>0</v>
      </c>
      <c r="Q2872" t="n">
        <v>0</v>
      </c>
      <c r="R2872" s="2" t="inlineStr"/>
    </row>
    <row r="2873" ht="15" customHeight="1">
      <c r="A2873" t="inlineStr">
        <is>
          <t>A 13894-2024</t>
        </is>
      </c>
      <c r="B2873" s="1" t="n">
        <v>45391</v>
      </c>
      <c r="C2873" s="1" t="n">
        <v>45734</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13924-2024</t>
        </is>
      </c>
      <c r="B2874" s="1" t="n">
        <v>45392</v>
      </c>
      <c r="C2874" s="1" t="n">
        <v>45734</v>
      </c>
      <c r="D2874" t="inlineStr">
        <is>
          <t>JÄMTLANDS LÄN</t>
        </is>
      </c>
      <c r="E2874" t="inlineStr">
        <is>
          <t>STRÖMSUND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14570-2024</t>
        </is>
      </c>
      <c r="B2875" s="1" t="n">
        <v>45395</v>
      </c>
      <c r="C2875" s="1" t="n">
        <v>45734</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14568-2024</t>
        </is>
      </c>
      <c r="B2876" s="1" t="n">
        <v>45394</v>
      </c>
      <c r="C2876" s="1" t="n">
        <v>45734</v>
      </c>
      <c r="D2876" t="inlineStr">
        <is>
          <t>JÄMTLANDS LÄN</t>
        </is>
      </c>
      <c r="E2876" t="inlineStr">
        <is>
          <t>STRÖMSUND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14583-2024</t>
        </is>
      </c>
      <c r="B2877" s="1" t="n">
        <v>45395</v>
      </c>
      <c r="C2877" s="1" t="n">
        <v>45734</v>
      </c>
      <c r="D2877" t="inlineStr">
        <is>
          <t>JÄMTLANDS LÄN</t>
        </is>
      </c>
      <c r="E2877" t="inlineStr">
        <is>
          <t>STRÖMSUND</t>
        </is>
      </c>
      <c r="F2877" t="inlineStr">
        <is>
          <t>SCA</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14569-2024</t>
        </is>
      </c>
      <c r="B2878" s="1" t="n">
        <v>45394</v>
      </c>
      <c r="C2878" s="1" t="n">
        <v>45734</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14812-2024</t>
        </is>
      </c>
      <c r="B2879" s="1" t="n">
        <v>45397</v>
      </c>
      <c r="C2879" s="1" t="n">
        <v>45734</v>
      </c>
      <c r="D2879" t="inlineStr">
        <is>
          <t>JÄMTLANDS LÄN</t>
        </is>
      </c>
      <c r="E2879" t="inlineStr">
        <is>
          <t>STRÖMSUND</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14966-2024</t>
        </is>
      </c>
      <c r="B2880" s="1" t="n">
        <v>45399</v>
      </c>
      <c r="C2880" s="1" t="n">
        <v>45734</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14978-2024</t>
        </is>
      </c>
      <c r="B2881" s="1" t="n">
        <v>45399</v>
      </c>
      <c r="C2881" s="1" t="n">
        <v>45734</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14967-2024</t>
        </is>
      </c>
      <c r="B2882" s="1" t="n">
        <v>45399</v>
      </c>
      <c r="C2882" s="1" t="n">
        <v>45734</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15364-2024</t>
        </is>
      </c>
      <c r="B2883" s="1" t="n">
        <v>45400</v>
      </c>
      <c r="C2883" s="1" t="n">
        <v>45734</v>
      </c>
      <c r="D2883" t="inlineStr">
        <is>
          <t>JÄMTLANDS LÄN</t>
        </is>
      </c>
      <c r="E2883" t="inlineStr">
        <is>
          <t>STRÖMSUND</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15375-2024</t>
        </is>
      </c>
      <c r="B2884" s="1" t="n">
        <v>45400</v>
      </c>
      <c r="C2884" s="1" t="n">
        <v>45734</v>
      </c>
      <c r="D2884" t="inlineStr">
        <is>
          <t>JÄMTLANDS LÄN</t>
        </is>
      </c>
      <c r="E2884" t="inlineStr">
        <is>
          <t>STRÖMSUND</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15858-2024</t>
        </is>
      </c>
      <c r="B2885" s="1" t="n">
        <v>45405</v>
      </c>
      <c r="C2885" s="1" t="n">
        <v>45734</v>
      </c>
      <c r="D2885" t="inlineStr">
        <is>
          <t>JÄMTLANDS LÄN</t>
        </is>
      </c>
      <c r="E2885" t="inlineStr">
        <is>
          <t>STRÖMSUND</t>
        </is>
      </c>
      <c r="F2885" t="inlineStr">
        <is>
          <t>SCA</t>
        </is>
      </c>
      <c r="G2885" t="n">
        <v>33.8</v>
      </c>
      <c r="H2885" t="n">
        <v>0</v>
      </c>
      <c r="I2885" t="n">
        <v>0</v>
      </c>
      <c r="J2885" t="n">
        <v>0</v>
      </c>
      <c r="K2885" t="n">
        <v>0</v>
      </c>
      <c r="L2885" t="n">
        <v>0</v>
      </c>
      <c r="M2885" t="n">
        <v>0</v>
      </c>
      <c r="N2885" t="n">
        <v>0</v>
      </c>
      <c r="O2885" t="n">
        <v>0</v>
      </c>
      <c r="P2885" t="n">
        <v>0</v>
      </c>
      <c r="Q2885" t="n">
        <v>0</v>
      </c>
      <c r="R2885" s="2" t="inlineStr"/>
    </row>
    <row r="2886" ht="15" customHeight="1">
      <c r="A2886" t="inlineStr">
        <is>
          <t>A 16053-2024</t>
        </is>
      </c>
      <c r="B2886" s="1" t="n">
        <v>45406</v>
      </c>
      <c r="C2886" s="1" t="n">
        <v>45734</v>
      </c>
      <c r="D2886" t="inlineStr">
        <is>
          <t>JÄMTLANDS LÄN</t>
        </is>
      </c>
      <c r="E2886" t="inlineStr">
        <is>
          <t>STRÖMSUND</t>
        </is>
      </c>
      <c r="F2886" t="inlineStr">
        <is>
          <t>SCA</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16242-2024</t>
        </is>
      </c>
      <c r="B2887" s="1" t="n">
        <v>45407</v>
      </c>
      <c r="C2887" s="1" t="n">
        <v>45734</v>
      </c>
      <c r="D2887" t="inlineStr">
        <is>
          <t>JÄMTLANDS LÄN</t>
        </is>
      </c>
      <c r="E2887" t="inlineStr">
        <is>
          <t>STRÖMSUND</t>
        </is>
      </c>
      <c r="F2887" t="inlineStr">
        <is>
          <t>SCA</t>
        </is>
      </c>
      <c r="G2887" t="n">
        <v>31.2</v>
      </c>
      <c r="H2887" t="n">
        <v>0</v>
      </c>
      <c r="I2887" t="n">
        <v>0</v>
      </c>
      <c r="J2887" t="n">
        <v>0</v>
      </c>
      <c r="K2887" t="n">
        <v>0</v>
      </c>
      <c r="L2887" t="n">
        <v>0</v>
      </c>
      <c r="M2887" t="n">
        <v>0</v>
      </c>
      <c r="N2887" t="n">
        <v>0</v>
      </c>
      <c r="O2887" t="n">
        <v>0</v>
      </c>
      <c r="P2887" t="n">
        <v>0</v>
      </c>
      <c r="Q2887" t="n">
        <v>0</v>
      </c>
      <c r="R2887" s="2" t="inlineStr"/>
    </row>
    <row r="2888" ht="15" customHeight="1">
      <c r="A2888" t="inlineStr">
        <is>
          <t>A 16236-2024</t>
        </is>
      </c>
      <c r="B2888" s="1" t="n">
        <v>45407</v>
      </c>
      <c r="C2888" s="1" t="n">
        <v>45734</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16458-2024</t>
        </is>
      </c>
      <c r="B2889" s="1" t="n">
        <v>45408</v>
      </c>
      <c r="C2889" s="1" t="n">
        <v>45734</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16464-2024</t>
        </is>
      </c>
      <c r="B2890" s="1" t="n">
        <v>45408</v>
      </c>
      <c r="C2890" s="1" t="n">
        <v>45734</v>
      </c>
      <c r="D2890" t="inlineStr">
        <is>
          <t>JÄMTLANDS LÄN</t>
        </is>
      </c>
      <c r="E2890" t="inlineStr">
        <is>
          <t>STRÖMSUND</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16490-2024</t>
        </is>
      </c>
      <c r="B2891" s="1" t="n">
        <v>45408</v>
      </c>
      <c r="C2891" s="1" t="n">
        <v>45734</v>
      </c>
      <c r="D2891" t="inlineStr">
        <is>
          <t>JÄMTLANDS LÄN</t>
        </is>
      </c>
      <c r="E2891" t="inlineStr">
        <is>
          <t>STRÖMSUND</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17098-2024</t>
        </is>
      </c>
      <c r="B2892" s="1" t="n">
        <v>45412</v>
      </c>
      <c r="C2892" s="1" t="n">
        <v>45734</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17105-2024</t>
        </is>
      </c>
      <c r="B2893" s="1" t="n">
        <v>45412</v>
      </c>
      <c r="C2893" s="1" t="n">
        <v>45734</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17435-2024</t>
        </is>
      </c>
      <c r="B2894" s="1" t="n">
        <v>45415</v>
      </c>
      <c r="C2894" s="1" t="n">
        <v>45734</v>
      </c>
      <c r="D2894" t="inlineStr">
        <is>
          <t>JÄMTLANDS LÄN</t>
        </is>
      </c>
      <c r="E2894" t="inlineStr">
        <is>
          <t>STRÖMSUND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17442-2024</t>
        </is>
      </c>
      <c r="B2895" s="1" t="n">
        <v>45415</v>
      </c>
      <c r="C2895" s="1" t="n">
        <v>45734</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17728-2024</t>
        </is>
      </c>
      <c r="B2896" s="1" t="n">
        <v>45418</v>
      </c>
      <c r="C2896" s="1" t="n">
        <v>45734</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18234-2024</t>
        </is>
      </c>
      <c r="B2897" s="1" t="n">
        <v>45421</v>
      </c>
      <c r="C2897" s="1" t="n">
        <v>45734</v>
      </c>
      <c r="D2897" t="inlineStr">
        <is>
          <t>JÄMTLANDS LÄN</t>
        </is>
      </c>
      <c r="E2897" t="inlineStr">
        <is>
          <t>STRÖMSUND</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18233-2024</t>
        </is>
      </c>
      <c r="B2898" s="1" t="n">
        <v>45421</v>
      </c>
      <c r="C2898" s="1" t="n">
        <v>45734</v>
      </c>
      <c r="D2898" t="inlineStr">
        <is>
          <t>JÄMTLANDS LÄN</t>
        </is>
      </c>
      <c r="E2898" t="inlineStr">
        <is>
          <t>STRÖMSUND</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18237-2024</t>
        </is>
      </c>
      <c r="B2899" s="1" t="n">
        <v>45421</v>
      </c>
      <c r="C2899" s="1" t="n">
        <v>45734</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18236-2024</t>
        </is>
      </c>
      <c r="B2900" s="1" t="n">
        <v>45421</v>
      </c>
      <c r="C2900" s="1" t="n">
        <v>45734</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18240-2024</t>
        </is>
      </c>
      <c r="B2901" s="1" t="n">
        <v>45421</v>
      </c>
      <c r="C2901" s="1" t="n">
        <v>45734</v>
      </c>
      <c r="D2901" t="inlineStr">
        <is>
          <t>JÄMTLANDS LÄN</t>
        </is>
      </c>
      <c r="E2901" t="inlineStr">
        <is>
          <t>STRÖMSUND</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18235-2024</t>
        </is>
      </c>
      <c r="B2902" s="1" t="n">
        <v>45421</v>
      </c>
      <c r="C2902" s="1" t="n">
        <v>45734</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18298-2024</t>
        </is>
      </c>
      <c r="B2903" s="1" t="n">
        <v>45421</v>
      </c>
      <c r="C2903" s="1" t="n">
        <v>45734</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18325-2024</t>
        </is>
      </c>
      <c r="B2904" s="1" t="n">
        <v>45422</v>
      </c>
      <c r="C2904" s="1" t="n">
        <v>45734</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18770-2024</t>
        </is>
      </c>
      <c r="B2905" s="1" t="n">
        <v>45426</v>
      </c>
      <c r="C2905" s="1" t="n">
        <v>45734</v>
      </c>
      <c r="D2905" t="inlineStr">
        <is>
          <t>JÄMTLANDS LÄN</t>
        </is>
      </c>
      <c r="E2905" t="inlineStr">
        <is>
          <t>STRÖMSUND</t>
        </is>
      </c>
      <c r="F2905" t="inlineStr">
        <is>
          <t>Kyrkan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18912-2024</t>
        </is>
      </c>
      <c r="B2906" s="1" t="n">
        <v>45426</v>
      </c>
      <c r="C2906" s="1" t="n">
        <v>45734</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18915-2024</t>
        </is>
      </c>
      <c r="B2907" s="1" t="n">
        <v>45426</v>
      </c>
      <c r="C2907" s="1" t="n">
        <v>45734</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19006-2024</t>
        </is>
      </c>
      <c r="B2908" s="1" t="n">
        <v>45427</v>
      </c>
      <c r="C2908" s="1" t="n">
        <v>45734</v>
      </c>
      <c r="D2908" t="inlineStr">
        <is>
          <t>JÄMTLANDS LÄN</t>
        </is>
      </c>
      <c r="E2908" t="inlineStr">
        <is>
          <t>STRÖMSUND</t>
        </is>
      </c>
      <c r="F2908" t="inlineStr">
        <is>
          <t>Holmen skog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19340-2024</t>
        </is>
      </c>
      <c r="B2909" s="1" t="n">
        <v>45429</v>
      </c>
      <c r="C2909" s="1" t="n">
        <v>45734</v>
      </c>
      <c r="D2909" t="inlineStr">
        <is>
          <t>JÄMTLANDS LÄN</t>
        </is>
      </c>
      <c r="E2909" t="inlineStr">
        <is>
          <t>STRÖMSUND</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19346-2024</t>
        </is>
      </c>
      <c r="B2910" s="1" t="n">
        <v>45429</v>
      </c>
      <c r="C2910" s="1" t="n">
        <v>45734</v>
      </c>
      <c r="D2910" t="inlineStr">
        <is>
          <t>JÄMTLANDS LÄN</t>
        </is>
      </c>
      <c r="E2910" t="inlineStr">
        <is>
          <t>STRÖMSUND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19483-2024</t>
        </is>
      </c>
      <c r="B2911" s="1" t="n">
        <v>45429</v>
      </c>
      <c r="C2911" s="1" t="n">
        <v>45734</v>
      </c>
      <c r="D2911" t="inlineStr">
        <is>
          <t>JÄMTLANDS LÄN</t>
        </is>
      </c>
      <c r="E2911" t="inlineStr">
        <is>
          <t>STRÖMSUND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19794-2024</t>
        </is>
      </c>
      <c r="B2912" s="1" t="n">
        <v>45433</v>
      </c>
      <c r="C2912" s="1" t="n">
        <v>45734</v>
      </c>
      <c r="D2912" t="inlineStr">
        <is>
          <t>JÄMTLANDS LÄN</t>
        </is>
      </c>
      <c r="E2912" t="inlineStr">
        <is>
          <t>STRÖMSUND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19995-2024</t>
        </is>
      </c>
      <c r="B2913" s="1" t="n">
        <v>45434</v>
      </c>
      <c r="C2913" s="1" t="n">
        <v>45734</v>
      </c>
      <c r="D2913" t="inlineStr">
        <is>
          <t>JÄMTLANDS LÄN</t>
        </is>
      </c>
      <c r="E2913" t="inlineStr">
        <is>
          <t>STRÖMSUND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20274-2024</t>
        </is>
      </c>
      <c r="B2914" s="1" t="n">
        <v>45435</v>
      </c>
      <c r="C2914" s="1" t="n">
        <v>45734</v>
      </c>
      <c r="D2914" t="inlineStr">
        <is>
          <t>JÄMTLANDS LÄN</t>
        </is>
      </c>
      <c r="E2914" t="inlineStr">
        <is>
          <t>STRÖMSUND</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20271-2024</t>
        </is>
      </c>
      <c r="B2915" s="1" t="n">
        <v>45435</v>
      </c>
      <c r="C2915" s="1" t="n">
        <v>45734</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20275-2024</t>
        </is>
      </c>
      <c r="B2916" s="1" t="n">
        <v>45435</v>
      </c>
      <c r="C2916" s="1" t="n">
        <v>45734</v>
      </c>
      <c r="D2916" t="inlineStr">
        <is>
          <t>JÄMTLANDS LÄN</t>
        </is>
      </c>
      <c r="E2916" t="inlineStr">
        <is>
          <t>STRÖMSUND</t>
        </is>
      </c>
      <c r="F2916" t="inlineStr">
        <is>
          <t>SCA</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20273-2024</t>
        </is>
      </c>
      <c r="B2917" s="1" t="n">
        <v>45434</v>
      </c>
      <c r="C2917" s="1" t="n">
        <v>45734</v>
      </c>
      <c r="D2917" t="inlineStr">
        <is>
          <t>JÄMTLANDS LÄN</t>
        </is>
      </c>
      <c r="E2917" t="inlineStr">
        <is>
          <t>STRÖMSUND</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20180-2024</t>
        </is>
      </c>
      <c r="B2918" s="1" t="n">
        <v>45434</v>
      </c>
      <c r="C2918" s="1" t="n">
        <v>45734</v>
      </c>
      <c r="D2918" t="inlineStr">
        <is>
          <t>JÄMTLANDS LÄN</t>
        </is>
      </c>
      <c r="E2918" t="inlineStr">
        <is>
          <t>STRÖMSUND</t>
        </is>
      </c>
      <c r="F2918" t="inlineStr">
        <is>
          <t>Holmen skog AB</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20272-2024</t>
        </is>
      </c>
      <c r="B2919" s="1" t="n">
        <v>45435</v>
      </c>
      <c r="C2919" s="1" t="n">
        <v>45734</v>
      </c>
      <c r="D2919" t="inlineStr">
        <is>
          <t>JÄMTLANDS LÄN</t>
        </is>
      </c>
      <c r="E2919" t="inlineStr">
        <is>
          <t>STRÖMSUND</t>
        </is>
      </c>
      <c r="F2919" t="inlineStr">
        <is>
          <t>SCA</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20505-2024</t>
        </is>
      </c>
      <c r="B2920" s="1" t="n">
        <v>45436</v>
      </c>
      <c r="C2920" s="1" t="n">
        <v>45734</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20508-2024</t>
        </is>
      </c>
      <c r="B2921" s="1" t="n">
        <v>45436</v>
      </c>
      <c r="C2921" s="1" t="n">
        <v>45734</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20693-2024</t>
        </is>
      </c>
      <c r="B2922" s="1" t="n">
        <v>45436</v>
      </c>
      <c r="C2922" s="1" t="n">
        <v>45734</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20767-2024</t>
        </is>
      </c>
      <c r="B2923" s="1" t="n">
        <v>45436</v>
      </c>
      <c r="C2923" s="1" t="n">
        <v>45734</v>
      </c>
      <c r="D2923" t="inlineStr">
        <is>
          <t>JÄMTLANDS LÄN</t>
        </is>
      </c>
      <c r="E2923" t="inlineStr">
        <is>
          <t>STRÖMSUND</t>
        </is>
      </c>
      <c r="F2923" t="inlineStr">
        <is>
          <t>SCA</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21209-2024</t>
        </is>
      </c>
      <c r="B2924" s="1" t="n">
        <v>45440</v>
      </c>
      <c r="C2924" s="1" t="n">
        <v>45734</v>
      </c>
      <c r="D2924" t="inlineStr">
        <is>
          <t>JÄMTLANDS LÄN</t>
        </is>
      </c>
      <c r="E2924" t="inlineStr">
        <is>
          <t>STRÖMSUND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21212-2024</t>
        </is>
      </c>
      <c r="B2925" s="1" t="n">
        <v>45440</v>
      </c>
      <c r="C2925" s="1" t="n">
        <v>45734</v>
      </c>
      <c r="D2925" t="inlineStr">
        <is>
          <t>JÄMTLANDS LÄN</t>
        </is>
      </c>
      <c r="E2925" t="inlineStr">
        <is>
          <t>STRÖMSUND</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21377-2024</t>
        </is>
      </c>
      <c r="B2926" s="1" t="n">
        <v>45440</v>
      </c>
      <c r="C2926" s="1" t="n">
        <v>45734</v>
      </c>
      <c r="D2926" t="inlineStr">
        <is>
          <t>JÄMTLANDS LÄN</t>
        </is>
      </c>
      <c r="E2926" t="inlineStr">
        <is>
          <t>STRÖMSUND</t>
        </is>
      </c>
      <c r="F2926" t="inlineStr">
        <is>
          <t>SCA</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21546-2024</t>
        </is>
      </c>
      <c r="B2927" s="1" t="n">
        <v>45441</v>
      </c>
      <c r="C2927" s="1" t="n">
        <v>45734</v>
      </c>
      <c r="D2927" t="inlineStr">
        <is>
          <t>JÄMTLANDS LÄN</t>
        </is>
      </c>
      <c r="E2927" t="inlineStr">
        <is>
          <t>STRÖMSUND</t>
        </is>
      </c>
      <c r="F2927" t="inlineStr">
        <is>
          <t>Holmen skog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21603-2024</t>
        </is>
      </c>
      <c r="B2928" s="1" t="n">
        <v>45442</v>
      </c>
      <c r="C2928" s="1" t="n">
        <v>45734</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21605-2024</t>
        </is>
      </c>
      <c r="B2929" s="1" t="n">
        <v>45442</v>
      </c>
      <c r="C2929" s="1" t="n">
        <v>45734</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21616-2024</t>
        </is>
      </c>
      <c r="B2930" s="1" t="n">
        <v>45442</v>
      </c>
      <c r="C2930" s="1" t="n">
        <v>45734</v>
      </c>
      <c r="D2930" t="inlineStr">
        <is>
          <t>JÄMTLANDS LÄN</t>
        </is>
      </c>
      <c r="E2930" t="inlineStr">
        <is>
          <t>STRÖMSUND</t>
        </is>
      </c>
      <c r="F2930" t="inlineStr">
        <is>
          <t>SCA</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21551-2024</t>
        </is>
      </c>
      <c r="B2931" s="1" t="n">
        <v>45441</v>
      </c>
      <c r="C2931" s="1" t="n">
        <v>45734</v>
      </c>
      <c r="D2931" t="inlineStr">
        <is>
          <t>JÄMTLANDS LÄN</t>
        </is>
      </c>
      <c r="E2931" t="inlineStr">
        <is>
          <t>STRÖMSUND</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21553-2024</t>
        </is>
      </c>
      <c r="B2932" s="1" t="n">
        <v>45441</v>
      </c>
      <c r="C2932" s="1" t="n">
        <v>45734</v>
      </c>
      <c r="D2932" t="inlineStr">
        <is>
          <t>JÄMTLANDS LÄN</t>
        </is>
      </c>
      <c r="E2932" t="inlineStr">
        <is>
          <t>STRÖMSUND</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21549-2024</t>
        </is>
      </c>
      <c r="B2933" s="1" t="n">
        <v>45441</v>
      </c>
      <c r="C2933" s="1" t="n">
        <v>45734</v>
      </c>
      <c r="D2933" t="inlineStr">
        <is>
          <t>JÄMTLANDS LÄN</t>
        </is>
      </c>
      <c r="E2933" t="inlineStr">
        <is>
          <t>STRÖMSUND</t>
        </is>
      </c>
      <c r="F2933" t="inlineStr">
        <is>
          <t>Holmen skog AB</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21554-2024</t>
        </is>
      </c>
      <c r="B2934" s="1" t="n">
        <v>45441</v>
      </c>
      <c r="C2934" s="1" t="n">
        <v>45734</v>
      </c>
      <c r="D2934" t="inlineStr">
        <is>
          <t>JÄMTLANDS LÄN</t>
        </is>
      </c>
      <c r="E2934" t="inlineStr">
        <is>
          <t>STRÖMSUND</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21550-2024</t>
        </is>
      </c>
      <c r="B2935" s="1" t="n">
        <v>45441</v>
      </c>
      <c r="C2935" s="1" t="n">
        <v>45734</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21713-2024</t>
        </is>
      </c>
      <c r="B2936" s="1" t="n">
        <v>45442</v>
      </c>
      <c r="C2936" s="1" t="n">
        <v>45734</v>
      </c>
      <c r="D2936" t="inlineStr">
        <is>
          <t>JÄMTLANDS LÄN</t>
        </is>
      </c>
      <c r="E2936" t="inlineStr">
        <is>
          <t>STRÖMSUND</t>
        </is>
      </c>
      <c r="F2936" t="inlineStr">
        <is>
          <t>Holmen skog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21840-2024</t>
        </is>
      </c>
      <c r="B2937" s="1" t="n">
        <v>45443</v>
      </c>
      <c r="C2937" s="1" t="n">
        <v>45734</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21735-2024</t>
        </is>
      </c>
      <c r="B2938" s="1" t="n">
        <v>45442</v>
      </c>
      <c r="C2938" s="1" t="n">
        <v>45734</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21861-2024</t>
        </is>
      </c>
      <c r="B2939" s="1" t="n">
        <v>45443</v>
      </c>
      <c r="C2939" s="1" t="n">
        <v>45734</v>
      </c>
      <c r="D2939" t="inlineStr">
        <is>
          <t>JÄMTLANDS LÄN</t>
        </is>
      </c>
      <c r="E2939" t="inlineStr">
        <is>
          <t>STRÖMSUND</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22115-2024</t>
        </is>
      </c>
      <c r="B2940" s="1" t="n">
        <v>45443</v>
      </c>
      <c r="C2940" s="1" t="n">
        <v>45734</v>
      </c>
      <c r="D2940" t="inlineStr">
        <is>
          <t>JÄMTLANDS LÄN</t>
        </is>
      </c>
      <c r="E2940" t="inlineStr">
        <is>
          <t>STRÖMSUND</t>
        </is>
      </c>
      <c r="F2940" t="inlineStr">
        <is>
          <t>SCA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22139-2024</t>
        </is>
      </c>
      <c r="B2941" s="1" t="n">
        <v>45445</v>
      </c>
      <c r="C2941" s="1" t="n">
        <v>45734</v>
      </c>
      <c r="D2941" t="inlineStr">
        <is>
          <t>JÄMTLANDS LÄN</t>
        </is>
      </c>
      <c r="E2941" t="inlineStr">
        <is>
          <t>STRÖMSUND</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22138-2024</t>
        </is>
      </c>
      <c r="B2942" s="1" t="n">
        <v>45445</v>
      </c>
      <c r="C2942" s="1" t="n">
        <v>45734</v>
      </c>
      <c r="D2942" t="inlineStr">
        <is>
          <t>JÄMTLANDS LÄN</t>
        </is>
      </c>
      <c r="E2942" t="inlineStr">
        <is>
          <t>STRÖMSUND</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22141-2024</t>
        </is>
      </c>
      <c r="B2943" s="1" t="n">
        <v>45445</v>
      </c>
      <c r="C2943" s="1" t="n">
        <v>45734</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22140-2024</t>
        </is>
      </c>
      <c r="B2944" s="1" t="n">
        <v>45445</v>
      </c>
      <c r="C2944" s="1" t="n">
        <v>45734</v>
      </c>
      <c r="D2944" t="inlineStr">
        <is>
          <t>JÄMTLANDS LÄN</t>
        </is>
      </c>
      <c r="E2944" t="inlineStr">
        <is>
          <t>STRÖMSUND</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22451-2024</t>
        </is>
      </c>
      <c r="B2945" s="1" t="n">
        <v>45447</v>
      </c>
      <c r="C2945" s="1" t="n">
        <v>45734</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22445-2024</t>
        </is>
      </c>
      <c r="B2946" s="1" t="n">
        <v>45447</v>
      </c>
      <c r="C2946" s="1" t="n">
        <v>45734</v>
      </c>
      <c r="D2946" t="inlineStr">
        <is>
          <t>JÄMTLANDS LÄN</t>
        </is>
      </c>
      <c r="E2946" t="inlineStr">
        <is>
          <t>STRÖMSUND</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22481-2024</t>
        </is>
      </c>
      <c r="B2947" s="1" t="n">
        <v>45447</v>
      </c>
      <c r="C2947" s="1" t="n">
        <v>45734</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22477-2024</t>
        </is>
      </c>
      <c r="B2948" s="1" t="n">
        <v>45447</v>
      </c>
      <c r="C2948" s="1" t="n">
        <v>45734</v>
      </c>
      <c r="D2948" t="inlineStr">
        <is>
          <t>JÄMTLANDS LÄN</t>
        </is>
      </c>
      <c r="E2948" t="inlineStr">
        <is>
          <t>STRÖMSUND</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22453-2024</t>
        </is>
      </c>
      <c r="B2949" s="1" t="n">
        <v>45447</v>
      </c>
      <c r="C2949" s="1" t="n">
        <v>45734</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22444-2024</t>
        </is>
      </c>
      <c r="B2950" s="1" t="n">
        <v>45447</v>
      </c>
      <c r="C2950" s="1" t="n">
        <v>45734</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22452-2024</t>
        </is>
      </c>
      <c r="B2951" s="1" t="n">
        <v>45447</v>
      </c>
      <c r="C2951" s="1" t="n">
        <v>45734</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22676-2024</t>
        </is>
      </c>
      <c r="B2952" s="1" t="n">
        <v>45448</v>
      </c>
      <c r="C2952" s="1" t="n">
        <v>45734</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22643-2024</t>
        </is>
      </c>
      <c r="B2953" s="1" t="n">
        <v>45447</v>
      </c>
      <c r="C2953" s="1" t="n">
        <v>45734</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22651-2024</t>
        </is>
      </c>
      <c r="B2954" s="1" t="n">
        <v>45447</v>
      </c>
      <c r="C2954" s="1" t="n">
        <v>45734</v>
      </c>
      <c r="D2954" t="inlineStr">
        <is>
          <t>JÄMTLANDS LÄN</t>
        </is>
      </c>
      <c r="E2954" t="inlineStr">
        <is>
          <t>STRÖMSUND</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23531-2024</t>
        </is>
      </c>
      <c r="B2955" s="1" t="n">
        <v>45454</v>
      </c>
      <c r="C2955" s="1" t="n">
        <v>45734</v>
      </c>
      <c r="D2955" t="inlineStr">
        <is>
          <t>JÄMTLANDS LÄN</t>
        </is>
      </c>
      <c r="E2955" t="inlineStr">
        <is>
          <t>STRÖMSUND</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23675-2024</t>
        </is>
      </c>
      <c r="B2956" s="1" t="n">
        <v>45454</v>
      </c>
      <c r="C2956" s="1" t="n">
        <v>45734</v>
      </c>
      <c r="D2956" t="inlineStr">
        <is>
          <t>JÄMTLANDS LÄN</t>
        </is>
      </c>
      <c r="E2956" t="inlineStr">
        <is>
          <t>STRÖMSUND</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23735-2024</t>
        </is>
      </c>
      <c r="B2957" s="1" t="n">
        <v>45455</v>
      </c>
      <c r="C2957" s="1" t="n">
        <v>45734</v>
      </c>
      <c r="D2957" t="inlineStr">
        <is>
          <t>JÄMTLANDS LÄN</t>
        </is>
      </c>
      <c r="E2957" t="inlineStr">
        <is>
          <t>STRÖMSUND</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23728-2024</t>
        </is>
      </c>
      <c r="B2958" s="1" t="n">
        <v>45455</v>
      </c>
      <c r="C2958" s="1" t="n">
        <v>45734</v>
      </c>
      <c r="D2958" t="inlineStr">
        <is>
          <t>JÄMTLANDS LÄN</t>
        </is>
      </c>
      <c r="E2958" t="inlineStr">
        <is>
          <t>STRÖMSUND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23941-2024</t>
        </is>
      </c>
      <c r="B2959" s="1" t="n">
        <v>45456</v>
      </c>
      <c r="C2959" s="1" t="n">
        <v>45734</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23922-2024</t>
        </is>
      </c>
      <c r="B2960" s="1" t="n">
        <v>45456</v>
      </c>
      <c r="C2960" s="1" t="n">
        <v>45734</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23934-2024</t>
        </is>
      </c>
      <c r="B2961" s="1" t="n">
        <v>45456</v>
      </c>
      <c r="C2961" s="1" t="n">
        <v>45734</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23942-2024</t>
        </is>
      </c>
      <c r="B2962" s="1" t="n">
        <v>45456</v>
      </c>
      <c r="C2962" s="1" t="n">
        <v>45734</v>
      </c>
      <c r="D2962" t="inlineStr">
        <is>
          <t>JÄMTLANDS LÄN</t>
        </is>
      </c>
      <c r="E2962" t="inlineStr">
        <is>
          <t>STRÖMSUND</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24060-2024</t>
        </is>
      </c>
      <c r="B2963" s="1" t="n">
        <v>45456</v>
      </c>
      <c r="C2963" s="1" t="n">
        <v>45734</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24042-2024</t>
        </is>
      </c>
      <c r="B2964" s="1" t="n">
        <v>45456</v>
      </c>
      <c r="C2964" s="1" t="n">
        <v>45734</v>
      </c>
      <c r="D2964" t="inlineStr">
        <is>
          <t>JÄMTLANDS LÄN</t>
        </is>
      </c>
      <c r="E2964" t="inlineStr">
        <is>
          <t>STRÖMSUND</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24059-2024</t>
        </is>
      </c>
      <c r="B2965" s="1" t="n">
        <v>45456</v>
      </c>
      <c r="C2965" s="1" t="n">
        <v>45734</v>
      </c>
      <c r="D2965" t="inlineStr">
        <is>
          <t>JÄMTLANDS LÄN</t>
        </is>
      </c>
      <c r="E2965" t="inlineStr">
        <is>
          <t>STRÖMSUND</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24206-2024</t>
        </is>
      </c>
      <c r="B2966" s="1" t="n">
        <v>45456</v>
      </c>
      <c r="C2966" s="1" t="n">
        <v>45734</v>
      </c>
      <c r="D2966" t="inlineStr">
        <is>
          <t>JÄMTLANDS LÄN</t>
        </is>
      </c>
      <c r="E2966" t="inlineStr">
        <is>
          <t>STRÖMSUND</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24214-2024</t>
        </is>
      </c>
      <c r="B2967" s="1" t="n">
        <v>45457</v>
      </c>
      <c r="C2967" s="1" t="n">
        <v>45734</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24430-2024</t>
        </is>
      </c>
      <c r="B2968" s="1" t="n">
        <v>45458</v>
      </c>
      <c r="C2968" s="1" t="n">
        <v>45734</v>
      </c>
      <c r="D2968" t="inlineStr">
        <is>
          <t>JÄMTLANDS LÄN</t>
        </is>
      </c>
      <c r="E2968" t="inlineStr">
        <is>
          <t>STRÖMSUND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24438-2024</t>
        </is>
      </c>
      <c r="B2969" s="1" t="n">
        <v>45458</v>
      </c>
      <c r="C2969" s="1" t="n">
        <v>45734</v>
      </c>
      <c r="D2969" t="inlineStr">
        <is>
          <t>JÄMTLANDS LÄN</t>
        </is>
      </c>
      <c r="E2969" t="inlineStr">
        <is>
          <t>STRÖMSUND</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24311-2024</t>
        </is>
      </c>
      <c r="B2970" s="1" t="n">
        <v>45457</v>
      </c>
      <c r="C2970" s="1" t="n">
        <v>45734</v>
      </c>
      <c r="D2970" t="inlineStr">
        <is>
          <t>JÄMTLANDS LÄN</t>
        </is>
      </c>
      <c r="E2970" t="inlineStr">
        <is>
          <t>STRÖMSUND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24429-2024</t>
        </is>
      </c>
      <c r="B2971" s="1" t="n">
        <v>45458</v>
      </c>
      <c r="C2971" s="1" t="n">
        <v>45734</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24804-2024</t>
        </is>
      </c>
      <c r="B2972" s="1" t="n">
        <v>45461</v>
      </c>
      <c r="C2972" s="1" t="n">
        <v>45734</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24800-2024</t>
        </is>
      </c>
      <c r="B2973" s="1" t="n">
        <v>45461</v>
      </c>
      <c r="C2973" s="1" t="n">
        <v>45734</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24802-2024</t>
        </is>
      </c>
      <c r="B2974" s="1" t="n">
        <v>45461</v>
      </c>
      <c r="C2974" s="1" t="n">
        <v>45734</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24801-2024</t>
        </is>
      </c>
      <c r="B2975" s="1" t="n">
        <v>45461</v>
      </c>
      <c r="C2975" s="1" t="n">
        <v>45734</v>
      </c>
      <c r="D2975" t="inlineStr">
        <is>
          <t>JÄMTLANDS LÄN</t>
        </is>
      </c>
      <c r="E2975" t="inlineStr">
        <is>
          <t>STRÖMSUND</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24805-2024</t>
        </is>
      </c>
      <c r="B2976" s="1" t="n">
        <v>45461</v>
      </c>
      <c r="C2976" s="1" t="n">
        <v>45734</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25359-2024</t>
        </is>
      </c>
      <c r="B2977" s="1" t="n">
        <v>45463</v>
      </c>
      <c r="C2977" s="1" t="n">
        <v>45734</v>
      </c>
      <c r="D2977" t="inlineStr">
        <is>
          <t>JÄMTLANDS LÄN</t>
        </is>
      </c>
      <c r="E2977" t="inlineStr">
        <is>
          <t>STRÖMSUND</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25371-2024</t>
        </is>
      </c>
      <c r="B2978" s="1" t="n">
        <v>45463</v>
      </c>
      <c r="C2978" s="1" t="n">
        <v>45734</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25370-2024</t>
        </is>
      </c>
      <c r="B2979" s="1" t="n">
        <v>45463</v>
      </c>
      <c r="C2979" s="1" t="n">
        <v>45734</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25378-2024</t>
        </is>
      </c>
      <c r="B2980" s="1" t="n">
        <v>45463</v>
      </c>
      <c r="C2980" s="1" t="n">
        <v>45734</v>
      </c>
      <c r="D2980" t="inlineStr">
        <is>
          <t>JÄMTLANDS LÄN</t>
        </is>
      </c>
      <c r="E2980" t="inlineStr">
        <is>
          <t>STRÖMSUND</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25365-2024</t>
        </is>
      </c>
      <c r="B2981" s="1" t="n">
        <v>45463</v>
      </c>
      <c r="C2981" s="1" t="n">
        <v>45734</v>
      </c>
      <c r="D2981" t="inlineStr">
        <is>
          <t>JÄMTLANDS LÄN</t>
        </is>
      </c>
      <c r="E2981" t="inlineStr">
        <is>
          <t>STRÖMSUND</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25361-2024</t>
        </is>
      </c>
      <c r="B2982" s="1" t="n">
        <v>45463</v>
      </c>
      <c r="C2982" s="1" t="n">
        <v>45734</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25587-2024</t>
        </is>
      </c>
      <c r="B2983" s="1" t="n">
        <v>45463</v>
      </c>
      <c r="C2983" s="1" t="n">
        <v>45734</v>
      </c>
      <c r="D2983" t="inlineStr">
        <is>
          <t>JÄMTLANDS LÄN</t>
        </is>
      </c>
      <c r="E2983" t="inlineStr">
        <is>
          <t>STRÖMSUND</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25479-2024</t>
        </is>
      </c>
      <c r="B2984" s="1" t="n">
        <v>45463</v>
      </c>
      <c r="C2984" s="1" t="n">
        <v>45734</v>
      </c>
      <c r="D2984" t="inlineStr">
        <is>
          <t>JÄMTLANDS LÄN</t>
        </is>
      </c>
      <c r="E2984" t="inlineStr">
        <is>
          <t>STRÖMSUND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25445-2024</t>
        </is>
      </c>
      <c r="B2985" s="1" t="n">
        <v>45463</v>
      </c>
      <c r="C2985" s="1" t="n">
        <v>45734</v>
      </c>
      <c r="D2985" t="inlineStr">
        <is>
          <t>JÄMTLANDS LÄN</t>
        </is>
      </c>
      <c r="E2985" t="inlineStr">
        <is>
          <t>STRÖMSUND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25999-2024</t>
        </is>
      </c>
      <c r="B2986" s="1" t="n">
        <v>45468</v>
      </c>
      <c r="C2986" s="1" t="n">
        <v>45734</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26035-2024</t>
        </is>
      </c>
      <c r="B2987" s="1" t="n">
        <v>45468</v>
      </c>
      <c r="C2987" s="1" t="n">
        <v>45734</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26036-2024</t>
        </is>
      </c>
      <c r="B2988" s="1" t="n">
        <v>45468</v>
      </c>
      <c r="C2988" s="1" t="n">
        <v>45734</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26033-2024</t>
        </is>
      </c>
      <c r="B2989" s="1" t="n">
        <v>45468</v>
      </c>
      <c r="C2989" s="1" t="n">
        <v>45734</v>
      </c>
      <c r="D2989" t="inlineStr">
        <is>
          <t>JÄMTLANDS LÄN</t>
        </is>
      </c>
      <c r="E2989" t="inlineStr">
        <is>
          <t>STRÖMSUND</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26037-2024</t>
        </is>
      </c>
      <c r="B2990" s="1" t="n">
        <v>45468</v>
      </c>
      <c r="C2990" s="1" t="n">
        <v>45734</v>
      </c>
      <c r="D2990" t="inlineStr">
        <is>
          <t>JÄMTLANDS LÄN</t>
        </is>
      </c>
      <c r="E2990" t="inlineStr">
        <is>
          <t>STRÖMSUND</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26301-2024</t>
        </is>
      </c>
      <c r="B2991" s="1" t="n">
        <v>45469</v>
      </c>
      <c r="C2991" s="1" t="n">
        <v>45734</v>
      </c>
      <c r="D2991" t="inlineStr">
        <is>
          <t>JÄMTLANDS LÄN</t>
        </is>
      </c>
      <c r="E2991" t="inlineStr">
        <is>
          <t>STRÖMSUND</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26048-2024</t>
        </is>
      </c>
      <c r="B2992" s="1" t="n">
        <v>45468</v>
      </c>
      <c r="C2992" s="1" t="n">
        <v>45734</v>
      </c>
      <c r="D2992" t="inlineStr">
        <is>
          <t>JÄMTLANDS LÄN</t>
        </is>
      </c>
      <c r="E2992" t="inlineStr">
        <is>
          <t>STRÖMSUND</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26638-2024</t>
        </is>
      </c>
      <c r="B2993" s="1" t="n">
        <v>45470</v>
      </c>
      <c r="C2993" s="1" t="n">
        <v>45734</v>
      </c>
      <c r="D2993" t="inlineStr">
        <is>
          <t>JÄMTLANDS LÄN</t>
        </is>
      </c>
      <c r="E2993" t="inlineStr">
        <is>
          <t>STRÖMSUND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26635-2024</t>
        </is>
      </c>
      <c r="B2994" s="1" t="n">
        <v>45470</v>
      </c>
      <c r="C2994" s="1" t="n">
        <v>45734</v>
      </c>
      <c r="D2994" t="inlineStr">
        <is>
          <t>JÄMTLANDS LÄN</t>
        </is>
      </c>
      <c r="E2994" t="inlineStr">
        <is>
          <t>STRÖMSUND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26667-2024</t>
        </is>
      </c>
      <c r="B2995" s="1" t="n">
        <v>45470</v>
      </c>
      <c r="C2995" s="1" t="n">
        <v>45734</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26665-2024</t>
        </is>
      </c>
      <c r="B2996" s="1" t="n">
        <v>45470</v>
      </c>
      <c r="C2996" s="1" t="n">
        <v>45734</v>
      </c>
      <c r="D2996" t="inlineStr">
        <is>
          <t>JÄMTLANDS LÄN</t>
        </is>
      </c>
      <c r="E2996" t="inlineStr">
        <is>
          <t>STRÖMSUND</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26663-2024</t>
        </is>
      </c>
      <c r="B2997" s="1" t="n">
        <v>45470</v>
      </c>
      <c r="C2997" s="1" t="n">
        <v>45734</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26650-2024</t>
        </is>
      </c>
      <c r="B2998" s="1" t="n">
        <v>45470</v>
      </c>
      <c r="C2998" s="1" t="n">
        <v>45734</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26666-2024</t>
        </is>
      </c>
      <c r="B2999" s="1" t="n">
        <v>45470</v>
      </c>
      <c r="C2999" s="1" t="n">
        <v>45734</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26636-2024</t>
        </is>
      </c>
      <c r="B3000" s="1" t="n">
        <v>45470</v>
      </c>
      <c r="C3000" s="1" t="n">
        <v>45734</v>
      </c>
      <c r="D3000" t="inlineStr">
        <is>
          <t>JÄMTLANDS LÄN</t>
        </is>
      </c>
      <c r="E3000" t="inlineStr">
        <is>
          <t>STRÖMSUND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26664-2024</t>
        </is>
      </c>
      <c r="B3001" s="1" t="n">
        <v>45470</v>
      </c>
      <c r="C3001" s="1" t="n">
        <v>45734</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26934-2024</t>
        </is>
      </c>
      <c r="B3002" s="1" t="n">
        <v>45471</v>
      </c>
      <c r="C3002" s="1" t="n">
        <v>45734</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26960-2024</t>
        </is>
      </c>
      <c r="B3003" s="1" t="n">
        <v>45471</v>
      </c>
      <c r="C3003" s="1" t="n">
        <v>45734</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27121-2024</t>
        </is>
      </c>
      <c r="B3004" s="1" t="n">
        <v>45471</v>
      </c>
      <c r="C3004" s="1" t="n">
        <v>45734</v>
      </c>
      <c r="D3004" t="inlineStr">
        <is>
          <t>JÄMTLANDS LÄN</t>
        </is>
      </c>
      <c r="E3004" t="inlineStr">
        <is>
          <t>STRÖMSUND</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27276-2024</t>
        </is>
      </c>
      <c r="B3005" s="1" t="n">
        <v>45472</v>
      </c>
      <c r="C3005" s="1" t="n">
        <v>45734</v>
      </c>
      <c r="D3005" t="inlineStr">
        <is>
          <t>JÄMTLANDS LÄN</t>
        </is>
      </c>
      <c r="E3005" t="inlineStr">
        <is>
          <t>STRÖMSUND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27298-2024</t>
        </is>
      </c>
      <c r="B3006" s="1" t="n">
        <v>45472</v>
      </c>
      <c r="C3006" s="1" t="n">
        <v>45734</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27279-2024</t>
        </is>
      </c>
      <c r="B3007" s="1" t="n">
        <v>45472</v>
      </c>
      <c r="C3007" s="1" t="n">
        <v>45734</v>
      </c>
      <c r="D3007" t="inlineStr">
        <is>
          <t>JÄMTLANDS LÄN</t>
        </is>
      </c>
      <c r="E3007" t="inlineStr">
        <is>
          <t>STRÖMSUND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27323-2024</t>
        </is>
      </c>
      <c r="B3008" s="1" t="n">
        <v>45471</v>
      </c>
      <c r="C3008" s="1" t="n">
        <v>45734</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27587-2024</t>
        </is>
      </c>
      <c r="B3009" s="1" t="n">
        <v>45474</v>
      </c>
      <c r="C3009" s="1" t="n">
        <v>45734</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27643-2024</t>
        </is>
      </c>
      <c r="B3010" s="1" t="n">
        <v>45475</v>
      </c>
      <c r="C3010" s="1" t="n">
        <v>45734</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27640-2024</t>
        </is>
      </c>
      <c r="B3011" s="1" t="n">
        <v>45475</v>
      </c>
      <c r="C3011" s="1" t="n">
        <v>45734</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27648-2024</t>
        </is>
      </c>
      <c r="B3012" s="1" t="n">
        <v>45475</v>
      </c>
      <c r="C3012" s="1" t="n">
        <v>45734</v>
      </c>
      <c r="D3012" t="inlineStr">
        <is>
          <t>JÄMTLANDS LÄN</t>
        </is>
      </c>
      <c r="E3012" t="inlineStr">
        <is>
          <t>STRÖMSUND</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27664-2024</t>
        </is>
      </c>
      <c r="B3013" s="1" t="n">
        <v>45475</v>
      </c>
      <c r="C3013" s="1" t="n">
        <v>45734</v>
      </c>
      <c r="D3013" t="inlineStr">
        <is>
          <t>JÄMTLANDS LÄN</t>
        </is>
      </c>
      <c r="E3013" t="inlineStr">
        <is>
          <t>STRÖMSUND</t>
        </is>
      </c>
      <c r="F3013" t="inlineStr">
        <is>
          <t>SCA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27638-2024</t>
        </is>
      </c>
      <c r="B3014" s="1" t="n">
        <v>45475</v>
      </c>
      <c r="C3014" s="1" t="n">
        <v>45734</v>
      </c>
      <c r="D3014" t="inlineStr">
        <is>
          <t>JÄMTLANDS LÄN</t>
        </is>
      </c>
      <c r="E3014" t="inlineStr">
        <is>
          <t>STRÖMSUND</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27642-2024</t>
        </is>
      </c>
      <c r="B3015" s="1" t="n">
        <v>45475</v>
      </c>
      <c r="C3015" s="1" t="n">
        <v>45734</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27659-2024</t>
        </is>
      </c>
      <c r="B3016" s="1" t="n">
        <v>45475</v>
      </c>
      <c r="C3016" s="1" t="n">
        <v>45734</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27663-2024</t>
        </is>
      </c>
      <c r="B3017" s="1" t="n">
        <v>45475</v>
      </c>
      <c r="C3017" s="1" t="n">
        <v>45734</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27637-2024</t>
        </is>
      </c>
      <c r="B3018" s="1" t="n">
        <v>45475</v>
      </c>
      <c r="C3018" s="1" t="n">
        <v>45734</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27649-2024</t>
        </is>
      </c>
      <c r="B3019" s="1" t="n">
        <v>45475</v>
      </c>
      <c r="C3019" s="1" t="n">
        <v>45734</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27665-2024</t>
        </is>
      </c>
      <c r="B3020" s="1" t="n">
        <v>45475</v>
      </c>
      <c r="C3020" s="1" t="n">
        <v>45734</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27898-2024</t>
        </is>
      </c>
      <c r="B3021" s="1" t="n">
        <v>45476</v>
      </c>
      <c r="C3021" s="1" t="n">
        <v>45734</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27923-2024</t>
        </is>
      </c>
      <c r="B3022" s="1" t="n">
        <v>45476</v>
      </c>
      <c r="C3022" s="1" t="n">
        <v>45734</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28174-2024</t>
        </is>
      </c>
      <c r="B3023" s="1" t="n">
        <v>45477</v>
      </c>
      <c r="C3023" s="1" t="n">
        <v>45734</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28510-2024</t>
        </is>
      </c>
      <c r="B3024" s="1" t="n">
        <v>45478</v>
      </c>
      <c r="C3024" s="1" t="n">
        <v>45734</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28443-2024</t>
        </is>
      </c>
      <c r="B3025" s="1" t="n">
        <v>45477</v>
      </c>
      <c r="C3025" s="1" t="n">
        <v>45734</v>
      </c>
      <c r="D3025" t="inlineStr">
        <is>
          <t>JÄMTLANDS LÄN</t>
        </is>
      </c>
      <c r="E3025" t="inlineStr">
        <is>
          <t>STRÖMSUND</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28511-2024</t>
        </is>
      </c>
      <c r="B3026" s="1" t="n">
        <v>45478</v>
      </c>
      <c r="C3026" s="1" t="n">
        <v>45734</v>
      </c>
      <c r="D3026" t="inlineStr">
        <is>
          <t>JÄMTLANDS LÄN</t>
        </is>
      </c>
      <c r="E3026" t="inlineStr">
        <is>
          <t>STRÖMSUND</t>
        </is>
      </c>
      <c r="F3026" t="inlineStr">
        <is>
          <t>SCA</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28602-2024</t>
        </is>
      </c>
      <c r="B3027" s="1" t="n">
        <v>45478</v>
      </c>
      <c r="C3027" s="1" t="n">
        <v>45734</v>
      </c>
      <c r="D3027" t="inlineStr">
        <is>
          <t>JÄMTLANDS LÄN</t>
        </is>
      </c>
      <c r="E3027" t="inlineStr">
        <is>
          <t>STRÖMSUND</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28865-2024</t>
        </is>
      </c>
      <c r="B3028" s="1" t="n">
        <v>45479</v>
      </c>
      <c r="C3028" s="1" t="n">
        <v>45734</v>
      </c>
      <c r="D3028" t="inlineStr">
        <is>
          <t>JÄMTLANDS LÄN</t>
        </is>
      </c>
      <c r="E3028" t="inlineStr">
        <is>
          <t>STRÖMSUND</t>
        </is>
      </c>
      <c r="F3028" t="inlineStr">
        <is>
          <t>SCA</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28874-2024</t>
        </is>
      </c>
      <c r="B3029" s="1" t="n">
        <v>45479</v>
      </c>
      <c r="C3029" s="1" t="n">
        <v>45734</v>
      </c>
      <c r="D3029" t="inlineStr">
        <is>
          <t>JÄMTLANDS LÄN</t>
        </is>
      </c>
      <c r="E3029" t="inlineStr">
        <is>
          <t>STRÖMSUND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28878-2024</t>
        </is>
      </c>
      <c r="B3030" s="1" t="n">
        <v>45479</v>
      </c>
      <c r="C3030" s="1" t="n">
        <v>45734</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28864-2024</t>
        </is>
      </c>
      <c r="B3031" s="1" t="n">
        <v>45479</v>
      </c>
      <c r="C3031" s="1" t="n">
        <v>45734</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29113-2024</t>
        </is>
      </c>
      <c r="B3032" s="1" t="n">
        <v>45482</v>
      </c>
      <c r="C3032" s="1" t="n">
        <v>45734</v>
      </c>
      <c r="D3032" t="inlineStr">
        <is>
          <t>JÄMTLANDS LÄN</t>
        </is>
      </c>
      <c r="E3032" t="inlineStr">
        <is>
          <t>STRÖMSUND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29096-2024</t>
        </is>
      </c>
      <c r="B3033" s="1" t="n">
        <v>45482</v>
      </c>
      <c r="C3033" s="1" t="n">
        <v>45734</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29091-2024</t>
        </is>
      </c>
      <c r="B3034" s="1" t="n">
        <v>45482</v>
      </c>
      <c r="C3034" s="1" t="n">
        <v>45734</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29107-2024</t>
        </is>
      </c>
      <c r="B3035" s="1" t="n">
        <v>45482</v>
      </c>
      <c r="C3035" s="1" t="n">
        <v>45734</v>
      </c>
      <c r="D3035" t="inlineStr">
        <is>
          <t>JÄMTLANDS LÄN</t>
        </is>
      </c>
      <c r="E3035" t="inlineStr">
        <is>
          <t>STRÖMSUND</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29098-2024</t>
        </is>
      </c>
      <c r="B3036" s="1" t="n">
        <v>45482</v>
      </c>
      <c r="C3036" s="1" t="n">
        <v>45734</v>
      </c>
      <c r="D3036" t="inlineStr">
        <is>
          <t>JÄMTLANDS LÄN</t>
        </is>
      </c>
      <c r="E3036" t="inlineStr">
        <is>
          <t>STRÖMSUND</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29097-2024</t>
        </is>
      </c>
      <c r="B3037" s="1" t="n">
        <v>45482</v>
      </c>
      <c r="C3037" s="1" t="n">
        <v>45734</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29221-2024</t>
        </is>
      </c>
      <c r="B3038" s="1" t="n">
        <v>45482</v>
      </c>
      <c r="C3038" s="1" t="n">
        <v>45734</v>
      </c>
      <c r="D3038" t="inlineStr">
        <is>
          <t>JÄMTLANDS LÄN</t>
        </is>
      </c>
      <c r="E3038" t="inlineStr">
        <is>
          <t>STRÖMSUND</t>
        </is>
      </c>
      <c r="G3038" t="n">
        <v>39.4</v>
      </c>
      <c r="H3038" t="n">
        <v>0</v>
      </c>
      <c r="I3038" t="n">
        <v>0</v>
      </c>
      <c r="J3038" t="n">
        <v>0</v>
      </c>
      <c r="K3038" t="n">
        <v>0</v>
      </c>
      <c r="L3038" t="n">
        <v>0</v>
      </c>
      <c r="M3038" t="n">
        <v>0</v>
      </c>
      <c r="N3038" t="n">
        <v>0</v>
      </c>
      <c r="O3038" t="n">
        <v>0</v>
      </c>
      <c r="P3038" t="n">
        <v>0</v>
      </c>
      <c r="Q3038" t="n">
        <v>0</v>
      </c>
      <c r="R3038" s="2" t="inlineStr"/>
    </row>
    <row r="3039" ht="15" customHeight="1">
      <c r="A3039" t="inlineStr">
        <is>
          <t>A 29274-2024</t>
        </is>
      </c>
      <c r="B3039" s="1" t="n">
        <v>45483</v>
      </c>
      <c r="C3039" s="1" t="n">
        <v>45734</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29242-2024</t>
        </is>
      </c>
      <c r="B3040" s="1" t="n">
        <v>45483</v>
      </c>
      <c r="C3040" s="1" t="n">
        <v>45734</v>
      </c>
      <c r="D3040" t="inlineStr">
        <is>
          <t>JÄMTLANDS LÄN</t>
        </is>
      </c>
      <c r="E3040" t="inlineStr">
        <is>
          <t>STRÖMSUND</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29171-2024</t>
        </is>
      </c>
      <c r="B3041" s="1" t="n">
        <v>45482</v>
      </c>
      <c r="C3041" s="1" t="n">
        <v>45734</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29266-2024</t>
        </is>
      </c>
      <c r="B3042" s="1" t="n">
        <v>45483</v>
      </c>
      <c r="C3042" s="1" t="n">
        <v>45734</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29243-2024</t>
        </is>
      </c>
      <c r="B3043" s="1" t="n">
        <v>45483</v>
      </c>
      <c r="C3043" s="1" t="n">
        <v>45734</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29273-2024</t>
        </is>
      </c>
      <c r="B3044" s="1" t="n">
        <v>45483</v>
      </c>
      <c r="C3044" s="1" t="n">
        <v>45734</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29413-2024</t>
        </is>
      </c>
      <c r="B3045" s="1" t="n">
        <v>45483</v>
      </c>
      <c r="C3045" s="1" t="n">
        <v>45734</v>
      </c>
      <c r="D3045" t="inlineStr">
        <is>
          <t>JÄMTLANDS LÄN</t>
        </is>
      </c>
      <c r="E3045" t="inlineStr">
        <is>
          <t>STRÖMSUND</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29669-2024</t>
        </is>
      </c>
      <c r="B3046" s="1" t="n">
        <v>45485</v>
      </c>
      <c r="C3046" s="1" t="n">
        <v>45734</v>
      </c>
      <c r="D3046" t="inlineStr">
        <is>
          <t>JÄMTLANDS LÄN</t>
        </is>
      </c>
      <c r="E3046" t="inlineStr">
        <is>
          <t>STRÖMSUND</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29671-2024</t>
        </is>
      </c>
      <c r="B3047" s="1" t="n">
        <v>45485</v>
      </c>
      <c r="C3047" s="1" t="n">
        <v>45734</v>
      </c>
      <c r="D3047" t="inlineStr">
        <is>
          <t>JÄMTLANDS LÄN</t>
        </is>
      </c>
      <c r="E3047" t="inlineStr">
        <is>
          <t>STRÖMSUND</t>
        </is>
      </c>
      <c r="F3047" t="inlineStr">
        <is>
          <t>SCA</t>
        </is>
      </c>
      <c r="G3047" t="n">
        <v>42.3</v>
      </c>
      <c r="H3047" t="n">
        <v>0</v>
      </c>
      <c r="I3047" t="n">
        <v>0</v>
      </c>
      <c r="J3047" t="n">
        <v>0</v>
      </c>
      <c r="K3047" t="n">
        <v>0</v>
      </c>
      <c r="L3047" t="n">
        <v>0</v>
      </c>
      <c r="M3047" t="n">
        <v>0</v>
      </c>
      <c r="N3047" t="n">
        <v>0</v>
      </c>
      <c r="O3047" t="n">
        <v>0</v>
      </c>
      <c r="P3047" t="n">
        <v>0</v>
      </c>
      <c r="Q3047" t="n">
        <v>0</v>
      </c>
      <c r="R3047" s="2" t="inlineStr"/>
    </row>
    <row r="3048" ht="15" customHeight="1">
      <c r="A3048" t="inlineStr">
        <is>
          <t>A 29670-2024</t>
        </is>
      </c>
      <c r="B3048" s="1" t="n">
        <v>45485</v>
      </c>
      <c r="C3048" s="1" t="n">
        <v>45734</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29668-2024</t>
        </is>
      </c>
      <c r="B3049" s="1" t="n">
        <v>45485</v>
      </c>
      <c r="C3049" s="1" t="n">
        <v>45734</v>
      </c>
      <c r="D3049" t="inlineStr">
        <is>
          <t>JÄMTLANDS LÄN</t>
        </is>
      </c>
      <c r="E3049" t="inlineStr">
        <is>
          <t>STRÖMSUND</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29487-2024</t>
        </is>
      </c>
      <c r="B3050" s="1" t="n">
        <v>45484</v>
      </c>
      <c r="C3050" s="1" t="n">
        <v>45734</v>
      </c>
      <c r="D3050" t="inlineStr">
        <is>
          <t>JÄMTLANDS LÄN</t>
        </is>
      </c>
      <c r="E3050" t="inlineStr">
        <is>
          <t>STRÖMSUND</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29586-2024</t>
        </is>
      </c>
      <c r="B3051" s="1" t="n">
        <v>45484</v>
      </c>
      <c r="C3051" s="1" t="n">
        <v>45734</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29875-2024</t>
        </is>
      </c>
      <c r="B3052" s="1" t="n">
        <v>45486</v>
      </c>
      <c r="C3052" s="1" t="n">
        <v>45734</v>
      </c>
      <c r="D3052" t="inlineStr">
        <is>
          <t>JÄMTLANDS LÄN</t>
        </is>
      </c>
      <c r="E3052" t="inlineStr">
        <is>
          <t>STRÖMSUND</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30062-2024</t>
        </is>
      </c>
      <c r="B3053" s="1" t="n">
        <v>45489</v>
      </c>
      <c r="C3053" s="1" t="n">
        <v>45734</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30064-2024</t>
        </is>
      </c>
      <c r="B3054" s="1" t="n">
        <v>45489</v>
      </c>
      <c r="C3054" s="1" t="n">
        <v>45734</v>
      </c>
      <c r="D3054" t="inlineStr">
        <is>
          <t>JÄMTLANDS LÄN</t>
        </is>
      </c>
      <c r="E3054" t="inlineStr">
        <is>
          <t>STRÖMSUND</t>
        </is>
      </c>
      <c r="F3054" t="inlineStr">
        <is>
          <t>SCA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30354-2024</t>
        </is>
      </c>
      <c r="B3055" s="1" t="n">
        <v>45491</v>
      </c>
      <c r="C3055" s="1" t="n">
        <v>45734</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30330-2024</t>
        </is>
      </c>
      <c r="B3056" s="1" t="n">
        <v>45491</v>
      </c>
      <c r="C3056" s="1" t="n">
        <v>45734</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30352-2024</t>
        </is>
      </c>
      <c r="B3057" s="1" t="n">
        <v>45491</v>
      </c>
      <c r="C3057" s="1" t="n">
        <v>45734</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30376-2024</t>
        </is>
      </c>
      <c r="B3058" s="1" t="n">
        <v>45491</v>
      </c>
      <c r="C3058" s="1" t="n">
        <v>45734</v>
      </c>
      <c r="D3058" t="inlineStr">
        <is>
          <t>JÄMTLANDS LÄN</t>
        </is>
      </c>
      <c r="E3058" t="inlineStr">
        <is>
          <t>STRÖMSUND</t>
        </is>
      </c>
      <c r="F3058" t="inlineStr">
        <is>
          <t>Sveaskog</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30375-2024</t>
        </is>
      </c>
      <c r="B3059" s="1" t="n">
        <v>45491</v>
      </c>
      <c r="C3059" s="1" t="n">
        <v>45734</v>
      </c>
      <c r="D3059" t="inlineStr">
        <is>
          <t>JÄMTLANDS LÄN</t>
        </is>
      </c>
      <c r="E3059" t="inlineStr">
        <is>
          <t>STRÖMSUND</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30374-2024</t>
        </is>
      </c>
      <c r="B3060" s="1" t="n">
        <v>45491</v>
      </c>
      <c r="C3060" s="1" t="n">
        <v>45734</v>
      </c>
      <c r="D3060" t="inlineStr">
        <is>
          <t>JÄMTLANDS LÄN</t>
        </is>
      </c>
      <c r="E3060" t="inlineStr">
        <is>
          <t>STRÖMSUND</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30371-2024</t>
        </is>
      </c>
      <c r="B3061" s="1" t="n">
        <v>45491</v>
      </c>
      <c r="C3061" s="1" t="n">
        <v>45734</v>
      </c>
      <c r="D3061" t="inlineStr">
        <is>
          <t>JÄMTLANDS LÄN</t>
        </is>
      </c>
      <c r="E3061" t="inlineStr">
        <is>
          <t>STRÖMSUND</t>
        </is>
      </c>
      <c r="F3061" t="inlineStr">
        <is>
          <t>Sveaskog</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30585-2024</t>
        </is>
      </c>
      <c r="B3062" s="1" t="n">
        <v>45493</v>
      </c>
      <c r="C3062" s="1" t="n">
        <v>45734</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30586-2024</t>
        </is>
      </c>
      <c r="B3063" s="1" t="n">
        <v>45493</v>
      </c>
      <c r="C3063" s="1" t="n">
        <v>45734</v>
      </c>
      <c r="D3063" t="inlineStr">
        <is>
          <t>JÄMTLANDS LÄN</t>
        </is>
      </c>
      <c r="E3063" t="inlineStr">
        <is>
          <t>STRÖMSUND</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30809-2024</t>
        </is>
      </c>
      <c r="B3064" s="1" t="n">
        <v>45497</v>
      </c>
      <c r="C3064" s="1" t="n">
        <v>45734</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31489-2024</t>
        </is>
      </c>
      <c r="B3065" s="1" t="n">
        <v>45506</v>
      </c>
      <c r="C3065" s="1" t="n">
        <v>45734</v>
      </c>
      <c r="D3065" t="inlineStr">
        <is>
          <t>JÄMTLANDS LÄN</t>
        </is>
      </c>
      <c r="E3065" t="inlineStr">
        <is>
          <t>STRÖMSUND</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31538-2024</t>
        </is>
      </c>
      <c r="B3066" s="1" t="n">
        <v>45506</v>
      </c>
      <c r="C3066" s="1" t="n">
        <v>45734</v>
      </c>
      <c r="D3066" t="inlineStr">
        <is>
          <t>JÄMTLANDS LÄN</t>
        </is>
      </c>
      <c r="E3066" t="inlineStr">
        <is>
          <t>STRÖMSUND</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31565-2024</t>
        </is>
      </c>
      <c r="B3067" s="1" t="n">
        <v>45506</v>
      </c>
      <c r="C3067" s="1" t="n">
        <v>45734</v>
      </c>
      <c r="D3067" t="inlineStr">
        <is>
          <t>JÄMTLANDS LÄN</t>
        </is>
      </c>
      <c r="E3067" t="inlineStr">
        <is>
          <t>STRÖMSUND</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31514-2024</t>
        </is>
      </c>
      <c r="B3068" s="1" t="n">
        <v>45506</v>
      </c>
      <c r="C3068" s="1" t="n">
        <v>45734</v>
      </c>
      <c r="D3068" t="inlineStr">
        <is>
          <t>JÄMTLANDS LÄN</t>
        </is>
      </c>
      <c r="E3068" t="inlineStr">
        <is>
          <t>STRÖMSUND</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31675-2024</t>
        </is>
      </c>
      <c r="B3069" s="1" t="n">
        <v>45507</v>
      </c>
      <c r="C3069" s="1" t="n">
        <v>45734</v>
      </c>
      <c r="D3069" t="inlineStr">
        <is>
          <t>JÄMTLANDS LÄN</t>
        </is>
      </c>
      <c r="E3069" t="inlineStr">
        <is>
          <t>STRÖMSUND</t>
        </is>
      </c>
      <c r="F3069" t="inlineStr">
        <is>
          <t>SCA</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31606-2024</t>
        </is>
      </c>
      <c r="B3070" s="1" t="n">
        <v>45506</v>
      </c>
      <c r="C3070" s="1" t="n">
        <v>45734</v>
      </c>
      <c r="D3070" t="inlineStr">
        <is>
          <t>JÄMTLANDS LÄN</t>
        </is>
      </c>
      <c r="E3070" t="inlineStr">
        <is>
          <t>STRÖMSUND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31685-2024</t>
        </is>
      </c>
      <c r="B3071" s="1" t="n">
        <v>45507</v>
      </c>
      <c r="C3071" s="1" t="n">
        <v>45734</v>
      </c>
      <c r="D3071" t="inlineStr">
        <is>
          <t>JÄMTLANDS LÄN</t>
        </is>
      </c>
      <c r="E3071" t="inlineStr">
        <is>
          <t>STRÖMSUND</t>
        </is>
      </c>
      <c r="F3071" t="inlineStr">
        <is>
          <t>SCA</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31710-2024</t>
        </is>
      </c>
      <c r="B3072" s="1" t="n">
        <v>45509</v>
      </c>
      <c r="C3072" s="1" t="n">
        <v>45734</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31741-2024</t>
        </is>
      </c>
      <c r="B3073" s="1" t="n">
        <v>45509</v>
      </c>
      <c r="C3073" s="1" t="n">
        <v>45734</v>
      </c>
      <c r="D3073" t="inlineStr">
        <is>
          <t>JÄMTLANDS LÄN</t>
        </is>
      </c>
      <c r="E3073" t="inlineStr">
        <is>
          <t>STRÖMSUND</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31898-2024</t>
        </is>
      </c>
      <c r="B3074" s="1" t="n">
        <v>45510</v>
      </c>
      <c r="C3074" s="1" t="n">
        <v>45734</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32066-2024</t>
        </is>
      </c>
      <c r="B3075" s="1" t="n">
        <v>45511</v>
      </c>
      <c r="C3075" s="1" t="n">
        <v>45734</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32107-2024</t>
        </is>
      </c>
      <c r="B3076" s="1" t="n">
        <v>45511</v>
      </c>
      <c r="C3076" s="1" t="n">
        <v>45734</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32254-2024</t>
        </is>
      </c>
      <c r="B3077" s="1" t="n">
        <v>45512</v>
      </c>
      <c r="C3077" s="1" t="n">
        <v>45734</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32261-2024</t>
        </is>
      </c>
      <c r="B3078" s="1" t="n">
        <v>45512</v>
      </c>
      <c r="C3078" s="1" t="n">
        <v>45734</v>
      </c>
      <c r="D3078" t="inlineStr">
        <is>
          <t>JÄMTLANDS LÄN</t>
        </is>
      </c>
      <c r="E3078" t="inlineStr">
        <is>
          <t>STRÖMSUND</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32358-2024</t>
        </is>
      </c>
      <c r="B3079" s="1" t="n">
        <v>45512</v>
      </c>
      <c r="C3079" s="1" t="n">
        <v>45734</v>
      </c>
      <c r="D3079" t="inlineStr">
        <is>
          <t>JÄMTLANDS LÄN</t>
        </is>
      </c>
      <c r="E3079" t="inlineStr">
        <is>
          <t>STRÖMSUND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32443-2024</t>
        </is>
      </c>
      <c r="B3080" s="1" t="n">
        <v>45513</v>
      </c>
      <c r="C3080" s="1" t="n">
        <v>45734</v>
      </c>
      <c r="D3080" t="inlineStr">
        <is>
          <t>JÄMTLANDS LÄN</t>
        </is>
      </c>
      <c r="E3080" t="inlineStr">
        <is>
          <t>STRÖMSUND</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45513</v>
      </c>
      <c r="C3081" s="1" t="n">
        <v>45734</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32444-2024</t>
        </is>
      </c>
      <c r="B3082" s="1" t="n">
        <v>45513</v>
      </c>
      <c r="C3082" s="1" t="n">
        <v>45734</v>
      </c>
      <c r="D3082" t="inlineStr">
        <is>
          <t>JÄMTLANDS LÄN</t>
        </is>
      </c>
      <c r="E3082" t="inlineStr">
        <is>
          <t>STRÖMSUND</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32452-2024</t>
        </is>
      </c>
      <c r="B3083" s="1" t="n">
        <v>45513</v>
      </c>
      <c r="C3083" s="1" t="n">
        <v>45734</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32396-2024</t>
        </is>
      </c>
      <c r="B3084" s="1" t="n">
        <v>45512</v>
      </c>
      <c r="C3084" s="1" t="n">
        <v>45734</v>
      </c>
      <c r="D3084" t="inlineStr">
        <is>
          <t>JÄMTLANDS LÄN</t>
        </is>
      </c>
      <c r="E3084" t="inlineStr">
        <is>
          <t>STRÖMSUND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32324-2024</t>
        </is>
      </c>
      <c r="B3085" s="1" t="n">
        <v>45512</v>
      </c>
      <c r="C3085" s="1" t="n">
        <v>45734</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32453-2024</t>
        </is>
      </c>
      <c r="B3086" s="1" t="n">
        <v>45512</v>
      </c>
      <c r="C3086" s="1" t="n">
        <v>45734</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32650-2024</t>
        </is>
      </c>
      <c r="B3087" s="1" t="n">
        <v>45514</v>
      </c>
      <c r="C3087" s="1" t="n">
        <v>45734</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32673-2024</t>
        </is>
      </c>
      <c r="B3088" s="1" t="n">
        <v>45514</v>
      </c>
      <c r="C3088" s="1" t="n">
        <v>45734</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32674-2024</t>
        </is>
      </c>
      <c r="B3089" s="1" t="n">
        <v>45514</v>
      </c>
      <c r="C3089" s="1" t="n">
        <v>45734</v>
      </c>
      <c r="D3089" t="inlineStr">
        <is>
          <t>JÄMTLANDS LÄN</t>
        </is>
      </c>
      <c r="E3089" t="inlineStr">
        <is>
          <t>STRÖMSUND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32672-2024</t>
        </is>
      </c>
      <c r="B3090" s="1" t="n">
        <v>45514</v>
      </c>
      <c r="C3090" s="1" t="n">
        <v>45734</v>
      </c>
      <c r="D3090" t="inlineStr">
        <is>
          <t>JÄMTLANDS LÄN</t>
        </is>
      </c>
      <c r="E3090" t="inlineStr">
        <is>
          <t>STRÖMSUND</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32803-2024</t>
        </is>
      </c>
      <c r="B3091" s="1" t="n">
        <v>45516</v>
      </c>
      <c r="C3091" s="1" t="n">
        <v>45734</v>
      </c>
      <c r="D3091" t="inlineStr">
        <is>
          <t>JÄMTLANDS LÄN</t>
        </is>
      </c>
      <c r="E3091" t="inlineStr">
        <is>
          <t>STRÖMSUND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32900-2024</t>
        </is>
      </c>
      <c r="B3092" s="1" t="n">
        <v>45517</v>
      </c>
      <c r="C3092" s="1" t="n">
        <v>45734</v>
      </c>
      <c r="D3092" t="inlineStr">
        <is>
          <t>JÄMTLANDS LÄN</t>
        </is>
      </c>
      <c r="E3092" t="inlineStr">
        <is>
          <t>STRÖMSUND</t>
        </is>
      </c>
      <c r="F3092" t="inlineStr">
        <is>
          <t>SCA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32907-2024</t>
        </is>
      </c>
      <c r="B3093" s="1" t="n">
        <v>45517</v>
      </c>
      <c r="C3093" s="1" t="n">
        <v>45734</v>
      </c>
      <c r="D3093" t="inlineStr">
        <is>
          <t>JÄMTLANDS LÄN</t>
        </is>
      </c>
      <c r="E3093" t="inlineStr">
        <is>
          <t>STRÖMSUND</t>
        </is>
      </c>
      <c r="F3093" t="inlineStr">
        <is>
          <t>SCA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32983-2024</t>
        </is>
      </c>
      <c r="B3094" s="1" t="n">
        <v>45517</v>
      </c>
      <c r="C3094" s="1" t="n">
        <v>45734</v>
      </c>
      <c r="D3094" t="inlineStr">
        <is>
          <t>JÄMTLANDS LÄN</t>
        </is>
      </c>
      <c r="E3094" t="inlineStr">
        <is>
          <t>STRÖMSUND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33122-2024</t>
        </is>
      </c>
      <c r="B3095" s="1" t="n">
        <v>45518</v>
      </c>
      <c r="C3095" s="1" t="n">
        <v>45734</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33127-2024</t>
        </is>
      </c>
      <c r="B3096" s="1" t="n">
        <v>45518</v>
      </c>
      <c r="C3096" s="1" t="n">
        <v>45734</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33311-2024</t>
        </is>
      </c>
      <c r="B3097" s="1" t="n">
        <v>45518</v>
      </c>
      <c r="C3097" s="1" t="n">
        <v>45734</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33299-2024</t>
        </is>
      </c>
      <c r="B3098" s="1" t="n">
        <v>45519</v>
      </c>
      <c r="C3098" s="1" t="n">
        <v>45734</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33238-2024</t>
        </is>
      </c>
      <c r="B3099" s="1" t="n">
        <v>45518</v>
      </c>
      <c r="C3099" s="1" t="n">
        <v>45734</v>
      </c>
      <c r="D3099" t="inlineStr">
        <is>
          <t>JÄMTLANDS LÄN</t>
        </is>
      </c>
      <c r="E3099" t="inlineStr">
        <is>
          <t>STRÖMSUND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33584-2024</t>
        </is>
      </c>
      <c r="B3100" s="1" t="n">
        <v>45520</v>
      </c>
      <c r="C3100" s="1" t="n">
        <v>45734</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34179-2024</t>
        </is>
      </c>
      <c r="B3101" s="1" t="n">
        <v>45524</v>
      </c>
      <c r="C3101" s="1" t="n">
        <v>45734</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34290-2024</t>
        </is>
      </c>
      <c r="B3102" s="1" t="n">
        <v>45524</v>
      </c>
      <c r="C3102" s="1" t="n">
        <v>45734</v>
      </c>
      <c r="D3102" t="inlineStr">
        <is>
          <t>JÄMTLANDS LÄN</t>
        </is>
      </c>
      <c r="E3102" t="inlineStr">
        <is>
          <t>STRÖMSUND</t>
        </is>
      </c>
      <c r="F3102" t="inlineStr">
        <is>
          <t>Sveaskog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34227-2024</t>
        </is>
      </c>
      <c r="B3103" s="1" t="n">
        <v>45524</v>
      </c>
      <c r="C3103" s="1" t="n">
        <v>45734</v>
      </c>
      <c r="D3103" t="inlineStr">
        <is>
          <t>JÄMTLANDS LÄN</t>
        </is>
      </c>
      <c r="E3103" t="inlineStr">
        <is>
          <t>STRÖMSUND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34343-2024</t>
        </is>
      </c>
      <c r="B3104" s="1" t="n">
        <v>45525</v>
      </c>
      <c r="C3104" s="1" t="n">
        <v>45734</v>
      </c>
      <c r="D3104" t="inlineStr">
        <is>
          <t>JÄMTLANDS LÄN</t>
        </is>
      </c>
      <c r="E3104" t="inlineStr">
        <is>
          <t>STRÖMSUND</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34344-2024</t>
        </is>
      </c>
      <c r="B3105" s="1" t="n">
        <v>45525</v>
      </c>
      <c r="C3105" s="1" t="n">
        <v>45734</v>
      </c>
      <c r="D3105" t="inlineStr">
        <is>
          <t>JÄMTLANDS LÄN</t>
        </is>
      </c>
      <c r="E3105" t="inlineStr">
        <is>
          <t>STRÖMSUND</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34716-2024</t>
        </is>
      </c>
      <c r="B3106" s="1" t="n">
        <v>45526</v>
      </c>
      <c r="C3106" s="1" t="n">
        <v>45734</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34817-2024</t>
        </is>
      </c>
      <c r="B3107" s="1" t="n">
        <v>45526</v>
      </c>
      <c r="C3107" s="1" t="n">
        <v>45734</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34818-2024</t>
        </is>
      </c>
      <c r="B3108" s="1" t="n">
        <v>45526</v>
      </c>
      <c r="C3108" s="1" t="n">
        <v>45734</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34723-2024</t>
        </is>
      </c>
      <c r="B3109" s="1" t="n">
        <v>45526</v>
      </c>
      <c r="C3109" s="1" t="n">
        <v>45734</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35244-2024</t>
        </is>
      </c>
      <c r="B3110" s="1" t="n">
        <v>45530</v>
      </c>
      <c r="C3110" s="1" t="n">
        <v>45734</v>
      </c>
      <c r="D3110" t="inlineStr">
        <is>
          <t>JÄMTLANDS LÄN</t>
        </is>
      </c>
      <c r="E3110" t="inlineStr">
        <is>
          <t>STRÖMSUND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35178-2024</t>
        </is>
      </c>
      <c r="B3111" s="1" t="n">
        <v>45530</v>
      </c>
      <c r="C3111" s="1" t="n">
        <v>45734</v>
      </c>
      <c r="D3111" t="inlineStr">
        <is>
          <t>JÄMTLANDS LÄN</t>
        </is>
      </c>
      <c r="E3111" t="inlineStr">
        <is>
          <t>STRÖMSUND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35185-2024</t>
        </is>
      </c>
      <c r="B3112" s="1" t="n">
        <v>45530</v>
      </c>
      <c r="C3112" s="1" t="n">
        <v>45734</v>
      </c>
      <c r="D3112" t="inlineStr">
        <is>
          <t>JÄMTLANDS LÄN</t>
        </is>
      </c>
      <c r="E3112" t="inlineStr">
        <is>
          <t>STRÖMSUND</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35410-2024</t>
        </is>
      </c>
      <c r="B3113" s="1" t="n">
        <v>45531</v>
      </c>
      <c r="C3113" s="1" t="n">
        <v>45734</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35418-2024</t>
        </is>
      </c>
      <c r="B3114" s="1" t="n">
        <v>45531</v>
      </c>
      <c r="C3114" s="1" t="n">
        <v>45734</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35578-2024</t>
        </is>
      </c>
      <c r="B3115" s="1" t="n">
        <v>45531</v>
      </c>
      <c r="C3115" s="1" t="n">
        <v>45734</v>
      </c>
      <c r="D3115" t="inlineStr">
        <is>
          <t>JÄMTLANDS LÄN</t>
        </is>
      </c>
      <c r="E3115" t="inlineStr">
        <is>
          <t>STRÖMSUND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35407-2024</t>
        </is>
      </c>
      <c r="B3116" s="1" t="n">
        <v>45531</v>
      </c>
      <c r="C3116" s="1" t="n">
        <v>45734</v>
      </c>
      <c r="D3116" t="inlineStr">
        <is>
          <t>JÄMTLANDS LÄN</t>
        </is>
      </c>
      <c r="E3116" t="inlineStr">
        <is>
          <t>STRÖMSUND</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35397-2024</t>
        </is>
      </c>
      <c r="B3117" s="1" t="n">
        <v>45531</v>
      </c>
      <c r="C3117" s="1" t="n">
        <v>45734</v>
      </c>
      <c r="D3117" t="inlineStr">
        <is>
          <t>JÄMTLANDS LÄN</t>
        </is>
      </c>
      <c r="E3117" t="inlineStr">
        <is>
          <t>STRÖMSUND</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35423-2024</t>
        </is>
      </c>
      <c r="B3118" s="1" t="n">
        <v>45531</v>
      </c>
      <c r="C3118" s="1" t="n">
        <v>45734</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35416-2024</t>
        </is>
      </c>
      <c r="B3119" s="1" t="n">
        <v>45531</v>
      </c>
      <c r="C3119" s="1" t="n">
        <v>45734</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35585-2024</t>
        </is>
      </c>
      <c r="B3120" s="1" t="n">
        <v>45531</v>
      </c>
      <c r="C3120" s="1" t="n">
        <v>45734</v>
      </c>
      <c r="D3120" t="inlineStr">
        <is>
          <t>JÄMTLANDS LÄN</t>
        </is>
      </c>
      <c r="E3120" t="inlineStr">
        <is>
          <t>STRÖMSUND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35583-2024</t>
        </is>
      </c>
      <c r="B3121" s="1" t="n">
        <v>45531</v>
      </c>
      <c r="C3121" s="1" t="n">
        <v>45734</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35584-2024</t>
        </is>
      </c>
      <c r="B3122" s="1" t="n">
        <v>45531</v>
      </c>
      <c r="C3122" s="1" t="n">
        <v>45734</v>
      </c>
      <c r="D3122" t="inlineStr">
        <is>
          <t>JÄMTLANDS LÄN</t>
        </is>
      </c>
      <c r="E3122" t="inlineStr">
        <is>
          <t>STRÖMSUND</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35686-2024</t>
        </is>
      </c>
      <c r="B3123" s="1" t="n">
        <v>45532</v>
      </c>
      <c r="C3123" s="1" t="n">
        <v>45734</v>
      </c>
      <c r="D3123" t="inlineStr">
        <is>
          <t>JÄMTLANDS LÄN</t>
        </is>
      </c>
      <c r="E3123" t="inlineStr">
        <is>
          <t>STRÖMSUND</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35687-2024</t>
        </is>
      </c>
      <c r="B3124" s="1" t="n">
        <v>45532</v>
      </c>
      <c r="C3124" s="1" t="n">
        <v>45734</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35747-2024</t>
        </is>
      </c>
      <c r="B3125" s="1" t="n">
        <v>45532</v>
      </c>
      <c r="C3125" s="1" t="n">
        <v>45734</v>
      </c>
      <c r="D3125" t="inlineStr">
        <is>
          <t>JÄMTLANDS LÄN</t>
        </is>
      </c>
      <c r="E3125" t="inlineStr">
        <is>
          <t>STRÖMSUND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35746-2024</t>
        </is>
      </c>
      <c r="B3126" s="1" t="n">
        <v>45532</v>
      </c>
      <c r="C3126" s="1" t="n">
        <v>45734</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35748-2024</t>
        </is>
      </c>
      <c r="B3127" s="1" t="n">
        <v>45532</v>
      </c>
      <c r="C3127" s="1" t="n">
        <v>45734</v>
      </c>
      <c r="D3127" t="inlineStr">
        <is>
          <t>JÄMTLANDS LÄN</t>
        </is>
      </c>
      <c r="E3127" t="inlineStr">
        <is>
          <t>STRÖMSUND</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35904-2024</t>
        </is>
      </c>
      <c r="B3128" s="1" t="n">
        <v>45533</v>
      </c>
      <c r="C3128" s="1" t="n">
        <v>45734</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36328-2024</t>
        </is>
      </c>
      <c r="B3129" s="1" t="n">
        <v>45534</v>
      </c>
      <c r="C3129" s="1" t="n">
        <v>45734</v>
      </c>
      <c r="D3129" t="inlineStr">
        <is>
          <t>JÄMTLANDS LÄN</t>
        </is>
      </c>
      <c r="E3129" t="inlineStr">
        <is>
          <t>STRÖMSUND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36176-2024</t>
        </is>
      </c>
      <c r="B3130" s="1" t="n">
        <v>45534</v>
      </c>
      <c r="C3130" s="1" t="n">
        <v>45734</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36311-2024</t>
        </is>
      </c>
      <c r="B3131" s="1" t="n">
        <v>45534</v>
      </c>
      <c r="C3131" s="1" t="n">
        <v>45734</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36347-2024</t>
        </is>
      </c>
      <c r="B3132" s="1" t="n">
        <v>45534</v>
      </c>
      <c r="C3132" s="1" t="n">
        <v>45734</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v>
      </c>
      <c r="C3133" s="1" t="n">
        <v>45734</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36327-2024</t>
        </is>
      </c>
      <c r="B3134" s="1" t="n">
        <v>45534</v>
      </c>
      <c r="C3134" s="1" t="n">
        <v>45734</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36343-2024</t>
        </is>
      </c>
      <c r="B3135" s="1" t="n">
        <v>45534</v>
      </c>
      <c r="C3135" s="1" t="n">
        <v>45734</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36346-2024</t>
        </is>
      </c>
      <c r="B3136" s="1" t="n">
        <v>45534</v>
      </c>
      <c r="C3136" s="1" t="n">
        <v>45734</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36500-2024</t>
        </is>
      </c>
      <c r="B3137" s="1" t="n">
        <v>45537</v>
      </c>
      <c r="C3137" s="1" t="n">
        <v>45734</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36836-2024</t>
        </is>
      </c>
      <c r="B3138" s="1" t="n">
        <v>45538</v>
      </c>
      <c r="C3138" s="1" t="n">
        <v>45734</v>
      </c>
      <c r="D3138" t="inlineStr">
        <is>
          <t>JÄMTLANDS LÄN</t>
        </is>
      </c>
      <c r="E3138" t="inlineStr">
        <is>
          <t>STRÖMSUND</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36914-2024</t>
        </is>
      </c>
      <c r="B3139" s="1" t="n">
        <v>45538</v>
      </c>
      <c r="C3139" s="1" t="n">
        <v>45734</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36913-2024</t>
        </is>
      </c>
      <c r="B3140" s="1" t="n">
        <v>45538</v>
      </c>
      <c r="C3140" s="1" t="n">
        <v>45734</v>
      </c>
      <c r="D3140" t="inlineStr">
        <is>
          <t>JÄMTLANDS LÄN</t>
        </is>
      </c>
      <c r="E3140" t="inlineStr">
        <is>
          <t>STRÖMSUND</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37150-2024</t>
        </is>
      </c>
      <c r="B3141" s="1" t="n">
        <v>45539</v>
      </c>
      <c r="C3141" s="1" t="n">
        <v>45734</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37207-2024</t>
        </is>
      </c>
      <c r="B3142" s="1" t="n">
        <v>45539</v>
      </c>
      <c r="C3142" s="1" t="n">
        <v>45734</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37205-2024</t>
        </is>
      </c>
      <c r="B3143" s="1" t="n">
        <v>45539</v>
      </c>
      <c r="C3143" s="1" t="n">
        <v>45734</v>
      </c>
      <c r="D3143" t="inlineStr">
        <is>
          <t>JÄMTLANDS LÄN</t>
        </is>
      </c>
      <c r="E3143" t="inlineStr">
        <is>
          <t>STRÖMSUND</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37147-2024</t>
        </is>
      </c>
      <c r="B3144" s="1" t="n">
        <v>45539</v>
      </c>
      <c r="C3144" s="1" t="n">
        <v>45734</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37208-2024</t>
        </is>
      </c>
      <c r="B3145" s="1" t="n">
        <v>45539</v>
      </c>
      <c r="C3145" s="1" t="n">
        <v>45734</v>
      </c>
      <c r="D3145" t="inlineStr">
        <is>
          <t>JÄMTLANDS LÄN</t>
        </is>
      </c>
      <c r="E3145" t="inlineStr">
        <is>
          <t>STRÖMSUND</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37302-2024</t>
        </is>
      </c>
      <c r="B3146" s="1" t="n">
        <v>45540</v>
      </c>
      <c r="C3146" s="1" t="n">
        <v>45734</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37567-2024</t>
        </is>
      </c>
      <c r="B3147" s="1" t="n">
        <v>45541</v>
      </c>
      <c r="C3147" s="1" t="n">
        <v>45734</v>
      </c>
      <c r="D3147" t="inlineStr">
        <is>
          <t>JÄMTLANDS LÄN</t>
        </is>
      </c>
      <c r="E3147" t="inlineStr">
        <is>
          <t>STRÖMSUND</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37632-2024</t>
        </is>
      </c>
      <c r="B3148" s="1" t="n">
        <v>45541</v>
      </c>
      <c r="C3148" s="1" t="n">
        <v>45734</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37566-2024</t>
        </is>
      </c>
      <c r="B3149" s="1" t="n">
        <v>45541</v>
      </c>
      <c r="C3149" s="1" t="n">
        <v>45734</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37787-2024</t>
        </is>
      </c>
      <c r="B3150" s="1" t="n">
        <v>45542</v>
      </c>
      <c r="C3150" s="1" t="n">
        <v>45734</v>
      </c>
      <c r="D3150" t="inlineStr">
        <is>
          <t>JÄMTLANDS LÄN</t>
        </is>
      </c>
      <c r="E3150" t="inlineStr">
        <is>
          <t>STRÖMSUND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38104-2024</t>
        </is>
      </c>
      <c r="B3151" s="1" t="n">
        <v>45545</v>
      </c>
      <c r="C3151" s="1" t="n">
        <v>45734</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38093-2024</t>
        </is>
      </c>
      <c r="B3152" s="1" t="n">
        <v>45545</v>
      </c>
      <c r="C3152" s="1" t="n">
        <v>45734</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38301-2024</t>
        </is>
      </c>
      <c r="B3153" s="1" t="n">
        <v>45545</v>
      </c>
      <c r="C3153" s="1" t="n">
        <v>45734</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38279-2024</t>
        </is>
      </c>
      <c r="B3154" s="1" t="n">
        <v>45545</v>
      </c>
      <c r="C3154" s="1" t="n">
        <v>45734</v>
      </c>
      <c r="D3154" t="inlineStr">
        <is>
          <t>JÄMTLANDS LÄN</t>
        </is>
      </c>
      <c r="E3154" t="inlineStr">
        <is>
          <t>STRÖMSUND</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38283-2024</t>
        </is>
      </c>
      <c r="B3155" s="1" t="n">
        <v>45545</v>
      </c>
      <c r="C3155" s="1" t="n">
        <v>45734</v>
      </c>
      <c r="D3155" t="inlineStr">
        <is>
          <t>JÄMTLANDS LÄN</t>
        </is>
      </c>
      <c r="E3155" t="inlineStr">
        <is>
          <t>STRÖMSUND</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38280-2024</t>
        </is>
      </c>
      <c r="B3156" s="1" t="n">
        <v>45545</v>
      </c>
      <c r="C3156" s="1" t="n">
        <v>45734</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38284-2024</t>
        </is>
      </c>
      <c r="B3157" s="1" t="n">
        <v>45545</v>
      </c>
      <c r="C3157" s="1" t="n">
        <v>45734</v>
      </c>
      <c r="D3157" t="inlineStr">
        <is>
          <t>JÄMTLANDS LÄN</t>
        </is>
      </c>
      <c r="E3157" t="inlineStr">
        <is>
          <t>STRÖMSUND</t>
        </is>
      </c>
      <c r="F3157" t="inlineStr">
        <is>
          <t>SCA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38300-2024</t>
        </is>
      </c>
      <c r="B3158" s="1" t="n">
        <v>45545</v>
      </c>
      <c r="C3158" s="1" t="n">
        <v>45734</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38816-2024</t>
        </is>
      </c>
      <c r="B3159" s="1" t="n">
        <v>45547</v>
      </c>
      <c r="C3159" s="1" t="n">
        <v>45734</v>
      </c>
      <c r="D3159" t="inlineStr">
        <is>
          <t>JÄMTLANDS LÄN</t>
        </is>
      </c>
      <c r="E3159" t="inlineStr">
        <is>
          <t>STRÖMSUND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39286-2024</t>
        </is>
      </c>
      <c r="B3160" s="1" t="n">
        <v>45551</v>
      </c>
      <c r="C3160" s="1" t="n">
        <v>45734</v>
      </c>
      <c r="D3160" t="inlineStr">
        <is>
          <t>JÄMTLANDS LÄN</t>
        </is>
      </c>
      <c r="E3160" t="inlineStr">
        <is>
          <t>STRÖMSUND</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39516-2024</t>
        </is>
      </c>
      <c r="B3161" s="1" t="n">
        <v>45551</v>
      </c>
      <c r="C3161" s="1" t="n">
        <v>45734</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39517-2024</t>
        </is>
      </c>
      <c r="B3162" s="1" t="n">
        <v>45551</v>
      </c>
      <c r="C3162" s="1" t="n">
        <v>45734</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39599-2024</t>
        </is>
      </c>
      <c r="B3163" s="1" t="n">
        <v>45552</v>
      </c>
      <c r="C3163" s="1" t="n">
        <v>45734</v>
      </c>
      <c r="D3163" t="inlineStr">
        <is>
          <t>JÄMTLANDS LÄN</t>
        </is>
      </c>
      <c r="E3163" t="inlineStr">
        <is>
          <t>STRÖMSUND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39698-2024</t>
        </is>
      </c>
      <c r="B3164" s="1" t="n">
        <v>45552</v>
      </c>
      <c r="C3164" s="1" t="n">
        <v>45734</v>
      </c>
      <c r="D3164" t="inlineStr">
        <is>
          <t>JÄMTLANDS LÄN</t>
        </is>
      </c>
      <c r="E3164" t="inlineStr">
        <is>
          <t>STRÖMSUND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39864-2024</t>
        </is>
      </c>
      <c r="B3165" s="1" t="n">
        <v>45553</v>
      </c>
      <c r="C3165" s="1" t="n">
        <v>45734</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39949-2024</t>
        </is>
      </c>
      <c r="B3166" s="1" t="n">
        <v>45553</v>
      </c>
      <c r="C3166" s="1" t="n">
        <v>45734</v>
      </c>
      <c r="D3166" t="inlineStr">
        <is>
          <t>JÄMTLANDS LÄN</t>
        </is>
      </c>
      <c r="E3166" t="inlineStr">
        <is>
          <t>STRÖMSUND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39939-2024</t>
        </is>
      </c>
      <c r="B3167" s="1" t="n">
        <v>45553</v>
      </c>
      <c r="C3167" s="1" t="n">
        <v>45734</v>
      </c>
      <c r="D3167" t="inlineStr">
        <is>
          <t>JÄMTLANDS LÄN</t>
        </is>
      </c>
      <c r="E3167" t="inlineStr">
        <is>
          <t>STRÖMSUND</t>
        </is>
      </c>
      <c r="F3167" t="inlineStr">
        <is>
          <t>Kyrkan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39979-2024</t>
        </is>
      </c>
      <c r="B3168" s="1" t="n">
        <v>45553</v>
      </c>
      <c r="C3168" s="1" t="n">
        <v>45734</v>
      </c>
      <c r="D3168" t="inlineStr">
        <is>
          <t>JÄMTLANDS LÄN</t>
        </is>
      </c>
      <c r="E3168" t="inlineStr">
        <is>
          <t>STRÖMSUND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40140-2024</t>
        </is>
      </c>
      <c r="B3169" s="1" t="n">
        <v>45554</v>
      </c>
      <c r="C3169" s="1" t="n">
        <v>45734</v>
      </c>
      <c r="D3169" t="inlineStr">
        <is>
          <t>JÄMTLANDS LÄN</t>
        </is>
      </c>
      <c r="E3169" t="inlineStr">
        <is>
          <t>STRÖMSUND</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40090-2024</t>
        </is>
      </c>
      <c r="B3170" s="1" t="n">
        <v>45554</v>
      </c>
      <c r="C3170" s="1" t="n">
        <v>45734</v>
      </c>
      <c r="D3170" t="inlineStr">
        <is>
          <t>JÄMTLANDS LÄN</t>
        </is>
      </c>
      <c r="E3170" t="inlineStr">
        <is>
          <t>STRÖMSUND</t>
        </is>
      </c>
      <c r="F3170" t="inlineStr">
        <is>
          <t>Kyrkan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40351-2024</t>
        </is>
      </c>
      <c r="B3171" s="1" t="n">
        <v>45555</v>
      </c>
      <c r="C3171" s="1" t="n">
        <v>45734</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40344-2024</t>
        </is>
      </c>
      <c r="B3172" s="1" t="n">
        <v>45555</v>
      </c>
      <c r="C3172" s="1" t="n">
        <v>45734</v>
      </c>
      <c r="D3172" t="inlineStr">
        <is>
          <t>JÄMTLANDS LÄN</t>
        </is>
      </c>
      <c r="E3172" t="inlineStr">
        <is>
          <t>STRÖMSUND</t>
        </is>
      </c>
      <c r="F3172" t="inlineStr">
        <is>
          <t>SCA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40492-2024</t>
        </is>
      </c>
      <c r="B3173" s="1" t="n">
        <v>45555</v>
      </c>
      <c r="C3173" s="1" t="n">
        <v>45734</v>
      </c>
      <c r="D3173" t="inlineStr">
        <is>
          <t>JÄMTLANDS LÄN</t>
        </is>
      </c>
      <c r="E3173" t="inlineStr">
        <is>
          <t>STRÖMSUND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40500-2024</t>
        </is>
      </c>
      <c r="B3174" s="1" t="n">
        <v>45555</v>
      </c>
      <c r="C3174" s="1" t="n">
        <v>45734</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40426-2024</t>
        </is>
      </c>
      <c r="B3175" s="1" t="n">
        <v>45555</v>
      </c>
      <c r="C3175" s="1" t="n">
        <v>45734</v>
      </c>
      <c r="D3175" t="inlineStr">
        <is>
          <t>JÄMTLANDS LÄN</t>
        </is>
      </c>
      <c r="E3175" t="inlineStr">
        <is>
          <t>STRÖMSUND</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40450-2024</t>
        </is>
      </c>
      <c r="B3176" s="1" t="n">
        <v>45555</v>
      </c>
      <c r="C3176" s="1" t="n">
        <v>45734</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40574-2024</t>
        </is>
      </c>
      <c r="B3177" s="1" t="n">
        <v>45555</v>
      </c>
      <c r="C3177" s="1" t="n">
        <v>45734</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40447-2024</t>
        </is>
      </c>
      <c r="B3178" s="1" t="n">
        <v>45555</v>
      </c>
      <c r="C3178" s="1" t="n">
        <v>45734</v>
      </c>
      <c r="D3178" t="inlineStr">
        <is>
          <t>JÄMTLANDS LÄN</t>
        </is>
      </c>
      <c r="E3178" t="inlineStr">
        <is>
          <t>STRÖMSUND</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40451-2024</t>
        </is>
      </c>
      <c r="B3179" s="1" t="n">
        <v>45555</v>
      </c>
      <c r="C3179" s="1" t="n">
        <v>45734</v>
      </c>
      <c r="D3179" t="inlineStr">
        <is>
          <t>JÄMTLANDS LÄN</t>
        </is>
      </c>
      <c r="E3179" t="inlineStr">
        <is>
          <t>STRÖMSUND</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40758-2024</t>
        </is>
      </c>
      <c r="B3180" s="1" t="n">
        <v>45558</v>
      </c>
      <c r="C3180" s="1" t="n">
        <v>45734</v>
      </c>
      <c r="D3180" t="inlineStr">
        <is>
          <t>JÄMTLANDS LÄN</t>
        </is>
      </c>
      <c r="E3180" t="inlineStr">
        <is>
          <t>STRÖMSUND</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40813-2024</t>
        </is>
      </c>
      <c r="B3181" s="1" t="n">
        <v>45558</v>
      </c>
      <c r="C3181" s="1" t="n">
        <v>45734</v>
      </c>
      <c r="D3181" t="inlineStr">
        <is>
          <t>JÄMTLANDS LÄN</t>
        </is>
      </c>
      <c r="E3181" t="inlineStr">
        <is>
          <t>STRÖMSUND</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40970-2024</t>
        </is>
      </c>
      <c r="B3182" s="1" t="n">
        <v>45558</v>
      </c>
      <c r="C3182" s="1" t="n">
        <v>45734</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40827-2024</t>
        </is>
      </c>
      <c r="B3183" s="1" t="n">
        <v>45558</v>
      </c>
      <c r="C3183" s="1" t="n">
        <v>45734</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40891-2024</t>
        </is>
      </c>
      <c r="B3184" s="1" t="n">
        <v>45558</v>
      </c>
      <c r="C3184" s="1" t="n">
        <v>45734</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40976-2024</t>
        </is>
      </c>
      <c r="B3185" s="1" t="n">
        <v>45558</v>
      </c>
      <c r="C3185" s="1" t="n">
        <v>45734</v>
      </c>
      <c r="D3185" t="inlineStr">
        <is>
          <t>JÄMTLANDS LÄN</t>
        </is>
      </c>
      <c r="E3185" t="inlineStr">
        <is>
          <t>STRÖMSUND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41070-2024</t>
        </is>
      </c>
      <c r="B3186" s="1" t="n">
        <v>45559</v>
      </c>
      <c r="C3186" s="1" t="n">
        <v>45734</v>
      </c>
      <c r="D3186" t="inlineStr">
        <is>
          <t>JÄMTLANDS LÄN</t>
        </is>
      </c>
      <c r="E3186" t="inlineStr">
        <is>
          <t>STRÖMSUND</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41116-2024</t>
        </is>
      </c>
      <c r="B3187" s="1" t="n">
        <v>45559</v>
      </c>
      <c r="C3187" s="1" t="n">
        <v>45734</v>
      </c>
      <c r="D3187" t="inlineStr">
        <is>
          <t>JÄMTLANDS LÄN</t>
        </is>
      </c>
      <c r="E3187" t="inlineStr">
        <is>
          <t>STRÖMSUND</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41141-2024</t>
        </is>
      </c>
      <c r="B3188" s="1" t="n">
        <v>45559</v>
      </c>
      <c r="C3188" s="1" t="n">
        <v>45734</v>
      </c>
      <c r="D3188" t="inlineStr">
        <is>
          <t>JÄMTLANDS LÄN</t>
        </is>
      </c>
      <c r="E3188" t="inlineStr">
        <is>
          <t>STRÖMSUND</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41140-2024</t>
        </is>
      </c>
      <c r="B3189" s="1" t="n">
        <v>45559</v>
      </c>
      <c r="C3189" s="1" t="n">
        <v>45734</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41292-2024</t>
        </is>
      </c>
      <c r="B3190" s="1" t="n">
        <v>45559</v>
      </c>
      <c r="C3190" s="1" t="n">
        <v>45734</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41317-2024</t>
        </is>
      </c>
      <c r="B3191" s="1" t="n">
        <v>45559</v>
      </c>
      <c r="C3191" s="1" t="n">
        <v>45734</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41283-2024</t>
        </is>
      </c>
      <c r="B3192" s="1" t="n">
        <v>45559</v>
      </c>
      <c r="C3192" s="1" t="n">
        <v>45734</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41605-2024</t>
        </is>
      </c>
      <c r="B3193" s="1" t="n">
        <v>45560</v>
      </c>
      <c r="C3193" s="1" t="n">
        <v>45734</v>
      </c>
      <c r="D3193" t="inlineStr">
        <is>
          <t>JÄMTLANDS LÄN</t>
        </is>
      </c>
      <c r="E3193" t="inlineStr">
        <is>
          <t>STRÖMSUND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41633-2024</t>
        </is>
      </c>
      <c r="B3194" s="1" t="n">
        <v>45560</v>
      </c>
      <c r="C3194" s="1" t="n">
        <v>45734</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41579-2024</t>
        </is>
      </c>
      <c r="B3195" s="1" t="n">
        <v>45560</v>
      </c>
      <c r="C3195" s="1" t="n">
        <v>45734</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41783-2024</t>
        </is>
      </c>
      <c r="B3196" s="1" t="n">
        <v>45561</v>
      </c>
      <c r="C3196" s="1" t="n">
        <v>45734</v>
      </c>
      <c r="D3196" t="inlineStr">
        <is>
          <t>JÄMTLANDS LÄN</t>
        </is>
      </c>
      <c r="E3196" t="inlineStr">
        <is>
          <t>STRÖMSUND</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41905-2024</t>
        </is>
      </c>
      <c r="B3197" s="1" t="n">
        <v>45561</v>
      </c>
      <c r="C3197" s="1" t="n">
        <v>45734</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41942-2024</t>
        </is>
      </c>
      <c r="B3198" s="1" t="n">
        <v>45561</v>
      </c>
      <c r="C3198" s="1" t="n">
        <v>45734</v>
      </c>
      <c r="D3198" t="inlineStr">
        <is>
          <t>JÄMTLANDS LÄN</t>
        </is>
      </c>
      <c r="E3198" t="inlineStr">
        <is>
          <t>STRÖMSUND</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41986-2024</t>
        </is>
      </c>
      <c r="B3199" s="1" t="n">
        <v>45561</v>
      </c>
      <c r="C3199" s="1" t="n">
        <v>45734</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42006-2024</t>
        </is>
      </c>
      <c r="B3200" s="1" t="n">
        <v>45561</v>
      </c>
      <c r="C3200" s="1" t="n">
        <v>45734</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41902-2024</t>
        </is>
      </c>
      <c r="B3201" s="1" t="n">
        <v>45561</v>
      </c>
      <c r="C3201" s="1" t="n">
        <v>45734</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41939-2024</t>
        </is>
      </c>
      <c r="B3202" s="1" t="n">
        <v>45561</v>
      </c>
      <c r="C3202" s="1" t="n">
        <v>45734</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42005-2024</t>
        </is>
      </c>
      <c r="B3203" s="1" t="n">
        <v>45561</v>
      </c>
      <c r="C3203" s="1" t="n">
        <v>45734</v>
      </c>
      <c r="D3203" t="inlineStr">
        <is>
          <t>JÄMTLANDS LÄN</t>
        </is>
      </c>
      <c r="E3203" t="inlineStr">
        <is>
          <t>STRÖMSUND</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41987-2024</t>
        </is>
      </c>
      <c r="B3204" s="1" t="n">
        <v>45561</v>
      </c>
      <c r="C3204" s="1" t="n">
        <v>45734</v>
      </c>
      <c r="D3204" t="inlineStr">
        <is>
          <t>JÄMTLANDS LÄN</t>
        </is>
      </c>
      <c r="E3204" t="inlineStr">
        <is>
          <t>STRÖMSUND</t>
        </is>
      </c>
      <c r="F3204" t="inlineStr">
        <is>
          <t>SCA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41940-2024</t>
        </is>
      </c>
      <c r="B3205" s="1" t="n">
        <v>45561</v>
      </c>
      <c r="C3205" s="1" t="n">
        <v>45734</v>
      </c>
      <c r="D3205" t="inlineStr">
        <is>
          <t>JÄMTLANDS LÄN</t>
        </is>
      </c>
      <c r="E3205" t="inlineStr">
        <is>
          <t>STRÖMSUND</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41988-2024</t>
        </is>
      </c>
      <c r="B3206" s="1" t="n">
        <v>45561</v>
      </c>
      <c r="C3206" s="1" t="n">
        <v>45734</v>
      </c>
      <c r="D3206" t="inlineStr">
        <is>
          <t>JÄMTLANDS LÄN</t>
        </is>
      </c>
      <c r="E3206" t="inlineStr">
        <is>
          <t>STRÖMSUND</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42208-2024</t>
        </is>
      </c>
      <c r="B3207" s="1" t="n">
        <v>45562</v>
      </c>
      <c r="C3207" s="1" t="n">
        <v>45734</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42479-2024</t>
        </is>
      </c>
      <c r="B3208" s="1" t="n">
        <v>45565</v>
      </c>
      <c r="C3208" s="1" t="n">
        <v>45734</v>
      </c>
      <c r="D3208" t="inlineStr">
        <is>
          <t>JÄMTLANDS LÄN</t>
        </is>
      </c>
      <c r="E3208" t="inlineStr">
        <is>
          <t>STRÖMSUND</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42681-2024</t>
        </is>
      </c>
      <c r="B3209" s="1" t="n">
        <v>45566</v>
      </c>
      <c r="C3209" s="1" t="n">
        <v>45734</v>
      </c>
      <c r="D3209" t="inlineStr">
        <is>
          <t>JÄMTLANDS LÄN</t>
        </is>
      </c>
      <c r="E3209" t="inlineStr">
        <is>
          <t>STRÖMSUND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43090-2024</t>
        </is>
      </c>
      <c r="B3210" s="1" t="n">
        <v>45567</v>
      </c>
      <c r="C3210" s="1" t="n">
        <v>45734</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42992-2024</t>
        </is>
      </c>
      <c r="B3211" s="1" t="n">
        <v>45567</v>
      </c>
      <c r="C3211" s="1" t="n">
        <v>45734</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42980-2024</t>
        </is>
      </c>
      <c r="B3212" s="1" t="n">
        <v>45567</v>
      </c>
      <c r="C3212" s="1" t="n">
        <v>45734</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42960-2024</t>
        </is>
      </c>
      <c r="B3213" s="1" t="n">
        <v>45567</v>
      </c>
      <c r="C3213" s="1" t="n">
        <v>45734</v>
      </c>
      <c r="D3213" t="inlineStr">
        <is>
          <t>JÄMTLANDS LÄN</t>
        </is>
      </c>
      <c r="E3213" t="inlineStr">
        <is>
          <t>STRÖMSUND</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42957-2024</t>
        </is>
      </c>
      <c r="B3214" s="1" t="n">
        <v>45567</v>
      </c>
      <c r="C3214" s="1" t="n">
        <v>45734</v>
      </c>
      <c r="D3214" t="inlineStr">
        <is>
          <t>JÄMTLANDS LÄN</t>
        </is>
      </c>
      <c r="E3214" t="inlineStr">
        <is>
          <t>STRÖMSUND</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42949-2024</t>
        </is>
      </c>
      <c r="B3215" s="1" t="n">
        <v>45567</v>
      </c>
      <c r="C3215" s="1" t="n">
        <v>45734</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42974-2024</t>
        </is>
      </c>
      <c r="B3216" s="1" t="n">
        <v>45567</v>
      </c>
      <c r="C3216" s="1" t="n">
        <v>45734</v>
      </c>
      <c r="D3216" t="inlineStr">
        <is>
          <t>JÄMTLANDS LÄN</t>
        </is>
      </c>
      <c r="E3216" t="inlineStr">
        <is>
          <t>STRÖMSUND</t>
        </is>
      </c>
      <c r="F3216" t="inlineStr">
        <is>
          <t>SCA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42966-2024</t>
        </is>
      </c>
      <c r="B3217" s="1" t="n">
        <v>45567</v>
      </c>
      <c r="C3217" s="1" t="n">
        <v>45734</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42954-2024</t>
        </is>
      </c>
      <c r="B3218" s="1" t="n">
        <v>45567</v>
      </c>
      <c r="C3218" s="1" t="n">
        <v>45734</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43425-2024</t>
        </is>
      </c>
      <c r="B3219" s="1" t="n">
        <v>45568</v>
      </c>
      <c r="C3219" s="1" t="n">
        <v>45734</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43326-2024</t>
        </is>
      </c>
      <c r="B3220" s="1" t="n">
        <v>45568</v>
      </c>
      <c r="C3220" s="1" t="n">
        <v>45734</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43605-2024</t>
        </is>
      </c>
      <c r="B3221" s="1" t="n">
        <v>45569</v>
      </c>
      <c r="C3221" s="1" t="n">
        <v>45734</v>
      </c>
      <c r="D3221" t="inlineStr">
        <is>
          <t>JÄMTLANDS LÄN</t>
        </is>
      </c>
      <c r="E3221" t="inlineStr">
        <is>
          <t>STRÖMSUND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43889-2024</t>
        </is>
      </c>
      <c r="B3222" s="1" t="n">
        <v>45572</v>
      </c>
      <c r="C3222" s="1" t="n">
        <v>45734</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44113-2024</t>
        </is>
      </c>
      <c r="B3223" s="1" t="n">
        <v>45572</v>
      </c>
      <c r="C3223" s="1" t="n">
        <v>45734</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43890-2024</t>
        </is>
      </c>
      <c r="B3224" s="1" t="n">
        <v>45572</v>
      </c>
      <c r="C3224" s="1" t="n">
        <v>45734</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44009-2024</t>
        </is>
      </c>
      <c r="B3225" s="1" t="n">
        <v>45572</v>
      </c>
      <c r="C3225" s="1" t="n">
        <v>45734</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44010-2024</t>
        </is>
      </c>
      <c r="B3226" s="1" t="n">
        <v>45572</v>
      </c>
      <c r="C3226" s="1" t="n">
        <v>45734</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44112-2024</t>
        </is>
      </c>
      <c r="B3227" s="1" t="n">
        <v>45572</v>
      </c>
      <c r="C3227" s="1" t="n">
        <v>45734</v>
      </c>
      <c r="D3227" t="inlineStr">
        <is>
          <t>JÄMTLANDS LÄN</t>
        </is>
      </c>
      <c r="E3227" t="inlineStr">
        <is>
          <t>STRÖMSUND</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44599-2024</t>
        </is>
      </c>
      <c r="B3228" s="1" t="n">
        <v>45574</v>
      </c>
      <c r="C3228" s="1" t="n">
        <v>45734</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44615-2024</t>
        </is>
      </c>
      <c r="B3229" s="1" t="n">
        <v>45574</v>
      </c>
      <c r="C3229" s="1" t="n">
        <v>45734</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c r="U3229">
        <f>HYPERLINK("https://klasma.github.io/Logging_2313/knärot/A 44615-2024 karta knärot.png", "A 44615-2024")</f>
        <v/>
      </c>
      <c r="V3229">
        <f>HYPERLINK("https://klasma.github.io/Logging_2313/klagomål/A 44615-2024 FSC-klagomål.docx", "A 44615-2024")</f>
        <v/>
      </c>
      <c r="W3229">
        <f>HYPERLINK("https://klasma.github.io/Logging_2313/klagomålsmail/A 44615-2024 FSC-klagomål mail.docx", "A 44615-2024")</f>
        <v/>
      </c>
      <c r="X3229">
        <f>HYPERLINK("https://klasma.github.io/Logging_2313/tillsyn/A 44615-2024 tillsynsbegäran.docx", "A 44615-2024")</f>
        <v/>
      </c>
      <c r="Y3229">
        <f>HYPERLINK("https://klasma.github.io/Logging_2313/tillsynsmail/A 44615-2024 tillsynsbegäran mail.docx", "A 44615-2024")</f>
        <v/>
      </c>
    </row>
    <row r="3230" ht="15" customHeight="1">
      <c r="A3230" t="inlineStr">
        <is>
          <t>A 44623-2024</t>
        </is>
      </c>
      <c r="B3230" s="1" t="n">
        <v>45574</v>
      </c>
      <c r="C3230" s="1" t="n">
        <v>45734</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44618-2024</t>
        </is>
      </c>
      <c r="B3231" s="1" t="n">
        <v>45574</v>
      </c>
      <c r="C3231" s="1" t="n">
        <v>45734</v>
      </c>
      <c r="D3231" t="inlineStr">
        <is>
          <t>JÄMTLANDS LÄN</t>
        </is>
      </c>
      <c r="E3231" t="inlineStr">
        <is>
          <t>STRÖMSUND</t>
        </is>
      </c>
      <c r="F3231" t="inlineStr">
        <is>
          <t>SCA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44811-2024</t>
        </is>
      </c>
      <c r="B3232" s="1" t="n">
        <v>45574</v>
      </c>
      <c r="C3232" s="1" t="n">
        <v>45734</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44601-2024</t>
        </is>
      </c>
      <c r="B3233" s="1" t="n">
        <v>45574</v>
      </c>
      <c r="C3233" s="1" t="n">
        <v>45734</v>
      </c>
      <c r="D3233" t="inlineStr">
        <is>
          <t>JÄMTLANDS LÄN</t>
        </is>
      </c>
      <c r="E3233" t="inlineStr">
        <is>
          <t>STRÖMSUND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44638-2024</t>
        </is>
      </c>
      <c r="B3234" s="1" t="n">
        <v>45574</v>
      </c>
      <c r="C3234" s="1" t="n">
        <v>45734</v>
      </c>
      <c r="D3234" t="inlineStr">
        <is>
          <t>JÄMTLANDS LÄN</t>
        </is>
      </c>
      <c r="E3234" t="inlineStr">
        <is>
          <t>STRÖMSUND</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44642-2024</t>
        </is>
      </c>
      <c r="B3235" s="1" t="n">
        <v>45574</v>
      </c>
      <c r="C3235" s="1" t="n">
        <v>45734</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44584-2024</t>
        </is>
      </c>
      <c r="B3236" s="1" t="n">
        <v>45574</v>
      </c>
      <c r="C3236" s="1" t="n">
        <v>45734</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44596-2024</t>
        </is>
      </c>
      <c r="B3237" s="1" t="n">
        <v>45574</v>
      </c>
      <c r="C3237" s="1" t="n">
        <v>45734</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45005-2024</t>
        </is>
      </c>
      <c r="B3238" s="1" t="n">
        <v>45575</v>
      </c>
      <c r="C3238" s="1" t="n">
        <v>45734</v>
      </c>
      <c r="D3238" t="inlineStr">
        <is>
          <t>JÄMTLANDS LÄN</t>
        </is>
      </c>
      <c r="E3238" t="inlineStr">
        <is>
          <t>STRÖMSUND</t>
        </is>
      </c>
      <c r="F3238" t="inlineStr">
        <is>
          <t>SCA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45411-2024</t>
        </is>
      </c>
      <c r="B3239" s="1" t="n">
        <v>45576</v>
      </c>
      <c r="C3239" s="1" t="n">
        <v>45734</v>
      </c>
      <c r="D3239" t="inlineStr">
        <is>
          <t>JÄMTLANDS LÄN</t>
        </is>
      </c>
      <c r="E3239" t="inlineStr">
        <is>
          <t>STRÖMSUND</t>
        </is>
      </c>
      <c r="F3239" t="inlineStr">
        <is>
          <t>SCA</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45251-2024</t>
        </is>
      </c>
      <c r="B3240" s="1" t="n">
        <v>45576</v>
      </c>
      <c r="C3240" s="1" t="n">
        <v>45734</v>
      </c>
      <c r="D3240" t="inlineStr">
        <is>
          <t>JÄMTLANDS LÄN</t>
        </is>
      </c>
      <c r="E3240" t="inlineStr">
        <is>
          <t>STRÖMSUND</t>
        </is>
      </c>
      <c r="F3240" t="inlineStr">
        <is>
          <t>Sveaskog</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45249-2024</t>
        </is>
      </c>
      <c r="B3241" s="1" t="n">
        <v>45576</v>
      </c>
      <c r="C3241" s="1" t="n">
        <v>45734</v>
      </c>
      <c r="D3241" t="inlineStr">
        <is>
          <t>JÄMTLANDS LÄN</t>
        </is>
      </c>
      <c r="E3241" t="inlineStr">
        <is>
          <t>STRÖMSUND</t>
        </is>
      </c>
      <c r="F3241" t="inlineStr">
        <is>
          <t>Sveaskog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45762-2024</t>
        </is>
      </c>
      <c r="B3242" s="1" t="n">
        <v>45579</v>
      </c>
      <c r="C3242" s="1" t="n">
        <v>45734</v>
      </c>
      <c r="D3242" t="inlineStr">
        <is>
          <t>JÄMTLANDS LÄN</t>
        </is>
      </c>
      <c r="E3242" t="inlineStr">
        <is>
          <t>STRÖMSUND</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45759-2024</t>
        </is>
      </c>
      <c r="B3243" s="1" t="n">
        <v>45579</v>
      </c>
      <c r="C3243" s="1" t="n">
        <v>45734</v>
      </c>
      <c r="D3243" t="inlineStr">
        <is>
          <t>JÄMTLANDS LÄN</t>
        </is>
      </c>
      <c r="E3243" t="inlineStr">
        <is>
          <t>STRÖMSUND</t>
        </is>
      </c>
      <c r="F3243" t="inlineStr">
        <is>
          <t>SCA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46199-2024</t>
        </is>
      </c>
      <c r="B3244" s="1" t="n">
        <v>45581</v>
      </c>
      <c r="C3244" s="1" t="n">
        <v>45734</v>
      </c>
      <c r="D3244" t="inlineStr">
        <is>
          <t>JÄMTLANDS LÄN</t>
        </is>
      </c>
      <c r="E3244" t="inlineStr">
        <is>
          <t>STRÖMSUND</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46394-2024</t>
        </is>
      </c>
      <c r="B3245" s="1" t="n">
        <v>45582</v>
      </c>
      <c r="C3245" s="1" t="n">
        <v>45734</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46816-2024</t>
        </is>
      </c>
      <c r="B3246" s="1" t="n">
        <v>45583</v>
      </c>
      <c r="C3246" s="1" t="n">
        <v>45734</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46677-2024</t>
        </is>
      </c>
      <c r="B3247" s="1" t="n">
        <v>45583</v>
      </c>
      <c r="C3247" s="1" t="n">
        <v>45734</v>
      </c>
      <c r="D3247" t="inlineStr">
        <is>
          <t>JÄMTLANDS LÄN</t>
        </is>
      </c>
      <c r="E3247" t="inlineStr">
        <is>
          <t>STRÖMSUND</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46905-2024</t>
        </is>
      </c>
      <c r="B3248" s="1" t="n">
        <v>45583</v>
      </c>
      <c r="C3248" s="1" t="n">
        <v>45734</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47241-2024</t>
        </is>
      </c>
      <c r="B3249" s="1" t="n">
        <v>45586</v>
      </c>
      <c r="C3249" s="1" t="n">
        <v>45734</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47114-2024</t>
        </is>
      </c>
      <c r="B3250" s="1" t="n">
        <v>45586</v>
      </c>
      <c r="C3250" s="1" t="n">
        <v>45734</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46980-2024</t>
        </is>
      </c>
      <c r="B3251" s="1" t="n">
        <v>45586</v>
      </c>
      <c r="C3251" s="1" t="n">
        <v>45734</v>
      </c>
      <c r="D3251" t="inlineStr">
        <is>
          <t>JÄMTLANDS LÄN</t>
        </is>
      </c>
      <c r="E3251" t="inlineStr">
        <is>
          <t>STRÖMSUND</t>
        </is>
      </c>
      <c r="F3251" t="inlineStr">
        <is>
          <t>Holmen skog AB</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46969-2024</t>
        </is>
      </c>
      <c r="B3252" s="1" t="n">
        <v>45586</v>
      </c>
      <c r="C3252" s="1" t="n">
        <v>45734</v>
      </c>
      <c r="D3252" t="inlineStr">
        <is>
          <t>JÄMTLANDS LÄN</t>
        </is>
      </c>
      <c r="E3252" t="inlineStr">
        <is>
          <t>STRÖMSUND</t>
        </is>
      </c>
      <c r="F3252" t="inlineStr">
        <is>
          <t>Holmen skog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47331-2024</t>
        </is>
      </c>
      <c r="B3253" s="1" t="n">
        <v>45587</v>
      </c>
      <c r="C3253" s="1" t="n">
        <v>45734</v>
      </c>
      <c r="D3253" t="inlineStr">
        <is>
          <t>JÄMTLANDS LÄN</t>
        </is>
      </c>
      <c r="E3253" t="inlineStr">
        <is>
          <t>STRÖMSUND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47356-2024</t>
        </is>
      </c>
      <c r="B3254" s="1" t="n">
        <v>45587</v>
      </c>
      <c r="C3254" s="1" t="n">
        <v>45734</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47633-2024</t>
        </is>
      </c>
      <c r="B3255" s="1" t="n">
        <v>45588</v>
      </c>
      <c r="C3255" s="1" t="n">
        <v>45734</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47632-2024</t>
        </is>
      </c>
      <c r="B3256" s="1" t="n">
        <v>45588</v>
      </c>
      <c r="C3256" s="1" t="n">
        <v>45734</v>
      </c>
      <c r="D3256" t="inlineStr">
        <is>
          <t>JÄMTLANDS LÄN</t>
        </is>
      </c>
      <c r="E3256" t="inlineStr">
        <is>
          <t>STRÖMSUND</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47806-2024</t>
        </is>
      </c>
      <c r="B3257" s="1" t="n">
        <v>45588</v>
      </c>
      <c r="C3257" s="1" t="n">
        <v>45734</v>
      </c>
      <c r="D3257" t="inlineStr">
        <is>
          <t>JÄMTLANDS LÄN</t>
        </is>
      </c>
      <c r="E3257" t="inlineStr">
        <is>
          <t>STRÖMSUND</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47657-2024</t>
        </is>
      </c>
      <c r="B3258" s="1" t="n">
        <v>45588</v>
      </c>
      <c r="C3258" s="1" t="n">
        <v>45734</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47655-2024</t>
        </is>
      </c>
      <c r="B3259" s="1" t="n">
        <v>45588</v>
      </c>
      <c r="C3259" s="1" t="n">
        <v>45734</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48134-2024</t>
        </is>
      </c>
      <c r="B3260" s="1" t="n">
        <v>45589</v>
      </c>
      <c r="C3260" s="1" t="n">
        <v>45734</v>
      </c>
      <c r="D3260" t="inlineStr">
        <is>
          <t>JÄMTLANDS LÄN</t>
        </is>
      </c>
      <c r="E3260" t="inlineStr">
        <is>
          <t>STRÖMSUND</t>
        </is>
      </c>
      <c r="G3260" t="n">
        <v>27.3</v>
      </c>
      <c r="H3260" t="n">
        <v>0</v>
      </c>
      <c r="I3260" t="n">
        <v>0</v>
      </c>
      <c r="J3260" t="n">
        <v>0</v>
      </c>
      <c r="K3260" t="n">
        <v>0</v>
      </c>
      <c r="L3260" t="n">
        <v>0</v>
      </c>
      <c r="M3260" t="n">
        <v>0</v>
      </c>
      <c r="N3260" t="n">
        <v>0</v>
      </c>
      <c r="O3260" t="n">
        <v>0</v>
      </c>
      <c r="P3260" t="n">
        <v>0</v>
      </c>
      <c r="Q3260" t="n">
        <v>0</v>
      </c>
      <c r="R3260" s="2" t="inlineStr"/>
    </row>
    <row r="3261" ht="15" customHeight="1">
      <c r="A3261" t="inlineStr">
        <is>
          <t>A 48194-2024</t>
        </is>
      </c>
      <c r="B3261" s="1" t="n">
        <v>45590</v>
      </c>
      <c r="C3261" s="1" t="n">
        <v>45734</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48603-2024</t>
        </is>
      </c>
      <c r="B3262" s="1" t="n">
        <v>45593</v>
      </c>
      <c r="C3262" s="1" t="n">
        <v>45734</v>
      </c>
      <c r="D3262" t="inlineStr">
        <is>
          <t>JÄMTLANDS LÄN</t>
        </is>
      </c>
      <c r="E3262" t="inlineStr">
        <is>
          <t>STRÖMSUND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48604-2024</t>
        </is>
      </c>
      <c r="B3263" s="1" t="n">
        <v>45593</v>
      </c>
      <c r="C3263" s="1" t="n">
        <v>45734</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48833-2024</t>
        </is>
      </c>
      <c r="B3264" s="1" t="n">
        <v>45593</v>
      </c>
      <c r="C3264" s="1" t="n">
        <v>45734</v>
      </c>
      <c r="D3264" t="inlineStr">
        <is>
          <t>JÄMTLANDS LÄN</t>
        </is>
      </c>
      <c r="E3264" t="inlineStr">
        <is>
          <t>STRÖMSUND</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48936-2024</t>
        </is>
      </c>
      <c r="B3265" s="1" t="n">
        <v>45594</v>
      </c>
      <c r="C3265" s="1" t="n">
        <v>45734</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48910-2024</t>
        </is>
      </c>
      <c r="B3266" s="1" t="n">
        <v>45594</v>
      </c>
      <c r="C3266" s="1" t="n">
        <v>45734</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49126-2024</t>
        </is>
      </c>
      <c r="B3267" s="1" t="n">
        <v>45594</v>
      </c>
      <c r="C3267" s="1" t="n">
        <v>45734</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48917-2024</t>
        </is>
      </c>
      <c r="B3268" s="1" t="n">
        <v>45594</v>
      </c>
      <c r="C3268" s="1" t="n">
        <v>45734</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48947-2024</t>
        </is>
      </c>
      <c r="B3269" s="1" t="n">
        <v>45594</v>
      </c>
      <c r="C3269" s="1" t="n">
        <v>45734</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49127-2024</t>
        </is>
      </c>
      <c r="B3270" s="1" t="n">
        <v>45594</v>
      </c>
      <c r="C3270" s="1" t="n">
        <v>45734</v>
      </c>
      <c r="D3270" t="inlineStr">
        <is>
          <t>JÄMTLANDS LÄN</t>
        </is>
      </c>
      <c r="E3270" t="inlineStr">
        <is>
          <t>STRÖMSUND</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49196-2024</t>
        </is>
      </c>
      <c r="B3271" s="1" t="n">
        <v>45595</v>
      </c>
      <c r="C3271" s="1" t="n">
        <v>45734</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49191-2024</t>
        </is>
      </c>
      <c r="B3272" s="1" t="n">
        <v>45595</v>
      </c>
      <c r="C3272" s="1" t="n">
        <v>45734</v>
      </c>
      <c r="D3272" t="inlineStr">
        <is>
          <t>JÄMTLANDS LÄN</t>
        </is>
      </c>
      <c r="E3272" t="inlineStr">
        <is>
          <t>STRÖMSUND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49186-2024</t>
        </is>
      </c>
      <c r="B3273" s="1" t="n">
        <v>45595</v>
      </c>
      <c r="C3273" s="1" t="n">
        <v>45734</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49194-2024</t>
        </is>
      </c>
      <c r="B3274" s="1" t="n">
        <v>45595</v>
      </c>
      <c r="C3274" s="1" t="n">
        <v>45734</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49370-2024</t>
        </is>
      </c>
      <c r="B3275" s="1" t="n">
        <v>45595</v>
      </c>
      <c r="C3275" s="1" t="n">
        <v>45734</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49384-2024</t>
        </is>
      </c>
      <c r="B3276" s="1" t="n">
        <v>45595</v>
      </c>
      <c r="C3276" s="1" t="n">
        <v>45734</v>
      </c>
      <c r="D3276" t="inlineStr">
        <is>
          <t>JÄMTLANDS LÄN</t>
        </is>
      </c>
      <c r="E3276" t="inlineStr">
        <is>
          <t>STRÖMSUND</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49396-2024</t>
        </is>
      </c>
      <c r="B3277" s="1" t="n">
        <v>45595</v>
      </c>
      <c r="C3277" s="1" t="n">
        <v>45734</v>
      </c>
      <c r="D3277" t="inlineStr">
        <is>
          <t>JÄMTLANDS LÄN</t>
        </is>
      </c>
      <c r="E3277" t="inlineStr">
        <is>
          <t>STRÖMSUND</t>
        </is>
      </c>
      <c r="F3277" t="inlineStr">
        <is>
          <t>SCA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49685-2024</t>
        </is>
      </c>
      <c r="B3278" s="1" t="n">
        <v>45596</v>
      </c>
      <c r="C3278" s="1" t="n">
        <v>45734</v>
      </c>
      <c r="D3278" t="inlineStr">
        <is>
          <t>JÄMTLANDS LÄN</t>
        </is>
      </c>
      <c r="E3278" t="inlineStr">
        <is>
          <t>STRÖMSUND</t>
        </is>
      </c>
      <c r="G3278" t="n">
        <v>21.5</v>
      </c>
      <c r="H3278" t="n">
        <v>0</v>
      </c>
      <c r="I3278" t="n">
        <v>0</v>
      </c>
      <c r="J3278" t="n">
        <v>0</v>
      </c>
      <c r="K3278" t="n">
        <v>0</v>
      </c>
      <c r="L3278" t="n">
        <v>0</v>
      </c>
      <c r="M3278" t="n">
        <v>0</v>
      </c>
      <c r="N3278" t="n">
        <v>0</v>
      </c>
      <c r="O3278" t="n">
        <v>0</v>
      </c>
      <c r="P3278" t="n">
        <v>0</v>
      </c>
      <c r="Q3278" t="n">
        <v>0</v>
      </c>
      <c r="R3278" s="2" t="inlineStr"/>
    </row>
    <row r="3279" ht="15" customHeight="1">
      <c r="A3279" t="inlineStr">
        <is>
          <t>A 49686-2024</t>
        </is>
      </c>
      <c r="B3279" s="1" t="n">
        <v>45596</v>
      </c>
      <c r="C3279" s="1" t="n">
        <v>45734</v>
      </c>
      <c r="D3279" t="inlineStr">
        <is>
          <t>JÄMTLANDS LÄN</t>
        </is>
      </c>
      <c r="E3279" t="inlineStr">
        <is>
          <t>STRÖMSUND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49566-2024</t>
        </is>
      </c>
      <c r="B3280" s="1" t="n">
        <v>45596</v>
      </c>
      <c r="C3280" s="1" t="n">
        <v>45734</v>
      </c>
      <c r="D3280" t="inlineStr">
        <is>
          <t>JÄMTLANDS LÄN</t>
        </is>
      </c>
      <c r="E3280" t="inlineStr">
        <is>
          <t>STRÖMSUND</t>
        </is>
      </c>
      <c r="F3280" t="inlineStr">
        <is>
          <t>SCA</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49732-2024</t>
        </is>
      </c>
      <c r="B3281" s="1" t="n">
        <v>45596</v>
      </c>
      <c r="C3281" s="1" t="n">
        <v>45734</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49547-2024</t>
        </is>
      </c>
      <c r="B3282" s="1" t="n">
        <v>45596</v>
      </c>
      <c r="C3282" s="1" t="n">
        <v>45734</v>
      </c>
      <c r="D3282" t="inlineStr">
        <is>
          <t>JÄMTLANDS LÄN</t>
        </is>
      </c>
      <c r="E3282" t="inlineStr">
        <is>
          <t>STRÖMSUND</t>
        </is>
      </c>
      <c r="F3282" t="inlineStr">
        <is>
          <t>SCA</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49898-2024</t>
        </is>
      </c>
      <c r="B3283" s="1" t="n">
        <v>45597</v>
      </c>
      <c r="C3283" s="1" t="n">
        <v>45734</v>
      </c>
      <c r="D3283" t="inlineStr">
        <is>
          <t>JÄMTLANDS LÄN</t>
        </is>
      </c>
      <c r="E3283" t="inlineStr">
        <is>
          <t>STRÖMSUND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49940-2024</t>
        </is>
      </c>
      <c r="B3284" s="1" t="n">
        <v>45597</v>
      </c>
      <c r="C3284" s="1" t="n">
        <v>45734</v>
      </c>
      <c r="D3284" t="inlineStr">
        <is>
          <t>JÄMTLANDS LÄN</t>
        </is>
      </c>
      <c r="E3284" t="inlineStr">
        <is>
          <t>STRÖMSUND</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50031-2024</t>
        </is>
      </c>
      <c r="B3285" s="1" t="n">
        <v>45599</v>
      </c>
      <c r="C3285" s="1" t="n">
        <v>45734</v>
      </c>
      <c r="D3285" t="inlineStr">
        <is>
          <t>JÄMTLANDS LÄN</t>
        </is>
      </c>
      <c r="E3285" t="inlineStr">
        <is>
          <t>STRÖMSUND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50108-2024</t>
        </is>
      </c>
      <c r="B3286" s="1" t="n">
        <v>45600</v>
      </c>
      <c r="C3286" s="1" t="n">
        <v>45734</v>
      </c>
      <c r="D3286" t="inlineStr">
        <is>
          <t>JÄMTLANDS LÄN</t>
        </is>
      </c>
      <c r="E3286" t="inlineStr">
        <is>
          <t>STRÖMSUND</t>
        </is>
      </c>
      <c r="F3286" t="inlineStr">
        <is>
          <t>SCA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50143-2024</t>
        </is>
      </c>
      <c r="B3287" s="1" t="n">
        <v>45600</v>
      </c>
      <c r="C3287" s="1" t="n">
        <v>45734</v>
      </c>
      <c r="D3287" t="inlineStr">
        <is>
          <t>JÄMTLANDS LÄN</t>
        </is>
      </c>
      <c r="E3287" t="inlineStr">
        <is>
          <t>STRÖMSUND</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50140-2024</t>
        </is>
      </c>
      <c r="B3288" s="1" t="n">
        <v>45600</v>
      </c>
      <c r="C3288" s="1" t="n">
        <v>45734</v>
      </c>
      <c r="D3288" t="inlineStr">
        <is>
          <t>JÄMTLANDS LÄN</t>
        </is>
      </c>
      <c r="E3288" t="inlineStr">
        <is>
          <t>STRÖMSUND</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50141-2024</t>
        </is>
      </c>
      <c r="B3289" s="1" t="n">
        <v>45600</v>
      </c>
      <c r="C3289" s="1" t="n">
        <v>45734</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50142-2024</t>
        </is>
      </c>
      <c r="B3290" s="1" t="n">
        <v>45600</v>
      </c>
      <c r="C3290" s="1" t="n">
        <v>45734</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50638-2024</t>
        </is>
      </c>
      <c r="B3291" s="1" t="n">
        <v>45601</v>
      </c>
      <c r="C3291" s="1" t="n">
        <v>45734</v>
      </c>
      <c r="D3291" t="inlineStr">
        <is>
          <t>JÄMTLANDS LÄN</t>
        </is>
      </c>
      <c r="E3291" t="inlineStr">
        <is>
          <t>STRÖMSUND</t>
        </is>
      </c>
      <c r="F3291" t="inlineStr">
        <is>
          <t>SCA</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50445-2024</t>
        </is>
      </c>
      <c r="B3292" s="1" t="n">
        <v>45601</v>
      </c>
      <c r="C3292" s="1" t="n">
        <v>45734</v>
      </c>
      <c r="D3292" t="inlineStr">
        <is>
          <t>JÄMTLANDS LÄN</t>
        </is>
      </c>
      <c r="E3292" t="inlineStr">
        <is>
          <t>STRÖMSUND</t>
        </is>
      </c>
      <c r="G3292" t="n">
        <v>17.3</v>
      </c>
      <c r="H3292" t="n">
        <v>0</v>
      </c>
      <c r="I3292" t="n">
        <v>0</v>
      </c>
      <c r="J3292" t="n">
        <v>0</v>
      </c>
      <c r="K3292" t="n">
        <v>0</v>
      </c>
      <c r="L3292" t="n">
        <v>0</v>
      </c>
      <c r="M3292" t="n">
        <v>0</v>
      </c>
      <c r="N3292" t="n">
        <v>0</v>
      </c>
      <c r="O3292" t="n">
        <v>0</v>
      </c>
      <c r="P3292" t="n">
        <v>0</v>
      </c>
      <c r="Q3292" t="n">
        <v>0</v>
      </c>
      <c r="R3292" s="2" t="inlineStr"/>
    </row>
    <row r="3293" ht="15" customHeight="1">
      <c r="A3293" t="inlineStr">
        <is>
          <t>A 51056-2024</t>
        </is>
      </c>
      <c r="B3293" s="1" t="n">
        <v>45603</v>
      </c>
      <c r="C3293" s="1" t="n">
        <v>45734</v>
      </c>
      <c r="D3293" t="inlineStr">
        <is>
          <t>JÄMTLANDS LÄN</t>
        </is>
      </c>
      <c r="E3293" t="inlineStr">
        <is>
          <t>STRÖMSUND</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51154-2024</t>
        </is>
      </c>
      <c r="B3294" s="1" t="n">
        <v>45603</v>
      </c>
      <c r="C3294" s="1" t="n">
        <v>45734</v>
      </c>
      <c r="D3294" t="inlineStr">
        <is>
          <t>JÄMTLANDS LÄN</t>
        </is>
      </c>
      <c r="E3294" t="inlineStr">
        <is>
          <t>STRÖMSUND</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51404-2024</t>
        </is>
      </c>
      <c r="B3295" s="1" t="n">
        <v>45604</v>
      </c>
      <c r="C3295" s="1" t="n">
        <v>45734</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51432-2024</t>
        </is>
      </c>
      <c r="B3296" s="1" t="n">
        <v>45604</v>
      </c>
      <c r="C3296" s="1" t="n">
        <v>45734</v>
      </c>
      <c r="D3296" t="inlineStr">
        <is>
          <t>JÄMTLANDS LÄN</t>
        </is>
      </c>
      <c r="E3296" t="inlineStr">
        <is>
          <t>STRÖMSUND</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51478-2024</t>
        </is>
      </c>
      <c r="B3297" s="1" t="n">
        <v>45604</v>
      </c>
      <c r="C3297" s="1" t="n">
        <v>45734</v>
      </c>
      <c r="D3297" t="inlineStr">
        <is>
          <t>JÄMTLANDS LÄN</t>
        </is>
      </c>
      <c r="E3297" t="inlineStr">
        <is>
          <t>STRÖMSUND</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51498-2024</t>
        </is>
      </c>
      <c r="B3298" s="1" t="n">
        <v>45604</v>
      </c>
      <c r="C3298" s="1" t="n">
        <v>45734</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51491-2024</t>
        </is>
      </c>
      <c r="B3299" s="1" t="n">
        <v>45604</v>
      </c>
      <c r="C3299" s="1" t="n">
        <v>45734</v>
      </c>
      <c r="D3299" t="inlineStr">
        <is>
          <t>JÄMTLANDS LÄN</t>
        </is>
      </c>
      <c r="E3299" t="inlineStr">
        <is>
          <t>STRÖMSUND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51585-2024</t>
        </is>
      </c>
      <c r="B3300" s="1" t="n">
        <v>45604</v>
      </c>
      <c r="C3300" s="1" t="n">
        <v>45734</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51593-2024</t>
        </is>
      </c>
      <c r="B3301" s="1" t="n">
        <v>45604</v>
      </c>
      <c r="C3301" s="1" t="n">
        <v>45734</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51606-2024</t>
        </is>
      </c>
      <c r="B3302" s="1" t="n">
        <v>45604</v>
      </c>
      <c r="C3302" s="1" t="n">
        <v>45734</v>
      </c>
      <c r="D3302" t="inlineStr">
        <is>
          <t>JÄMTLANDS LÄN</t>
        </is>
      </c>
      <c r="E3302" t="inlineStr">
        <is>
          <t>STRÖMSUND</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51943-2024</t>
        </is>
      </c>
      <c r="B3303" s="1" t="n">
        <v>45607</v>
      </c>
      <c r="C3303" s="1" t="n">
        <v>45734</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51685-2024</t>
        </is>
      </c>
      <c r="B3304" s="1" t="n">
        <v>45607</v>
      </c>
      <c r="C3304" s="1" t="n">
        <v>45734</v>
      </c>
      <c r="D3304" t="inlineStr">
        <is>
          <t>JÄMTLANDS LÄN</t>
        </is>
      </c>
      <c r="E3304" t="inlineStr">
        <is>
          <t>STRÖMSUND</t>
        </is>
      </c>
      <c r="F3304" t="inlineStr">
        <is>
          <t>SCA</t>
        </is>
      </c>
      <c r="G3304" t="n">
        <v>53.5</v>
      </c>
      <c r="H3304" t="n">
        <v>0</v>
      </c>
      <c r="I3304" t="n">
        <v>0</v>
      </c>
      <c r="J3304" t="n">
        <v>0</v>
      </c>
      <c r="K3304" t="n">
        <v>0</v>
      </c>
      <c r="L3304" t="n">
        <v>0</v>
      </c>
      <c r="M3304" t="n">
        <v>0</v>
      </c>
      <c r="N3304" t="n">
        <v>0</v>
      </c>
      <c r="O3304" t="n">
        <v>0</v>
      </c>
      <c r="P3304" t="n">
        <v>0</v>
      </c>
      <c r="Q3304" t="n">
        <v>0</v>
      </c>
      <c r="R3304" s="2" t="inlineStr"/>
    </row>
    <row r="3305" ht="15" customHeight="1">
      <c r="A3305" t="inlineStr">
        <is>
          <t>A 51689-2024</t>
        </is>
      </c>
      <c r="B3305" s="1" t="n">
        <v>45607</v>
      </c>
      <c r="C3305" s="1" t="n">
        <v>45734</v>
      </c>
      <c r="D3305" t="inlineStr">
        <is>
          <t>JÄMTLANDS LÄN</t>
        </is>
      </c>
      <c r="E3305" t="inlineStr">
        <is>
          <t>STRÖMSUND</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51763-2024</t>
        </is>
      </c>
      <c r="B3306" s="1" t="n">
        <v>45607</v>
      </c>
      <c r="C3306" s="1" t="n">
        <v>45734</v>
      </c>
      <c r="D3306" t="inlineStr">
        <is>
          <t>JÄMTLANDS LÄN</t>
        </is>
      </c>
      <c r="E3306" t="inlineStr">
        <is>
          <t>STRÖMSUND</t>
        </is>
      </c>
      <c r="F3306" t="inlineStr">
        <is>
          <t>Kommuner</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51803-2024</t>
        </is>
      </c>
      <c r="B3307" s="1" t="n">
        <v>45607</v>
      </c>
      <c r="C3307" s="1" t="n">
        <v>45734</v>
      </c>
      <c r="D3307" t="inlineStr">
        <is>
          <t>JÄMTLANDS LÄN</t>
        </is>
      </c>
      <c r="E3307" t="inlineStr">
        <is>
          <t>STRÖMSUND</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51946-2024</t>
        </is>
      </c>
      <c r="B3308" s="1" t="n">
        <v>45607</v>
      </c>
      <c r="C3308" s="1" t="n">
        <v>45734</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51688-2024</t>
        </is>
      </c>
      <c r="B3309" s="1" t="n">
        <v>45607</v>
      </c>
      <c r="C3309" s="1" t="n">
        <v>45734</v>
      </c>
      <c r="D3309" t="inlineStr">
        <is>
          <t>JÄMTLANDS LÄN</t>
        </is>
      </c>
      <c r="E3309" t="inlineStr">
        <is>
          <t>STRÖMSUND</t>
        </is>
      </c>
      <c r="F3309" t="inlineStr">
        <is>
          <t>SCA</t>
        </is>
      </c>
      <c r="G3309" t="n">
        <v>36.3</v>
      </c>
      <c r="H3309" t="n">
        <v>0</v>
      </c>
      <c r="I3309" t="n">
        <v>0</v>
      </c>
      <c r="J3309" t="n">
        <v>0</v>
      </c>
      <c r="K3309" t="n">
        <v>0</v>
      </c>
      <c r="L3309" t="n">
        <v>0</v>
      </c>
      <c r="M3309" t="n">
        <v>0</v>
      </c>
      <c r="N3309" t="n">
        <v>0</v>
      </c>
      <c r="O3309" t="n">
        <v>0</v>
      </c>
      <c r="P3309" t="n">
        <v>0</v>
      </c>
      <c r="Q3309" t="n">
        <v>0</v>
      </c>
      <c r="R3309" s="2" t="inlineStr"/>
    </row>
    <row r="3310" ht="15" customHeight="1">
      <c r="A3310" t="inlineStr">
        <is>
          <t>A 51696-2024</t>
        </is>
      </c>
      <c r="B3310" s="1" t="n">
        <v>45607</v>
      </c>
      <c r="C3310" s="1" t="n">
        <v>45734</v>
      </c>
      <c r="D3310" t="inlineStr">
        <is>
          <t>JÄMTLANDS LÄN</t>
        </is>
      </c>
      <c r="E3310" t="inlineStr">
        <is>
          <t>STRÖMSUND</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51941-2024</t>
        </is>
      </c>
      <c r="B3311" s="1" t="n">
        <v>45607</v>
      </c>
      <c r="C3311" s="1" t="n">
        <v>45734</v>
      </c>
      <c r="D3311" t="inlineStr">
        <is>
          <t>JÄMTLANDS LÄN</t>
        </is>
      </c>
      <c r="E3311" t="inlineStr">
        <is>
          <t>STRÖMSUND</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51838-2024</t>
        </is>
      </c>
      <c r="B3312" s="1" t="n">
        <v>45607</v>
      </c>
      <c r="C3312" s="1" t="n">
        <v>45734</v>
      </c>
      <c r="D3312" t="inlineStr">
        <is>
          <t>JÄMTLANDS LÄN</t>
        </is>
      </c>
      <c r="E3312" t="inlineStr">
        <is>
          <t>STRÖMSUND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51757-2024</t>
        </is>
      </c>
      <c r="B3313" s="1" t="n">
        <v>45607</v>
      </c>
      <c r="C3313" s="1" t="n">
        <v>45734</v>
      </c>
      <c r="D3313" t="inlineStr">
        <is>
          <t>JÄMTLANDS LÄN</t>
        </is>
      </c>
      <c r="E3313" t="inlineStr">
        <is>
          <t>STRÖMSUND</t>
        </is>
      </c>
      <c r="F3313" t="inlineStr">
        <is>
          <t>Kommuner</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51739-2024</t>
        </is>
      </c>
      <c r="B3314" s="1" t="n">
        <v>45607</v>
      </c>
      <c r="C3314" s="1" t="n">
        <v>45734</v>
      </c>
      <c r="D3314" t="inlineStr">
        <is>
          <t>JÄMTLANDS LÄN</t>
        </is>
      </c>
      <c r="E3314" t="inlineStr">
        <is>
          <t>STRÖMSUND</t>
        </is>
      </c>
      <c r="F3314" t="inlineStr">
        <is>
          <t>SCA</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51691-2024</t>
        </is>
      </c>
      <c r="B3315" s="1" t="n">
        <v>45607</v>
      </c>
      <c r="C3315" s="1" t="n">
        <v>45734</v>
      </c>
      <c r="D3315" t="inlineStr">
        <is>
          <t>JÄMTLANDS LÄN</t>
        </is>
      </c>
      <c r="E3315" t="inlineStr">
        <is>
          <t>STRÖMSUND</t>
        </is>
      </c>
      <c r="F3315" t="inlineStr">
        <is>
          <t>SCA</t>
        </is>
      </c>
      <c r="G3315" t="n">
        <v>35.8</v>
      </c>
      <c r="H3315" t="n">
        <v>0</v>
      </c>
      <c r="I3315" t="n">
        <v>0</v>
      </c>
      <c r="J3315" t="n">
        <v>0</v>
      </c>
      <c r="K3315" t="n">
        <v>0</v>
      </c>
      <c r="L3315" t="n">
        <v>0</v>
      </c>
      <c r="M3315" t="n">
        <v>0</v>
      </c>
      <c r="N3315" t="n">
        <v>0</v>
      </c>
      <c r="O3315" t="n">
        <v>0</v>
      </c>
      <c r="P3315" t="n">
        <v>0</v>
      </c>
      <c r="Q3315" t="n">
        <v>0</v>
      </c>
      <c r="R3315" s="2" t="inlineStr"/>
    </row>
    <row r="3316" ht="15" customHeight="1">
      <c r="A3316" t="inlineStr">
        <is>
          <t>A 51687-2024</t>
        </is>
      </c>
      <c r="B3316" s="1" t="n">
        <v>45607</v>
      </c>
      <c r="C3316" s="1" t="n">
        <v>45734</v>
      </c>
      <c r="D3316" t="inlineStr">
        <is>
          <t>JÄMTLANDS LÄN</t>
        </is>
      </c>
      <c r="E3316" t="inlineStr">
        <is>
          <t>STRÖMSUND</t>
        </is>
      </c>
      <c r="F3316" t="inlineStr">
        <is>
          <t>SCA</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51694-2024</t>
        </is>
      </c>
      <c r="B3317" s="1" t="n">
        <v>45607</v>
      </c>
      <c r="C3317" s="1" t="n">
        <v>45734</v>
      </c>
      <c r="D3317" t="inlineStr">
        <is>
          <t>JÄMTLANDS LÄN</t>
        </is>
      </c>
      <c r="E3317" t="inlineStr">
        <is>
          <t>STRÖMSUND</t>
        </is>
      </c>
      <c r="F3317" t="inlineStr">
        <is>
          <t>SCA</t>
        </is>
      </c>
      <c r="G3317" t="n">
        <v>82.7</v>
      </c>
      <c r="H3317" t="n">
        <v>0</v>
      </c>
      <c r="I3317" t="n">
        <v>0</v>
      </c>
      <c r="J3317" t="n">
        <v>0</v>
      </c>
      <c r="K3317" t="n">
        <v>0</v>
      </c>
      <c r="L3317" t="n">
        <v>0</v>
      </c>
      <c r="M3317" t="n">
        <v>0</v>
      </c>
      <c r="N3317" t="n">
        <v>0</v>
      </c>
      <c r="O3317" t="n">
        <v>0</v>
      </c>
      <c r="P3317" t="n">
        <v>0</v>
      </c>
      <c r="Q3317" t="n">
        <v>0</v>
      </c>
      <c r="R3317" s="2" t="inlineStr"/>
    </row>
    <row r="3318" ht="15" customHeight="1">
      <c r="A3318" t="inlineStr">
        <is>
          <t>A 51690-2024</t>
        </is>
      </c>
      <c r="B3318" s="1" t="n">
        <v>45607</v>
      </c>
      <c r="C3318" s="1" t="n">
        <v>45734</v>
      </c>
      <c r="D3318" t="inlineStr">
        <is>
          <t>JÄMTLANDS LÄN</t>
        </is>
      </c>
      <c r="E3318" t="inlineStr">
        <is>
          <t>STRÖMSUND</t>
        </is>
      </c>
      <c r="F3318" t="inlineStr">
        <is>
          <t>SCA</t>
        </is>
      </c>
      <c r="G3318" t="n">
        <v>22.8</v>
      </c>
      <c r="H3318" t="n">
        <v>0</v>
      </c>
      <c r="I3318" t="n">
        <v>0</v>
      </c>
      <c r="J3318" t="n">
        <v>0</v>
      </c>
      <c r="K3318" t="n">
        <v>0</v>
      </c>
      <c r="L3318" t="n">
        <v>0</v>
      </c>
      <c r="M3318" t="n">
        <v>0</v>
      </c>
      <c r="N3318" t="n">
        <v>0</v>
      </c>
      <c r="O3318" t="n">
        <v>0</v>
      </c>
      <c r="P3318" t="n">
        <v>0</v>
      </c>
      <c r="Q3318" t="n">
        <v>0</v>
      </c>
      <c r="R3318" s="2" t="inlineStr"/>
    </row>
    <row r="3319" ht="15" customHeight="1">
      <c r="A3319" t="inlineStr">
        <is>
          <t>A 51686-2024</t>
        </is>
      </c>
      <c r="B3319" s="1" t="n">
        <v>45607</v>
      </c>
      <c r="C3319" s="1" t="n">
        <v>45734</v>
      </c>
      <c r="D3319" t="inlineStr">
        <is>
          <t>JÄMTLANDS LÄN</t>
        </is>
      </c>
      <c r="E3319" t="inlineStr">
        <is>
          <t>STRÖMSUND</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52158-2024</t>
        </is>
      </c>
      <c r="B3320" s="1" t="n">
        <v>45608</v>
      </c>
      <c r="C3320" s="1" t="n">
        <v>45734</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v>
      </c>
      <c r="C3321" s="1" t="n">
        <v>45734</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52151-2024</t>
        </is>
      </c>
      <c r="B3322" s="1" t="n">
        <v>45608</v>
      </c>
      <c r="C3322" s="1" t="n">
        <v>45734</v>
      </c>
      <c r="D3322" t="inlineStr">
        <is>
          <t>JÄMTLANDS LÄN</t>
        </is>
      </c>
      <c r="E3322" t="inlineStr">
        <is>
          <t>STRÖMSUND</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52147-2024</t>
        </is>
      </c>
      <c r="B3323" s="1" t="n">
        <v>45608</v>
      </c>
      <c r="C3323" s="1" t="n">
        <v>45734</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45734</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v>
      </c>
      <c r="C3325" s="1" t="n">
        <v>45734</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52199-2024</t>
        </is>
      </c>
      <c r="B3326" s="1" t="n">
        <v>45608</v>
      </c>
      <c r="C3326" s="1" t="n">
        <v>45734</v>
      </c>
      <c r="D3326" t="inlineStr">
        <is>
          <t>JÄMTLANDS LÄN</t>
        </is>
      </c>
      <c r="E3326" t="inlineStr">
        <is>
          <t>STRÖMSUND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52559-2024</t>
        </is>
      </c>
      <c r="B3327" s="1" t="n">
        <v>45609</v>
      </c>
      <c r="C3327" s="1" t="n">
        <v>45734</v>
      </c>
      <c r="D3327" t="inlineStr">
        <is>
          <t>JÄMTLANDS LÄN</t>
        </is>
      </c>
      <c r="E3327" t="inlineStr">
        <is>
          <t>STRÖMSUND</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52583-2024</t>
        </is>
      </c>
      <c r="B3328" s="1" t="n">
        <v>45609</v>
      </c>
      <c r="C3328" s="1" t="n">
        <v>45734</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52582-2024</t>
        </is>
      </c>
      <c r="B3329" s="1" t="n">
        <v>45609</v>
      </c>
      <c r="C3329" s="1" t="n">
        <v>45734</v>
      </c>
      <c r="D3329" t="inlineStr">
        <is>
          <t>JÄMTLANDS LÄN</t>
        </is>
      </c>
      <c r="E3329" t="inlineStr">
        <is>
          <t>STRÖMSUND</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52645-2024</t>
        </is>
      </c>
      <c r="B3330" s="1" t="n">
        <v>45610</v>
      </c>
      <c r="C3330" s="1" t="n">
        <v>45734</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52906-2024</t>
        </is>
      </c>
      <c r="B3331" s="1" t="n">
        <v>45610</v>
      </c>
      <c r="C3331" s="1" t="n">
        <v>45734</v>
      </c>
      <c r="D3331" t="inlineStr">
        <is>
          <t>JÄMTLANDS LÄN</t>
        </is>
      </c>
      <c r="E3331" t="inlineStr">
        <is>
          <t>STRÖMSUND</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53132-2024</t>
        </is>
      </c>
      <c r="B3332" s="1" t="n">
        <v>45611</v>
      </c>
      <c r="C3332" s="1" t="n">
        <v>45734</v>
      </c>
      <c r="D3332" t="inlineStr">
        <is>
          <t>JÄMTLANDS LÄN</t>
        </is>
      </c>
      <c r="E3332" t="inlineStr">
        <is>
          <t>STRÖMSUND</t>
        </is>
      </c>
      <c r="F3332" t="inlineStr">
        <is>
          <t>SCA</t>
        </is>
      </c>
      <c r="G3332" t="n">
        <v>29.2</v>
      </c>
      <c r="H3332" t="n">
        <v>0</v>
      </c>
      <c r="I3332" t="n">
        <v>0</v>
      </c>
      <c r="J3332" t="n">
        <v>0</v>
      </c>
      <c r="K3332" t="n">
        <v>0</v>
      </c>
      <c r="L3332" t="n">
        <v>0</v>
      </c>
      <c r="M3332" t="n">
        <v>0</v>
      </c>
      <c r="N3332" t="n">
        <v>0</v>
      </c>
      <c r="O3332" t="n">
        <v>0</v>
      </c>
      <c r="P3332" t="n">
        <v>0</v>
      </c>
      <c r="Q3332" t="n">
        <v>0</v>
      </c>
      <c r="R3332" s="2" t="inlineStr"/>
    </row>
    <row r="3333" ht="15" customHeight="1">
      <c r="A3333" t="inlineStr">
        <is>
          <t>A 53131-2024</t>
        </is>
      </c>
      <c r="B3333" s="1" t="n">
        <v>45611</v>
      </c>
      <c r="C3333" s="1" t="n">
        <v>45734</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53219-2024</t>
        </is>
      </c>
      <c r="B3334" s="1" t="n">
        <v>45612</v>
      </c>
      <c r="C3334" s="1" t="n">
        <v>45734</v>
      </c>
      <c r="D3334" t="inlineStr">
        <is>
          <t>JÄMTLANDS LÄN</t>
        </is>
      </c>
      <c r="E3334" t="inlineStr">
        <is>
          <t>STRÖMSUND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53216-2024</t>
        </is>
      </c>
      <c r="B3335" s="1" t="n">
        <v>45612</v>
      </c>
      <c r="C3335" s="1" t="n">
        <v>45734</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53218-2024</t>
        </is>
      </c>
      <c r="B3336" s="1" t="n">
        <v>45612</v>
      </c>
      <c r="C3336" s="1" t="n">
        <v>45734</v>
      </c>
      <c r="D3336" t="inlineStr">
        <is>
          <t>JÄMTLANDS LÄN</t>
        </is>
      </c>
      <c r="E3336" t="inlineStr">
        <is>
          <t>STRÖMSUND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53217-2024</t>
        </is>
      </c>
      <c r="B3337" s="1" t="n">
        <v>45612</v>
      </c>
      <c r="C3337" s="1" t="n">
        <v>45734</v>
      </c>
      <c r="D3337" t="inlineStr">
        <is>
          <t>JÄMTLANDS LÄN</t>
        </is>
      </c>
      <c r="E3337" t="inlineStr">
        <is>
          <t>STRÖMSUND</t>
        </is>
      </c>
      <c r="G3337" t="n">
        <v>27.9</v>
      </c>
      <c r="H3337" t="n">
        <v>0</v>
      </c>
      <c r="I3337" t="n">
        <v>0</v>
      </c>
      <c r="J3337" t="n">
        <v>0</v>
      </c>
      <c r="K3337" t="n">
        <v>0</v>
      </c>
      <c r="L3337" t="n">
        <v>0</v>
      </c>
      <c r="M3337" t="n">
        <v>0</v>
      </c>
      <c r="N3337" t="n">
        <v>0</v>
      </c>
      <c r="O3337" t="n">
        <v>0</v>
      </c>
      <c r="P3337" t="n">
        <v>0</v>
      </c>
      <c r="Q3337" t="n">
        <v>0</v>
      </c>
      <c r="R3337" s="2" t="inlineStr"/>
    </row>
    <row r="3338" ht="15" customHeight="1">
      <c r="A3338" t="inlineStr">
        <is>
          <t>A 53240-2024</t>
        </is>
      </c>
      <c r="B3338" s="1" t="n">
        <v>45613</v>
      </c>
      <c r="C3338" s="1" t="n">
        <v>45734</v>
      </c>
      <c r="D3338" t="inlineStr">
        <is>
          <t>JÄMTLANDS LÄN</t>
        </is>
      </c>
      <c r="E3338" t="inlineStr">
        <is>
          <t>STRÖMSUND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53241-2024</t>
        </is>
      </c>
      <c r="B3339" s="1" t="n">
        <v>45613</v>
      </c>
      <c r="C3339" s="1" t="n">
        <v>45734</v>
      </c>
      <c r="D3339" t="inlineStr">
        <is>
          <t>JÄMTLANDS LÄN</t>
        </is>
      </c>
      <c r="E3339" t="inlineStr">
        <is>
          <t>STRÖMSUND</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53609-2024</t>
        </is>
      </c>
      <c r="B3340" s="1" t="n">
        <v>45614</v>
      </c>
      <c r="C3340" s="1" t="n">
        <v>45734</v>
      </c>
      <c r="D3340" t="inlineStr">
        <is>
          <t>JÄMTLANDS LÄN</t>
        </is>
      </c>
      <c r="E3340" t="inlineStr">
        <is>
          <t>STRÖMSUND</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53328-2024</t>
        </is>
      </c>
      <c r="B3341" s="1" t="n">
        <v>45614</v>
      </c>
      <c r="C3341" s="1" t="n">
        <v>45734</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53795-2024</t>
        </is>
      </c>
      <c r="B3342" s="1" t="n">
        <v>45615</v>
      </c>
      <c r="C3342" s="1" t="n">
        <v>45734</v>
      </c>
      <c r="D3342" t="inlineStr">
        <is>
          <t>JÄMTLANDS LÄN</t>
        </is>
      </c>
      <c r="E3342" t="inlineStr">
        <is>
          <t>STRÖMSUND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53833-2024</t>
        </is>
      </c>
      <c r="B3343" s="1" t="n">
        <v>45615</v>
      </c>
      <c r="C3343" s="1" t="n">
        <v>45734</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53809-2024</t>
        </is>
      </c>
      <c r="B3344" s="1" t="n">
        <v>45615</v>
      </c>
      <c r="C3344" s="1" t="n">
        <v>45734</v>
      </c>
      <c r="D3344" t="inlineStr">
        <is>
          <t>JÄMTLANDS LÄN</t>
        </is>
      </c>
      <c r="E3344" t="inlineStr">
        <is>
          <t>STRÖMSUND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53817-2024</t>
        </is>
      </c>
      <c r="B3345" s="1" t="n">
        <v>45615</v>
      </c>
      <c r="C3345" s="1" t="n">
        <v>45734</v>
      </c>
      <c r="D3345" t="inlineStr">
        <is>
          <t>JÄMTLANDS LÄN</t>
        </is>
      </c>
      <c r="E3345" t="inlineStr">
        <is>
          <t>STRÖMSUND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53865-2024</t>
        </is>
      </c>
      <c r="B3346" s="1" t="n">
        <v>45615</v>
      </c>
      <c r="C3346" s="1" t="n">
        <v>45734</v>
      </c>
      <c r="D3346" t="inlineStr">
        <is>
          <t>JÄMTLANDS LÄN</t>
        </is>
      </c>
      <c r="E3346" t="inlineStr">
        <is>
          <t>STRÖMSUND</t>
        </is>
      </c>
      <c r="G3346" t="n">
        <v>16.4</v>
      </c>
      <c r="H3346" t="n">
        <v>0</v>
      </c>
      <c r="I3346" t="n">
        <v>0</v>
      </c>
      <c r="J3346" t="n">
        <v>0</v>
      </c>
      <c r="K3346" t="n">
        <v>0</v>
      </c>
      <c r="L3346" t="n">
        <v>0</v>
      </c>
      <c r="M3346" t="n">
        <v>0</v>
      </c>
      <c r="N3346" t="n">
        <v>0</v>
      </c>
      <c r="O3346" t="n">
        <v>0</v>
      </c>
      <c r="P3346" t="n">
        <v>0</v>
      </c>
      <c r="Q3346" t="n">
        <v>0</v>
      </c>
      <c r="R3346" s="2" t="inlineStr"/>
    </row>
    <row r="3347" ht="15" customHeight="1">
      <c r="A3347" t="inlineStr">
        <is>
          <t>A 53885-2024</t>
        </is>
      </c>
      <c r="B3347" s="1" t="n">
        <v>45615</v>
      </c>
      <c r="C3347" s="1" t="n">
        <v>45734</v>
      </c>
      <c r="D3347" t="inlineStr">
        <is>
          <t>JÄMTLANDS LÄN</t>
        </is>
      </c>
      <c r="E3347" t="inlineStr">
        <is>
          <t>STRÖMSUND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53886-2024</t>
        </is>
      </c>
      <c r="B3348" s="1" t="n">
        <v>45615</v>
      </c>
      <c r="C3348" s="1" t="n">
        <v>45734</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53873-2024</t>
        </is>
      </c>
      <c r="B3349" s="1" t="n">
        <v>45615</v>
      </c>
      <c r="C3349" s="1" t="n">
        <v>45734</v>
      </c>
      <c r="D3349" t="inlineStr">
        <is>
          <t>JÄMTLANDS LÄN</t>
        </is>
      </c>
      <c r="E3349" t="inlineStr">
        <is>
          <t>STRÖMSUND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53884-2024</t>
        </is>
      </c>
      <c r="B3350" s="1" t="n">
        <v>45615</v>
      </c>
      <c r="C3350" s="1" t="n">
        <v>45734</v>
      </c>
      <c r="D3350" t="inlineStr">
        <is>
          <t>JÄMTLANDS LÄN</t>
        </is>
      </c>
      <c r="E3350" t="inlineStr">
        <is>
          <t>STRÖMSUND</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53894-2024</t>
        </is>
      </c>
      <c r="B3351" s="1" t="n">
        <v>45615</v>
      </c>
      <c r="C3351" s="1" t="n">
        <v>45734</v>
      </c>
      <c r="D3351" t="inlineStr">
        <is>
          <t>JÄMTLANDS LÄN</t>
        </is>
      </c>
      <c r="E3351" t="inlineStr">
        <is>
          <t>STRÖMSUND</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54178-2024</t>
        </is>
      </c>
      <c r="B3352" s="1" t="n">
        <v>45616</v>
      </c>
      <c r="C3352" s="1" t="n">
        <v>45734</v>
      </c>
      <c r="D3352" t="inlineStr">
        <is>
          <t>JÄMTLANDS LÄN</t>
        </is>
      </c>
      <c r="E3352" t="inlineStr">
        <is>
          <t>STRÖMSUND</t>
        </is>
      </c>
      <c r="F3352" t="inlineStr">
        <is>
          <t>SCA</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54262-2024</t>
        </is>
      </c>
      <c r="B3353" s="1" t="n">
        <v>45616</v>
      </c>
      <c r="C3353" s="1" t="n">
        <v>45734</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54389-2024</t>
        </is>
      </c>
      <c r="B3354" s="1" t="n">
        <v>45617</v>
      </c>
      <c r="C3354" s="1" t="n">
        <v>45734</v>
      </c>
      <c r="D3354" t="inlineStr">
        <is>
          <t>JÄMTLANDS LÄN</t>
        </is>
      </c>
      <c r="E3354" t="inlineStr">
        <is>
          <t>STRÖMSUND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54320-2024</t>
        </is>
      </c>
      <c r="B3355" s="1" t="n">
        <v>45617</v>
      </c>
      <c r="C3355" s="1" t="n">
        <v>45734</v>
      </c>
      <c r="D3355" t="inlineStr">
        <is>
          <t>JÄMTLANDS LÄN</t>
        </is>
      </c>
      <c r="E3355" t="inlineStr">
        <is>
          <t>STRÖMSUND</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54763-2024</t>
        </is>
      </c>
      <c r="B3356" s="1" t="n">
        <v>45618</v>
      </c>
      <c r="C3356" s="1" t="n">
        <v>45734</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54805-2024</t>
        </is>
      </c>
      <c r="B3357" s="1" t="n">
        <v>45618</v>
      </c>
      <c r="C3357" s="1" t="n">
        <v>45734</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54945-2024</t>
        </is>
      </c>
      <c r="B3358" s="1" t="n">
        <v>45619</v>
      </c>
      <c r="C3358" s="1" t="n">
        <v>45734</v>
      </c>
      <c r="D3358" t="inlineStr">
        <is>
          <t>JÄMTLANDS LÄN</t>
        </is>
      </c>
      <c r="E3358" t="inlineStr">
        <is>
          <t>STRÖMSUND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54966-2024</t>
        </is>
      </c>
      <c r="B3359" s="1" t="n">
        <v>45620</v>
      </c>
      <c r="C3359" s="1" t="n">
        <v>45734</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54964-2024</t>
        </is>
      </c>
      <c r="B3360" s="1" t="n">
        <v>45620</v>
      </c>
      <c r="C3360" s="1" t="n">
        <v>45734</v>
      </c>
      <c r="D3360" t="inlineStr">
        <is>
          <t>JÄMTLANDS LÄN</t>
        </is>
      </c>
      <c r="E3360" t="inlineStr">
        <is>
          <t>STRÖMSUND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54965-2024</t>
        </is>
      </c>
      <c r="B3361" s="1" t="n">
        <v>45620</v>
      </c>
      <c r="C3361" s="1" t="n">
        <v>45734</v>
      </c>
      <c r="D3361" t="inlineStr">
        <is>
          <t>JÄMTLANDS LÄN</t>
        </is>
      </c>
      <c r="E3361" t="inlineStr">
        <is>
          <t>STRÖMSUND</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55219-2024</t>
        </is>
      </c>
      <c r="B3362" s="1" t="n">
        <v>45621</v>
      </c>
      <c r="C3362" s="1" t="n">
        <v>45734</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55197-2024</t>
        </is>
      </c>
      <c r="B3363" s="1" t="n">
        <v>45621</v>
      </c>
      <c r="C3363" s="1" t="n">
        <v>45734</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55325-2024</t>
        </is>
      </c>
      <c r="B3364" s="1" t="n">
        <v>45621</v>
      </c>
      <c r="C3364" s="1" t="n">
        <v>45734</v>
      </c>
      <c r="D3364" t="inlineStr">
        <is>
          <t>JÄMTLANDS LÄN</t>
        </is>
      </c>
      <c r="E3364" t="inlineStr">
        <is>
          <t>STRÖMSUND</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55311-2024</t>
        </is>
      </c>
      <c r="B3365" s="1" t="n">
        <v>45621</v>
      </c>
      <c r="C3365" s="1" t="n">
        <v>45734</v>
      </c>
      <c r="D3365" t="inlineStr">
        <is>
          <t>JÄMTLANDS LÄN</t>
        </is>
      </c>
      <c r="E3365" t="inlineStr">
        <is>
          <t>STRÖMSUND</t>
        </is>
      </c>
      <c r="F3365" t="inlineStr">
        <is>
          <t>SCA</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55327-2024</t>
        </is>
      </c>
      <c r="B3366" s="1" t="n">
        <v>45621</v>
      </c>
      <c r="C3366" s="1" t="n">
        <v>45734</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55161-2024</t>
        </is>
      </c>
      <c r="B3367" s="1" t="n">
        <v>45621</v>
      </c>
      <c r="C3367" s="1" t="n">
        <v>45734</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55690-2024</t>
        </is>
      </c>
      <c r="B3368" s="1" t="n">
        <v>45622</v>
      </c>
      <c r="C3368" s="1" t="n">
        <v>45734</v>
      </c>
      <c r="D3368" t="inlineStr">
        <is>
          <t>JÄMTLANDS LÄN</t>
        </is>
      </c>
      <c r="E3368" t="inlineStr">
        <is>
          <t>STRÖMSUND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55675-2024</t>
        </is>
      </c>
      <c r="B3369" s="1" t="n">
        <v>45622</v>
      </c>
      <c r="C3369" s="1" t="n">
        <v>45734</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55942-2024</t>
        </is>
      </c>
      <c r="B3370" s="1" t="n">
        <v>45623</v>
      </c>
      <c r="C3370" s="1" t="n">
        <v>45734</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56255-2024</t>
        </is>
      </c>
      <c r="B3371" s="1" t="n">
        <v>45624</v>
      </c>
      <c r="C3371" s="1" t="n">
        <v>45734</v>
      </c>
      <c r="D3371" t="inlineStr">
        <is>
          <t>JÄMTLANDS LÄN</t>
        </is>
      </c>
      <c r="E3371" t="inlineStr">
        <is>
          <t>STRÖMSUND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56270-2024</t>
        </is>
      </c>
      <c r="B3372" s="1" t="n">
        <v>45624</v>
      </c>
      <c r="C3372" s="1" t="n">
        <v>45734</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56426-2024</t>
        </is>
      </c>
      <c r="B3373" s="1" t="n">
        <v>45624</v>
      </c>
      <c r="C3373" s="1" t="n">
        <v>45734</v>
      </c>
      <c r="D3373" t="inlineStr">
        <is>
          <t>JÄMTLANDS LÄN</t>
        </is>
      </c>
      <c r="E3373" t="inlineStr">
        <is>
          <t>STRÖMSUND</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56513-2024</t>
        </is>
      </c>
      <c r="B3374" s="1" t="n">
        <v>45625</v>
      </c>
      <c r="C3374" s="1" t="n">
        <v>45734</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56550-2024</t>
        </is>
      </c>
      <c r="B3375" s="1" t="n">
        <v>45625</v>
      </c>
      <c r="C3375" s="1" t="n">
        <v>45734</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56516-2024</t>
        </is>
      </c>
      <c r="B3376" s="1" t="n">
        <v>45625</v>
      </c>
      <c r="C3376" s="1" t="n">
        <v>45734</v>
      </c>
      <c r="D3376" t="inlineStr">
        <is>
          <t>JÄMTLANDS LÄN</t>
        </is>
      </c>
      <c r="E3376" t="inlineStr">
        <is>
          <t>STRÖMSUND</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56507-2024</t>
        </is>
      </c>
      <c r="B3377" s="1" t="n">
        <v>45625</v>
      </c>
      <c r="C3377" s="1" t="n">
        <v>45734</v>
      </c>
      <c r="D3377" t="inlineStr">
        <is>
          <t>JÄMTLANDS LÄN</t>
        </is>
      </c>
      <c r="E3377" t="inlineStr">
        <is>
          <t>STRÖMSUND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56514-2024</t>
        </is>
      </c>
      <c r="B3378" s="1" t="n">
        <v>45625</v>
      </c>
      <c r="C3378" s="1" t="n">
        <v>45734</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56678-2024</t>
        </is>
      </c>
      <c r="B3379" s="1" t="n">
        <v>45627</v>
      </c>
      <c r="C3379" s="1" t="n">
        <v>45734</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56997-2024</t>
        </is>
      </c>
      <c r="B3380" s="1" t="n">
        <v>45628</v>
      </c>
      <c r="C3380" s="1" t="n">
        <v>45734</v>
      </c>
      <c r="D3380" t="inlineStr">
        <is>
          <t>JÄMTLANDS LÄN</t>
        </is>
      </c>
      <c r="E3380" t="inlineStr">
        <is>
          <t>STRÖMSUND</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57250-2024</t>
        </is>
      </c>
      <c r="B3381" s="1" t="n">
        <v>45628</v>
      </c>
      <c r="C3381" s="1" t="n">
        <v>45734</v>
      </c>
      <c r="D3381" t="inlineStr">
        <is>
          <t>JÄMTLANDS LÄN</t>
        </is>
      </c>
      <c r="E3381" t="inlineStr">
        <is>
          <t>STRÖMSUND</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56961-2024</t>
        </is>
      </c>
      <c r="B3382" s="1" t="n">
        <v>45628</v>
      </c>
      <c r="C3382" s="1" t="n">
        <v>45734</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57258-2024</t>
        </is>
      </c>
      <c r="B3383" s="1" t="n">
        <v>45628</v>
      </c>
      <c r="C3383" s="1" t="n">
        <v>45734</v>
      </c>
      <c r="D3383" t="inlineStr">
        <is>
          <t>JÄMTLANDS LÄN</t>
        </is>
      </c>
      <c r="E3383" t="inlineStr">
        <is>
          <t>STRÖMSUND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57090-2024</t>
        </is>
      </c>
      <c r="B3384" s="1" t="n">
        <v>45629</v>
      </c>
      <c r="C3384" s="1" t="n">
        <v>45734</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57114-2024</t>
        </is>
      </c>
      <c r="B3385" s="1" t="n">
        <v>45629</v>
      </c>
      <c r="C3385" s="1" t="n">
        <v>45734</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57075-2024</t>
        </is>
      </c>
      <c r="B3386" s="1" t="n">
        <v>45629</v>
      </c>
      <c r="C3386" s="1" t="n">
        <v>45734</v>
      </c>
      <c r="D3386" t="inlineStr">
        <is>
          <t>JÄMTLANDS LÄN</t>
        </is>
      </c>
      <c r="E3386" t="inlineStr">
        <is>
          <t>STRÖMSUND</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57453-2024</t>
        </is>
      </c>
      <c r="B3387" s="1" t="n">
        <v>45630</v>
      </c>
      <c r="C3387" s="1" t="n">
        <v>45734</v>
      </c>
      <c r="D3387" t="inlineStr">
        <is>
          <t>JÄMTLANDS LÄN</t>
        </is>
      </c>
      <c r="E3387" t="inlineStr">
        <is>
          <t>STRÖMSUND</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57638-2024</t>
        </is>
      </c>
      <c r="B3388" s="1" t="n">
        <v>45630</v>
      </c>
      <c r="C3388" s="1" t="n">
        <v>45734</v>
      </c>
      <c r="D3388" t="inlineStr">
        <is>
          <t>JÄMTLANDS LÄN</t>
        </is>
      </c>
      <c r="E3388" t="inlineStr">
        <is>
          <t>STRÖMSUND</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57963-2024</t>
        </is>
      </c>
      <c r="B3389" s="1" t="n">
        <v>45631</v>
      </c>
      <c r="C3389" s="1" t="n">
        <v>45734</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58027-2024</t>
        </is>
      </c>
      <c r="B3390" s="1" t="n">
        <v>45631</v>
      </c>
      <c r="C3390" s="1" t="n">
        <v>45734</v>
      </c>
      <c r="D3390" t="inlineStr">
        <is>
          <t>JÄMTLANDS LÄN</t>
        </is>
      </c>
      <c r="E3390" t="inlineStr">
        <is>
          <t>STRÖMSUND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58206-2024</t>
        </is>
      </c>
      <c r="B3391" s="1" t="n">
        <v>45632</v>
      </c>
      <c r="C3391" s="1" t="n">
        <v>45734</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58393-2024</t>
        </is>
      </c>
      <c r="B3392" s="1" t="n">
        <v>45633</v>
      </c>
      <c r="C3392" s="1" t="n">
        <v>45734</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58392-2024</t>
        </is>
      </c>
      <c r="B3393" s="1" t="n">
        <v>45633</v>
      </c>
      <c r="C3393" s="1" t="n">
        <v>45734</v>
      </c>
      <c r="D3393" t="inlineStr">
        <is>
          <t>JÄMTLANDS LÄN</t>
        </is>
      </c>
      <c r="E3393" t="inlineStr">
        <is>
          <t>STRÖMSUND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58391-2024</t>
        </is>
      </c>
      <c r="B3394" s="1" t="n">
        <v>45633</v>
      </c>
      <c r="C3394" s="1" t="n">
        <v>45734</v>
      </c>
      <c r="D3394" t="inlineStr">
        <is>
          <t>JÄMTLANDS LÄN</t>
        </is>
      </c>
      <c r="E3394" t="inlineStr">
        <is>
          <t>STRÖMSUND</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58647-2024</t>
        </is>
      </c>
      <c r="B3395" s="1" t="n">
        <v>45635</v>
      </c>
      <c r="C3395" s="1" t="n">
        <v>45734</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58515-2024</t>
        </is>
      </c>
      <c r="B3396" s="1" t="n">
        <v>45635</v>
      </c>
      <c r="C3396" s="1" t="n">
        <v>45734</v>
      </c>
      <c r="D3396" t="inlineStr">
        <is>
          <t>JÄMTLANDS LÄN</t>
        </is>
      </c>
      <c r="E3396" t="inlineStr">
        <is>
          <t>STRÖMSUND</t>
        </is>
      </c>
      <c r="F3396" t="inlineStr">
        <is>
          <t>SCA</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58646-2024</t>
        </is>
      </c>
      <c r="B3397" s="1" t="n">
        <v>45635</v>
      </c>
      <c r="C3397" s="1" t="n">
        <v>45734</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58493-2024</t>
        </is>
      </c>
      <c r="B3398" s="1" t="n">
        <v>45635</v>
      </c>
      <c r="C3398" s="1" t="n">
        <v>45734</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58695-2024</t>
        </is>
      </c>
      <c r="B3399" s="1" t="n">
        <v>45635</v>
      </c>
      <c r="C3399" s="1" t="n">
        <v>45734</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58813-2024</t>
        </is>
      </c>
      <c r="B3400" s="1" t="n">
        <v>45636</v>
      </c>
      <c r="C3400" s="1" t="n">
        <v>45734</v>
      </c>
      <c r="D3400" t="inlineStr">
        <is>
          <t>JÄMTLANDS LÄN</t>
        </is>
      </c>
      <c r="E3400" t="inlineStr">
        <is>
          <t>STRÖMSUND</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58968-2024</t>
        </is>
      </c>
      <c r="B3401" s="1" t="n">
        <v>45636</v>
      </c>
      <c r="C3401" s="1" t="n">
        <v>45734</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58947-2024</t>
        </is>
      </c>
      <c r="B3402" s="1" t="n">
        <v>45636</v>
      </c>
      <c r="C3402" s="1" t="n">
        <v>45734</v>
      </c>
      <c r="D3402" t="inlineStr">
        <is>
          <t>JÄMTLANDS LÄN</t>
        </is>
      </c>
      <c r="E3402" t="inlineStr">
        <is>
          <t>STRÖMSUND</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59152-2024</t>
        </is>
      </c>
      <c r="B3403" s="1" t="n">
        <v>45637</v>
      </c>
      <c r="C3403" s="1" t="n">
        <v>45734</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59141-2024</t>
        </is>
      </c>
      <c r="B3404" s="1" t="n">
        <v>45637</v>
      </c>
      <c r="C3404" s="1" t="n">
        <v>45734</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59550-2024</t>
        </is>
      </c>
      <c r="B3405" s="1" t="n">
        <v>45638</v>
      </c>
      <c r="C3405" s="1" t="n">
        <v>45734</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59508-2024</t>
        </is>
      </c>
      <c r="B3406" s="1" t="n">
        <v>45638</v>
      </c>
      <c r="C3406" s="1" t="n">
        <v>45734</v>
      </c>
      <c r="D3406" t="inlineStr">
        <is>
          <t>JÄMTLANDS LÄN</t>
        </is>
      </c>
      <c r="E3406" t="inlineStr">
        <is>
          <t>STRÖMSUND</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59568-2024</t>
        </is>
      </c>
      <c r="B3407" s="1" t="n">
        <v>45638</v>
      </c>
      <c r="C3407" s="1" t="n">
        <v>45734</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59530-2024</t>
        </is>
      </c>
      <c r="B3408" s="1" t="n">
        <v>45638</v>
      </c>
      <c r="C3408" s="1" t="n">
        <v>45734</v>
      </c>
      <c r="D3408" t="inlineStr">
        <is>
          <t>JÄMTLANDS LÄN</t>
        </is>
      </c>
      <c r="E3408" t="inlineStr">
        <is>
          <t>STRÖMSUND</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59821-2024</t>
        </is>
      </c>
      <c r="B3409" s="1" t="n">
        <v>45639</v>
      </c>
      <c r="C3409" s="1" t="n">
        <v>45734</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59655-2024</t>
        </is>
      </c>
      <c r="B3410" s="1" t="n">
        <v>45639</v>
      </c>
      <c r="C3410" s="1" t="n">
        <v>45734</v>
      </c>
      <c r="D3410" t="inlineStr">
        <is>
          <t>JÄMTLANDS LÄN</t>
        </is>
      </c>
      <c r="E3410" t="inlineStr">
        <is>
          <t>STRÖMSUND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59742-2024</t>
        </is>
      </c>
      <c r="B3411" s="1" t="n">
        <v>45639</v>
      </c>
      <c r="C3411" s="1" t="n">
        <v>45734</v>
      </c>
      <c r="D3411" t="inlineStr">
        <is>
          <t>JÄMTLANDS LÄN</t>
        </is>
      </c>
      <c r="E3411" t="inlineStr">
        <is>
          <t>STRÖMSUND</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60171-2024</t>
        </is>
      </c>
      <c r="B3412" s="1" t="n">
        <v>45642</v>
      </c>
      <c r="C3412" s="1" t="n">
        <v>45734</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60170-2024</t>
        </is>
      </c>
      <c r="B3413" s="1" t="n">
        <v>45642</v>
      </c>
      <c r="C3413" s="1" t="n">
        <v>45734</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59986-2024</t>
        </is>
      </c>
      <c r="B3414" s="1" t="n">
        <v>45642</v>
      </c>
      <c r="C3414" s="1" t="n">
        <v>45734</v>
      </c>
      <c r="D3414" t="inlineStr">
        <is>
          <t>JÄMTLANDS LÄN</t>
        </is>
      </c>
      <c r="E3414" t="inlineStr">
        <is>
          <t>STRÖMSUND</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60053-2024</t>
        </is>
      </c>
      <c r="B3415" s="1" t="n">
        <v>45642</v>
      </c>
      <c r="C3415" s="1" t="n">
        <v>45734</v>
      </c>
      <c r="D3415" t="inlineStr">
        <is>
          <t>JÄMTLANDS LÄN</t>
        </is>
      </c>
      <c r="E3415" t="inlineStr">
        <is>
          <t>STRÖMSUND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60310-2024</t>
        </is>
      </c>
      <c r="B3416" s="1" t="n">
        <v>45643</v>
      </c>
      <c r="C3416" s="1" t="n">
        <v>45734</v>
      </c>
      <c r="D3416" t="inlineStr">
        <is>
          <t>JÄMTLANDS LÄN</t>
        </is>
      </c>
      <c r="E3416" t="inlineStr">
        <is>
          <t>STRÖMSUND</t>
        </is>
      </c>
      <c r="F3416" t="inlineStr">
        <is>
          <t>SCA</t>
        </is>
      </c>
      <c r="G3416" t="n">
        <v>15.6</v>
      </c>
      <c r="H3416" t="n">
        <v>0</v>
      </c>
      <c r="I3416" t="n">
        <v>0</v>
      </c>
      <c r="J3416" t="n">
        <v>0</v>
      </c>
      <c r="K3416" t="n">
        <v>0</v>
      </c>
      <c r="L3416" t="n">
        <v>0</v>
      </c>
      <c r="M3416" t="n">
        <v>0</v>
      </c>
      <c r="N3416" t="n">
        <v>0</v>
      </c>
      <c r="O3416" t="n">
        <v>0</v>
      </c>
      <c r="P3416" t="n">
        <v>0</v>
      </c>
      <c r="Q3416" t="n">
        <v>0</v>
      </c>
      <c r="R3416" s="2" t="inlineStr"/>
    </row>
    <row r="3417" ht="15" customHeight="1">
      <c r="A3417" t="inlineStr">
        <is>
          <t>A 60366-2024</t>
        </is>
      </c>
      <c r="B3417" s="1" t="n">
        <v>45643</v>
      </c>
      <c r="C3417" s="1" t="n">
        <v>45734</v>
      </c>
      <c r="D3417" t="inlineStr">
        <is>
          <t>JÄMTLANDS LÄN</t>
        </is>
      </c>
      <c r="E3417" t="inlineStr">
        <is>
          <t>STRÖMSUND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60791-2024</t>
        </is>
      </c>
      <c r="B3418" s="1" t="n">
        <v>45644</v>
      </c>
      <c r="C3418" s="1" t="n">
        <v>45734</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60800-2024</t>
        </is>
      </c>
      <c r="B3419" s="1" t="n">
        <v>45644</v>
      </c>
      <c r="C3419" s="1" t="n">
        <v>45734</v>
      </c>
      <c r="D3419" t="inlineStr">
        <is>
          <t>JÄMTLANDS LÄN</t>
        </is>
      </c>
      <c r="E3419" t="inlineStr">
        <is>
          <t>STRÖMSUND</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60917-2024</t>
        </is>
      </c>
      <c r="B3420" s="1" t="n">
        <v>45644</v>
      </c>
      <c r="C3420" s="1" t="n">
        <v>45734</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60911-2024</t>
        </is>
      </c>
      <c r="B3421" s="1" t="n">
        <v>45644</v>
      </c>
      <c r="C3421" s="1" t="n">
        <v>45734</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60905-2024</t>
        </is>
      </c>
      <c r="B3422" s="1" t="n">
        <v>45644</v>
      </c>
      <c r="C3422" s="1" t="n">
        <v>45734</v>
      </c>
      <c r="D3422" t="inlineStr">
        <is>
          <t>JÄMTLANDS LÄN</t>
        </is>
      </c>
      <c r="E3422" t="inlineStr">
        <is>
          <t>STRÖMSUND</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61015-2024</t>
        </is>
      </c>
      <c r="B3423" s="1" t="n">
        <v>45645</v>
      </c>
      <c r="C3423" s="1" t="n">
        <v>45734</v>
      </c>
      <c r="D3423" t="inlineStr">
        <is>
          <t>JÄMTLANDS LÄN</t>
        </is>
      </c>
      <c r="E3423" t="inlineStr">
        <is>
          <t>STRÖMSUND</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61163-2024</t>
        </is>
      </c>
      <c r="B3424" s="1" t="n">
        <v>45645</v>
      </c>
      <c r="C3424" s="1" t="n">
        <v>45734</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61481-2024</t>
        </is>
      </c>
      <c r="B3425" s="1" t="n">
        <v>45645</v>
      </c>
      <c r="C3425" s="1" t="n">
        <v>45734</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61160-2024</t>
        </is>
      </c>
      <c r="B3426" s="1" t="n">
        <v>45645</v>
      </c>
      <c r="C3426" s="1" t="n">
        <v>45734</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61475-2024</t>
        </is>
      </c>
      <c r="B3427" s="1" t="n">
        <v>45645</v>
      </c>
      <c r="C3427" s="1" t="n">
        <v>45734</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61402-2024</t>
        </is>
      </c>
      <c r="B3428" s="1" t="n">
        <v>45646</v>
      </c>
      <c r="C3428" s="1" t="n">
        <v>45734</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61540-2024</t>
        </is>
      </c>
      <c r="B3429" s="1" t="n">
        <v>45646</v>
      </c>
      <c r="C3429" s="1" t="n">
        <v>45734</v>
      </c>
      <c r="D3429" t="inlineStr">
        <is>
          <t>JÄMTLANDS LÄN</t>
        </is>
      </c>
      <c r="E3429" t="inlineStr">
        <is>
          <t>STRÖMSUND</t>
        </is>
      </c>
      <c r="F3429" t="inlineStr">
        <is>
          <t>SCA</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61538-2024</t>
        </is>
      </c>
      <c r="B3430" s="1" t="n">
        <v>45646</v>
      </c>
      <c r="C3430" s="1" t="n">
        <v>45734</v>
      </c>
      <c r="D3430" t="inlineStr">
        <is>
          <t>JÄMTLANDS LÄN</t>
        </is>
      </c>
      <c r="E3430" t="inlineStr">
        <is>
          <t>STRÖMSUND</t>
        </is>
      </c>
      <c r="F3430" t="inlineStr">
        <is>
          <t>SCA</t>
        </is>
      </c>
      <c r="G3430" t="n">
        <v>24.4</v>
      </c>
      <c r="H3430" t="n">
        <v>0</v>
      </c>
      <c r="I3430" t="n">
        <v>0</v>
      </c>
      <c r="J3430" t="n">
        <v>0</v>
      </c>
      <c r="K3430" t="n">
        <v>0</v>
      </c>
      <c r="L3430" t="n">
        <v>0</v>
      </c>
      <c r="M3430" t="n">
        <v>0</v>
      </c>
      <c r="N3430" t="n">
        <v>0</v>
      </c>
      <c r="O3430" t="n">
        <v>0</v>
      </c>
      <c r="P3430" t="n">
        <v>0</v>
      </c>
      <c r="Q3430" t="n">
        <v>0</v>
      </c>
      <c r="R3430" s="2" t="inlineStr"/>
    </row>
    <row r="3431" ht="15" customHeight="1">
      <c r="A3431" t="inlineStr">
        <is>
          <t>A 61365-2024</t>
        </is>
      </c>
      <c r="B3431" s="1" t="n">
        <v>45646</v>
      </c>
      <c r="C3431" s="1" t="n">
        <v>45734</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61539-2024</t>
        </is>
      </c>
      <c r="B3432" s="1" t="n">
        <v>45646</v>
      </c>
      <c r="C3432" s="1" t="n">
        <v>45734</v>
      </c>
      <c r="D3432" t="inlineStr">
        <is>
          <t>JÄMTLANDS LÄN</t>
        </is>
      </c>
      <c r="E3432" t="inlineStr">
        <is>
          <t>STRÖMSUND</t>
        </is>
      </c>
      <c r="F3432" t="inlineStr">
        <is>
          <t>SCA</t>
        </is>
      </c>
      <c r="G3432" t="n">
        <v>25.5</v>
      </c>
      <c r="H3432" t="n">
        <v>0</v>
      </c>
      <c r="I3432" t="n">
        <v>0</v>
      </c>
      <c r="J3432" t="n">
        <v>0</v>
      </c>
      <c r="K3432" t="n">
        <v>0</v>
      </c>
      <c r="L3432" t="n">
        <v>0</v>
      </c>
      <c r="M3432" t="n">
        <v>0</v>
      </c>
      <c r="N3432" t="n">
        <v>0</v>
      </c>
      <c r="O3432" t="n">
        <v>0</v>
      </c>
      <c r="P3432" t="n">
        <v>0</v>
      </c>
      <c r="Q3432" t="n">
        <v>0</v>
      </c>
      <c r="R3432" s="2" t="inlineStr"/>
    </row>
    <row r="3433" ht="15" customHeight="1">
      <c r="A3433" t="inlineStr">
        <is>
          <t>A 61363-2024</t>
        </is>
      </c>
      <c r="B3433" s="1" t="n">
        <v>45646</v>
      </c>
      <c r="C3433" s="1" t="n">
        <v>45734</v>
      </c>
      <c r="D3433" t="inlineStr">
        <is>
          <t>JÄMTLANDS LÄN</t>
        </is>
      </c>
      <c r="E3433" t="inlineStr">
        <is>
          <t>STRÖMSUND</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61854-2024</t>
        </is>
      </c>
      <c r="B3434" s="1" t="n">
        <v>45649</v>
      </c>
      <c r="C3434" s="1" t="n">
        <v>45734</v>
      </c>
      <c r="D3434" t="inlineStr">
        <is>
          <t>JÄMTLANDS LÄN</t>
        </is>
      </c>
      <c r="E3434" t="inlineStr">
        <is>
          <t>STRÖMSUND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52-2025</t>
        </is>
      </c>
      <c r="B3435" s="1" t="n">
        <v>45649</v>
      </c>
      <c r="C3435" s="1" t="n">
        <v>45734</v>
      </c>
      <c r="D3435" t="inlineStr">
        <is>
          <t>JÄMTLANDS LÄN</t>
        </is>
      </c>
      <c r="E3435" t="inlineStr">
        <is>
          <t>STRÖMSUND</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50-2025</t>
        </is>
      </c>
      <c r="B3436" s="1" t="n">
        <v>45649</v>
      </c>
      <c r="C3436" s="1" t="n">
        <v>45734</v>
      </c>
      <c r="D3436" t="inlineStr">
        <is>
          <t>JÄMTLANDS LÄN</t>
        </is>
      </c>
      <c r="E3436" t="inlineStr">
        <is>
          <t>STRÖMSUND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61954-2024</t>
        </is>
      </c>
      <c r="B3437" s="1" t="n">
        <v>45653</v>
      </c>
      <c r="C3437" s="1" t="n">
        <v>45734</v>
      </c>
      <c r="D3437" t="inlineStr">
        <is>
          <t>JÄMTLANDS LÄN</t>
        </is>
      </c>
      <c r="E3437" t="inlineStr">
        <is>
          <t>STRÖMSUND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61959-2024</t>
        </is>
      </c>
      <c r="B3438" s="1" t="n">
        <v>45653</v>
      </c>
      <c r="C3438" s="1" t="n">
        <v>45734</v>
      </c>
      <c r="D3438" t="inlineStr">
        <is>
          <t>JÄMTLANDS LÄN</t>
        </is>
      </c>
      <c r="E3438" t="inlineStr">
        <is>
          <t>STRÖMSUND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40-2025</t>
        </is>
      </c>
      <c r="B3439" s="1" t="n">
        <v>45659</v>
      </c>
      <c r="C3439" s="1" t="n">
        <v>45734</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135-2025</t>
        </is>
      </c>
      <c r="B3440" s="1" t="n">
        <v>45659</v>
      </c>
      <c r="C3440" s="1" t="n">
        <v>45734</v>
      </c>
      <c r="D3440" t="inlineStr">
        <is>
          <t>JÄMTLANDS LÄN</t>
        </is>
      </c>
      <c r="E3440" t="inlineStr">
        <is>
          <t>STRÖMSUND</t>
        </is>
      </c>
      <c r="F3440" t="inlineStr">
        <is>
          <t>SCA</t>
        </is>
      </c>
      <c r="G3440" t="n">
        <v>31.4</v>
      </c>
      <c r="H3440" t="n">
        <v>0</v>
      </c>
      <c r="I3440" t="n">
        <v>0</v>
      </c>
      <c r="J3440" t="n">
        <v>0</v>
      </c>
      <c r="K3440" t="n">
        <v>0</v>
      </c>
      <c r="L3440" t="n">
        <v>0</v>
      </c>
      <c r="M3440" t="n">
        <v>0</v>
      </c>
      <c r="N3440" t="n">
        <v>0</v>
      </c>
      <c r="O3440" t="n">
        <v>0</v>
      </c>
      <c r="P3440" t="n">
        <v>0</v>
      </c>
      <c r="Q3440" t="n">
        <v>0</v>
      </c>
      <c r="R3440" s="2" t="inlineStr"/>
    </row>
    <row r="3441" ht="15" customHeight="1">
      <c r="A3441" t="inlineStr">
        <is>
          <t>A 354-2025</t>
        </is>
      </c>
      <c r="B3441" s="1" t="n">
        <v>45659</v>
      </c>
      <c r="C3441" s="1" t="n">
        <v>45734</v>
      </c>
      <c r="D3441" t="inlineStr">
        <is>
          <t>JÄMTLANDS LÄN</t>
        </is>
      </c>
      <c r="E3441" t="inlineStr">
        <is>
          <t>STRÖMSUND</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355-2025</t>
        </is>
      </c>
      <c r="B3442" s="1" t="n">
        <v>45659</v>
      </c>
      <c r="C3442" s="1" t="n">
        <v>45734</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45734</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217-2025</t>
        </is>
      </c>
      <c r="B3444" s="1" t="n">
        <v>45660</v>
      </c>
      <c r="C3444" s="1" t="n">
        <v>45734</v>
      </c>
      <c r="D3444" t="inlineStr">
        <is>
          <t>JÄMTLANDS LÄN</t>
        </is>
      </c>
      <c r="E3444" t="inlineStr">
        <is>
          <t>STRÖMSUND</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293-2025</t>
        </is>
      </c>
      <c r="B3445" s="1" t="n">
        <v>45660</v>
      </c>
      <c r="C3445" s="1" t="n">
        <v>45734</v>
      </c>
      <c r="D3445" t="inlineStr">
        <is>
          <t>JÄMTLANDS LÄN</t>
        </is>
      </c>
      <c r="E3445" t="inlineStr">
        <is>
          <t>STRÖMSUND</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216-2025</t>
        </is>
      </c>
      <c r="B3446" s="1" t="n">
        <v>45660</v>
      </c>
      <c r="C3446" s="1" t="n">
        <v>45734</v>
      </c>
      <c r="D3446" t="inlineStr">
        <is>
          <t>JÄMTLANDS LÄN</t>
        </is>
      </c>
      <c r="E3446" t="inlineStr">
        <is>
          <t>STRÖMSUND</t>
        </is>
      </c>
      <c r="F3446" t="inlineStr">
        <is>
          <t>SCA</t>
        </is>
      </c>
      <c r="G3446" t="n">
        <v>33.5</v>
      </c>
      <c r="H3446" t="n">
        <v>0</v>
      </c>
      <c r="I3446" t="n">
        <v>0</v>
      </c>
      <c r="J3446" t="n">
        <v>0</v>
      </c>
      <c r="K3446" t="n">
        <v>0</v>
      </c>
      <c r="L3446" t="n">
        <v>0</v>
      </c>
      <c r="M3446" t="n">
        <v>0</v>
      </c>
      <c r="N3446" t="n">
        <v>0</v>
      </c>
      <c r="O3446" t="n">
        <v>0</v>
      </c>
      <c r="P3446" t="n">
        <v>0</v>
      </c>
      <c r="Q3446" t="n">
        <v>0</v>
      </c>
      <c r="R3446" s="2" t="inlineStr"/>
    </row>
    <row r="3447" ht="15" customHeight="1">
      <c r="A3447" t="inlineStr">
        <is>
          <t>A 292-2025</t>
        </is>
      </c>
      <c r="B3447" s="1" t="n">
        <v>45660</v>
      </c>
      <c r="C3447" s="1" t="n">
        <v>45734</v>
      </c>
      <c r="D3447" t="inlineStr">
        <is>
          <t>JÄMTLANDS LÄN</t>
        </is>
      </c>
      <c r="E3447" t="inlineStr">
        <is>
          <t>STRÖMSUND</t>
        </is>
      </c>
      <c r="F3447" t="inlineStr">
        <is>
          <t>SCA</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630-2025</t>
        </is>
      </c>
      <c r="B3448" s="1" t="n">
        <v>45664</v>
      </c>
      <c r="C3448" s="1" t="n">
        <v>45734</v>
      </c>
      <c r="D3448" t="inlineStr">
        <is>
          <t>JÄMTLANDS LÄN</t>
        </is>
      </c>
      <c r="E3448" t="inlineStr">
        <is>
          <t>STRÖMSUND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473-2025</t>
        </is>
      </c>
      <c r="B3449" s="1" t="n">
        <v>45664</v>
      </c>
      <c r="C3449" s="1" t="n">
        <v>45734</v>
      </c>
      <c r="D3449" t="inlineStr">
        <is>
          <t>JÄMTLANDS LÄN</t>
        </is>
      </c>
      <c r="E3449" t="inlineStr">
        <is>
          <t>STRÖMSUND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1126-2025</t>
        </is>
      </c>
      <c r="B3450" s="1" t="n">
        <v>45666</v>
      </c>
      <c r="C3450" s="1" t="n">
        <v>45734</v>
      </c>
      <c r="D3450" t="inlineStr">
        <is>
          <t>JÄMTLANDS LÄN</t>
        </is>
      </c>
      <c r="E3450" t="inlineStr">
        <is>
          <t>STRÖMSUND</t>
        </is>
      </c>
      <c r="F3450" t="inlineStr">
        <is>
          <t>SCA</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992-2025</t>
        </is>
      </c>
      <c r="B3451" s="1" t="n">
        <v>45666</v>
      </c>
      <c r="C3451" s="1" t="n">
        <v>45734</v>
      </c>
      <c r="D3451" t="inlineStr">
        <is>
          <t>JÄMTLANDS LÄN</t>
        </is>
      </c>
      <c r="E3451" t="inlineStr">
        <is>
          <t>STRÖMSUND</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1117-2025</t>
        </is>
      </c>
      <c r="B3452" s="1" t="n">
        <v>45666</v>
      </c>
      <c r="C3452" s="1" t="n">
        <v>45734</v>
      </c>
      <c r="D3452" t="inlineStr">
        <is>
          <t>JÄMTLANDS LÄN</t>
        </is>
      </c>
      <c r="E3452" t="inlineStr">
        <is>
          <t>STRÖMSUND</t>
        </is>
      </c>
      <c r="F3452" t="inlineStr">
        <is>
          <t>SCA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1391-2025</t>
        </is>
      </c>
      <c r="B3453" s="1" t="n">
        <v>45667</v>
      </c>
      <c r="C3453" s="1" t="n">
        <v>45734</v>
      </c>
      <c r="D3453" t="inlineStr">
        <is>
          <t>JÄMTLANDS LÄN</t>
        </is>
      </c>
      <c r="E3453" t="inlineStr">
        <is>
          <t>STRÖMSUND</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1421-2025</t>
        </is>
      </c>
      <c r="B3454" s="1" t="n">
        <v>45668</v>
      </c>
      <c r="C3454" s="1" t="n">
        <v>45734</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1429-2025</t>
        </is>
      </c>
      <c r="B3455" s="1" t="n">
        <v>45669</v>
      </c>
      <c r="C3455" s="1" t="n">
        <v>45734</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1545-2025</t>
        </is>
      </c>
      <c r="B3456" s="1" t="n">
        <v>45670</v>
      </c>
      <c r="C3456" s="1" t="n">
        <v>45734</v>
      </c>
      <c r="D3456" t="inlineStr">
        <is>
          <t>JÄMTLANDS LÄN</t>
        </is>
      </c>
      <c r="E3456" t="inlineStr">
        <is>
          <t>STRÖMSUND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1546-2025</t>
        </is>
      </c>
      <c r="B3457" s="1" t="n">
        <v>45670</v>
      </c>
      <c r="C3457" s="1" t="n">
        <v>45734</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45734</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45734</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1544-2025</t>
        </is>
      </c>
      <c r="B3460" s="1" t="n">
        <v>45670</v>
      </c>
      <c r="C3460" s="1" t="n">
        <v>45734</v>
      </c>
      <c r="D3460" t="inlineStr">
        <is>
          <t>JÄMTLANDS LÄN</t>
        </is>
      </c>
      <c r="E3460" t="inlineStr">
        <is>
          <t>STRÖMSUND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1671-2025</t>
        </is>
      </c>
      <c r="B3461" s="1" t="n">
        <v>45670</v>
      </c>
      <c r="C3461" s="1" t="n">
        <v>45734</v>
      </c>
      <c r="D3461" t="inlineStr">
        <is>
          <t>JÄMTLANDS LÄN</t>
        </is>
      </c>
      <c r="E3461" t="inlineStr">
        <is>
          <t>STRÖMSUND</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45734</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1498-2025</t>
        </is>
      </c>
      <c r="B3463" s="1" t="n">
        <v>45670</v>
      </c>
      <c r="C3463" s="1" t="n">
        <v>45734</v>
      </c>
      <c r="D3463" t="inlineStr">
        <is>
          <t>JÄMTLANDS LÄN</t>
        </is>
      </c>
      <c r="E3463" t="inlineStr">
        <is>
          <t>STRÖMSUND</t>
        </is>
      </c>
      <c r="F3463" t="inlineStr">
        <is>
          <t>SCA</t>
        </is>
      </c>
      <c r="G3463" t="n">
        <v>22.6</v>
      </c>
      <c r="H3463" t="n">
        <v>0</v>
      </c>
      <c r="I3463" t="n">
        <v>0</v>
      </c>
      <c r="J3463" t="n">
        <v>0</v>
      </c>
      <c r="K3463" t="n">
        <v>0</v>
      </c>
      <c r="L3463" t="n">
        <v>0</v>
      </c>
      <c r="M3463" t="n">
        <v>0</v>
      </c>
      <c r="N3463" t="n">
        <v>0</v>
      </c>
      <c r="O3463" t="n">
        <v>0</v>
      </c>
      <c r="P3463" t="n">
        <v>0</v>
      </c>
      <c r="Q3463" t="n">
        <v>0</v>
      </c>
      <c r="R3463" s="2" t="inlineStr"/>
    </row>
    <row r="3464" ht="15" customHeight="1">
      <c r="A3464" t="inlineStr">
        <is>
          <t>A 1547-2025</t>
        </is>
      </c>
      <c r="B3464" s="1" t="n">
        <v>45670</v>
      </c>
      <c r="C3464" s="1" t="n">
        <v>45734</v>
      </c>
      <c r="D3464" t="inlineStr">
        <is>
          <t>JÄMTLANDS LÄN</t>
        </is>
      </c>
      <c r="E3464" t="inlineStr">
        <is>
          <t>STRÖMSUND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1543-2025</t>
        </is>
      </c>
      <c r="B3465" s="1" t="n">
        <v>45670</v>
      </c>
      <c r="C3465" s="1" t="n">
        <v>45734</v>
      </c>
      <c r="D3465" t="inlineStr">
        <is>
          <t>JÄMTLANDS LÄN</t>
        </is>
      </c>
      <c r="E3465" t="inlineStr">
        <is>
          <t>STRÖMSUND</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1670-2025</t>
        </is>
      </c>
      <c r="B3466" s="1" t="n">
        <v>45670</v>
      </c>
      <c r="C3466" s="1" t="n">
        <v>45734</v>
      </c>
      <c r="D3466" t="inlineStr">
        <is>
          <t>JÄMTLANDS LÄN</t>
        </is>
      </c>
      <c r="E3466" t="inlineStr">
        <is>
          <t>STRÖMSUND</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1913-2025</t>
        </is>
      </c>
      <c r="B3467" s="1" t="n">
        <v>45671</v>
      </c>
      <c r="C3467" s="1" t="n">
        <v>45734</v>
      </c>
      <c r="D3467" t="inlineStr">
        <is>
          <t>JÄMTLANDS LÄN</t>
        </is>
      </c>
      <c r="E3467" t="inlineStr">
        <is>
          <t>STRÖMSUND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1722-2025</t>
        </is>
      </c>
      <c r="B3468" s="1" t="n">
        <v>45671</v>
      </c>
      <c r="C3468" s="1" t="n">
        <v>45734</v>
      </c>
      <c r="D3468" t="inlineStr">
        <is>
          <t>JÄMTLANDS LÄN</t>
        </is>
      </c>
      <c r="E3468" t="inlineStr">
        <is>
          <t>STRÖMSUND</t>
        </is>
      </c>
      <c r="F3468" t="inlineStr">
        <is>
          <t>SCA</t>
        </is>
      </c>
      <c r="G3468" t="n">
        <v>37.1</v>
      </c>
      <c r="H3468" t="n">
        <v>0</v>
      </c>
      <c r="I3468" t="n">
        <v>0</v>
      </c>
      <c r="J3468" t="n">
        <v>0</v>
      </c>
      <c r="K3468" t="n">
        <v>0</v>
      </c>
      <c r="L3468" t="n">
        <v>0</v>
      </c>
      <c r="M3468" t="n">
        <v>0</v>
      </c>
      <c r="N3468" t="n">
        <v>0</v>
      </c>
      <c r="O3468" t="n">
        <v>0</v>
      </c>
      <c r="P3468" t="n">
        <v>0</v>
      </c>
      <c r="Q3468" t="n">
        <v>0</v>
      </c>
      <c r="R3468" s="2" t="inlineStr"/>
    </row>
    <row r="3469" ht="15" customHeight="1">
      <c r="A3469" t="inlineStr">
        <is>
          <t>A 1721-2025</t>
        </is>
      </c>
      <c r="B3469" s="1" t="n">
        <v>45671</v>
      </c>
      <c r="C3469" s="1" t="n">
        <v>45734</v>
      </c>
      <c r="D3469" t="inlineStr">
        <is>
          <t>JÄMTLANDS LÄN</t>
        </is>
      </c>
      <c r="E3469" t="inlineStr">
        <is>
          <t>STRÖMSUND</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45734</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45734</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1824-2025</t>
        </is>
      </c>
      <c r="B3472" s="1" t="n">
        <v>45671</v>
      </c>
      <c r="C3472" s="1" t="n">
        <v>45734</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1823-2025</t>
        </is>
      </c>
      <c r="B3473" s="1" t="n">
        <v>45671</v>
      </c>
      <c r="C3473" s="1" t="n">
        <v>45734</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1925-2025</t>
        </is>
      </c>
      <c r="B3474" s="1" t="n">
        <v>45671</v>
      </c>
      <c r="C3474" s="1" t="n">
        <v>45734</v>
      </c>
      <c r="D3474" t="inlineStr">
        <is>
          <t>JÄMTLANDS LÄN</t>
        </is>
      </c>
      <c r="E3474" t="inlineStr">
        <is>
          <t>STRÖMSUND</t>
        </is>
      </c>
      <c r="F3474" t="inlineStr">
        <is>
          <t>SCA</t>
        </is>
      </c>
      <c r="G3474" t="n">
        <v>37.6</v>
      </c>
      <c r="H3474" t="n">
        <v>0</v>
      </c>
      <c r="I3474" t="n">
        <v>0</v>
      </c>
      <c r="J3474" t="n">
        <v>0</v>
      </c>
      <c r="K3474" t="n">
        <v>0</v>
      </c>
      <c r="L3474" t="n">
        <v>0</v>
      </c>
      <c r="M3474" t="n">
        <v>0</v>
      </c>
      <c r="N3474" t="n">
        <v>0</v>
      </c>
      <c r="O3474" t="n">
        <v>0</v>
      </c>
      <c r="P3474" t="n">
        <v>0</v>
      </c>
      <c r="Q3474" t="n">
        <v>0</v>
      </c>
      <c r="R3474" s="2" t="inlineStr"/>
    </row>
    <row r="3475" ht="15" customHeight="1">
      <c r="A3475" t="inlineStr">
        <is>
          <t>A 2124-2025</t>
        </is>
      </c>
      <c r="B3475" s="1" t="n">
        <v>45672</v>
      </c>
      <c r="C3475" s="1" t="n">
        <v>45734</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2304-2025</t>
        </is>
      </c>
      <c r="B3476" s="1" t="n">
        <v>45673</v>
      </c>
      <c r="C3476" s="1" t="n">
        <v>45734</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2568-2025</t>
        </is>
      </c>
      <c r="B3477" s="1" t="n">
        <v>45673</v>
      </c>
      <c r="C3477" s="1" t="n">
        <v>45734</v>
      </c>
      <c r="D3477" t="inlineStr">
        <is>
          <t>JÄMTLANDS LÄN</t>
        </is>
      </c>
      <c r="E3477" t="inlineStr">
        <is>
          <t>STRÖMSUND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45734</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2535-2025</t>
        </is>
      </c>
      <c r="B3479" s="1" t="n">
        <v>45674</v>
      </c>
      <c r="C3479" s="1" t="n">
        <v>45734</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2534-2025</t>
        </is>
      </c>
      <c r="B3480" s="1" t="n">
        <v>45674</v>
      </c>
      <c r="C3480" s="1" t="n">
        <v>45734</v>
      </c>
      <c r="D3480" t="inlineStr">
        <is>
          <t>JÄMTLANDS LÄN</t>
        </is>
      </c>
      <c r="E3480" t="inlineStr">
        <is>
          <t>STRÖMSUND</t>
        </is>
      </c>
      <c r="F3480" t="inlineStr">
        <is>
          <t>SCA</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2618-2025</t>
        </is>
      </c>
      <c r="B3481" s="1" t="n">
        <v>45675</v>
      </c>
      <c r="C3481" s="1" t="n">
        <v>45734</v>
      </c>
      <c r="D3481" t="inlineStr">
        <is>
          <t>JÄMTLANDS LÄN</t>
        </is>
      </c>
      <c r="E3481" t="inlineStr">
        <is>
          <t>STRÖMSUND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45734</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45734</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2808-2025</t>
        </is>
      </c>
      <c r="B3484" s="1" t="n">
        <v>45677</v>
      </c>
      <c r="C3484" s="1" t="n">
        <v>45734</v>
      </c>
      <c r="D3484" t="inlineStr">
        <is>
          <t>JÄMTLANDS LÄN</t>
        </is>
      </c>
      <c r="E3484" t="inlineStr">
        <is>
          <t>STRÖMSUND</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45734</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45734</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2989-2025</t>
        </is>
      </c>
      <c r="B3487" s="1" t="n">
        <v>45678</v>
      </c>
      <c r="C3487" s="1" t="n">
        <v>45734</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3328-2025</t>
        </is>
      </c>
      <c r="B3488" s="1" t="n">
        <v>45679</v>
      </c>
      <c r="C3488" s="1" t="n">
        <v>45734</v>
      </c>
      <c r="D3488" t="inlineStr">
        <is>
          <t>JÄMTLANDS LÄN</t>
        </is>
      </c>
      <c r="E3488" t="inlineStr">
        <is>
          <t>STRÖMSUND</t>
        </is>
      </c>
      <c r="F3488" t="inlineStr">
        <is>
          <t>SCA</t>
        </is>
      </c>
      <c r="G3488" t="n">
        <v>24.7</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45734</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45734</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3388-2025</t>
        </is>
      </c>
      <c r="B3491" s="1" t="n">
        <v>45680</v>
      </c>
      <c r="C3491" s="1" t="n">
        <v>45734</v>
      </c>
      <c r="D3491" t="inlineStr">
        <is>
          <t>JÄMTLANDS LÄN</t>
        </is>
      </c>
      <c r="E3491" t="inlineStr">
        <is>
          <t>STRÖMSUND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45734</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45734</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3650-2025</t>
        </is>
      </c>
      <c r="B3494" s="1" t="n">
        <v>45681</v>
      </c>
      <c r="C3494" s="1" t="n">
        <v>45734</v>
      </c>
      <c r="D3494" t="inlineStr">
        <is>
          <t>JÄMTLANDS LÄN</t>
        </is>
      </c>
      <c r="E3494" t="inlineStr">
        <is>
          <t>STRÖMSUND</t>
        </is>
      </c>
      <c r="F3494" t="inlineStr">
        <is>
          <t>SCA</t>
        </is>
      </c>
      <c r="G3494" t="n">
        <v>12.4</v>
      </c>
      <c r="H3494" t="n">
        <v>0</v>
      </c>
      <c r="I3494" t="n">
        <v>0</v>
      </c>
      <c r="J3494" t="n">
        <v>0</v>
      </c>
      <c r="K3494" t="n">
        <v>0</v>
      </c>
      <c r="L3494" t="n">
        <v>0</v>
      </c>
      <c r="M3494" t="n">
        <v>0</v>
      </c>
      <c r="N3494" t="n">
        <v>0</v>
      </c>
      <c r="O3494" t="n">
        <v>0</v>
      </c>
      <c r="P3494" t="n">
        <v>0</v>
      </c>
      <c r="Q3494" t="n">
        <v>0</v>
      </c>
      <c r="R3494" s="2" t="inlineStr"/>
    </row>
    <row r="3495" ht="15" customHeight="1">
      <c r="A3495" t="inlineStr">
        <is>
          <t>A 3667-2025</t>
        </is>
      </c>
      <c r="B3495" s="1" t="n">
        <v>45681</v>
      </c>
      <c r="C3495" s="1" t="n">
        <v>45734</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3695-2025</t>
        </is>
      </c>
      <c r="B3496" s="1" t="n">
        <v>45681</v>
      </c>
      <c r="C3496" s="1" t="n">
        <v>45734</v>
      </c>
      <c r="D3496" t="inlineStr">
        <is>
          <t>JÄMTLANDS LÄN</t>
        </is>
      </c>
      <c r="E3496" t="inlineStr">
        <is>
          <t>STRÖMSUND</t>
        </is>
      </c>
      <c r="F3496" t="inlineStr">
        <is>
          <t>SCA</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45734</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45734</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45734</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45734</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45734</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45734</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45734</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45734</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45734</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45734</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4033-2025</t>
        </is>
      </c>
      <c r="B3507" s="1" t="n">
        <v>45684</v>
      </c>
      <c r="C3507" s="1" t="n">
        <v>45734</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4045-2025</t>
        </is>
      </c>
      <c r="B3508" s="1" t="n">
        <v>45684</v>
      </c>
      <c r="C3508" s="1" t="n">
        <v>45734</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45734</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4315-2025</t>
        </is>
      </c>
      <c r="B3510" s="1" t="n">
        <v>45685</v>
      </c>
      <c r="C3510" s="1" t="n">
        <v>45734</v>
      </c>
      <c r="D3510" t="inlineStr">
        <is>
          <t>JÄMTLANDS LÄN</t>
        </is>
      </c>
      <c r="E3510" t="inlineStr">
        <is>
          <t>STRÖMSUND</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45734</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4370-2025</t>
        </is>
      </c>
      <c r="B3512" s="1" t="n">
        <v>45686</v>
      </c>
      <c r="C3512" s="1" t="n">
        <v>45734</v>
      </c>
      <c r="D3512" t="inlineStr">
        <is>
          <t>JÄMTLANDS LÄN</t>
        </is>
      </c>
      <c r="E3512" t="inlineStr">
        <is>
          <t>STRÖMSUND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45734</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45734</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45734</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45734</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4835-2025</t>
        </is>
      </c>
      <c r="B3517" s="1" t="n">
        <v>45688</v>
      </c>
      <c r="C3517" s="1" t="n">
        <v>45734</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4860-2025</t>
        </is>
      </c>
      <c r="B3518" s="1" t="n">
        <v>45688</v>
      </c>
      <c r="C3518" s="1" t="n">
        <v>45734</v>
      </c>
      <c r="D3518" t="inlineStr">
        <is>
          <t>JÄMTLANDS LÄN</t>
        </is>
      </c>
      <c r="E3518" t="inlineStr">
        <is>
          <t>STRÖMSUND</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45734</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5210-2025</t>
        </is>
      </c>
      <c r="B3520" s="1" t="n">
        <v>45691</v>
      </c>
      <c r="C3520" s="1" t="n">
        <v>45734</v>
      </c>
      <c r="D3520" t="inlineStr">
        <is>
          <t>JÄMTLANDS LÄN</t>
        </is>
      </c>
      <c r="E3520" t="inlineStr">
        <is>
          <t>STRÖMSUND</t>
        </is>
      </c>
      <c r="F3520" t="inlineStr">
        <is>
          <t>SCA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5377-2025</t>
        </is>
      </c>
      <c r="B3521" s="1" t="n">
        <v>45692</v>
      </c>
      <c r="C3521" s="1" t="n">
        <v>45734</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45734</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5617-2025</t>
        </is>
      </c>
      <c r="B3523" s="1" t="n">
        <v>45693</v>
      </c>
      <c r="C3523" s="1" t="n">
        <v>45734</v>
      </c>
      <c r="D3523" t="inlineStr">
        <is>
          <t>JÄMTLANDS LÄN</t>
        </is>
      </c>
      <c r="E3523" t="inlineStr">
        <is>
          <t>STRÖMSUND</t>
        </is>
      </c>
      <c r="F3523" t="inlineStr">
        <is>
          <t>SCA</t>
        </is>
      </c>
      <c r="G3523" t="n">
        <v>10.4</v>
      </c>
      <c r="H3523" t="n">
        <v>0</v>
      </c>
      <c r="I3523" t="n">
        <v>0</v>
      </c>
      <c r="J3523" t="n">
        <v>0</v>
      </c>
      <c r="K3523" t="n">
        <v>0</v>
      </c>
      <c r="L3523" t="n">
        <v>0</v>
      </c>
      <c r="M3523" t="n">
        <v>0</v>
      </c>
      <c r="N3523" t="n">
        <v>0</v>
      </c>
      <c r="O3523" t="n">
        <v>0</v>
      </c>
      <c r="P3523" t="n">
        <v>0</v>
      </c>
      <c r="Q3523" t="n">
        <v>0</v>
      </c>
      <c r="R3523" s="2" t="inlineStr"/>
    </row>
    <row r="3524" ht="15" customHeight="1">
      <c r="A3524" t="inlineStr">
        <is>
          <t>A 5627-2025</t>
        </is>
      </c>
      <c r="B3524" s="1" t="n">
        <v>45693</v>
      </c>
      <c r="C3524" s="1" t="n">
        <v>45734</v>
      </c>
      <c r="D3524" t="inlineStr">
        <is>
          <t>JÄMTLANDS LÄN</t>
        </is>
      </c>
      <c r="E3524" t="inlineStr">
        <is>
          <t>STRÖMSUND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5775-2025</t>
        </is>
      </c>
      <c r="B3525" s="1" t="n">
        <v>45694</v>
      </c>
      <c r="C3525" s="1" t="n">
        <v>45734</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5694-2025</t>
        </is>
      </c>
      <c r="B3526" s="1" t="n">
        <v>45694</v>
      </c>
      <c r="C3526" s="1" t="n">
        <v>45734</v>
      </c>
      <c r="D3526" t="inlineStr">
        <is>
          <t>JÄMTLANDS LÄN</t>
        </is>
      </c>
      <c r="E3526" t="inlineStr">
        <is>
          <t>STRÖMSUND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45734</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5808-2025</t>
        </is>
      </c>
      <c r="B3528" s="1" t="n">
        <v>45694</v>
      </c>
      <c r="C3528" s="1" t="n">
        <v>45734</v>
      </c>
      <c r="D3528" t="inlineStr">
        <is>
          <t>JÄMTLANDS LÄN</t>
        </is>
      </c>
      <c r="E3528" t="inlineStr">
        <is>
          <t>STRÖMSUND</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45734</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45734</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5871-2025</t>
        </is>
      </c>
      <c r="B3531" s="1" t="n">
        <v>45695</v>
      </c>
      <c r="C3531" s="1" t="n">
        <v>45734</v>
      </c>
      <c r="D3531" t="inlineStr">
        <is>
          <t>JÄMTLANDS LÄN</t>
        </is>
      </c>
      <c r="E3531" t="inlineStr">
        <is>
          <t>STRÖMSUND</t>
        </is>
      </c>
      <c r="F3531" t="inlineStr">
        <is>
          <t>SCA</t>
        </is>
      </c>
      <c r="G3531" t="n">
        <v>32.6</v>
      </c>
      <c r="H3531" t="n">
        <v>0</v>
      </c>
      <c r="I3531" t="n">
        <v>0</v>
      </c>
      <c r="J3531" t="n">
        <v>0</v>
      </c>
      <c r="K3531" t="n">
        <v>0</v>
      </c>
      <c r="L3531" t="n">
        <v>0</v>
      </c>
      <c r="M3531" t="n">
        <v>0</v>
      </c>
      <c r="N3531" t="n">
        <v>0</v>
      </c>
      <c r="O3531" t="n">
        <v>0</v>
      </c>
      <c r="P3531" t="n">
        <v>0</v>
      </c>
      <c r="Q3531" t="n">
        <v>0</v>
      </c>
      <c r="R3531" s="2" t="inlineStr"/>
    </row>
    <row r="3532" ht="15" customHeight="1">
      <c r="A3532" t="inlineStr">
        <is>
          <t>A 5948-2025</t>
        </is>
      </c>
      <c r="B3532" s="1" t="n">
        <v>45695</v>
      </c>
      <c r="C3532" s="1" t="n">
        <v>45734</v>
      </c>
      <c r="D3532" t="inlineStr">
        <is>
          <t>JÄMTLANDS LÄN</t>
        </is>
      </c>
      <c r="E3532" t="inlineStr">
        <is>
          <t>STRÖMSUND</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6129-2025</t>
        </is>
      </c>
      <c r="B3533" s="1" t="n">
        <v>45698</v>
      </c>
      <c r="C3533" s="1" t="n">
        <v>45734</v>
      </c>
      <c r="D3533" t="inlineStr">
        <is>
          <t>JÄMTLANDS LÄN</t>
        </is>
      </c>
      <c r="E3533" t="inlineStr">
        <is>
          <t>STRÖMSUND</t>
        </is>
      </c>
      <c r="G3533" t="n">
        <v>16.6</v>
      </c>
      <c r="H3533" t="n">
        <v>0</v>
      </c>
      <c r="I3533" t="n">
        <v>0</v>
      </c>
      <c r="J3533" t="n">
        <v>0</v>
      </c>
      <c r="K3533" t="n">
        <v>0</v>
      </c>
      <c r="L3533" t="n">
        <v>0</v>
      </c>
      <c r="M3533" t="n">
        <v>0</v>
      </c>
      <c r="N3533" t="n">
        <v>0</v>
      </c>
      <c r="O3533" t="n">
        <v>0</v>
      </c>
      <c r="P3533" t="n">
        <v>0</v>
      </c>
      <c r="Q3533" t="n">
        <v>0</v>
      </c>
      <c r="R3533" s="2" t="inlineStr"/>
    </row>
    <row r="3534" ht="15" customHeight="1">
      <c r="A3534" t="inlineStr">
        <is>
          <t>A 6302-2025</t>
        </is>
      </c>
      <c r="B3534" s="1" t="n">
        <v>45698</v>
      </c>
      <c r="C3534" s="1" t="n">
        <v>45734</v>
      </c>
      <c r="D3534" t="inlineStr">
        <is>
          <t>JÄMTLANDS LÄN</t>
        </is>
      </c>
      <c r="E3534" t="inlineStr">
        <is>
          <t>STRÖMSUND</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6172-2025</t>
        </is>
      </c>
      <c r="B3535" s="1" t="n">
        <v>45698</v>
      </c>
      <c r="C3535" s="1" t="n">
        <v>45734</v>
      </c>
      <c r="D3535" t="inlineStr">
        <is>
          <t>JÄMTLANDS LÄN</t>
        </is>
      </c>
      <c r="E3535" t="inlineStr">
        <is>
          <t>STRÖMSUND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6232-2025</t>
        </is>
      </c>
      <c r="B3536" s="1" t="n">
        <v>45698</v>
      </c>
      <c r="C3536" s="1" t="n">
        <v>45734</v>
      </c>
      <c r="D3536" t="inlineStr">
        <is>
          <t>JÄMTLANDS LÄN</t>
        </is>
      </c>
      <c r="E3536" t="inlineStr">
        <is>
          <t>STRÖMSUND</t>
        </is>
      </c>
      <c r="F3536" t="inlineStr">
        <is>
          <t>SCA</t>
        </is>
      </c>
      <c r="G3536" t="n">
        <v>24.2</v>
      </c>
      <c r="H3536" t="n">
        <v>0</v>
      </c>
      <c r="I3536" t="n">
        <v>0</v>
      </c>
      <c r="J3536" t="n">
        <v>0</v>
      </c>
      <c r="K3536" t="n">
        <v>0</v>
      </c>
      <c r="L3536" t="n">
        <v>0</v>
      </c>
      <c r="M3536" t="n">
        <v>0</v>
      </c>
      <c r="N3536" t="n">
        <v>0</v>
      </c>
      <c r="O3536" t="n">
        <v>0</v>
      </c>
      <c r="P3536" t="n">
        <v>0</v>
      </c>
      <c r="Q3536" t="n">
        <v>0</v>
      </c>
      <c r="R3536" s="2" t="inlineStr"/>
      <c r="U3536">
        <f>HYPERLINK("https://klasma.github.io/Logging_2313/knärot/A 6232-2025 karta knärot.png", "A 6232-2025")</f>
        <v/>
      </c>
      <c r="V3536">
        <f>HYPERLINK("https://klasma.github.io/Logging_2313/klagomål/A 6232-2025 FSC-klagomål.docx", "A 6232-2025")</f>
        <v/>
      </c>
      <c r="W3536">
        <f>HYPERLINK("https://klasma.github.io/Logging_2313/klagomålsmail/A 6232-2025 FSC-klagomål mail.docx", "A 6232-2025")</f>
        <v/>
      </c>
      <c r="X3536">
        <f>HYPERLINK("https://klasma.github.io/Logging_2313/tillsyn/A 6232-2025 tillsynsbegäran.docx", "A 6232-2025")</f>
        <v/>
      </c>
      <c r="Y3536">
        <f>HYPERLINK("https://klasma.github.io/Logging_2313/tillsynsmail/A 6232-2025 tillsynsbegäran mail.docx", "A 6232-2025")</f>
        <v/>
      </c>
    </row>
    <row r="3537" ht="15" customHeight="1">
      <c r="A3537" t="inlineStr">
        <is>
          <t>A 6527-2025</t>
        </is>
      </c>
      <c r="B3537" s="1" t="n">
        <v>45699</v>
      </c>
      <c r="C3537" s="1" t="n">
        <v>45734</v>
      </c>
      <c r="D3537" t="inlineStr">
        <is>
          <t>JÄMTLANDS LÄN</t>
        </is>
      </c>
      <c r="E3537" t="inlineStr">
        <is>
          <t>STRÖMSUND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6488-2025</t>
        </is>
      </c>
      <c r="B3538" s="1" t="n">
        <v>45699</v>
      </c>
      <c r="C3538" s="1" t="n">
        <v>45734</v>
      </c>
      <c r="D3538" t="inlineStr">
        <is>
          <t>JÄMTLANDS LÄN</t>
        </is>
      </c>
      <c r="E3538" t="inlineStr">
        <is>
          <t>STRÖMSUND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6494-2025</t>
        </is>
      </c>
      <c r="B3539" s="1" t="n">
        <v>45699</v>
      </c>
      <c r="C3539" s="1" t="n">
        <v>45734</v>
      </c>
      <c r="D3539" t="inlineStr">
        <is>
          <t>JÄMTLANDS LÄN</t>
        </is>
      </c>
      <c r="E3539" t="inlineStr">
        <is>
          <t>STRÖMSUND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6576-2025</t>
        </is>
      </c>
      <c r="B3540" s="1" t="n">
        <v>45699</v>
      </c>
      <c r="C3540" s="1" t="n">
        <v>45734</v>
      </c>
      <c r="D3540" t="inlineStr">
        <is>
          <t>JÄMTLANDS LÄN</t>
        </is>
      </c>
      <c r="E3540" t="inlineStr">
        <is>
          <t>STRÖMSUND</t>
        </is>
      </c>
      <c r="G3540" t="n">
        <v>7</v>
      </c>
      <c r="H3540" t="n">
        <v>0</v>
      </c>
      <c r="I3540" t="n">
        <v>0</v>
      </c>
      <c r="J3540" t="n">
        <v>0</v>
      </c>
      <c r="K3540" t="n">
        <v>0</v>
      </c>
      <c r="L3540" t="n">
        <v>0</v>
      </c>
      <c r="M3540" t="n">
        <v>0</v>
      </c>
      <c r="N3540" t="n">
        <v>0</v>
      </c>
      <c r="O3540" t="n">
        <v>0</v>
      </c>
      <c r="P3540" t="n">
        <v>0</v>
      </c>
      <c r="Q3540" t="n">
        <v>0</v>
      </c>
      <c r="R3540" s="2" t="inlineStr"/>
    </row>
    <row r="3541" ht="15" customHeight="1">
      <c r="A3541" t="inlineStr">
        <is>
          <t>A 6414-2025</t>
        </is>
      </c>
      <c r="B3541" s="1" t="n">
        <v>45699</v>
      </c>
      <c r="C3541" s="1" t="n">
        <v>45734</v>
      </c>
      <c r="D3541" t="inlineStr">
        <is>
          <t>JÄMTLANDS LÄN</t>
        </is>
      </c>
      <c r="E3541" t="inlineStr">
        <is>
          <t>STRÖMSUND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6347-2025</t>
        </is>
      </c>
      <c r="B3542" s="1" t="n">
        <v>45699</v>
      </c>
      <c r="C3542" s="1" t="n">
        <v>45734</v>
      </c>
      <c r="D3542" t="inlineStr">
        <is>
          <t>JÄMTLANDS LÄN</t>
        </is>
      </c>
      <c r="E3542" t="inlineStr">
        <is>
          <t>STRÖMSUND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6502-2025</t>
        </is>
      </c>
      <c r="B3543" s="1" t="n">
        <v>45699</v>
      </c>
      <c r="C3543" s="1" t="n">
        <v>45734</v>
      </c>
      <c r="D3543" t="inlineStr">
        <is>
          <t>JÄMTLANDS LÄN</t>
        </is>
      </c>
      <c r="E3543" t="inlineStr">
        <is>
          <t>STRÖMSUND</t>
        </is>
      </c>
      <c r="G3543" t="n">
        <v>14.5</v>
      </c>
      <c r="H3543" t="n">
        <v>0</v>
      </c>
      <c r="I3543" t="n">
        <v>0</v>
      </c>
      <c r="J3543" t="n">
        <v>0</v>
      </c>
      <c r="K3543" t="n">
        <v>0</v>
      </c>
      <c r="L3543" t="n">
        <v>0</v>
      </c>
      <c r="M3543" t="n">
        <v>0</v>
      </c>
      <c r="N3543" t="n">
        <v>0</v>
      </c>
      <c r="O3543" t="n">
        <v>0</v>
      </c>
      <c r="P3543" t="n">
        <v>0</v>
      </c>
      <c r="Q3543" t="n">
        <v>0</v>
      </c>
      <c r="R3543" s="2" t="inlineStr"/>
    </row>
    <row r="3544" ht="15" customHeight="1">
      <c r="A3544" t="inlineStr">
        <is>
          <t>A 6685-2025</t>
        </is>
      </c>
      <c r="B3544" s="1" t="n">
        <v>45700</v>
      </c>
      <c r="C3544" s="1" t="n">
        <v>45734</v>
      </c>
      <c r="D3544" t="inlineStr">
        <is>
          <t>JÄMTLANDS LÄN</t>
        </is>
      </c>
      <c r="E3544" t="inlineStr">
        <is>
          <t>STRÖMSUND</t>
        </is>
      </c>
      <c r="F3544" t="inlineStr">
        <is>
          <t>SCA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6836-2025</t>
        </is>
      </c>
      <c r="B3545" s="1" t="n">
        <v>45700</v>
      </c>
      <c r="C3545" s="1" t="n">
        <v>45734</v>
      </c>
      <c r="D3545" t="inlineStr">
        <is>
          <t>JÄMTLANDS LÄN</t>
        </is>
      </c>
      <c r="E3545" t="inlineStr">
        <is>
          <t>STRÖMSUND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6787-2025</t>
        </is>
      </c>
      <c r="B3546" s="1" t="n">
        <v>45700</v>
      </c>
      <c r="C3546" s="1" t="n">
        <v>45734</v>
      </c>
      <c r="D3546" t="inlineStr">
        <is>
          <t>JÄMTLANDS LÄN</t>
        </is>
      </c>
      <c r="E3546" t="inlineStr">
        <is>
          <t>STRÖMSUND</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7082-2025</t>
        </is>
      </c>
      <c r="B3547" s="1" t="n">
        <v>45701</v>
      </c>
      <c r="C3547" s="1" t="n">
        <v>45734</v>
      </c>
      <c r="D3547" t="inlineStr">
        <is>
          <t>JÄMTLANDS LÄN</t>
        </is>
      </c>
      <c r="E3547" t="inlineStr">
        <is>
          <t>STRÖMSUND</t>
        </is>
      </c>
      <c r="F3547" t="inlineStr">
        <is>
          <t>SCA</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6883-2025</t>
        </is>
      </c>
      <c r="B3548" s="1" t="n">
        <v>45701</v>
      </c>
      <c r="C3548" s="1" t="n">
        <v>45734</v>
      </c>
      <c r="D3548" t="inlineStr">
        <is>
          <t>JÄMTLANDS LÄN</t>
        </is>
      </c>
      <c r="E3548" t="inlineStr">
        <is>
          <t>STRÖMSUND</t>
        </is>
      </c>
      <c r="F3548" t="inlineStr">
        <is>
          <t>SCA</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6879-2025</t>
        </is>
      </c>
      <c r="B3549" s="1" t="n">
        <v>45701</v>
      </c>
      <c r="C3549" s="1" t="n">
        <v>45734</v>
      </c>
      <c r="D3549" t="inlineStr">
        <is>
          <t>JÄMTLANDS LÄN</t>
        </is>
      </c>
      <c r="E3549" t="inlineStr">
        <is>
          <t>STRÖMSUND</t>
        </is>
      </c>
      <c r="F3549" t="inlineStr">
        <is>
          <t>SCA</t>
        </is>
      </c>
      <c r="G3549" t="n">
        <v>21.3</v>
      </c>
      <c r="H3549" t="n">
        <v>0</v>
      </c>
      <c r="I3549" t="n">
        <v>0</v>
      </c>
      <c r="J3549" t="n">
        <v>0</v>
      </c>
      <c r="K3549" t="n">
        <v>0</v>
      </c>
      <c r="L3549" t="n">
        <v>0</v>
      </c>
      <c r="M3549" t="n">
        <v>0</v>
      </c>
      <c r="N3549" t="n">
        <v>0</v>
      </c>
      <c r="O3549" t="n">
        <v>0</v>
      </c>
      <c r="P3549" t="n">
        <v>0</v>
      </c>
      <c r="Q3549" t="n">
        <v>0</v>
      </c>
      <c r="R3549" s="2" t="inlineStr"/>
    </row>
    <row r="3550" ht="15" customHeight="1">
      <c r="A3550" t="inlineStr">
        <is>
          <t>A 7085-2025</t>
        </is>
      </c>
      <c r="B3550" s="1" t="n">
        <v>45701</v>
      </c>
      <c r="C3550" s="1" t="n">
        <v>45734</v>
      </c>
      <c r="D3550" t="inlineStr">
        <is>
          <t>JÄMTLANDS LÄN</t>
        </is>
      </c>
      <c r="E3550" t="inlineStr">
        <is>
          <t>STRÖMSUND</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6885-2025</t>
        </is>
      </c>
      <c r="B3551" s="1" t="n">
        <v>45701</v>
      </c>
      <c r="C3551" s="1" t="n">
        <v>45734</v>
      </c>
      <c r="D3551" t="inlineStr">
        <is>
          <t>JÄMTLANDS LÄN</t>
        </is>
      </c>
      <c r="E3551" t="inlineStr">
        <is>
          <t>STRÖMSUND</t>
        </is>
      </c>
      <c r="F3551" t="inlineStr">
        <is>
          <t>SCA</t>
        </is>
      </c>
      <c r="G3551" t="n">
        <v>15.2</v>
      </c>
      <c r="H3551" t="n">
        <v>0</v>
      </c>
      <c r="I3551" t="n">
        <v>0</v>
      </c>
      <c r="J3551" t="n">
        <v>0</v>
      </c>
      <c r="K3551" t="n">
        <v>0</v>
      </c>
      <c r="L3551" t="n">
        <v>0</v>
      </c>
      <c r="M3551" t="n">
        <v>0</v>
      </c>
      <c r="N3551" t="n">
        <v>0</v>
      </c>
      <c r="O3551" t="n">
        <v>0</v>
      </c>
      <c r="P3551" t="n">
        <v>0</v>
      </c>
      <c r="Q3551" t="n">
        <v>0</v>
      </c>
      <c r="R3551" s="2" t="inlineStr"/>
    </row>
    <row r="3552" ht="15" customHeight="1">
      <c r="A3552" t="inlineStr">
        <is>
          <t>A 7124-2025</t>
        </is>
      </c>
      <c r="B3552" s="1" t="n">
        <v>45702</v>
      </c>
      <c r="C3552" s="1" t="n">
        <v>45734</v>
      </c>
      <c r="D3552" t="inlineStr">
        <is>
          <t>JÄMTLANDS LÄN</t>
        </is>
      </c>
      <c r="E3552" t="inlineStr">
        <is>
          <t>STRÖMSUND</t>
        </is>
      </c>
      <c r="F3552" t="inlineStr">
        <is>
          <t>SCA</t>
        </is>
      </c>
      <c r="G3552" t="n">
        <v>25.7</v>
      </c>
      <c r="H3552" t="n">
        <v>0</v>
      </c>
      <c r="I3552" t="n">
        <v>0</v>
      </c>
      <c r="J3552" t="n">
        <v>0</v>
      </c>
      <c r="K3552" t="n">
        <v>0</v>
      </c>
      <c r="L3552" t="n">
        <v>0</v>
      </c>
      <c r="M3552" t="n">
        <v>0</v>
      </c>
      <c r="N3552" t="n">
        <v>0</v>
      </c>
      <c r="O3552" t="n">
        <v>0</v>
      </c>
      <c r="P3552" t="n">
        <v>0</v>
      </c>
      <c r="Q3552" t="n">
        <v>0</v>
      </c>
      <c r="R3552" s="2" t="inlineStr"/>
    </row>
    <row r="3553" ht="15" customHeight="1">
      <c r="A3553" t="inlineStr">
        <is>
          <t>A 7181-2025</t>
        </is>
      </c>
      <c r="B3553" s="1" t="n">
        <v>45702</v>
      </c>
      <c r="C3553" s="1" t="n">
        <v>45734</v>
      </c>
      <c r="D3553" t="inlineStr">
        <is>
          <t>JÄMTLANDS LÄN</t>
        </is>
      </c>
      <c r="E3553" t="inlineStr">
        <is>
          <t>STRÖMSUND</t>
        </is>
      </c>
      <c r="F3553" t="inlineStr">
        <is>
          <t>SCA</t>
        </is>
      </c>
      <c r="G3553" t="n">
        <v>17.6</v>
      </c>
      <c r="H3553" t="n">
        <v>0</v>
      </c>
      <c r="I3553" t="n">
        <v>0</v>
      </c>
      <c r="J3553" t="n">
        <v>0</v>
      </c>
      <c r="K3553" t="n">
        <v>0</v>
      </c>
      <c r="L3553" t="n">
        <v>0</v>
      </c>
      <c r="M3553" t="n">
        <v>0</v>
      </c>
      <c r="N3553" t="n">
        <v>0</v>
      </c>
      <c r="O3553" t="n">
        <v>0</v>
      </c>
      <c r="P3553" t="n">
        <v>0</v>
      </c>
      <c r="Q3553" t="n">
        <v>0</v>
      </c>
      <c r="R3553" s="2" t="inlineStr"/>
    </row>
    <row r="3554" ht="15" customHeight="1">
      <c r="A3554" t="inlineStr">
        <is>
          <t>A 7324-2025</t>
        </is>
      </c>
      <c r="B3554" s="1" t="n">
        <v>45702</v>
      </c>
      <c r="C3554" s="1" t="n">
        <v>45734</v>
      </c>
      <c r="D3554" t="inlineStr">
        <is>
          <t>JÄMTLANDS LÄN</t>
        </is>
      </c>
      <c r="E3554" t="inlineStr">
        <is>
          <t>STRÖMSUND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7241-2025</t>
        </is>
      </c>
      <c r="B3555" s="1" t="n">
        <v>45702</v>
      </c>
      <c r="C3555" s="1" t="n">
        <v>45734</v>
      </c>
      <c r="D3555" t="inlineStr">
        <is>
          <t>JÄMTLANDS LÄN</t>
        </is>
      </c>
      <c r="E3555" t="inlineStr">
        <is>
          <t>STRÖMSUND</t>
        </is>
      </c>
      <c r="F3555" t="inlineStr">
        <is>
          <t>SCA</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7135-2025</t>
        </is>
      </c>
      <c r="B3556" s="1" t="n">
        <v>45702</v>
      </c>
      <c r="C3556" s="1" t="n">
        <v>45734</v>
      </c>
      <c r="D3556" t="inlineStr">
        <is>
          <t>JÄMTLANDS LÄN</t>
        </is>
      </c>
      <c r="E3556" t="inlineStr">
        <is>
          <t>STRÖMSUND</t>
        </is>
      </c>
      <c r="F3556" t="inlineStr">
        <is>
          <t>SCA</t>
        </is>
      </c>
      <c r="G3556" t="n">
        <v>32.9</v>
      </c>
      <c r="H3556" t="n">
        <v>0</v>
      </c>
      <c r="I3556" t="n">
        <v>0</v>
      </c>
      <c r="J3556" t="n">
        <v>0</v>
      </c>
      <c r="K3556" t="n">
        <v>0</v>
      </c>
      <c r="L3556" t="n">
        <v>0</v>
      </c>
      <c r="M3556" t="n">
        <v>0</v>
      </c>
      <c r="N3556" t="n">
        <v>0</v>
      </c>
      <c r="O3556" t="n">
        <v>0</v>
      </c>
      <c r="P3556" t="n">
        <v>0</v>
      </c>
      <c r="Q3556" t="n">
        <v>0</v>
      </c>
      <c r="R3556" s="2" t="inlineStr"/>
    </row>
    <row r="3557" ht="15" customHeight="1">
      <c r="A3557" t="inlineStr">
        <is>
          <t>A 7479-2025</t>
        </is>
      </c>
      <c r="B3557" s="1" t="n">
        <v>45705</v>
      </c>
      <c r="C3557" s="1" t="n">
        <v>45734</v>
      </c>
      <c r="D3557" t="inlineStr">
        <is>
          <t>JÄMTLANDS LÄN</t>
        </is>
      </c>
      <c r="E3557" t="inlineStr">
        <is>
          <t>STRÖMSUND</t>
        </is>
      </c>
      <c r="F3557" t="inlineStr">
        <is>
          <t>SCA</t>
        </is>
      </c>
      <c r="G3557" t="n">
        <v>17.2</v>
      </c>
      <c r="H3557" t="n">
        <v>0</v>
      </c>
      <c r="I3557" t="n">
        <v>0</v>
      </c>
      <c r="J3557" t="n">
        <v>0</v>
      </c>
      <c r="K3557" t="n">
        <v>0</v>
      </c>
      <c r="L3557" t="n">
        <v>0</v>
      </c>
      <c r="M3557" t="n">
        <v>0</v>
      </c>
      <c r="N3557" t="n">
        <v>0</v>
      </c>
      <c r="O3557" t="n">
        <v>0</v>
      </c>
      <c r="P3557" t="n">
        <v>0</v>
      </c>
      <c r="Q3557" t="n">
        <v>0</v>
      </c>
      <c r="R3557" s="2" t="inlineStr"/>
    </row>
    <row r="3558" ht="15" customHeight="1">
      <c r="A3558" t="inlineStr">
        <is>
          <t>A 7542-2025</t>
        </is>
      </c>
      <c r="B3558" s="1" t="n">
        <v>45705</v>
      </c>
      <c r="C3558" s="1" t="n">
        <v>45734</v>
      </c>
      <c r="D3558" t="inlineStr">
        <is>
          <t>JÄMTLANDS LÄN</t>
        </is>
      </c>
      <c r="E3558" t="inlineStr">
        <is>
          <t>STRÖMSUND</t>
        </is>
      </c>
      <c r="F3558" t="inlineStr">
        <is>
          <t>SCA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7546-2025</t>
        </is>
      </c>
      <c r="B3559" s="1" t="n">
        <v>45705</v>
      </c>
      <c r="C3559" s="1" t="n">
        <v>45734</v>
      </c>
      <c r="D3559" t="inlineStr">
        <is>
          <t>JÄMTLANDS LÄN</t>
        </is>
      </c>
      <c r="E3559" t="inlineStr">
        <is>
          <t>STRÖMSUND</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7544-2025</t>
        </is>
      </c>
      <c r="B3560" s="1" t="n">
        <v>45705</v>
      </c>
      <c r="C3560" s="1" t="n">
        <v>45734</v>
      </c>
      <c r="D3560" t="inlineStr">
        <is>
          <t>JÄMTLANDS LÄN</t>
        </is>
      </c>
      <c r="E3560" t="inlineStr">
        <is>
          <t>STRÖMSUND</t>
        </is>
      </c>
      <c r="F3560" t="inlineStr">
        <is>
          <t>SCA</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7545-2025</t>
        </is>
      </c>
      <c r="B3561" s="1" t="n">
        <v>45705</v>
      </c>
      <c r="C3561" s="1" t="n">
        <v>45734</v>
      </c>
      <c r="D3561" t="inlineStr">
        <is>
          <t>JÄMTLANDS LÄN</t>
        </is>
      </c>
      <c r="E3561" t="inlineStr">
        <is>
          <t>STRÖMSUND</t>
        </is>
      </c>
      <c r="F3561" t="inlineStr">
        <is>
          <t>SCA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7543-2025</t>
        </is>
      </c>
      <c r="B3562" s="1" t="n">
        <v>45705</v>
      </c>
      <c r="C3562" s="1" t="n">
        <v>45734</v>
      </c>
      <c r="D3562" t="inlineStr">
        <is>
          <t>JÄMTLANDS LÄN</t>
        </is>
      </c>
      <c r="E3562" t="inlineStr">
        <is>
          <t>STRÖMSUND</t>
        </is>
      </c>
      <c r="F3562" t="inlineStr">
        <is>
          <t>SCA</t>
        </is>
      </c>
      <c r="G3562" t="n">
        <v>11.8</v>
      </c>
      <c r="H3562" t="n">
        <v>0</v>
      </c>
      <c r="I3562" t="n">
        <v>0</v>
      </c>
      <c r="J3562" t="n">
        <v>0</v>
      </c>
      <c r="K3562" t="n">
        <v>0</v>
      </c>
      <c r="L3562" t="n">
        <v>0</v>
      </c>
      <c r="M3562" t="n">
        <v>0</v>
      </c>
      <c r="N3562" t="n">
        <v>0</v>
      </c>
      <c r="O3562" t="n">
        <v>0</v>
      </c>
      <c r="P3562" t="n">
        <v>0</v>
      </c>
      <c r="Q3562" t="n">
        <v>0</v>
      </c>
      <c r="R3562" s="2" t="inlineStr"/>
    </row>
    <row r="3563" ht="15" customHeight="1">
      <c r="A3563" t="inlineStr">
        <is>
          <t>A 7547-2025</t>
        </is>
      </c>
      <c r="B3563" s="1" t="n">
        <v>45705</v>
      </c>
      <c r="C3563" s="1" t="n">
        <v>45734</v>
      </c>
      <c r="D3563" t="inlineStr">
        <is>
          <t>JÄMTLANDS LÄN</t>
        </is>
      </c>
      <c r="E3563" t="inlineStr">
        <is>
          <t>STRÖMSUND</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7867-2025</t>
        </is>
      </c>
      <c r="B3564" s="1" t="n">
        <v>45706</v>
      </c>
      <c r="C3564" s="1" t="n">
        <v>45734</v>
      </c>
      <c r="D3564" t="inlineStr">
        <is>
          <t>JÄMTLANDS LÄN</t>
        </is>
      </c>
      <c r="E3564" t="inlineStr">
        <is>
          <t>STRÖMSUND</t>
        </is>
      </c>
      <c r="F3564" t="inlineStr">
        <is>
          <t>SCA</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7999-2025</t>
        </is>
      </c>
      <c r="B3565" s="1" t="n">
        <v>45706</v>
      </c>
      <c r="C3565" s="1" t="n">
        <v>45734</v>
      </c>
      <c r="D3565" t="inlineStr">
        <is>
          <t>JÄMTLANDS LÄN</t>
        </is>
      </c>
      <c r="E3565" t="inlineStr">
        <is>
          <t>STRÖMSUND</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8480-2025</t>
        </is>
      </c>
      <c r="B3566" s="1" t="n">
        <v>45706</v>
      </c>
      <c r="C3566" s="1" t="n">
        <v>45734</v>
      </c>
      <c r="D3566" t="inlineStr">
        <is>
          <t>JÄMTLANDS LÄN</t>
        </is>
      </c>
      <c r="E3566" t="inlineStr">
        <is>
          <t>STRÖMSUND</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7993-2025</t>
        </is>
      </c>
      <c r="B3567" s="1" t="n">
        <v>45706</v>
      </c>
      <c r="C3567" s="1" t="n">
        <v>45734</v>
      </c>
      <c r="D3567" t="inlineStr">
        <is>
          <t>JÄMTLANDS LÄN</t>
        </is>
      </c>
      <c r="E3567" t="inlineStr">
        <is>
          <t>STRÖMSUND</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8050-2025</t>
        </is>
      </c>
      <c r="B3568" s="1" t="n">
        <v>45706</v>
      </c>
      <c r="C3568" s="1" t="n">
        <v>45734</v>
      </c>
      <c r="D3568" t="inlineStr">
        <is>
          <t>JÄMTLANDS LÄN</t>
        </is>
      </c>
      <c r="E3568" t="inlineStr">
        <is>
          <t>STRÖMSUND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7964-2025</t>
        </is>
      </c>
      <c r="B3569" s="1" t="n">
        <v>45707</v>
      </c>
      <c r="C3569" s="1" t="n">
        <v>45734</v>
      </c>
      <c r="D3569" t="inlineStr">
        <is>
          <t>JÄMTLANDS LÄN</t>
        </is>
      </c>
      <c r="E3569" t="inlineStr">
        <is>
          <t>STRÖMSUND</t>
        </is>
      </c>
      <c r="F3569" t="inlineStr">
        <is>
          <t>SCA</t>
        </is>
      </c>
      <c r="G3569" t="n">
        <v>12.4</v>
      </c>
      <c r="H3569" t="n">
        <v>0</v>
      </c>
      <c r="I3569" t="n">
        <v>0</v>
      </c>
      <c r="J3569" t="n">
        <v>0</v>
      </c>
      <c r="K3569" t="n">
        <v>0</v>
      </c>
      <c r="L3569" t="n">
        <v>0</v>
      </c>
      <c r="M3569" t="n">
        <v>0</v>
      </c>
      <c r="N3569" t="n">
        <v>0</v>
      </c>
      <c r="O3569" t="n">
        <v>0</v>
      </c>
      <c r="P3569" t="n">
        <v>0</v>
      </c>
      <c r="Q3569" t="n">
        <v>0</v>
      </c>
      <c r="R3569" s="2" t="inlineStr"/>
    </row>
    <row r="3570" ht="15" customHeight="1">
      <c r="A3570" t="inlineStr">
        <is>
          <t>A 8014-2025</t>
        </is>
      </c>
      <c r="B3570" s="1" t="n">
        <v>45707</v>
      </c>
      <c r="C3570" s="1" t="n">
        <v>45734</v>
      </c>
      <c r="D3570" t="inlineStr">
        <is>
          <t>JÄMTLANDS LÄN</t>
        </is>
      </c>
      <c r="E3570" t="inlineStr">
        <is>
          <t>STRÖMSUND</t>
        </is>
      </c>
      <c r="F3570" t="inlineStr">
        <is>
          <t>SCA</t>
        </is>
      </c>
      <c r="G3570" t="n">
        <v>26.6</v>
      </c>
      <c r="H3570" t="n">
        <v>0</v>
      </c>
      <c r="I3570" t="n">
        <v>0</v>
      </c>
      <c r="J3570" t="n">
        <v>0</v>
      </c>
      <c r="K3570" t="n">
        <v>0</v>
      </c>
      <c r="L3570" t="n">
        <v>0</v>
      </c>
      <c r="M3570" t="n">
        <v>0</v>
      </c>
      <c r="N3570" t="n">
        <v>0</v>
      </c>
      <c r="O3570" t="n">
        <v>0</v>
      </c>
      <c r="P3570" t="n">
        <v>0</v>
      </c>
      <c r="Q3570" t="n">
        <v>0</v>
      </c>
      <c r="R3570" s="2" t="inlineStr"/>
    </row>
    <row r="3571" ht="15" customHeight="1">
      <c r="A3571" t="inlineStr">
        <is>
          <t>A 8158-2025</t>
        </is>
      </c>
      <c r="B3571" s="1" t="n">
        <v>45708</v>
      </c>
      <c r="C3571" s="1" t="n">
        <v>45734</v>
      </c>
      <c r="D3571" t="inlineStr">
        <is>
          <t>JÄMTLANDS LÄN</t>
        </is>
      </c>
      <c r="E3571" t="inlineStr">
        <is>
          <t>STRÖMSUND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8227-2025</t>
        </is>
      </c>
      <c r="B3572" s="1" t="n">
        <v>45708</v>
      </c>
      <c r="C3572" s="1" t="n">
        <v>45734</v>
      </c>
      <c r="D3572" t="inlineStr">
        <is>
          <t>JÄMTLANDS LÄN</t>
        </is>
      </c>
      <c r="E3572" t="inlineStr">
        <is>
          <t>STRÖMSUND</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8326-2025</t>
        </is>
      </c>
      <c r="B3573" s="1" t="n">
        <v>45708</v>
      </c>
      <c r="C3573" s="1" t="n">
        <v>45734</v>
      </c>
      <c r="D3573" t="inlineStr">
        <is>
          <t>JÄMTLANDS LÄN</t>
        </is>
      </c>
      <c r="E3573" t="inlineStr">
        <is>
          <t>STRÖMSUND</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8327-2025</t>
        </is>
      </c>
      <c r="B3574" s="1" t="n">
        <v>45708</v>
      </c>
      <c r="C3574" s="1" t="n">
        <v>45734</v>
      </c>
      <c r="D3574" t="inlineStr">
        <is>
          <t>JÄMTLANDS LÄN</t>
        </is>
      </c>
      <c r="E3574" t="inlineStr">
        <is>
          <t>STRÖMSUND</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8325-2025</t>
        </is>
      </c>
      <c r="B3575" s="1" t="n">
        <v>45708</v>
      </c>
      <c r="C3575" s="1" t="n">
        <v>45734</v>
      </c>
      <c r="D3575" t="inlineStr">
        <is>
          <t>JÄMTLANDS LÄN</t>
        </is>
      </c>
      <c r="E3575" t="inlineStr">
        <is>
          <t>STRÖMSUND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45734</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8495-2025</t>
        </is>
      </c>
      <c r="B3577" s="1" t="n">
        <v>45709</v>
      </c>
      <c r="C3577" s="1" t="n">
        <v>45734</v>
      </c>
      <c r="D3577" t="inlineStr">
        <is>
          <t>JÄMTLANDS LÄN</t>
        </is>
      </c>
      <c r="E3577" t="inlineStr">
        <is>
          <t>STRÖMSUND</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8758-2025</t>
        </is>
      </c>
      <c r="B3578" s="1" t="n">
        <v>45712</v>
      </c>
      <c r="C3578" s="1" t="n">
        <v>45734</v>
      </c>
      <c r="D3578" t="inlineStr">
        <is>
          <t>JÄMTLANDS LÄN</t>
        </is>
      </c>
      <c r="E3578" t="inlineStr">
        <is>
          <t>STRÖMSUND</t>
        </is>
      </c>
      <c r="F3578" t="inlineStr">
        <is>
          <t>SCA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8660-2025</t>
        </is>
      </c>
      <c r="B3579" s="1" t="n">
        <v>45712</v>
      </c>
      <c r="C3579" s="1" t="n">
        <v>45734</v>
      </c>
      <c r="D3579" t="inlineStr">
        <is>
          <t>JÄMTLANDS LÄN</t>
        </is>
      </c>
      <c r="E3579" t="inlineStr">
        <is>
          <t>STRÖMSUND</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8808-2025</t>
        </is>
      </c>
      <c r="B3580" s="1" t="n">
        <v>45712</v>
      </c>
      <c r="C3580" s="1" t="n">
        <v>45734</v>
      </c>
      <c r="D3580" t="inlineStr">
        <is>
          <t>JÄMTLANDS LÄN</t>
        </is>
      </c>
      <c r="E3580" t="inlineStr">
        <is>
          <t>STRÖMSUND</t>
        </is>
      </c>
      <c r="F3580" t="inlineStr">
        <is>
          <t>SCA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8812-2025</t>
        </is>
      </c>
      <c r="B3581" s="1" t="n">
        <v>45712</v>
      </c>
      <c r="C3581" s="1" t="n">
        <v>45734</v>
      </c>
      <c r="D3581" t="inlineStr">
        <is>
          <t>JÄMTLANDS LÄN</t>
        </is>
      </c>
      <c r="E3581" t="inlineStr">
        <is>
          <t>STRÖMSUND</t>
        </is>
      </c>
      <c r="F3581" t="inlineStr">
        <is>
          <t>Kyrkan</t>
        </is>
      </c>
      <c r="G3581" t="n">
        <v>38.1</v>
      </c>
      <c r="H3581" t="n">
        <v>0</v>
      </c>
      <c r="I3581" t="n">
        <v>0</v>
      </c>
      <c r="J3581" t="n">
        <v>0</v>
      </c>
      <c r="K3581" t="n">
        <v>0</v>
      </c>
      <c r="L3581" t="n">
        <v>0</v>
      </c>
      <c r="M3581" t="n">
        <v>0</v>
      </c>
      <c r="N3581" t="n">
        <v>0</v>
      </c>
      <c r="O3581" t="n">
        <v>0</v>
      </c>
      <c r="P3581" t="n">
        <v>0</v>
      </c>
      <c r="Q3581" t="n">
        <v>0</v>
      </c>
      <c r="R3581" s="2" t="inlineStr"/>
    </row>
    <row r="3582" ht="15" customHeight="1">
      <c r="A3582" t="inlineStr">
        <is>
          <t>A 8809-2025</t>
        </is>
      </c>
      <c r="B3582" s="1" t="n">
        <v>45712</v>
      </c>
      <c r="C3582" s="1" t="n">
        <v>45734</v>
      </c>
      <c r="D3582" t="inlineStr">
        <is>
          <t>JÄMTLANDS LÄN</t>
        </is>
      </c>
      <c r="E3582" t="inlineStr">
        <is>
          <t>STRÖMSUND</t>
        </is>
      </c>
      <c r="F3582" t="inlineStr">
        <is>
          <t>SCA</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8720-2025</t>
        </is>
      </c>
      <c r="B3583" s="1" t="n">
        <v>45712</v>
      </c>
      <c r="C3583" s="1" t="n">
        <v>45734</v>
      </c>
      <c r="D3583" t="inlineStr">
        <is>
          <t>JÄMTLANDS LÄN</t>
        </is>
      </c>
      <c r="E3583" t="inlineStr">
        <is>
          <t>STRÖMSUND</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8756-2025</t>
        </is>
      </c>
      <c r="B3584" s="1" t="n">
        <v>45712</v>
      </c>
      <c r="C3584" s="1" t="n">
        <v>45734</v>
      </c>
      <c r="D3584" t="inlineStr">
        <is>
          <t>JÄMTLANDS LÄN</t>
        </is>
      </c>
      <c r="E3584" t="inlineStr">
        <is>
          <t>STRÖMSUND</t>
        </is>
      </c>
      <c r="F3584" t="inlineStr">
        <is>
          <t>SCA</t>
        </is>
      </c>
      <c r="G3584" t="n">
        <v>27.9</v>
      </c>
      <c r="H3584" t="n">
        <v>0</v>
      </c>
      <c r="I3584" t="n">
        <v>0</v>
      </c>
      <c r="J3584" t="n">
        <v>0</v>
      </c>
      <c r="K3584" t="n">
        <v>0</v>
      </c>
      <c r="L3584" t="n">
        <v>0</v>
      </c>
      <c r="M3584" t="n">
        <v>0</v>
      </c>
      <c r="N3584" t="n">
        <v>0</v>
      </c>
      <c r="O3584" t="n">
        <v>0</v>
      </c>
      <c r="P3584" t="n">
        <v>0</v>
      </c>
      <c r="Q3584" t="n">
        <v>0</v>
      </c>
      <c r="R3584" s="2" t="inlineStr"/>
    </row>
    <row r="3585" ht="15" customHeight="1">
      <c r="A3585" t="inlineStr">
        <is>
          <t>A 9008-2025</t>
        </is>
      </c>
      <c r="B3585" s="1" t="n">
        <v>45713</v>
      </c>
      <c r="C3585" s="1" t="n">
        <v>45734</v>
      </c>
      <c r="D3585" t="inlineStr">
        <is>
          <t>JÄMTLANDS LÄN</t>
        </is>
      </c>
      <c r="E3585" t="inlineStr">
        <is>
          <t>STRÖMSUND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9234-2025</t>
        </is>
      </c>
      <c r="B3586" s="1" t="n">
        <v>45714</v>
      </c>
      <c r="C3586" s="1" t="n">
        <v>45734</v>
      </c>
      <c r="D3586" t="inlineStr">
        <is>
          <t>JÄMTLANDS LÄN</t>
        </is>
      </c>
      <c r="E3586" t="inlineStr">
        <is>
          <t>STRÖMSUND</t>
        </is>
      </c>
      <c r="F3586" t="inlineStr">
        <is>
          <t>SCA</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9258-2025</t>
        </is>
      </c>
      <c r="B3587" s="1" t="n">
        <v>45714</v>
      </c>
      <c r="C3587" s="1" t="n">
        <v>45734</v>
      </c>
      <c r="D3587" t="inlineStr">
        <is>
          <t>JÄMTLANDS LÄN</t>
        </is>
      </c>
      <c r="E3587" t="inlineStr">
        <is>
          <t>STRÖMSUND</t>
        </is>
      </c>
      <c r="F3587" t="inlineStr">
        <is>
          <t>SCA</t>
        </is>
      </c>
      <c r="G3587" t="n">
        <v>15.4</v>
      </c>
      <c r="H3587" t="n">
        <v>0</v>
      </c>
      <c r="I3587" t="n">
        <v>0</v>
      </c>
      <c r="J3587" t="n">
        <v>0</v>
      </c>
      <c r="K3587" t="n">
        <v>0</v>
      </c>
      <c r="L3587" t="n">
        <v>0</v>
      </c>
      <c r="M3587" t="n">
        <v>0</v>
      </c>
      <c r="N3587" t="n">
        <v>0</v>
      </c>
      <c r="O3587" t="n">
        <v>0</v>
      </c>
      <c r="P3587" t="n">
        <v>0</v>
      </c>
      <c r="Q3587" t="n">
        <v>0</v>
      </c>
      <c r="R3587" s="2" t="inlineStr"/>
    </row>
    <row r="3588" ht="15" customHeight="1">
      <c r="A3588" t="inlineStr">
        <is>
          <t>A 9318-2025</t>
        </is>
      </c>
      <c r="B3588" s="1" t="n">
        <v>45714</v>
      </c>
      <c r="C3588" s="1" t="n">
        <v>45734</v>
      </c>
      <c r="D3588" t="inlineStr">
        <is>
          <t>JÄMTLANDS LÄN</t>
        </is>
      </c>
      <c r="E3588" t="inlineStr">
        <is>
          <t>STRÖMSUND</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9195-2025</t>
        </is>
      </c>
      <c r="B3589" s="1" t="n">
        <v>45714</v>
      </c>
      <c r="C3589" s="1" t="n">
        <v>45734</v>
      </c>
      <c r="D3589" t="inlineStr">
        <is>
          <t>JÄMTLANDS LÄN</t>
        </is>
      </c>
      <c r="E3589" t="inlineStr">
        <is>
          <t>STRÖMSUND</t>
        </is>
      </c>
      <c r="F3589" t="inlineStr">
        <is>
          <t>SCA</t>
        </is>
      </c>
      <c r="G3589" t="n">
        <v>8.6</v>
      </c>
      <c r="H3589" t="n">
        <v>0</v>
      </c>
      <c r="I3589" t="n">
        <v>0</v>
      </c>
      <c r="J3589" t="n">
        <v>0</v>
      </c>
      <c r="K3589" t="n">
        <v>0</v>
      </c>
      <c r="L3589" t="n">
        <v>0</v>
      </c>
      <c r="M3589" t="n">
        <v>0</v>
      </c>
      <c r="N3589" t="n">
        <v>0</v>
      </c>
      <c r="O3589" t="n">
        <v>0</v>
      </c>
      <c r="P3589" t="n">
        <v>0</v>
      </c>
      <c r="Q3589" t="n">
        <v>0</v>
      </c>
      <c r="R3589" s="2" t="inlineStr"/>
    </row>
    <row r="3590" ht="15" customHeight="1">
      <c r="A3590" t="inlineStr">
        <is>
          <t>A 9257-2025</t>
        </is>
      </c>
      <c r="B3590" s="1" t="n">
        <v>45714</v>
      </c>
      <c r="C3590" s="1" t="n">
        <v>45734</v>
      </c>
      <c r="D3590" t="inlineStr">
        <is>
          <t>JÄMTLANDS LÄN</t>
        </is>
      </c>
      <c r="E3590" t="inlineStr">
        <is>
          <t>STRÖMSUND</t>
        </is>
      </c>
      <c r="F3590" t="inlineStr">
        <is>
          <t>SCA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9390-2025</t>
        </is>
      </c>
      <c r="B3591" s="1" t="n">
        <v>45714</v>
      </c>
      <c r="C3591" s="1" t="n">
        <v>45734</v>
      </c>
      <c r="D3591" t="inlineStr">
        <is>
          <t>JÄMTLANDS LÄN</t>
        </is>
      </c>
      <c r="E3591" t="inlineStr">
        <is>
          <t>STRÖMSUND</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9631-2025</t>
        </is>
      </c>
      <c r="B3592" s="1" t="n">
        <v>45715</v>
      </c>
      <c r="C3592" s="1" t="n">
        <v>45734</v>
      </c>
      <c r="D3592" t="inlineStr">
        <is>
          <t>JÄMTLANDS LÄN</t>
        </is>
      </c>
      <c r="E3592" t="inlineStr">
        <is>
          <t>STRÖMSUND</t>
        </is>
      </c>
      <c r="F3592" t="inlineStr">
        <is>
          <t>SCA</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9799-2025</t>
        </is>
      </c>
      <c r="B3593" s="1" t="n">
        <v>45716</v>
      </c>
      <c r="C3593" s="1" t="n">
        <v>45734</v>
      </c>
      <c r="D3593" t="inlineStr">
        <is>
          <t>JÄMTLANDS LÄN</t>
        </is>
      </c>
      <c r="E3593" t="inlineStr">
        <is>
          <t>STRÖMSUND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9797-2025</t>
        </is>
      </c>
      <c r="B3594" s="1" t="n">
        <v>45716</v>
      </c>
      <c r="C3594" s="1" t="n">
        <v>45734</v>
      </c>
      <c r="D3594" t="inlineStr">
        <is>
          <t>JÄMTLANDS LÄN</t>
        </is>
      </c>
      <c r="E3594" t="inlineStr">
        <is>
          <t>STRÖMSUND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9798-2025</t>
        </is>
      </c>
      <c r="B3595" s="1" t="n">
        <v>45716</v>
      </c>
      <c r="C3595" s="1" t="n">
        <v>45734</v>
      </c>
      <c r="D3595" t="inlineStr">
        <is>
          <t>JÄMTLANDS LÄN</t>
        </is>
      </c>
      <c r="E3595" t="inlineStr">
        <is>
          <t>STRÖMSUND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9949-2025</t>
        </is>
      </c>
      <c r="B3596" s="1" t="n">
        <v>45719</v>
      </c>
      <c r="C3596" s="1" t="n">
        <v>45734</v>
      </c>
      <c r="D3596" t="inlineStr">
        <is>
          <t>JÄMTLANDS LÄN</t>
        </is>
      </c>
      <c r="E3596" t="inlineStr">
        <is>
          <t>STRÖMSUND</t>
        </is>
      </c>
      <c r="F3596" t="inlineStr">
        <is>
          <t>Holmen skog AB</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10047-2025</t>
        </is>
      </c>
      <c r="B3597" s="1" t="n">
        <v>45719</v>
      </c>
      <c r="C3597" s="1" t="n">
        <v>45734</v>
      </c>
      <c r="D3597" t="inlineStr">
        <is>
          <t>JÄMTLANDS LÄN</t>
        </is>
      </c>
      <c r="E3597" t="inlineStr">
        <is>
          <t>STRÖMSUND</t>
        </is>
      </c>
      <c r="F3597" t="inlineStr">
        <is>
          <t>SCA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10016-2025</t>
        </is>
      </c>
      <c r="B3598" s="1" t="n">
        <v>45719</v>
      </c>
      <c r="C3598" s="1" t="n">
        <v>45734</v>
      </c>
      <c r="D3598" t="inlineStr">
        <is>
          <t>JÄMTLANDS LÄN</t>
        </is>
      </c>
      <c r="E3598" t="inlineStr">
        <is>
          <t>STRÖMSUND</t>
        </is>
      </c>
      <c r="F3598" t="inlineStr">
        <is>
          <t>SCA</t>
        </is>
      </c>
      <c r="G3598" t="n">
        <v>14.3</v>
      </c>
      <c r="H3598" t="n">
        <v>0</v>
      </c>
      <c r="I3598" t="n">
        <v>0</v>
      </c>
      <c r="J3598" t="n">
        <v>0</v>
      </c>
      <c r="K3598" t="n">
        <v>0</v>
      </c>
      <c r="L3598" t="n">
        <v>0</v>
      </c>
      <c r="M3598" t="n">
        <v>0</v>
      </c>
      <c r="N3598" t="n">
        <v>0</v>
      </c>
      <c r="O3598" t="n">
        <v>0</v>
      </c>
      <c r="P3598" t="n">
        <v>0</v>
      </c>
      <c r="Q3598" t="n">
        <v>0</v>
      </c>
      <c r="R3598" s="2" t="inlineStr"/>
    </row>
    <row r="3599" ht="15" customHeight="1">
      <c r="A3599" t="inlineStr">
        <is>
          <t>A 10092-2025</t>
        </is>
      </c>
      <c r="B3599" s="1" t="n">
        <v>45719</v>
      </c>
      <c r="C3599" s="1" t="n">
        <v>45734</v>
      </c>
      <c r="D3599" t="inlineStr">
        <is>
          <t>JÄMTLANDS LÄN</t>
        </is>
      </c>
      <c r="E3599" t="inlineStr">
        <is>
          <t>STRÖMSUND</t>
        </is>
      </c>
      <c r="G3599" t="n">
        <v>59.9</v>
      </c>
      <c r="H3599" t="n">
        <v>0</v>
      </c>
      <c r="I3599" t="n">
        <v>0</v>
      </c>
      <c r="J3599" t="n">
        <v>0</v>
      </c>
      <c r="K3599" t="n">
        <v>0</v>
      </c>
      <c r="L3599" t="n">
        <v>0</v>
      </c>
      <c r="M3599" t="n">
        <v>0</v>
      </c>
      <c r="N3599" t="n">
        <v>0</v>
      </c>
      <c r="O3599" t="n">
        <v>0</v>
      </c>
      <c r="P3599" t="n">
        <v>0</v>
      </c>
      <c r="Q3599" t="n">
        <v>0</v>
      </c>
      <c r="R3599" s="2" t="inlineStr"/>
    </row>
    <row r="3600" ht="15" customHeight="1">
      <c r="A3600" t="inlineStr">
        <is>
          <t>A 9956-2025</t>
        </is>
      </c>
      <c r="B3600" s="1" t="n">
        <v>45719</v>
      </c>
      <c r="C3600" s="1" t="n">
        <v>45734</v>
      </c>
      <c r="D3600" t="inlineStr">
        <is>
          <t>JÄMTLANDS LÄN</t>
        </is>
      </c>
      <c r="E3600" t="inlineStr">
        <is>
          <t>STRÖMSUND</t>
        </is>
      </c>
      <c r="F3600" t="inlineStr">
        <is>
          <t>Holmen skog AB</t>
        </is>
      </c>
      <c r="G3600" t="n">
        <v>21.4</v>
      </c>
      <c r="H3600" t="n">
        <v>0</v>
      </c>
      <c r="I3600" t="n">
        <v>0</v>
      </c>
      <c r="J3600" t="n">
        <v>0</v>
      </c>
      <c r="K3600" t="n">
        <v>0</v>
      </c>
      <c r="L3600" t="n">
        <v>0</v>
      </c>
      <c r="M3600" t="n">
        <v>0</v>
      </c>
      <c r="N3600" t="n">
        <v>0</v>
      </c>
      <c r="O3600" t="n">
        <v>0</v>
      </c>
      <c r="P3600" t="n">
        <v>0</v>
      </c>
      <c r="Q3600" t="n">
        <v>0</v>
      </c>
      <c r="R3600" s="2" t="inlineStr"/>
    </row>
    <row r="3601" ht="15" customHeight="1">
      <c r="A3601" t="inlineStr">
        <is>
          <t>A 10168-2025</t>
        </is>
      </c>
      <c r="B3601" s="1" t="n">
        <v>45719</v>
      </c>
      <c r="C3601" s="1" t="n">
        <v>45734</v>
      </c>
      <c r="D3601" t="inlineStr">
        <is>
          <t>JÄMTLANDS LÄN</t>
        </is>
      </c>
      <c r="E3601" t="inlineStr">
        <is>
          <t>STRÖMSUND</t>
        </is>
      </c>
      <c r="F3601" t="inlineStr">
        <is>
          <t>Kyrkan</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10180-2025</t>
        </is>
      </c>
      <c r="B3602" s="1" t="n">
        <v>45719</v>
      </c>
      <c r="C3602" s="1" t="n">
        <v>45734</v>
      </c>
      <c r="D3602" t="inlineStr">
        <is>
          <t>JÄMTLANDS LÄN</t>
        </is>
      </c>
      <c r="E3602" t="inlineStr">
        <is>
          <t>STRÖMSUND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10091-2025</t>
        </is>
      </c>
      <c r="B3603" s="1" t="n">
        <v>45719</v>
      </c>
      <c r="C3603" s="1" t="n">
        <v>45734</v>
      </c>
      <c r="D3603" t="inlineStr">
        <is>
          <t>JÄMTLANDS LÄN</t>
        </is>
      </c>
      <c r="E3603" t="inlineStr">
        <is>
          <t>STRÖMSUND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10132-2025</t>
        </is>
      </c>
      <c r="B3604" s="1" t="n">
        <v>45719</v>
      </c>
      <c r="C3604" s="1" t="n">
        <v>45734</v>
      </c>
      <c r="D3604" t="inlineStr">
        <is>
          <t>JÄMTLANDS LÄN</t>
        </is>
      </c>
      <c r="E3604" t="inlineStr">
        <is>
          <t>STRÖMSUND</t>
        </is>
      </c>
      <c r="F3604" t="inlineStr">
        <is>
          <t>SCA</t>
        </is>
      </c>
      <c r="G3604" t="n">
        <v>30.1</v>
      </c>
      <c r="H3604" t="n">
        <v>0</v>
      </c>
      <c r="I3604" t="n">
        <v>0</v>
      </c>
      <c r="J3604" t="n">
        <v>0</v>
      </c>
      <c r="K3604" t="n">
        <v>0</v>
      </c>
      <c r="L3604" t="n">
        <v>0</v>
      </c>
      <c r="M3604" t="n">
        <v>0</v>
      </c>
      <c r="N3604" t="n">
        <v>0</v>
      </c>
      <c r="O3604" t="n">
        <v>0</v>
      </c>
      <c r="P3604" t="n">
        <v>0</v>
      </c>
      <c r="Q3604" t="n">
        <v>0</v>
      </c>
      <c r="R3604" s="2" t="inlineStr"/>
    </row>
    <row r="3605" ht="15" customHeight="1">
      <c r="A3605" t="inlineStr">
        <is>
          <t>A 10089-2025</t>
        </is>
      </c>
      <c r="B3605" s="1" t="n">
        <v>45719</v>
      </c>
      <c r="C3605" s="1" t="n">
        <v>45734</v>
      </c>
      <c r="D3605" t="inlineStr">
        <is>
          <t>JÄMTLANDS LÄN</t>
        </is>
      </c>
      <c r="E3605" t="inlineStr">
        <is>
          <t>STRÖMSUND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10093-2025</t>
        </is>
      </c>
      <c r="B3606" s="1" t="n">
        <v>45719</v>
      </c>
      <c r="C3606" s="1" t="n">
        <v>45734</v>
      </c>
      <c r="D3606" t="inlineStr">
        <is>
          <t>JÄMTLANDS LÄN</t>
        </is>
      </c>
      <c r="E3606" t="inlineStr">
        <is>
          <t>STRÖMSUND</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10163-2025</t>
        </is>
      </c>
      <c r="B3607" s="1" t="n">
        <v>45719</v>
      </c>
      <c r="C3607" s="1" t="n">
        <v>45734</v>
      </c>
      <c r="D3607" t="inlineStr">
        <is>
          <t>JÄMTLANDS LÄN</t>
        </is>
      </c>
      <c r="E3607" t="inlineStr">
        <is>
          <t>STRÖMSUND</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10236-2025</t>
        </is>
      </c>
      <c r="B3608" s="1" t="n">
        <v>45720</v>
      </c>
      <c r="C3608" s="1" t="n">
        <v>45734</v>
      </c>
      <c r="D3608" t="inlineStr">
        <is>
          <t>JÄMTLANDS LÄN</t>
        </is>
      </c>
      <c r="E3608" t="inlineStr">
        <is>
          <t>STRÖMSUND</t>
        </is>
      </c>
      <c r="F3608" t="inlineStr">
        <is>
          <t>SCA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10443-2025</t>
        </is>
      </c>
      <c r="B3609" s="1" t="n">
        <v>45720</v>
      </c>
      <c r="C3609" s="1" t="n">
        <v>45734</v>
      </c>
      <c r="D3609" t="inlineStr">
        <is>
          <t>JÄMTLANDS LÄN</t>
        </is>
      </c>
      <c r="E3609" t="inlineStr">
        <is>
          <t>STRÖMSUND</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10428-2025</t>
        </is>
      </c>
      <c r="B3610" s="1" t="n">
        <v>45720</v>
      </c>
      <c r="C3610" s="1" t="n">
        <v>45734</v>
      </c>
      <c r="D3610" t="inlineStr">
        <is>
          <t>JÄMTLANDS LÄN</t>
        </is>
      </c>
      <c r="E3610" t="inlineStr">
        <is>
          <t>STRÖMSUND</t>
        </is>
      </c>
      <c r="F3610" t="inlineStr">
        <is>
          <t>SCA</t>
        </is>
      </c>
      <c r="G3610" t="n">
        <v>14.2</v>
      </c>
      <c r="H3610" t="n">
        <v>0</v>
      </c>
      <c r="I3610" t="n">
        <v>0</v>
      </c>
      <c r="J3610" t="n">
        <v>0</v>
      </c>
      <c r="K3610" t="n">
        <v>0</v>
      </c>
      <c r="L3610" t="n">
        <v>0</v>
      </c>
      <c r="M3610" t="n">
        <v>0</v>
      </c>
      <c r="N3610" t="n">
        <v>0</v>
      </c>
      <c r="O3610" t="n">
        <v>0</v>
      </c>
      <c r="P3610" t="n">
        <v>0</v>
      </c>
      <c r="Q3610" t="n">
        <v>0</v>
      </c>
      <c r="R3610" s="2" t="inlineStr"/>
    </row>
    <row r="3611" ht="15" customHeight="1">
      <c r="A3611" t="inlineStr">
        <is>
          <t>A 10429-2025</t>
        </is>
      </c>
      <c r="B3611" s="1" t="n">
        <v>45720</v>
      </c>
      <c r="C3611" s="1" t="n">
        <v>45734</v>
      </c>
      <c r="D3611" t="inlineStr">
        <is>
          <t>JÄMTLANDS LÄN</t>
        </is>
      </c>
      <c r="E3611" t="inlineStr">
        <is>
          <t>STRÖMSUND</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10584-2025</t>
        </is>
      </c>
      <c r="B3612" s="1" t="n">
        <v>45721</v>
      </c>
      <c r="C3612" s="1" t="n">
        <v>45734</v>
      </c>
      <c r="D3612" t="inlineStr">
        <is>
          <t>JÄMTLANDS LÄN</t>
        </is>
      </c>
      <c r="E3612" t="inlineStr">
        <is>
          <t>STRÖMSUND</t>
        </is>
      </c>
      <c r="F3612" t="inlineStr">
        <is>
          <t>SCA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10504-2025</t>
        </is>
      </c>
      <c r="B3613" s="1" t="n">
        <v>45721</v>
      </c>
      <c r="C3613" s="1" t="n">
        <v>45734</v>
      </c>
      <c r="D3613" t="inlineStr">
        <is>
          <t>JÄMTLANDS LÄN</t>
        </is>
      </c>
      <c r="E3613" t="inlineStr">
        <is>
          <t>STRÖMSUND</t>
        </is>
      </c>
      <c r="F3613" t="inlineStr">
        <is>
          <t>SCA</t>
        </is>
      </c>
      <c r="G3613" t="n">
        <v>13.2</v>
      </c>
      <c r="H3613" t="n">
        <v>0</v>
      </c>
      <c r="I3613" t="n">
        <v>0</v>
      </c>
      <c r="J3613" t="n">
        <v>0</v>
      </c>
      <c r="K3613" t="n">
        <v>0</v>
      </c>
      <c r="L3613" t="n">
        <v>0</v>
      </c>
      <c r="M3613" t="n">
        <v>0</v>
      </c>
      <c r="N3613" t="n">
        <v>0</v>
      </c>
      <c r="O3613" t="n">
        <v>0</v>
      </c>
      <c r="P3613" t="n">
        <v>0</v>
      </c>
      <c r="Q3613" t="n">
        <v>0</v>
      </c>
      <c r="R3613" s="2" t="inlineStr"/>
    </row>
    <row r="3614" ht="15" customHeight="1">
      <c r="A3614" t="inlineStr">
        <is>
          <t>A 10585-2025</t>
        </is>
      </c>
      <c r="B3614" s="1" t="n">
        <v>45721</v>
      </c>
      <c r="C3614" s="1" t="n">
        <v>45734</v>
      </c>
      <c r="D3614" t="inlineStr">
        <is>
          <t>JÄMTLANDS LÄN</t>
        </is>
      </c>
      <c r="E3614" t="inlineStr">
        <is>
          <t>STRÖMSUND</t>
        </is>
      </c>
      <c r="F3614" t="inlineStr">
        <is>
          <t>SCA</t>
        </is>
      </c>
      <c r="G3614" t="n">
        <v>27.4</v>
      </c>
      <c r="H3614" t="n">
        <v>0</v>
      </c>
      <c r="I3614" t="n">
        <v>0</v>
      </c>
      <c r="J3614" t="n">
        <v>0</v>
      </c>
      <c r="K3614" t="n">
        <v>0</v>
      </c>
      <c r="L3614" t="n">
        <v>0</v>
      </c>
      <c r="M3614" t="n">
        <v>0</v>
      </c>
      <c r="N3614" t="n">
        <v>0</v>
      </c>
      <c r="O3614" t="n">
        <v>0</v>
      </c>
      <c r="P3614" t="n">
        <v>0</v>
      </c>
      <c r="Q3614" t="n">
        <v>0</v>
      </c>
      <c r="R3614" s="2" t="inlineStr"/>
    </row>
    <row r="3615" ht="15" customHeight="1">
      <c r="A3615" t="inlineStr">
        <is>
          <t>A 10605-2025</t>
        </is>
      </c>
      <c r="B3615" s="1" t="n">
        <v>45721</v>
      </c>
      <c r="C3615" s="1" t="n">
        <v>45734</v>
      </c>
      <c r="D3615" t="inlineStr">
        <is>
          <t>JÄMTLANDS LÄN</t>
        </is>
      </c>
      <c r="E3615" t="inlineStr">
        <is>
          <t>STRÖMSUND</t>
        </is>
      </c>
      <c r="F3615" t="inlineStr">
        <is>
          <t>SCA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10629-2025</t>
        </is>
      </c>
      <c r="B3616" s="1" t="n">
        <v>45721</v>
      </c>
      <c r="C3616" s="1" t="n">
        <v>45734</v>
      </c>
      <c r="D3616" t="inlineStr">
        <is>
          <t>JÄMTLANDS LÄN</t>
        </is>
      </c>
      <c r="E3616" t="inlineStr">
        <is>
          <t>STRÖMSUND</t>
        </is>
      </c>
      <c r="F3616" t="inlineStr">
        <is>
          <t>SCA</t>
        </is>
      </c>
      <c r="G3616" t="n">
        <v>18.7</v>
      </c>
      <c r="H3616" t="n">
        <v>0</v>
      </c>
      <c r="I3616" t="n">
        <v>0</v>
      </c>
      <c r="J3616" t="n">
        <v>0</v>
      </c>
      <c r="K3616" t="n">
        <v>0</v>
      </c>
      <c r="L3616" t="n">
        <v>0</v>
      </c>
      <c r="M3616" t="n">
        <v>0</v>
      </c>
      <c r="N3616" t="n">
        <v>0</v>
      </c>
      <c r="O3616" t="n">
        <v>0</v>
      </c>
      <c r="P3616" t="n">
        <v>0</v>
      </c>
      <c r="Q3616" t="n">
        <v>0</v>
      </c>
      <c r="R3616" s="2" t="inlineStr"/>
    </row>
    <row r="3617" ht="15" customHeight="1">
      <c r="A3617" t="inlineStr">
        <is>
          <t>A 10855-2025</t>
        </is>
      </c>
      <c r="B3617" s="1" t="n">
        <v>45722</v>
      </c>
      <c r="C3617" s="1" t="n">
        <v>45734</v>
      </c>
      <c r="D3617" t="inlineStr">
        <is>
          <t>JÄMTLANDS LÄN</t>
        </is>
      </c>
      <c r="E3617" t="inlineStr">
        <is>
          <t>STRÖMSUND</t>
        </is>
      </c>
      <c r="F3617" t="inlineStr">
        <is>
          <t>SCA</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10857-2025</t>
        </is>
      </c>
      <c r="B3618" s="1" t="n">
        <v>45722</v>
      </c>
      <c r="C3618" s="1" t="n">
        <v>45734</v>
      </c>
      <c r="D3618" t="inlineStr">
        <is>
          <t>JÄMTLANDS LÄN</t>
        </is>
      </c>
      <c r="E3618" t="inlineStr">
        <is>
          <t>STRÖMSUND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10864-2025</t>
        </is>
      </c>
      <c r="B3619" s="1" t="n">
        <v>45722</v>
      </c>
      <c r="C3619" s="1" t="n">
        <v>45734</v>
      </c>
      <c r="D3619" t="inlineStr">
        <is>
          <t>JÄMTLANDS LÄN</t>
        </is>
      </c>
      <c r="E3619" t="inlineStr">
        <is>
          <t>STRÖMSUND</t>
        </is>
      </c>
      <c r="F3619" t="inlineStr">
        <is>
          <t>SCA</t>
        </is>
      </c>
      <c r="G3619" t="n">
        <v>21.1</v>
      </c>
      <c r="H3619" t="n">
        <v>0</v>
      </c>
      <c r="I3619" t="n">
        <v>0</v>
      </c>
      <c r="J3619" t="n">
        <v>0</v>
      </c>
      <c r="K3619" t="n">
        <v>0</v>
      </c>
      <c r="L3619" t="n">
        <v>0</v>
      </c>
      <c r="M3619" t="n">
        <v>0</v>
      </c>
      <c r="N3619" t="n">
        <v>0</v>
      </c>
      <c r="O3619" t="n">
        <v>0</v>
      </c>
      <c r="P3619" t="n">
        <v>0</v>
      </c>
      <c r="Q3619" t="n">
        <v>0</v>
      </c>
      <c r="R3619" s="2" t="inlineStr"/>
    </row>
    <row r="3620" ht="15" customHeight="1">
      <c r="A3620" t="inlineStr">
        <is>
          <t>A 10927-2025</t>
        </is>
      </c>
      <c r="B3620" s="1" t="n">
        <v>45722</v>
      </c>
      <c r="C3620" s="1" t="n">
        <v>45734</v>
      </c>
      <c r="D3620" t="inlineStr">
        <is>
          <t>JÄMTLANDS LÄN</t>
        </is>
      </c>
      <c r="E3620" t="inlineStr">
        <is>
          <t>STRÖMSUND</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10951-2025</t>
        </is>
      </c>
      <c r="B3621" s="1" t="n">
        <v>45723</v>
      </c>
      <c r="C3621" s="1" t="n">
        <v>45734</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11027-2025</t>
        </is>
      </c>
      <c r="B3622" s="1" t="n">
        <v>45723</v>
      </c>
      <c r="C3622" s="1" t="n">
        <v>45734</v>
      </c>
      <c r="D3622" t="inlineStr">
        <is>
          <t>JÄMTLANDS LÄN</t>
        </is>
      </c>
      <c r="E3622" t="inlineStr">
        <is>
          <t>STRÖMSUND</t>
        </is>
      </c>
      <c r="F3622" t="inlineStr">
        <is>
          <t>SCA</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11157-2025</t>
        </is>
      </c>
      <c r="B3623" s="1" t="n">
        <v>45723</v>
      </c>
      <c r="C3623" s="1" t="n">
        <v>45734</v>
      </c>
      <c r="D3623" t="inlineStr">
        <is>
          <t>JÄMTLANDS LÄN</t>
        </is>
      </c>
      <c r="E3623" t="inlineStr">
        <is>
          <t>STRÖMSUND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11169-2025</t>
        </is>
      </c>
      <c r="B3624" s="1" t="n">
        <v>45724</v>
      </c>
      <c r="C3624" s="1" t="n">
        <v>45734</v>
      </c>
      <c r="D3624" t="inlineStr">
        <is>
          <t>JÄMTLANDS LÄN</t>
        </is>
      </c>
      <c r="E3624" t="inlineStr">
        <is>
          <t>STRÖMSUND</t>
        </is>
      </c>
      <c r="F3624" t="inlineStr">
        <is>
          <t>SCA</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11224-2025</t>
        </is>
      </c>
      <c r="B3625" s="1" t="n">
        <v>45726</v>
      </c>
      <c r="C3625" s="1" t="n">
        <v>45734</v>
      </c>
      <c r="D3625" t="inlineStr">
        <is>
          <t>JÄMTLANDS LÄN</t>
        </is>
      </c>
      <c r="E3625" t="inlineStr">
        <is>
          <t>STRÖMSUND</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11396-2025</t>
        </is>
      </c>
      <c r="B3626" s="1" t="n">
        <v>45726</v>
      </c>
      <c r="C3626" s="1" t="n">
        <v>45734</v>
      </c>
      <c r="D3626" t="inlineStr">
        <is>
          <t>JÄMTLANDS LÄN</t>
        </is>
      </c>
      <c r="E3626" t="inlineStr">
        <is>
          <t>STRÖMSUND</t>
        </is>
      </c>
      <c r="F3626" t="inlineStr">
        <is>
          <t>SCA</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11546-2025</t>
        </is>
      </c>
      <c r="B3627" s="1" t="n">
        <v>45727</v>
      </c>
      <c r="C3627" s="1" t="n">
        <v>45734</v>
      </c>
      <c r="D3627" t="inlineStr">
        <is>
          <t>JÄMTLANDS LÄN</t>
        </is>
      </c>
      <c r="E3627" t="inlineStr">
        <is>
          <t>STRÖMSUND</t>
        </is>
      </c>
      <c r="F3627" t="inlineStr">
        <is>
          <t>SCA</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11681-2025</t>
        </is>
      </c>
      <c r="B3628" s="1" t="n">
        <v>45727</v>
      </c>
      <c r="C3628" s="1" t="n">
        <v>45734</v>
      </c>
      <c r="D3628" t="inlineStr">
        <is>
          <t>JÄMTLANDS LÄN</t>
        </is>
      </c>
      <c r="E3628" t="inlineStr">
        <is>
          <t>STRÖMSUND</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11664-2025</t>
        </is>
      </c>
      <c r="B3629" s="1" t="n">
        <v>45727</v>
      </c>
      <c r="C3629" s="1" t="n">
        <v>45734</v>
      </c>
      <c r="D3629" t="inlineStr">
        <is>
          <t>JÄMTLANDS LÄN</t>
        </is>
      </c>
      <c r="E3629" t="inlineStr">
        <is>
          <t>STRÖMSUND</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11733-2025</t>
        </is>
      </c>
      <c r="B3630" s="1" t="n">
        <v>45727</v>
      </c>
      <c r="C3630" s="1" t="n">
        <v>45734</v>
      </c>
      <c r="D3630" t="inlineStr">
        <is>
          <t>JÄMTLANDS LÄN</t>
        </is>
      </c>
      <c r="E3630" t="inlineStr">
        <is>
          <t>STRÖMSUND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11738-2025</t>
        </is>
      </c>
      <c r="B3631" s="1" t="n">
        <v>45727</v>
      </c>
      <c r="C3631" s="1" t="n">
        <v>45734</v>
      </c>
      <c r="D3631" t="inlineStr">
        <is>
          <t>JÄMTLANDS LÄN</t>
        </is>
      </c>
      <c r="E3631" t="inlineStr">
        <is>
          <t>STRÖMSUND</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11838-2025</t>
        </is>
      </c>
      <c r="B3632" s="1" t="n">
        <v>45728</v>
      </c>
      <c r="C3632" s="1" t="n">
        <v>45734</v>
      </c>
      <c r="D3632" t="inlineStr">
        <is>
          <t>JÄMTLANDS LÄN</t>
        </is>
      </c>
      <c r="E3632" t="inlineStr">
        <is>
          <t>STRÖMSUND</t>
        </is>
      </c>
      <c r="F3632" t="inlineStr">
        <is>
          <t>SCA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11930-2025</t>
        </is>
      </c>
      <c r="B3633" s="1" t="n">
        <v>45728</v>
      </c>
      <c r="C3633" s="1" t="n">
        <v>45734</v>
      </c>
      <c r="D3633" t="inlineStr">
        <is>
          <t>JÄMTLANDS LÄN</t>
        </is>
      </c>
      <c r="E3633" t="inlineStr">
        <is>
          <t>STRÖMSUND</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12097-2025</t>
        </is>
      </c>
      <c r="B3634" s="1" t="n">
        <v>45729</v>
      </c>
      <c r="C3634" s="1" t="n">
        <v>45734</v>
      </c>
      <c r="D3634" t="inlineStr">
        <is>
          <t>JÄMTLANDS LÄN</t>
        </is>
      </c>
      <c r="E3634" t="inlineStr">
        <is>
          <t>STRÖMSUND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12188-2025</t>
        </is>
      </c>
      <c r="B3635" s="1" t="n">
        <v>45729</v>
      </c>
      <c r="C3635" s="1" t="n">
        <v>45734</v>
      </c>
      <c r="D3635" t="inlineStr">
        <is>
          <t>JÄMTLANDS LÄN</t>
        </is>
      </c>
      <c r="E3635" t="inlineStr">
        <is>
          <t>STRÖMSUND</t>
        </is>
      </c>
      <c r="F3635" t="inlineStr">
        <is>
          <t>SCA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12201-2025</t>
        </is>
      </c>
      <c r="B3636" s="1" t="n">
        <v>45729</v>
      </c>
      <c r="C3636" s="1" t="n">
        <v>45734</v>
      </c>
      <c r="D3636" t="inlineStr">
        <is>
          <t>JÄMTLANDS LÄN</t>
        </is>
      </c>
      <c r="E3636" t="inlineStr">
        <is>
          <t>STRÖMSUND</t>
        </is>
      </c>
      <c r="G3636" t="n">
        <v>6.7</v>
      </c>
      <c r="H3636" t="n">
        <v>0</v>
      </c>
      <c r="I3636" t="n">
        <v>0</v>
      </c>
      <c r="J3636" t="n">
        <v>0</v>
      </c>
      <c r="K3636" t="n">
        <v>0</v>
      </c>
      <c r="L3636" t="n">
        <v>0</v>
      </c>
      <c r="M3636" t="n">
        <v>0</v>
      </c>
      <c r="N3636" t="n">
        <v>0</v>
      </c>
      <c r="O3636" t="n">
        <v>0</v>
      </c>
      <c r="P3636" t="n">
        <v>0</v>
      </c>
      <c r="Q3636" t="n">
        <v>0</v>
      </c>
      <c r="R3636" s="2" t="inlineStr"/>
    </row>
    <row r="3637" ht="15" customHeight="1">
      <c r="A3637" t="inlineStr">
        <is>
          <t>A 12265-2025</t>
        </is>
      </c>
      <c r="B3637" s="1" t="n">
        <v>45729</v>
      </c>
      <c r="C3637" s="1" t="n">
        <v>45734</v>
      </c>
      <c r="D3637" t="inlineStr">
        <is>
          <t>JÄMTLANDS LÄN</t>
        </is>
      </c>
      <c r="E3637" t="inlineStr">
        <is>
          <t>STRÖMSUND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12099-2025</t>
        </is>
      </c>
      <c r="B3638" s="1" t="n">
        <v>45729</v>
      </c>
      <c r="C3638" s="1" t="n">
        <v>45734</v>
      </c>
      <c r="D3638" t="inlineStr">
        <is>
          <t>JÄMTLANDS LÄN</t>
        </is>
      </c>
      <c r="E3638" t="inlineStr">
        <is>
          <t>STRÖMSUND</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12175-2025</t>
        </is>
      </c>
      <c r="B3639" s="1" t="n">
        <v>45729</v>
      </c>
      <c r="C3639" s="1" t="n">
        <v>45734</v>
      </c>
      <c r="D3639" t="inlineStr">
        <is>
          <t>JÄMTLANDS LÄN</t>
        </is>
      </c>
      <c r="E3639" t="inlineStr">
        <is>
          <t>STRÖMSUND</t>
        </is>
      </c>
      <c r="F3639" t="inlineStr">
        <is>
          <t>SCA</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12666-2025</t>
        </is>
      </c>
      <c r="B3640" s="1" t="n">
        <v>45733</v>
      </c>
      <c r="C3640" s="1" t="n">
        <v>45734</v>
      </c>
      <c r="D3640" t="inlineStr">
        <is>
          <t>JÄMTLANDS LÄN</t>
        </is>
      </c>
      <c r="E3640" t="inlineStr">
        <is>
          <t>STRÖMSUND</t>
        </is>
      </c>
      <c r="F3640" t="inlineStr">
        <is>
          <t>SCA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12641-2025</t>
        </is>
      </c>
      <c r="B3641" s="1" t="n">
        <v>45733</v>
      </c>
      <c r="C3641" s="1" t="n">
        <v>45734</v>
      </c>
      <c r="D3641" t="inlineStr">
        <is>
          <t>JÄMTLANDS LÄN</t>
        </is>
      </c>
      <c r="E3641" t="inlineStr">
        <is>
          <t>STRÖMSUND</t>
        </is>
      </c>
      <c r="F3641" t="inlineStr">
        <is>
          <t>SCA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12835-2025</t>
        </is>
      </c>
      <c r="B3642" s="1" t="n">
        <v>45733</v>
      </c>
      <c r="C3642" s="1" t="n">
        <v>45734</v>
      </c>
      <c r="D3642" t="inlineStr">
        <is>
          <t>JÄMTLANDS LÄN</t>
        </is>
      </c>
      <c r="E3642" t="inlineStr">
        <is>
          <t>STRÖMSUND</t>
        </is>
      </c>
      <c r="F3642" t="inlineStr">
        <is>
          <t>SCA</t>
        </is>
      </c>
      <c r="G3642" t="n">
        <v>7.2</v>
      </c>
      <c r="H3642" t="n">
        <v>0</v>
      </c>
      <c r="I3642" t="n">
        <v>0</v>
      </c>
      <c r="J3642" t="n">
        <v>0</v>
      </c>
      <c r="K3642" t="n">
        <v>0</v>
      </c>
      <c r="L3642" t="n">
        <v>0</v>
      </c>
      <c r="M3642" t="n">
        <v>0</v>
      </c>
      <c r="N3642" t="n">
        <v>0</v>
      </c>
      <c r="O3642" t="n">
        <v>0</v>
      </c>
      <c r="P3642" t="n">
        <v>0</v>
      </c>
      <c r="Q3642" t="n">
        <v>0</v>
      </c>
      <c r="R3642" s="2" t="inlineStr"/>
    </row>
    <row r="3643">
      <c r="A3643" t="inlineStr">
        <is>
          <t>A 12870-2025</t>
        </is>
      </c>
      <c r="B3643" s="1" t="n">
        <v>45733</v>
      </c>
      <c r="C3643" s="1" t="n">
        <v>45734</v>
      </c>
      <c r="D3643" t="inlineStr">
        <is>
          <t>JÄMTLANDS LÄN</t>
        </is>
      </c>
      <c r="E3643" t="inlineStr">
        <is>
          <t>STRÖMSUND</t>
        </is>
      </c>
      <c r="F3643" t="inlineStr">
        <is>
          <t>SCA</t>
        </is>
      </c>
      <c r="G3643" t="n">
        <v>1</v>
      </c>
      <c r="H3643" t="n">
        <v>0</v>
      </c>
      <c r="I3643" t="n">
        <v>0</v>
      </c>
      <c r="J3643" t="n">
        <v>0</v>
      </c>
      <c r="K3643" t="n">
        <v>0</v>
      </c>
      <c r="L3643" t="n">
        <v>0</v>
      </c>
      <c r="M3643" t="n">
        <v>0</v>
      </c>
      <c r="N3643" t="n">
        <v>0</v>
      </c>
      <c r="O3643" t="n">
        <v>0</v>
      </c>
      <c r="P3643" t="n">
        <v>0</v>
      </c>
      <c r="Q3643" t="n">
        <v>0</v>
      </c>
      <c r="R3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2025-03-18T15:31:12Z</dcterms:created>
  <dcterms:modified xmlns:dcterms="http://purl.org/dc/terms/" xmlns:xsi="http://www.w3.org/2001/XMLSchema-instance" xsi:type="dcterms:W3CDTF">2025-03-18T15:31:15Z</dcterms:modified>
</cp:coreProperties>
</file>