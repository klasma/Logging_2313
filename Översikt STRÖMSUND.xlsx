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45579</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45579</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45579</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45579</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45579</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45579</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45579</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45579</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45579</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45579</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45579</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45579</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45579</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45579</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45579</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45579</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45579</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45579</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45579</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45579</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45579</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45579</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45579</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45579</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45579</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45579</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45579</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45579</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45579</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45579</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45579</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45579</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45579</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45579</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45579</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45579</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45579</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45579</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45579</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45579</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45579</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45579</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45579</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45579</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45579</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45579</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45579</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45579</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45579</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45579</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45579</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45579</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45579</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45579</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45579</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45579</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45579</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45579</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45579</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45579</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45579</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45579</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45579</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45579</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45579</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45579</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45579</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45579</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45579</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45579</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45579</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45579</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45579</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45579</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45579</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45579</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45579</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45579</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45579</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45579</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45579</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45579</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45579</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45579</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45579</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45579</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45579</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45579</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45579</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45579</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45579</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45579</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45579</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45579</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45579</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45579</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45579</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45579</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45579</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45579</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45579</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45579</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45579</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45579</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45579</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45579</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45579</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45579</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45579</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45579</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45579</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45579</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45579</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45579</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45579</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45579</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45579</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45579</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45579</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45579</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45579</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45579</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45579</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45579</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45579</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45579</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45579</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45579</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45579</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45579</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45579</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45579</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45579</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45579</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45579</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45579</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45579</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45579</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45579</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45579</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45579</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45579</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45579</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45579</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45579</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45579</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45579</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45579</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45579</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45579</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45579</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45579</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45579</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45579</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45579</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45579</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45579</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45579</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45579</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45579</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45579</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45579</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45579</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45579</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45579</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45579</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45579</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45579</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45579</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45579</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45579</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45579</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45579</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45579</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45579</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45579</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45579</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45579</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45579</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45579</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45579</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45579</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45579</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45579</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45579</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45579</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45579</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45579</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45579</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45579</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45579</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45579</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45579</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45579</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45579</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45579</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45579</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45579</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45579</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45579</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45579</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45579</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45579</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45579</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45579</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45579</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45579</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45579</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45579</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45579</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45579</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45579</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45579</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45579</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45579</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45579</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45579</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45579</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45579</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45579</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45579</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45579</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45579</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45579</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45579</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45579</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45579</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45579</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45579</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45579</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45579</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45579</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45579</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45579</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45579</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45579</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45579</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45579</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45579</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45579</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45579</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45579</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45579</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45579</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45579</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45579</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45579</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45579</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45579</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45579</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45579</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45579</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45579</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45579</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45579</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45579</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45579</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45579</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45579</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45579</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45579</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45579</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45579</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45579</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45579</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45579</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45579</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45579</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45579</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45579</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45579</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45579</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45579</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45579</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45579</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45579</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45579</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45579</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45579</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45579</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45579</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45579</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45579</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45579</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45579</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45579</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45579</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45579</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45579</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45579</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45579</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45579</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45579</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45579</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45579</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45579</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45579</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45579</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45579</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45579</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45579</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45579</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45579</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45579</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45579</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45579</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45579</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45579</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45579</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45579</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45579</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45579</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45579</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45579</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45579</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45579</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45579</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45579</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45579</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45579</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45579</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45579</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45579</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45579</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45579</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45579</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45579</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45579</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45579</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45579</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45579</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45579</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45579</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45579</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45579</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45579</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45579</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45579</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45579</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45579</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45579</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45579</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45579</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45579</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45579</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45579</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45579</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45579</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45579</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45579</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45579</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45579</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45579</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45579</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45579</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45579</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45579</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45579</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45579</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45579</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45579</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45579</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45579</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45579</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45579</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45579</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45579</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45579</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45579</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45579</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45579</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45579</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45579</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45579</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45579</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45579</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45579</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45579</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45579</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45579</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45579</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45579</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45579</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45579</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45579</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45579</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45579</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45579</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45579</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45579</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45579</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45579</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45579</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45579</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45579</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45579</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45579</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45579</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45579</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45579</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45579</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45579</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45579</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45579</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45579</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45579</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45579</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45579</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45579</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45579</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45579</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45579</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44617-2024</t>
        </is>
      </c>
      <c r="B418" s="1" t="n">
        <v>45574</v>
      </c>
      <c r="C418" s="1" t="n">
        <v>45579</v>
      </c>
      <c r="D418" t="inlineStr">
        <is>
          <t>JÄMTLANDS LÄN</t>
        </is>
      </c>
      <c r="E418" t="inlineStr">
        <is>
          <t>STRÖMSUND</t>
        </is>
      </c>
      <c r="F418" t="inlineStr">
        <is>
          <t>SCA</t>
        </is>
      </c>
      <c r="G418" t="n">
        <v>6.1</v>
      </c>
      <c r="H418" t="n">
        <v>0</v>
      </c>
      <c r="I418" t="n">
        <v>0</v>
      </c>
      <c r="J418" t="n">
        <v>1</v>
      </c>
      <c r="K418" t="n">
        <v>0</v>
      </c>
      <c r="L418" t="n">
        <v>0</v>
      </c>
      <c r="M418" t="n">
        <v>0</v>
      </c>
      <c r="N418" t="n">
        <v>0</v>
      </c>
      <c r="O418" t="n">
        <v>1</v>
      </c>
      <c r="P418" t="n">
        <v>0</v>
      </c>
      <c r="Q418" t="n">
        <v>1</v>
      </c>
      <c r="R418" s="2" t="inlineStr">
        <is>
          <t>Granticka</t>
        </is>
      </c>
      <c r="S418">
        <f>HYPERLINK("https://klasma.github.io/Logging_2313/artfynd/A 44617-2024 artfynd.xlsx", "A 44617-2024")</f>
        <v/>
      </c>
      <c r="T418">
        <f>HYPERLINK("https://klasma.github.io/Logging_2313/kartor/A 44617-2024 karta.png", "A 44617-2024")</f>
        <v/>
      </c>
      <c r="V418">
        <f>HYPERLINK("https://klasma.github.io/Logging_2313/klagomål/A 44617-2024 FSC-klagomål.docx", "A 44617-2024")</f>
        <v/>
      </c>
      <c r="W418">
        <f>HYPERLINK("https://klasma.github.io/Logging_2313/klagomålsmail/A 44617-2024 FSC-klagomål mail.docx", "A 44617-2024")</f>
        <v/>
      </c>
      <c r="X418">
        <f>HYPERLINK("https://klasma.github.io/Logging_2313/tillsyn/A 44617-2024 tillsynsbegäran.docx", "A 44617-2024")</f>
        <v/>
      </c>
      <c r="Y418">
        <f>HYPERLINK("https://klasma.github.io/Logging_2313/tillsynsmail/A 44617-2024 tillsynsbegäran mail.docx", "A 44617-2024")</f>
        <v/>
      </c>
    </row>
    <row r="419" ht="15" customHeight="1">
      <c r="A419" t="inlineStr">
        <is>
          <t>A 44603-2024</t>
        </is>
      </c>
      <c r="B419" s="1" t="n">
        <v>45574</v>
      </c>
      <c r="C419" s="1" t="n">
        <v>45579</v>
      </c>
      <c r="D419" t="inlineStr">
        <is>
          <t>JÄMTLANDS LÄN</t>
        </is>
      </c>
      <c r="E419" t="inlineStr">
        <is>
          <t>STRÖMSUND</t>
        </is>
      </c>
      <c r="F419" t="inlineStr">
        <is>
          <t>SCA</t>
        </is>
      </c>
      <c r="G419" t="n">
        <v>4.6</v>
      </c>
      <c r="H419" t="n">
        <v>0</v>
      </c>
      <c r="I419" t="n">
        <v>0</v>
      </c>
      <c r="J419" t="n">
        <v>0</v>
      </c>
      <c r="K419" t="n">
        <v>1</v>
      </c>
      <c r="L419" t="n">
        <v>0</v>
      </c>
      <c r="M419" t="n">
        <v>0</v>
      </c>
      <c r="N419" t="n">
        <v>0</v>
      </c>
      <c r="O419" t="n">
        <v>1</v>
      </c>
      <c r="P419" t="n">
        <v>1</v>
      </c>
      <c r="Q419" t="n">
        <v>1</v>
      </c>
      <c r="R419" s="2" t="inlineStr">
        <is>
          <t>Norsk näverlav</t>
        </is>
      </c>
      <c r="S419">
        <f>HYPERLINK("https://klasma.github.io/Logging_2313/artfynd/A 44603-2024 artfynd.xlsx", "A 44603-2024")</f>
        <v/>
      </c>
      <c r="T419">
        <f>HYPERLINK("https://klasma.github.io/Logging_2313/kartor/A 44603-2024 karta.png", "A 44603-2024")</f>
        <v/>
      </c>
      <c r="V419">
        <f>HYPERLINK("https://klasma.github.io/Logging_2313/klagomål/A 44603-2024 FSC-klagomål.docx", "A 44603-2024")</f>
        <v/>
      </c>
      <c r="W419">
        <f>HYPERLINK("https://klasma.github.io/Logging_2313/klagomålsmail/A 44603-2024 FSC-klagomål mail.docx", "A 44603-2024")</f>
        <v/>
      </c>
      <c r="X419">
        <f>HYPERLINK("https://klasma.github.io/Logging_2313/tillsyn/A 44603-2024 tillsynsbegäran.docx", "A 44603-2024")</f>
        <v/>
      </c>
      <c r="Y419">
        <f>HYPERLINK("https://klasma.github.io/Logging_2313/tillsynsmail/A 44603-2024 tillsynsbegäran mail.docx", "A 44603-2024")</f>
        <v/>
      </c>
    </row>
    <row r="420" ht="15" customHeight="1">
      <c r="A420" t="inlineStr">
        <is>
          <t>A 18058-2019</t>
        </is>
      </c>
      <c r="B420" s="1" t="n">
        <v>43557</v>
      </c>
      <c r="C420" s="1" t="n">
        <v>45579</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18057-2019</t>
        </is>
      </c>
      <c r="B421" s="1" t="n">
        <v>43557</v>
      </c>
      <c r="C421" s="1" t="n">
        <v>45579</v>
      </c>
      <c r="D421" t="inlineStr">
        <is>
          <t>JÄMTLANDS LÄN</t>
        </is>
      </c>
      <c r="E421" t="inlineStr">
        <is>
          <t>STRÖMSUND</t>
        </is>
      </c>
      <c r="G421" t="n">
        <v>1.3</v>
      </c>
      <c r="H421" t="n">
        <v>0</v>
      </c>
      <c r="I421" t="n">
        <v>0</v>
      </c>
      <c r="J421" t="n">
        <v>0</v>
      </c>
      <c r="K421" t="n">
        <v>0</v>
      </c>
      <c r="L421" t="n">
        <v>0</v>
      </c>
      <c r="M421" t="n">
        <v>0</v>
      </c>
      <c r="N421" t="n">
        <v>0</v>
      </c>
      <c r="O421" t="n">
        <v>0</v>
      </c>
      <c r="P421" t="n">
        <v>0</v>
      </c>
      <c r="Q421" t="n">
        <v>0</v>
      </c>
      <c r="R421" s="2" t="inlineStr"/>
    </row>
    <row r="422" ht="15" customHeight="1">
      <c r="A422" t="inlineStr">
        <is>
          <t>A 20569-2019</t>
        </is>
      </c>
      <c r="B422" s="1" t="n">
        <v>43572</v>
      </c>
      <c r="C422" s="1" t="n">
        <v>45579</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21702-2019</t>
        </is>
      </c>
      <c r="B423" s="1" t="n">
        <v>43581</v>
      </c>
      <c r="C423" s="1" t="n">
        <v>45579</v>
      </c>
      <c r="D423" t="inlineStr">
        <is>
          <t>JÄMTLANDS LÄN</t>
        </is>
      </c>
      <c r="E423" t="inlineStr">
        <is>
          <t>STRÖMSUND</t>
        </is>
      </c>
      <c r="G423" t="n">
        <v>1.6</v>
      </c>
      <c r="H423" t="n">
        <v>0</v>
      </c>
      <c r="I423" t="n">
        <v>0</v>
      </c>
      <c r="J423" t="n">
        <v>0</v>
      </c>
      <c r="K423" t="n">
        <v>0</v>
      </c>
      <c r="L423" t="n">
        <v>0</v>
      </c>
      <c r="M423" t="n">
        <v>0</v>
      </c>
      <c r="N423" t="n">
        <v>0</v>
      </c>
      <c r="O423" t="n">
        <v>0</v>
      </c>
      <c r="P423" t="n">
        <v>0</v>
      </c>
      <c r="Q423" t="n">
        <v>0</v>
      </c>
      <c r="R423" s="2" t="inlineStr"/>
    </row>
    <row r="424" ht="15" customHeight="1">
      <c r="A424" t="inlineStr">
        <is>
          <t>A 21676-2019</t>
        </is>
      </c>
      <c r="B424" s="1" t="n">
        <v>43581</v>
      </c>
      <c r="C424" s="1" t="n">
        <v>45579</v>
      </c>
      <c r="D424" t="inlineStr">
        <is>
          <t>JÄMTLANDS LÄN</t>
        </is>
      </c>
      <c r="E424" t="inlineStr">
        <is>
          <t>STRÖMSUND</t>
        </is>
      </c>
      <c r="G424" t="n">
        <v>1.2</v>
      </c>
      <c r="H424" t="n">
        <v>0</v>
      </c>
      <c r="I424" t="n">
        <v>0</v>
      </c>
      <c r="J424" t="n">
        <v>0</v>
      </c>
      <c r="K424" t="n">
        <v>0</v>
      </c>
      <c r="L424" t="n">
        <v>0</v>
      </c>
      <c r="M424" t="n">
        <v>0</v>
      </c>
      <c r="N424" t="n">
        <v>0</v>
      </c>
      <c r="O424" t="n">
        <v>0</v>
      </c>
      <c r="P424" t="n">
        <v>0</v>
      </c>
      <c r="Q424" t="n">
        <v>0</v>
      </c>
      <c r="R424" s="2" t="inlineStr"/>
    </row>
    <row r="425" ht="15" customHeight="1">
      <c r="A425" t="inlineStr">
        <is>
          <t>A 21696-2019</t>
        </is>
      </c>
      <c r="B425" s="1" t="n">
        <v>43581</v>
      </c>
      <c r="C425" s="1" t="n">
        <v>45579</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21763-2019</t>
        </is>
      </c>
      <c r="B426" s="1" t="n">
        <v>43581</v>
      </c>
      <c r="C426" s="1" t="n">
        <v>45579</v>
      </c>
      <c r="D426" t="inlineStr">
        <is>
          <t>JÄMTLANDS LÄN</t>
        </is>
      </c>
      <c r="E426" t="inlineStr">
        <is>
          <t>STRÖMSUND</t>
        </is>
      </c>
      <c r="G426" t="n">
        <v>12.7</v>
      </c>
      <c r="H426" t="n">
        <v>0</v>
      </c>
      <c r="I426" t="n">
        <v>0</v>
      </c>
      <c r="J426" t="n">
        <v>0</v>
      </c>
      <c r="K426" t="n">
        <v>0</v>
      </c>
      <c r="L426" t="n">
        <v>0</v>
      </c>
      <c r="M426" t="n">
        <v>0</v>
      </c>
      <c r="N426" t="n">
        <v>0</v>
      </c>
      <c r="O426" t="n">
        <v>0</v>
      </c>
      <c r="P426" t="n">
        <v>0</v>
      </c>
      <c r="Q426" t="n">
        <v>0</v>
      </c>
      <c r="R426" s="2" t="inlineStr"/>
    </row>
    <row r="427" ht="15" customHeight="1">
      <c r="A427" t="inlineStr">
        <is>
          <t>A 22113-2019</t>
        </is>
      </c>
      <c r="B427" s="1" t="n">
        <v>43584</v>
      </c>
      <c r="C427" s="1" t="n">
        <v>45579</v>
      </c>
      <c r="D427" t="inlineStr">
        <is>
          <t>JÄMTLANDS LÄN</t>
        </is>
      </c>
      <c r="E427" t="inlineStr">
        <is>
          <t>STRÖMSUND</t>
        </is>
      </c>
      <c r="G427" t="n">
        <v>3.3</v>
      </c>
      <c r="H427" t="n">
        <v>0</v>
      </c>
      <c r="I427" t="n">
        <v>0</v>
      </c>
      <c r="J427" t="n">
        <v>0</v>
      </c>
      <c r="K427" t="n">
        <v>0</v>
      </c>
      <c r="L427" t="n">
        <v>0</v>
      </c>
      <c r="M427" t="n">
        <v>0</v>
      </c>
      <c r="N427" t="n">
        <v>0</v>
      </c>
      <c r="O427" t="n">
        <v>0</v>
      </c>
      <c r="P427" t="n">
        <v>0</v>
      </c>
      <c r="Q427" t="n">
        <v>0</v>
      </c>
      <c r="R427" s="2" t="inlineStr"/>
      <c r="U427">
        <f>HYPERLINK("https://klasma.github.io/Logging_2313/knärot/A 22113-2019 karta knärot.png", "A 22113-2019")</f>
        <v/>
      </c>
      <c r="V427">
        <f>HYPERLINK("https://klasma.github.io/Logging_2313/klagomål/A 22113-2019 FSC-klagomål.docx", "A 22113-2019")</f>
        <v/>
      </c>
      <c r="W427">
        <f>HYPERLINK("https://klasma.github.io/Logging_2313/klagomålsmail/A 22113-2019 FSC-klagomål mail.docx", "A 22113-2019")</f>
        <v/>
      </c>
      <c r="X427">
        <f>HYPERLINK("https://klasma.github.io/Logging_2313/tillsyn/A 22113-2019 tillsynsbegäran.docx", "A 22113-2019")</f>
        <v/>
      </c>
      <c r="Y427">
        <f>HYPERLINK("https://klasma.github.io/Logging_2313/tillsynsmail/A 22113-2019 tillsynsbegäran mail.docx", "A 22113-2019")</f>
        <v/>
      </c>
    </row>
    <row r="428" ht="15" customHeight="1">
      <c r="A428" t="inlineStr">
        <is>
          <t>A 22293-2019</t>
        </is>
      </c>
      <c r="B428" s="1" t="n">
        <v>43585</v>
      </c>
      <c r="C428" s="1" t="n">
        <v>45579</v>
      </c>
      <c r="D428" t="inlineStr">
        <is>
          <t>JÄMTLANDS LÄN</t>
        </is>
      </c>
      <c r="E428" t="inlineStr">
        <is>
          <t>STRÖMSUND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22305-2019</t>
        </is>
      </c>
      <c r="B429" s="1" t="n">
        <v>43585</v>
      </c>
      <c r="C429" s="1" t="n">
        <v>45579</v>
      </c>
      <c r="D429" t="inlineStr">
        <is>
          <t>JÄMTLANDS LÄN</t>
        </is>
      </c>
      <c r="E429" t="inlineStr">
        <is>
          <t>STRÖMSUND</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22291-2019</t>
        </is>
      </c>
      <c r="B430" s="1" t="n">
        <v>43585</v>
      </c>
      <c r="C430" s="1" t="n">
        <v>45579</v>
      </c>
      <c r="D430" t="inlineStr">
        <is>
          <t>JÄMTLANDS LÄN</t>
        </is>
      </c>
      <c r="E430" t="inlineStr">
        <is>
          <t>STRÖMSUND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22777-2019</t>
        </is>
      </c>
      <c r="B431" s="1" t="n">
        <v>43589</v>
      </c>
      <c r="C431" s="1" t="n">
        <v>45579</v>
      </c>
      <c r="D431" t="inlineStr">
        <is>
          <t>JÄMTLANDS LÄN</t>
        </is>
      </c>
      <c r="E431" t="inlineStr">
        <is>
          <t>STRÖMSUND</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23040-2019</t>
        </is>
      </c>
      <c r="B432" s="1" t="n">
        <v>43591</v>
      </c>
      <c r="C432" s="1" t="n">
        <v>45579</v>
      </c>
      <c r="D432" t="inlineStr">
        <is>
          <t>JÄMTLANDS LÄN</t>
        </is>
      </c>
      <c r="E432" t="inlineStr">
        <is>
          <t>STRÖMSUND</t>
        </is>
      </c>
      <c r="G432" t="n">
        <v>30.4</v>
      </c>
      <c r="H432" t="n">
        <v>0</v>
      </c>
      <c r="I432" t="n">
        <v>0</v>
      </c>
      <c r="J432" t="n">
        <v>0</v>
      </c>
      <c r="K432" t="n">
        <v>0</v>
      </c>
      <c r="L432" t="n">
        <v>0</v>
      </c>
      <c r="M432" t="n">
        <v>0</v>
      </c>
      <c r="N432" t="n">
        <v>0</v>
      </c>
      <c r="O432" t="n">
        <v>0</v>
      </c>
      <c r="P432" t="n">
        <v>0</v>
      </c>
      <c r="Q432" t="n">
        <v>0</v>
      </c>
      <c r="R432" s="2" t="inlineStr"/>
    </row>
    <row r="433" ht="15" customHeight="1">
      <c r="A433" t="inlineStr">
        <is>
          <t>A 23481-2019</t>
        </is>
      </c>
      <c r="B433" s="1" t="n">
        <v>43593</v>
      </c>
      <c r="C433" s="1" t="n">
        <v>45579</v>
      </c>
      <c r="D433" t="inlineStr">
        <is>
          <t>JÄMTLANDS LÄN</t>
        </is>
      </c>
      <c r="E433" t="inlineStr">
        <is>
          <t>STRÖMSUND</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23941-2019</t>
        </is>
      </c>
      <c r="B434" s="1" t="n">
        <v>43595</v>
      </c>
      <c r="C434" s="1" t="n">
        <v>45579</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23945-2019</t>
        </is>
      </c>
      <c r="B435" s="1" t="n">
        <v>43596</v>
      </c>
      <c r="C435" s="1" t="n">
        <v>45579</v>
      </c>
      <c r="D435" t="inlineStr">
        <is>
          <t>JÄMTLANDS LÄN</t>
        </is>
      </c>
      <c r="E435" t="inlineStr">
        <is>
          <t>STRÖMSUND</t>
        </is>
      </c>
      <c r="G435" t="n">
        <v>0.4</v>
      </c>
      <c r="H435" t="n">
        <v>0</v>
      </c>
      <c r="I435" t="n">
        <v>0</v>
      </c>
      <c r="J435" t="n">
        <v>0</v>
      </c>
      <c r="K435" t="n">
        <v>0</v>
      </c>
      <c r="L435" t="n">
        <v>0</v>
      </c>
      <c r="M435" t="n">
        <v>0</v>
      </c>
      <c r="N435" t="n">
        <v>0</v>
      </c>
      <c r="O435" t="n">
        <v>0</v>
      </c>
      <c r="P435" t="n">
        <v>0</v>
      </c>
      <c r="Q435" t="n">
        <v>0</v>
      </c>
      <c r="R435" s="2" t="inlineStr"/>
    </row>
    <row r="436" ht="15" customHeight="1">
      <c r="A436" t="inlineStr">
        <is>
          <t>A 23958-2019</t>
        </is>
      </c>
      <c r="B436" s="1" t="n">
        <v>43597</v>
      </c>
      <c r="C436" s="1" t="n">
        <v>45579</v>
      </c>
      <c r="D436" t="inlineStr">
        <is>
          <t>JÄMTLANDS LÄN</t>
        </is>
      </c>
      <c r="E436" t="inlineStr">
        <is>
          <t>STRÖMSUND</t>
        </is>
      </c>
      <c r="G436" t="n">
        <v>20.7</v>
      </c>
      <c r="H436" t="n">
        <v>0</v>
      </c>
      <c r="I436" t="n">
        <v>0</v>
      </c>
      <c r="J436" t="n">
        <v>0</v>
      </c>
      <c r="K436" t="n">
        <v>0</v>
      </c>
      <c r="L436" t="n">
        <v>0</v>
      </c>
      <c r="M436" t="n">
        <v>0</v>
      </c>
      <c r="N436" t="n">
        <v>0</v>
      </c>
      <c r="O436" t="n">
        <v>0</v>
      </c>
      <c r="P436" t="n">
        <v>0</v>
      </c>
      <c r="Q436" t="n">
        <v>0</v>
      </c>
      <c r="R436" s="2" t="inlineStr"/>
    </row>
    <row r="437" ht="15" customHeight="1">
      <c r="A437" t="inlineStr">
        <is>
          <t>A 24525-2019</t>
        </is>
      </c>
      <c r="B437" s="1" t="n">
        <v>43598</v>
      </c>
      <c r="C437" s="1" t="n">
        <v>45579</v>
      </c>
      <c r="D437" t="inlineStr">
        <is>
          <t>JÄMTLANDS LÄN</t>
        </is>
      </c>
      <c r="E437" t="inlineStr">
        <is>
          <t>STRÖMSUND</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24162-2019</t>
        </is>
      </c>
      <c r="B438" s="1" t="n">
        <v>43598</v>
      </c>
      <c r="C438" s="1" t="n">
        <v>45579</v>
      </c>
      <c r="D438" t="inlineStr">
        <is>
          <t>JÄMTLANDS LÄN</t>
        </is>
      </c>
      <c r="E438" t="inlineStr">
        <is>
          <t>STRÖMSUND</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24787-2019</t>
        </is>
      </c>
      <c r="B439" s="1" t="n">
        <v>43601</v>
      </c>
      <c r="C439" s="1" t="n">
        <v>45579</v>
      </c>
      <c r="D439" t="inlineStr">
        <is>
          <t>JÄMTLANDS LÄN</t>
        </is>
      </c>
      <c r="E439" t="inlineStr">
        <is>
          <t>STRÖMSUND</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25923-2019</t>
        </is>
      </c>
      <c r="B440" s="1" t="n">
        <v>43608</v>
      </c>
      <c r="C440" s="1" t="n">
        <v>45579</v>
      </c>
      <c r="D440" t="inlineStr">
        <is>
          <t>JÄMTLANDS LÄN</t>
        </is>
      </c>
      <c r="E440" t="inlineStr">
        <is>
          <t>STRÖMSUND</t>
        </is>
      </c>
      <c r="F440" t="inlineStr">
        <is>
          <t>Kommuner</t>
        </is>
      </c>
      <c r="G440" t="n">
        <v>3.6</v>
      </c>
      <c r="H440" t="n">
        <v>0</v>
      </c>
      <c r="I440" t="n">
        <v>0</v>
      </c>
      <c r="J440" t="n">
        <v>0</v>
      </c>
      <c r="K440" t="n">
        <v>0</v>
      </c>
      <c r="L440" t="n">
        <v>0</v>
      </c>
      <c r="M440" t="n">
        <v>0</v>
      </c>
      <c r="N440" t="n">
        <v>0</v>
      </c>
      <c r="O440" t="n">
        <v>0</v>
      </c>
      <c r="P440" t="n">
        <v>0</v>
      </c>
      <c r="Q440" t="n">
        <v>0</v>
      </c>
      <c r="R440" s="2" t="inlineStr"/>
    </row>
    <row r="441" ht="15" customHeight="1">
      <c r="A441" t="inlineStr">
        <is>
          <t>A 25915-2019</t>
        </is>
      </c>
      <c r="B441" s="1" t="n">
        <v>43608</v>
      </c>
      <c r="C441" s="1" t="n">
        <v>45579</v>
      </c>
      <c r="D441" t="inlineStr">
        <is>
          <t>JÄMTLANDS LÄN</t>
        </is>
      </c>
      <c r="E441" t="inlineStr">
        <is>
          <t>STRÖMSUND</t>
        </is>
      </c>
      <c r="F441" t="inlineStr">
        <is>
          <t>Kommuner</t>
        </is>
      </c>
      <c r="G441" t="n">
        <v>5.7</v>
      </c>
      <c r="H441" t="n">
        <v>0</v>
      </c>
      <c r="I441" t="n">
        <v>0</v>
      </c>
      <c r="J441" t="n">
        <v>0</v>
      </c>
      <c r="K441" t="n">
        <v>0</v>
      </c>
      <c r="L441" t="n">
        <v>0</v>
      </c>
      <c r="M441" t="n">
        <v>0</v>
      </c>
      <c r="N441" t="n">
        <v>0</v>
      </c>
      <c r="O441" t="n">
        <v>0</v>
      </c>
      <c r="P441" t="n">
        <v>0</v>
      </c>
      <c r="Q441" t="n">
        <v>0</v>
      </c>
      <c r="R441" s="2" t="inlineStr"/>
    </row>
    <row r="442" ht="15" customHeight="1">
      <c r="A442" t="inlineStr">
        <is>
          <t>A 25925-2019</t>
        </is>
      </c>
      <c r="B442" s="1" t="n">
        <v>43608</v>
      </c>
      <c r="C442" s="1" t="n">
        <v>45579</v>
      </c>
      <c r="D442" t="inlineStr">
        <is>
          <t>JÄMTLANDS LÄN</t>
        </is>
      </c>
      <c r="E442" t="inlineStr">
        <is>
          <t>STRÖMSUND</t>
        </is>
      </c>
      <c r="F442" t="inlineStr">
        <is>
          <t>Kommuner</t>
        </is>
      </c>
      <c r="G442" t="n">
        <v>12.6</v>
      </c>
      <c r="H442" t="n">
        <v>0</v>
      </c>
      <c r="I442" t="n">
        <v>0</v>
      </c>
      <c r="J442" t="n">
        <v>0</v>
      </c>
      <c r="K442" t="n">
        <v>0</v>
      </c>
      <c r="L442" t="n">
        <v>0</v>
      </c>
      <c r="M442" t="n">
        <v>0</v>
      </c>
      <c r="N442" t="n">
        <v>0</v>
      </c>
      <c r="O442" t="n">
        <v>0</v>
      </c>
      <c r="P442" t="n">
        <v>0</v>
      </c>
      <c r="Q442" t="n">
        <v>0</v>
      </c>
      <c r="R442" s="2" t="inlineStr"/>
    </row>
    <row r="443" ht="15" customHeight="1">
      <c r="A443" t="inlineStr">
        <is>
          <t>A 25910-2019</t>
        </is>
      </c>
      <c r="B443" s="1" t="n">
        <v>43608</v>
      </c>
      <c r="C443" s="1" t="n">
        <v>45579</v>
      </c>
      <c r="D443" t="inlineStr">
        <is>
          <t>JÄMTLANDS LÄN</t>
        </is>
      </c>
      <c r="E443" t="inlineStr">
        <is>
          <t>STRÖMSUND</t>
        </is>
      </c>
      <c r="F443" t="inlineStr">
        <is>
          <t>Kommuner</t>
        </is>
      </c>
      <c r="G443" t="n">
        <v>7</v>
      </c>
      <c r="H443" t="n">
        <v>0</v>
      </c>
      <c r="I443" t="n">
        <v>0</v>
      </c>
      <c r="J443" t="n">
        <v>0</v>
      </c>
      <c r="K443" t="n">
        <v>0</v>
      </c>
      <c r="L443" t="n">
        <v>0</v>
      </c>
      <c r="M443" t="n">
        <v>0</v>
      </c>
      <c r="N443" t="n">
        <v>0</v>
      </c>
      <c r="O443" t="n">
        <v>0</v>
      </c>
      <c r="P443" t="n">
        <v>0</v>
      </c>
      <c r="Q443" t="n">
        <v>0</v>
      </c>
      <c r="R443" s="2" t="inlineStr"/>
    </row>
    <row r="444" ht="15" customHeight="1">
      <c r="A444" t="inlineStr">
        <is>
          <t>A 25918-2019</t>
        </is>
      </c>
      <c r="B444" s="1" t="n">
        <v>43608</v>
      </c>
      <c r="C444" s="1" t="n">
        <v>45579</v>
      </c>
      <c r="D444" t="inlineStr">
        <is>
          <t>JÄMTLANDS LÄN</t>
        </is>
      </c>
      <c r="E444" t="inlineStr">
        <is>
          <t>STRÖMSUND</t>
        </is>
      </c>
      <c r="F444" t="inlineStr">
        <is>
          <t>Kommuner</t>
        </is>
      </c>
      <c r="G444" t="n">
        <v>1.4</v>
      </c>
      <c r="H444" t="n">
        <v>0</v>
      </c>
      <c r="I444" t="n">
        <v>0</v>
      </c>
      <c r="J444" t="n">
        <v>0</v>
      </c>
      <c r="K444" t="n">
        <v>0</v>
      </c>
      <c r="L444" t="n">
        <v>0</v>
      </c>
      <c r="M444" t="n">
        <v>0</v>
      </c>
      <c r="N444" t="n">
        <v>0</v>
      </c>
      <c r="O444" t="n">
        <v>0</v>
      </c>
      <c r="P444" t="n">
        <v>0</v>
      </c>
      <c r="Q444" t="n">
        <v>0</v>
      </c>
      <c r="R444" s="2" t="inlineStr"/>
    </row>
    <row r="445" ht="15" customHeight="1">
      <c r="A445" t="inlineStr">
        <is>
          <t>A 25950-2019</t>
        </is>
      </c>
      <c r="B445" s="1" t="n">
        <v>43608</v>
      </c>
      <c r="C445" s="1" t="n">
        <v>45579</v>
      </c>
      <c r="D445" t="inlineStr">
        <is>
          <t>JÄMTLANDS LÄN</t>
        </is>
      </c>
      <c r="E445" t="inlineStr">
        <is>
          <t>STRÖMSUND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26012-2019</t>
        </is>
      </c>
      <c r="B446" s="1" t="n">
        <v>43608</v>
      </c>
      <c r="C446" s="1" t="n">
        <v>45579</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25921-2019</t>
        </is>
      </c>
      <c r="B447" s="1" t="n">
        <v>43608</v>
      </c>
      <c r="C447" s="1" t="n">
        <v>45579</v>
      </c>
      <c r="D447" t="inlineStr">
        <is>
          <t>JÄMTLANDS LÄN</t>
        </is>
      </c>
      <c r="E447" t="inlineStr">
        <is>
          <t>STRÖMSUND</t>
        </is>
      </c>
      <c r="F447" t="inlineStr">
        <is>
          <t>Kommuner</t>
        </is>
      </c>
      <c r="G447" t="n">
        <v>23.9</v>
      </c>
      <c r="H447" t="n">
        <v>0</v>
      </c>
      <c r="I447" t="n">
        <v>0</v>
      </c>
      <c r="J447" t="n">
        <v>0</v>
      </c>
      <c r="K447" t="n">
        <v>0</v>
      </c>
      <c r="L447" t="n">
        <v>0</v>
      </c>
      <c r="M447" t="n">
        <v>0</v>
      </c>
      <c r="N447" t="n">
        <v>0</v>
      </c>
      <c r="O447" t="n">
        <v>0</v>
      </c>
      <c r="P447" t="n">
        <v>0</v>
      </c>
      <c r="Q447" t="n">
        <v>0</v>
      </c>
      <c r="R447" s="2" t="inlineStr"/>
    </row>
    <row r="448" ht="15" customHeight="1">
      <c r="A448" t="inlineStr">
        <is>
          <t>A 25984-2019</t>
        </is>
      </c>
      <c r="B448" s="1" t="n">
        <v>43608</v>
      </c>
      <c r="C448" s="1" t="n">
        <v>45579</v>
      </c>
      <c r="D448" t="inlineStr">
        <is>
          <t>JÄMTLANDS LÄN</t>
        </is>
      </c>
      <c r="E448" t="inlineStr">
        <is>
          <t>STRÖMSUND</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26252-2019</t>
        </is>
      </c>
      <c r="B449" s="1" t="n">
        <v>43609</v>
      </c>
      <c r="C449" s="1" t="n">
        <v>45579</v>
      </c>
      <c r="D449" t="inlineStr">
        <is>
          <t>JÄMTLANDS LÄN</t>
        </is>
      </c>
      <c r="E449" t="inlineStr">
        <is>
          <t>STRÖMSUND</t>
        </is>
      </c>
      <c r="F449" t="inlineStr">
        <is>
          <t>SCA</t>
        </is>
      </c>
      <c r="G449" t="n">
        <v>10.5</v>
      </c>
      <c r="H449" t="n">
        <v>0</v>
      </c>
      <c r="I449" t="n">
        <v>0</v>
      </c>
      <c r="J449" t="n">
        <v>0</v>
      </c>
      <c r="K449" t="n">
        <v>0</v>
      </c>
      <c r="L449" t="n">
        <v>0</v>
      </c>
      <c r="M449" t="n">
        <v>0</v>
      </c>
      <c r="N449" t="n">
        <v>0</v>
      </c>
      <c r="O449" t="n">
        <v>0</v>
      </c>
      <c r="P449" t="n">
        <v>0</v>
      </c>
      <c r="Q449" t="n">
        <v>0</v>
      </c>
      <c r="R449" s="2" t="inlineStr"/>
    </row>
    <row r="450" ht="15" customHeight="1">
      <c r="A450" t="inlineStr">
        <is>
          <t>A 26251-2019</t>
        </is>
      </c>
      <c r="B450" s="1" t="n">
        <v>43609</v>
      </c>
      <c r="C450" s="1" t="n">
        <v>45579</v>
      </c>
      <c r="D450" t="inlineStr">
        <is>
          <t>JÄMTLANDS LÄN</t>
        </is>
      </c>
      <c r="E450" t="inlineStr">
        <is>
          <t>STRÖMSUND</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27536-2019</t>
        </is>
      </c>
      <c r="B451" s="1" t="n">
        <v>43612</v>
      </c>
      <c r="C451" s="1" t="n">
        <v>45579</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26937-2019</t>
        </is>
      </c>
      <c r="B452" s="1" t="n">
        <v>43613</v>
      </c>
      <c r="C452" s="1" t="n">
        <v>45579</v>
      </c>
      <c r="D452" t="inlineStr">
        <is>
          <t>JÄMTLANDS LÄN</t>
        </is>
      </c>
      <c r="E452" t="inlineStr">
        <is>
          <t>STRÖMSUND</t>
        </is>
      </c>
      <c r="G452" t="n">
        <v>0.8</v>
      </c>
      <c r="H452" t="n">
        <v>0</v>
      </c>
      <c r="I452" t="n">
        <v>0</v>
      </c>
      <c r="J452" t="n">
        <v>0</v>
      </c>
      <c r="K452" t="n">
        <v>0</v>
      </c>
      <c r="L452" t="n">
        <v>0</v>
      </c>
      <c r="M452" t="n">
        <v>0</v>
      </c>
      <c r="N452" t="n">
        <v>0</v>
      </c>
      <c r="O452" t="n">
        <v>0</v>
      </c>
      <c r="P452" t="n">
        <v>0</v>
      </c>
      <c r="Q452" t="n">
        <v>0</v>
      </c>
      <c r="R452" s="2" t="inlineStr"/>
    </row>
    <row r="453" ht="15" customHeight="1">
      <c r="A453" t="inlineStr">
        <is>
          <t>A 27249-2019</t>
        </is>
      </c>
      <c r="B453" s="1" t="n">
        <v>43614</v>
      </c>
      <c r="C453" s="1" t="n">
        <v>45579</v>
      </c>
      <c r="D453" t="inlineStr">
        <is>
          <t>JÄMTLANDS LÄN</t>
        </is>
      </c>
      <c r="E453" t="inlineStr">
        <is>
          <t>STRÖMSUND</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27367-2019</t>
        </is>
      </c>
      <c r="B454" s="1" t="n">
        <v>43616</v>
      </c>
      <c r="C454" s="1" t="n">
        <v>45579</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27514-2019</t>
        </is>
      </c>
      <c r="B455" s="1" t="n">
        <v>43619</v>
      </c>
      <c r="C455" s="1" t="n">
        <v>45579</v>
      </c>
      <c r="D455" t="inlineStr">
        <is>
          <t>JÄMTLANDS LÄN</t>
        </is>
      </c>
      <c r="E455" t="inlineStr">
        <is>
          <t>STRÖMSUND</t>
        </is>
      </c>
      <c r="G455" t="n">
        <v>3.6</v>
      </c>
      <c r="H455" t="n">
        <v>0</v>
      </c>
      <c r="I455" t="n">
        <v>0</v>
      </c>
      <c r="J455" t="n">
        <v>0</v>
      </c>
      <c r="K455" t="n">
        <v>0</v>
      </c>
      <c r="L455" t="n">
        <v>0</v>
      </c>
      <c r="M455" t="n">
        <v>0</v>
      </c>
      <c r="N455" t="n">
        <v>0</v>
      </c>
      <c r="O455" t="n">
        <v>0</v>
      </c>
      <c r="P455" t="n">
        <v>0</v>
      </c>
      <c r="Q455" t="n">
        <v>0</v>
      </c>
      <c r="R455" s="2" t="inlineStr"/>
    </row>
    <row r="456" ht="15" customHeight="1">
      <c r="A456" t="inlineStr">
        <is>
          <t>A 27817-2019</t>
        </is>
      </c>
      <c r="B456" s="1" t="n">
        <v>43620</v>
      </c>
      <c r="C456" s="1" t="n">
        <v>45579</v>
      </c>
      <c r="D456" t="inlineStr">
        <is>
          <t>JÄMTLANDS LÄN</t>
        </is>
      </c>
      <c r="E456" t="inlineStr">
        <is>
          <t>STRÖMSUND</t>
        </is>
      </c>
      <c r="G456" t="n">
        <v>0.7</v>
      </c>
      <c r="H456" t="n">
        <v>0</v>
      </c>
      <c r="I456" t="n">
        <v>0</v>
      </c>
      <c r="J456" t="n">
        <v>0</v>
      </c>
      <c r="K456" t="n">
        <v>0</v>
      </c>
      <c r="L456" t="n">
        <v>0</v>
      </c>
      <c r="M456" t="n">
        <v>0</v>
      </c>
      <c r="N456" t="n">
        <v>0</v>
      </c>
      <c r="O456" t="n">
        <v>0</v>
      </c>
      <c r="P456" t="n">
        <v>0</v>
      </c>
      <c r="Q456" t="n">
        <v>0</v>
      </c>
      <c r="R456" s="2" t="inlineStr"/>
    </row>
    <row r="457" ht="15" customHeight="1">
      <c r="A457" t="inlineStr">
        <is>
          <t>A 28215-2019</t>
        </is>
      </c>
      <c r="B457" s="1" t="n">
        <v>43622</v>
      </c>
      <c r="C457" s="1" t="n">
        <v>45579</v>
      </c>
      <c r="D457" t="inlineStr">
        <is>
          <t>JÄMTLANDS LÄN</t>
        </is>
      </c>
      <c r="E457" t="inlineStr">
        <is>
          <t>STRÖMSUND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28766-2019</t>
        </is>
      </c>
      <c r="B458" s="1" t="n">
        <v>43627</v>
      </c>
      <c r="C458" s="1" t="n">
        <v>45579</v>
      </c>
      <c r="D458" t="inlineStr">
        <is>
          <t>JÄMTLANDS LÄN</t>
        </is>
      </c>
      <c r="E458" t="inlineStr">
        <is>
          <t>STRÖMSUND</t>
        </is>
      </c>
      <c r="G458" t="n">
        <v>19.8</v>
      </c>
      <c r="H458" t="n">
        <v>0</v>
      </c>
      <c r="I458" t="n">
        <v>0</v>
      </c>
      <c r="J458" t="n">
        <v>0</v>
      </c>
      <c r="K458" t="n">
        <v>0</v>
      </c>
      <c r="L458" t="n">
        <v>0</v>
      </c>
      <c r="M458" t="n">
        <v>0</v>
      </c>
      <c r="N458" t="n">
        <v>0</v>
      </c>
      <c r="O458" t="n">
        <v>0</v>
      </c>
      <c r="P458" t="n">
        <v>0</v>
      </c>
      <c r="Q458" t="n">
        <v>0</v>
      </c>
      <c r="R458" s="2" t="inlineStr"/>
    </row>
    <row r="459" ht="15" customHeight="1">
      <c r="A459" t="inlineStr">
        <is>
          <t>A 28671-2019</t>
        </is>
      </c>
      <c r="B459" s="1" t="n">
        <v>43627</v>
      </c>
      <c r="C459" s="1" t="n">
        <v>45579</v>
      </c>
      <c r="D459" t="inlineStr">
        <is>
          <t>JÄMTLANDS LÄN</t>
        </is>
      </c>
      <c r="E459" t="inlineStr">
        <is>
          <t>STRÖMSUND</t>
        </is>
      </c>
      <c r="G459" t="n">
        <v>21.3</v>
      </c>
      <c r="H459" t="n">
        <v>0</v>
      </c>
      <c r="I459" t="n">
        <v>0</v>
      </c>
      <c r="J459" t="n">
        <v>0</v>
      </c>
      <c r="K459" t="n">
        <v>0</v>
      </c>
      <c r="L459" t="n">
        <v>0</v>
      </c>
      <c r="M459" t="n">
        <v>0</v>
      </c>
      <c r="N459" t="n">
        <v>0</v>
      </c>
      <c r="O459" t="n">
        <v>0</v>
      </c>
      <c r="P459" t="n">
        <v>0</v>
      </c>
      <c r="Q459" t="n">
        <v>0</v>
      </c>
      <c r="R459" s="2" t="inlineStr"/>
    </row>
    <row r="460" ht="15" customHeight="1">
      <c r="A460" t="inlineStr">
        <is>
          <t>A 29166-2019</t>
        </is>
      </c>
      <c r="B460" s="1" t="n">
        <v>43628</v>
      </c>
      <c r="C460" s="1" t="n">
        <v>45579</v>
      </c>
      <c r="D460" t="inlineStr">
        <is>
          <t>JÄMTLANDS LÄN</t>
        </is>
      </c>
      <c r="E460" t="inlineStr">
        <is>
          <t>STRÖMSUND</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29359-2019</t>
        </is>
      </c>
      <c r="B461" s="1" t="n">
        <v>43629</v>
      </c>
      <c r="C461" s="1" t="n">
        <v>45579</v>
      </c>
      <c r="D461" t="inlineStr">
        <is>
          <t>JÄMTLANDS LÄN</t>
        </is>
      </c>
      <c r="E461" t="inlineStr">
        <is>
          <t>STRÖMSUND</t>
        </is>
      </c>
      <c r="G461" t="n">
        <v>3</v>
      </c>
      <c r="H461" t="n">
        <v>0</v>
      </c>
      <c r="I461" t="n">
        <v>0</v>
      </c>
      <c r="J461" t="n">
        <v>0</v>
      </c>
      <c r="K461" t="n">
        <v>0</v>
      </c>
      <c r="L461" t="n">
        <v>0</v>
      </c>
      <c r="M461" t="n">
        <v>0</v>
      </c>
      <c r="N461" t="n">
        <v>0</v>
      </c>
      <c r="O461" t="n">
        <v>0</v>
      </c>
      <c r="P461" t="n">
        <v>0</v>
      </c>
      <c r="Q461" t="n">
        <v>0</v>
      </c>
      <c r="R461" s="2" t="inlineStr"/>
    </row>
    <row r="462" ht="15" customHeight="1">
      <c r="A462" t="inlineStr">
        <is>
          <t>A 29378-2019</t>
        </is>
      </c>
      <c r="B462" s="1" t="n">
        <v>43629</v>
      </c>
      <c r="C462" s="1" t="n">
        <v>45579</v>
      </c>
      <c r="D462" t="inlineStr">
        <is>
          <t>JÄMTLANDS LÄN</t>
        </is>
      </c>
      <c r="E462" t="inlineStr">
        <is>
          <t>STRÖMSUND</t>
        </is>
      </c>
      <c r="G462" t="n">
        <v>33.5</v>
      </c>
      <c r="H462" t="n">
        <v>0</v>
      </c>
      <c r="I462" t="n">
        <v>0</v>
      </c>
      <c r="J462" t="n">
        <v>0</v>
      </c>
      <c r="K462" t="n">
        <v>0</v>
      </c>
      <c r="L462" t="n">
        <v>0</v>
      </c>
      <c r="M462" t="n">
        <v>0</v>
      </c>
      <c r="N462" t="n">
        <v>0</v>
      </c>
      <c r="O462" t="n">
        <v>0</v>
      </c>
      <c r="P462" t="n">
        <v>0</v>
      </c>
      <c r="Q462" t="n">
        <v>0</v>
      </c>
      <c r="R462" s="2" t="inlineStr"/>
    </row>
    <row r="463" ht="15" customHeight="1">
      <c r="A463" t="inlineStr">
        <is>
          <t>A 29740-2019</t>
        </is>
      </c>
      <c r="B463" s="1" t="n">
        <v>43630</v>
      </c>
      <c r="C463" s="1" t="n">
        <v>45579</v>
      </c>
      <c r="D463" t="inlineStr">
        <is>
          <t>JÄMTLANDS LÄN</t>
        </is>
      </c>
      <c r="E463" t="inlineStr">
        <is>
          <t>STRÖMSUND</t>
        </is>
      </c>
      <c r="F463" t="inlineStr">
        <is>
          <t>SCA</t>
        </is>
      </c>
      <c r="G463" t="n">
        <v>62.8</v>
      </c>
      <c r="H463" t="n">
        <v>0</v>
      </c>
      <c r="I463" t="n">
        <v>0</v>
      </c>
      <c r="J463" t="n">
        <v>0</v>
      </c>
      <c r="K463" t="n">
        <v>0</v>
      </c>
      <c r="L463" t="n">
        <v>0</v>
      </c>
      <c r="M463" t="n">
        <v>0</v>
      </c>
      <c r="N463" t="n">
        <v>0</v>
      </c>
      <c r="O463" t="n">
        <v>0</v>
      </c>
      <c r="P463" t="n">
        <v>0</v>
      </c>
      <c r="Q463" t="n">
        <v>0</v>
      </c>
      <c r="R463" s="2" t="inlineStr"/>
    </row>
    <row r="464" ht="15" customHeight="1">
      <c r="A464" t="inlineStr">
        <is>
          <t>A 30136-2019</t>
        </is>
      </c>
      <c r="B464" s="1" t="n">
        <v>43634</v>
      </c>
      <c r="C464" s="1" t="n">
        <v>45579</v>
      </c>
      <c r="D464" t="inlineStr">
        <is>
          <t>JÄMTLANDS LÄN</t>
        </is>
      </c>
      <c r="E464" t="inlineStr">
        <is>
          <t>STRÖMSUND</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30378-2019</t>
        </is>
      </c>
      <c r="B465" s="1" t="n">
        <v>43634</v>
      </c>
      <c r="C465" s="1" t="n">
        <v>45579</v>
      </c>
      <c r="D465" t="inlineStr">
        <is>
          <t>JÄMTLANDS LÄN</t>
        </is>
      </c>
      <c r="E465" t="inlineStr">
        <is>
          <t>STRÖMSUND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30139-2019</t>
        </is>
      </c>
      <c r="B466" s="1" t="n">
        <v>43634</v>
      </c>
      <c r="C466" s="1" t="n">
        <v>45579</v>
      </c>
      <c r="D466" t="inlineStr">
        <is>
          <t>JÄMTLANDS LÄN</t>
        </is>
      </c>
      <c r="E466" t="inlineStr">
        <is>
          <t>STRÖMSUND</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30915-2019</t>
        </is>
      </c>
      <c r="B467" s="1" t="n">
        <v>43636</v>
      </c>
      <c r="C467" s="1" t="n">
        <v>45579</v>
      </c>
      <c r="D467" t="inlineStr">
        <is>
          <t>JÄMTLANDS LÄN</t>
        </is>
      </c>
      <c r="E467" t="inlineStr">
        <is>
          <t>STRÖMSUND</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32482-2019</t>
        </is>
      </c>
      <c r="B468" s="1" t="n">
        <v>43644</v>
      </c>
      <c r="C468" s="1" t="n">
        <v>45579</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32739-2019</t>
        </is>
      </c>
      <c r="B469" s="1" t="n">
        <v>43647</v>
      </c>
      <c r="C469" s="1" t="n">
        <v>45579</v>
      </c>
      <c r="D469" t="inlineStr">
        <is>
          <t>JÄMTLANDS LÄN</t>
        </is>
      </c>
      <c r="E469" t="inlineStr">
        <is>
          <t>STRÖMSUND</t>
        </is>
      </c>
      <c r="F469" t="inlineStr">
        <is>
          <t>SCA</t>
        </is>
      </c>
      <c r="G469" t="n">
        <v>174.6</v>
      </c>
      <c r="H469" t="n">
        <v>0</v>
      </c>
      <c r="I469" t="n">
        <v>0</v>
      </c>
      <c r="J469" t="n">
        <v>0</v>
      </c>
      <c r="K469" t="n">
        <v>0</v>
      </c>
      <c r="L469" t="n">
        <v>0</v>
      </c>
      <c r="M469" t="n">
        <v>0</v>
      </c>
      <c r="N469" t="n">
        <v>0</v>
      </c>
      <c r="O469" t="n">
        <v>0</v>
      </c>
      <c r="P469" t="n">
        <v>0</v>
      </c>
      <c r="Q469" t="n">
        <v>0</v>
      </c>
      <c r="R469" s="2" t="inlineStr"/>
    </row>
    <row r="470" ht="15" customHeight="1">
      <c r="A470" t="inlineStr">
        <is>
          <t>A 32748-2019</t>
        </is>
      </c>
      <c r="B470" s="1" t="n">
        <v>43647</v>
      </c>
      <c r="C470" s="1" t="n">
        <v>45579</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32974-2019</t>
        </is>
      </c>
      <c r="B471" s="1" t="n">
        <v>43648</v>
      </c>
      <c r="C471" s="1" t="n">
        <v>45579</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32973-2019</t>
        </is>
      </c>
      <c r="B472" s="1" t="n">
        <v>43648</v>
      </c>
      <c r="C472" s="1" t="n">
        <v>45579</v>
      </c>
      <c r="D472" t="inlineStr">
        <is>
          <t>JÄMTLANDS LÄN</t>
        </is>
      </c>
      <c r="E472" t="inlineStr">
        <is>
          <t>STRÖMSUND</t>
        </is>
      </c>
      <c r="G472" t="n">
        <v>3.5</v>
      </c>
      <c r="H472" t="n">
        <v>0</v>
      </c>
      <c r="I472" t="n">
        <v>0</v>
      </c>
      <c r="J472" t="n">
        <v>0</v>
      </c>
      <c r="K472" t="n">
        <v>0</v>
      </c>
      <c r="L472" t="n">
        <v>0</v>
      </c>
      <c r="M472" t="n">
        <v>0</v>
      </c>
      <c r="N472" t="n">
        <v>0</v>
      </c>
      <c r="O472" t="n">
        <v>0</v>
      </c>
      <c r="P472" t="n">
        <v>0</v>
      </c>
      <c r="Q472" t="n">
        <v>0</v>
      </c>
      <c r="R472" s="2" t="inlineStr"/>
    </row>
    <row r="473" ht="15" customHeight="1">
      <c r="A473" t="inlineStr">
        <is>
          <t>A 32971-2019</t>
        </is>
      </c>
      <c r="B473" s="1" t="n">
        <v>43648</v>
      </c>
      <c r="C473" s="1" t="n">
        <v>45579</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32975-2019</t>
        </is>
      </c>
      <c r="B474" s="1" t="n">
        <v>43648</v>
      </c>
      <c r="C474" s="1" t="n">
        <v>45579</v>
      </c>
      <c r="D474" t="inlineStr">
        <is>
          <t>JÄMTLANDS LÄN</t>
        </is>
      </c>
      <c r="E474" t="inlineStr">
        <is>
          <t>STRÖMSUND</t>
        </is>
      </c>
      <c r="G474" t="n">
        <v>2.3</v>
      </c>
      <c r="H474" t="n">
        <v>0</v>
      </c>
      <c r="I474" t="n">
        <v>0</v>
      </c>
      <c r="J474" t="n">
        <v>0</v>
      </c>
      <c r="K474" t="n">
        <v>0</v>
      </c>
      <c r="L474" t="n">
        <v>0</v>
      </c>
      <c r="M474" t="n">
        <v>0</v>
      </c>
      <c r="N474" t="n">
        <v>0</v>
      </c>
      <c r="O474" t="n">
        <v>0</v>
      </c>
      <c r="P474" t="n">
        <v>0</v>
      </c>
      <c r="Q474" t="n">
        <v>0</v>
      </c>
      <c r="R474" s="2" t="inlineStr"/>
    </row>
    <row r="475" ht="15" customHeight="1">
      <c r="A475" t="inlineStr">
        <is>
          <t>A 34758-2019</t>
        </is>
      </c>
      <c r="B475" s="1" t="n">
        <v>43649</v>
      </c>
      <c r="C475" s="1" t="n">
        <v>45579</v>
      </c>
      <c r="D475" t="inlineStr">
        <is>
          <t>JÄMTLANDS LÄN</t>
        </is>
      </c>
      <c r="E475" t="inlineStr">
        <is>
          <t>STRÖMSUND</t>
        </is>
      </c>
      <c r="G475" t="n">
        <v>2.2</v>
      </c>
      <c r="H475" t="n">
        <v>0</v>
      </c>
      <c r="I475" t="n">
        <v>0</v>
      </c>
      <c r="J475" t="n">
        <v>0</v>
      </c>
      <c r="K475" t="n">
        <v>0</v>
      </c>
      <c r="L475" t="n">
        <v>0</v>
      </c>
      <c r="M475" t="n">
        <v>0</v>
      </c>
      <c r="N475" t="n">
        <v>0</v>
      </c>
      <c r="O475" t="n">
        <v>0</v>
      </c>
      <c r="P475" t="n">
        <v>0</v>
      </c>
      <c r="Q475" t="n">
        <v>0</v>
      </c>
      <c r="R475" s="2" t="inlineStr"/>
    </row>
    <row r="476" ht="15" customHeight="1">
      <c r="A476" t="inlineStr">
        <is>
          <t>A 33538-2019</t>
        </is>
      </c>
      <c r="B476" s="1" t="n">
        <v>43651</v>
      </c>
      <c r="C476" s="1" t="n">
        <v>45579</v>
      </c>
      <c r="D476" t="inlineStr">
        <is>
          <t>JÄMTLANDS LÄN</t>
        </is>
      </c>
      <c r="E476" t="inlineStr">
        <is>
          <t>STRÖMSUND</t>
        </is>
      </c>
      <c r="F476" t="inlineStr">
        <is>
          <t>Holmen skog AB</t>
        </is>
      </c>
      <c r="G476" t="n">
        <v>15.6</v>
      </c>
      <c r="H476" t="n">
        <v>0</v>
      </c>
      <c r="I476" t="n">
        <v>0</v>
      </c>
      <c r="J476" t="n">
        <v>0</v>
      </c>
      <c r="K476" t="n">
        <v>0</v>
      </c>
      <c r="L476" t="n">
        <v>0</v>
      </c>
      <c r="M476" t="n">
        <v>0</v>
      </c>
      <c r="N476" t="n">
        <v>0</v>
      </c>
      <c r="O476" t="n">
        <v>0</v>
      </c>
      <c r="P476" t="n">
        <v>0</v>
      </c>
      <c r="Q476" t="n">
        <v>0</v>
      </c>
      <c r="R476" s="2" t="inlineStr"/>
    </row>
    <row r="477" ht="15" customHeight="1">
      <c r="A477" t="inlineStr">
        <is>
          <t>A 33701-2019</t>
        </is>
      </c>
      <c r="B477" s="1" t="n">
        <v>43651</v>
      </c>
      <c r="C477" s="1" t="n">
        <v>45579</v>
      </c>
      <c r="D477" t="inlineStr">
        <is>
          <t>JÄMTLANDS LÄN</t>
        </is>
      </c>
      <c r="E477" t="inlineStr">
        <is>
          <t>STRÖMSUND</t>
        </is>
      </c>
      <c r="F477" t="inlineStr">
        <is>
          <t>Holmen skog AB</t>
        </is>
      </c>
      <c r="G477" t="n">
        <v>21.7</v>
      </c>
      <c r="H477" t="n">
        <v>0</v>
      </c>
      <c r="I477" t="n">
        <v>0</v>
      </c>
      <c r="J477" t="n">
        <v>0</v>
      </c>
      <c r="K477" t="n">
        <v>0</v>
      </c>
      <c r="L477" t="n">
        <v>0</v>
      </c>
      <c r="M477" t="n">
        <v>0</v>
      </c>
      <c r="N477" t="n">
        <v>0</v>
      </c>
      <c r="O477" t="n">
        <v>0</v>
      </c>
      <c r="P477" t="n">
        <v>0</v>
      </c>
      <c r="Q477" t="n">
        <v>0</v>
      </c>
      <c r="R477" s="2" t="inlineStr"/>
    </row>
    <row r="478" ht="15" customHeight="1">
      <c r="A478" t="inlineStr">
        <is>
          <t>A 33825-2019</t>
        </is>
      </c>
      <c r="B478" s="1" t="n">
        <v>43651</v>
      </c>
      <c r="C478" s="1" t="n">
        <v>45579</v>
      </c>
      <c r="D478" t="inlineStr">
        <is>
          <t>JÄMTLANDS LÄN</t>
        </is>
      </c>
      <c r="E478" t="inlineStr">
        <is>
          <t>STRÖMSUND</t>
        </is>
      </c>
      <c r="F478" t="inlineStr">
        <is>
          <t>SCA</t>
        </is>
      </c>
      <c r="G478" t="n">
        <v>15.6</v>
      </c>
      <c r="H478" t="n">
        <v>0</v>
      </c>
      <c r="I478" t="n">
        <v>0</v>
      </c>
      <c r="J478" t="n">
        <v>0</v>
      </c>
      <c r="K478" t="n">
        <v>0</v>
      </c>
      <c r="L478" t="n">
        <v>0</v>
      </c>
      <c r="M478" t="n">
        <v>0</v>
      </c>
      <c r="N478" t="n">
        <v>0</v>
      </c>
      <c r="O478" t="n">
        <v>0</v>
      </c>
      <c r="P478" t="n">
        <v>0</v>
      </c>
      <c r="Q478" t="n">
        <v>0</v>
      </c>
      <c r="R478" s="2" t="inlineStr"/>
    </row>
    <row r="479" ht="15" customHeight="1">
      <c r="A479" t="inlineStr">
        <is>
          <t>A 33552-2019</t>
        </is>
      </c>
      <c r="B479" s="1" t="n">
        <v>43651</v>
      </c>
      <c r="C479" s="1" t="n">
        <v>45579</v>
      </c>
      <c r="D479" t="inlineStr">
        <is>
          <t>JÄMTLANDS LÄN</t>
        </is>
      </c>
      <c r="E479" t="inlineStr">
        <is>
          <t>STRÖMSUND</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34125-2019</t>
        </is>
      </c>
      <c r="B480" s="1" t="n">
        <v>43654</v>
      </c>
      <c r="C480" s="1" t="n">
        <v>45579</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34144-2019</t>
        </is>
      </c>
      <c r="B481" s="1" t="n">
        <v>43655</v>
      </c>
      <c r="C481" s="1" t="n">
        <v>45579</v>
      </c>
      <c r="D481" t="inlineStr">
        <is>
          <t>JÄMTLANDS LÄN</t>
        </is>
      </c>
      <c r="E481" t="inlineStr">
        <is>
          <t>STRÖMSUND</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34156-2019</t>
        </is>
      </c>
      <c r="B482" s="1" t="n">
        <v>43655</v>
      </c>
      <c r="C482" s="1" t="n">
        <v>45579</v>
      </c>
      <c r="D482" t="inlineStr">
        <is>
          <t>JÄMTLANDS LÄN</t>
        </is>
      </c>
      <c r="E482" t="inlineStr">
        <is>
          <t>STRÖMSUND</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34152-2019</t>
        </is>
      </c>
      <c r="B483" s="1" t="n">
        <v>43655</v>
      </c>
      <c r="C483" s="1" t="n">
        <v>45579</v>
      </c>
      <c r="D483" t="inlineStr">
        <is>
          <t>JÄMTLANDS LÄN</t>
        </is>
      </c>
      <c r="E483" t="inlineStr">
        <is>
          <t>STRÖMSUND</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34233-2019</t>
        </is>
      </c>
      <c r="B484" s="1" t="n">
        <v>43655</v>
      </c>
      <c r="C484" s="1" t="n">
        <v>45579</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34146-2019</t>
        </is>
      </c>
      <c r="B485" s="1" t="n">
        <v>43655</v>
      </c>
      <c r="C485" s="1" t="n">
        <v>45579</v>
      </c>
      <c r="D485" t="inlineStr">
        <is>
          <t>JÄMTLANDS LÄN</t>
        </is>
      </c>
      <c r="E485" t="inlineStr">
        <is>
          <t>STRÖMSUND</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35674-2019</t>
        </is>
      </c>
      <c r="B486" s="1" t="n">
        <v>43655</v>
      </c>
      <c r="C486" s="1" t="n">
        <v>45579</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34219-2019</t>
        </is>
      </c>
      <c r="B487" s="1" t="n">
        <v>43655</v>
      </c>
      <c r="C487" s="1" t="n">
        <v>45579</v>
      </c>
      <c r="D487" t="inlineStr">
        <is>
          <t>JÄMTLANDS LÄN</t>
        </is>
      </c>
      <c r="E487" t="inlineStr">
        <is>
          <t>STRÖMSUND</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34741-2019</t>
        </is>
      </c>
      <c r="B488" s="1" t="n">
        <v>43657</v>
      </c>
      <c r="C488" s="1" t="n">
        <v>45579</v>
      </c>
      <c r="D488" t="inlineStr">
        <is>
          <t>JÄMTLANDS LÄN</t>
        </is>
      </c>
      <c r="E488" t="inlineStr">
        <is>
          <t>STRÖMSUND</t>
        </is>
      </c>
      <c r="F488" t="inlineStr">
        <is>
          <t>SCA</t>
        </is>
      </c>
      <c r="G488" t="n">
        <v>11.3</v>
      </c>
      <c r="H488" t="n">
        <v>0</v>
      </c>
      <c r="I488" t="n">
        <v>0</v>
      </c>
      <c r="J488" t="n">
        <v>0</v>
      </c>
      <c r="K488" t="n">
        <v>0</v>
      </c>
      <c r="L488" t="n">
        <v>0</v>
      </c>
      <c r="M488" t="n">
        <v>0</v>
      </c>
      <c r="N488" t="n">
        <v>0</v>
      </c>
      <c r="O488" t="n">
        <v>0</v>
      </c>
      <c r="P488" t="n">
        <v>0</v>
      </c>
      <c r="Q488" t="n">
        <v>0</v>
      </c>
      <c r="R488" s="2" t="inlineStr"/>
    </row>
    <row r="489" ht="15" customHeight="1">
      <c r="A489" t="inlineStr">
        <is>
          <t>A 36193-2019</t>
        </is>
      </c>
      <c r="B489" s="1" t="n">
        <v>43657</v>
      </c>
      <c r="C489" s="1" t="n">
        <v>45579</v>
      </c>
      <c r="D489" t="inlineStr">
        <is>
          <t>JÄMTLANDS LÄN</t>
        </is>
      </c>
      <c r="E489" t="inlineStr">
        <is>
          <t>STRÖMSUND</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34794-2019</t>
        </is>
      </c>
      <c r="B490" s="1" t="n">
        <v>43658</v>
      </c>
      <c r="C490" s="1" t="n">
        <v>45579</v>
      </c>
      <c r="D490" t="inlineStr">
        <is>
          <t>JÄMTLANDS LÄN</t>
        </is>
      </c>
      <c r="E490" t="inlineStr">
        <is>
          <t>STRÖMSUND</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35323-2019</t>
        </is>
      </c>
      <c r="B491" s="1" t="n">
        <v>43662</v>
      </c>
      <c r="C491" s="1" t="n">
        <v>45579</v>
      </c>
      <c r="D491" t="inlineStr">
        <is>
          <t>JÄMTLANDS LÄN</t>
        </is>
      </c>
      <c r="E491" t="inlineStr">
        <is>
          <t>STRÖMSUND</t>
        </is>
      </c>
      <c r="F491" t="inlineStr">
        <is>
          <t>SCA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35472-2019</t>
        </is>
      </c>
      <c r="B492" s="1" t="n">
        <v>43663</v>
      </c>
      <c r="C492" s="1" t="n">
        <v>45579</v>
      </c>
      <c r="D492" t="inlineStr">
        <is>
          <t>JÄMTLANDS LÄN</t>
        </is>
      </c>
      <c r="E492" t="inlineStr">
        <is>
          <t>STRÖMSUND</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35442-2019</t>
        </is>
      </c>
      <c r="B493" s="1" t="n">
        <v>43663</v>
      </c>
      <c r="C493" s="1" t="n">
        <v>45579</v>
      </c>
      <c r="D493" t="inlineStr">
        <is>
          <t>JÄMTLANDS LÄN</t>
        </is>
      </c>
      <c r="E493" t="inlineStr">
        <is>
          <t>STRÖMSUND</t>
        </is>
      </c>
      <c r="F493" t="inlineStr">
        <is>
          <t>Holmen skog AB</t>
        </is>
      </c>
      <c r="G493" t="n">
        <v>5</v>
      </c>
      <c r="H493" t="n">
        <v>0</v>
      </c>
      <c r="I493" t="n">
        <v>0</v>
      </c>
      <c r="J493" t="n">
        <v>0</v>
      </c>
      <c r="K493" t="n">
        <v>0</v>
      </c>
      <c r="L493" t="n">
        <v>0</v>
      </c>
      <c r="M493" t="n">
        <v>0</v>
      </c>
      <c r="N493" t="n">
        <v>0</v>
      </c>
      <c r="O493" t="n">
        <v>0</v>
      </c>
      <c r="P493" t="n">
        <v>0</v>
      </c>
      <c r="Q493" t="n">
        <v>0</v>
      </c>
      <c r="R493" s="2" t="inlineStr"/>
    </row>
    <row r="494" ht="15" customHeight="1">
      <c r="A494" t="inlineStr">
        <is>
          <t>A 35621-2019</t>
        </is>
      </c>
      <c r="B494" s="1" t="n">
        <v>43664</v>
      </c>
      <c r="C494" s="1" t="n">
        <v>45579</v>
      </c>
      <c r="D494" t="inlineStr">
        <is>
          <t>JÄMTLANDS LÄN</t>
        </is>
      </c>
      <c r="E494" t="inlineStr">
        <is>
          <t>STRÖMSUND</t>
        </is>
      </c>
      <c r="G494" t="n">
        <v>35.5</v>
      </c>
      <c r="H494" t="n">
        <v>0</v>
      </c>
      <c r="I494" t="n">
        <v>0</v>
      </c>
      <c r="J494" t="n">
        <v>0</v>
      </c>
      <c r="K494" t="n">
        <v>0</v>
      </c>
      <c r="L494" t="n">
        <v>0</v>
      </c>
      <c r="M494" t="n">
        <v>0</v>
      </c>
      <c r="N494" t="n">
        <v>0</v>
      </c>
      <c r="O494" t="n">
        <v>0</v>
      </c>
      <c r="P494" t="n">
        <v>0</v>
      </c>
      <c r="Q494" t="n">
        <v>0</v>
      </c>
      <c r="R494" s="2" t="inlineStr"/>
    </row>
    <row r="495" ht="15" customHeight="1">
      <c r="A495" t="inlineStr">
        <is>
          <t>A 37879-2019</t>
        </is>
      </c>
      <c r="B495" s="1" t="n">
        <v>43682</v>
      </c>
      <c r="C495" s="1" t="n">
        <v>45579</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37880-2019</t>
        </is>
      </c>
      <c r="B496" s="1" t="n">
        <v>43682</v>
      </c>
      <c r="C496" s="1" t="n">
        <v>45579</v>
      </c>
      <c r="D496" t="inlineStr">
        <is>
          <t>JÄMTLANDS LÄN</t>
        </is>
      </c>
      <c r="E496" t="inlineStr">
        <is>
          <t>STRÖMSUND</t>
        </is>
      </c>
      <c r="G496" t="n">
        <v>3.9</v>
      </c>
      <c r="H496" t="n">
        <v>0</v>
      </c>
      <c r="I496" t="n">
        <v>0</v>
      </c>
      <c r="J496" t="n">
        <v>0</v>
      </c>
      <c r="K496" t="n">
        <v>0</v>
      </c>
      <c r="L496" t="n">
        <v>0</v>
      </c>
      <c r="M496" t="n">
        <v>0</v>
      </c>
      <c r="N496" t="n">
        <v>0</v>
      </c>
      <c r="O496" t="n">
        <v>0</v>
      </c>
      <c r="P496" t="n">
        <v>0</v>
      </c>
      <c r="Q496" t="n">
        <v>0</v>
      </c>
      <c r="R496" s="2" t="inlineStr"/>
    </row>
    <row r="497" ht="15" customHeight="1">
      <c r="A497" t="inlineStr">
        <is>
          <t>A 38122-2019</t>
        </is>
      </c>
      <c r="B497" s="1" t="n">
        <v>43683</v>
      </c>
      <c r="C497" s="1" t="n">
        <v>45579</v>
      </c>
      <c r="D497" t="inlineStr">
        <is>
          <t>JÄMTLANDS LÄN</t>
        </is>
      </c>
      <c r="E497" t="inlineStr">
        <is>
          <t>STRÖMSUND</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38312-2019</t>
        </is>
      </c>
      <c r="B498" s="1" t="n">
        <v>43684</v>
      </c>
      <c r="C498" s="1" t="n">
        <v>45579</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38578-2019</t>
        </is>
      </c>
      <c r="B499" s="1" t="n">
        <v>43685</v>
      </c>
      <c r="C499" s="1" t="n">
        <v>45579</v>
      </c>
      <c r="D499" t="inlineStr">
        <is>
          <t>JÄMTLANDS LÄN</t>
        </is>
      </c>
      <c r="E499" t="inlineStr">
        <is>
          <t>STRÖMSUND</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38577-2019</t>
        </is>
      </c>
      <c r="B500" s="1" t="n">
        <v>43685</v>
      </c>
      <c r="C500" s="1" t="n">
        <v>45579</v>
      </c>
      <c r="D500" t="inlineStr">
        <is>
          <t>JÄMTLANDS LÄN</t>
        </is>
      </c>
      <c r="E500" t="inlineStr">
        <is>
          <t>STRÖMSUND</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39129-2019</t>
        </is>
      </c>
      <c r="B501" s="1" t="n">
        <v>43689</v>
      </c>
      <c r="C501" s="1" t="n">
        <v>45579</v>
      </c>
      <c r="D501" t="inlineStr">
        <is>
          <t>JÄMTLANDS LÄN</t>
        </is>
      </c>
      <c r="E501" t="inlineStr">
        <is>
          <t>STRÖMSUND</t>
        </is>
      </c>
      <c r="F501" t="inlineStr">
        <is>
          <t>SCA</t>
        </is>
      </c>
      <c r="G501" t="n">
        <v>67.2</v>
      </c>
      <c r="H501" t="n">
        <v>0</v>
      </c>
      <c r="I501" t="n">
        <v>0</v>
      </c>
      <c r="J501" t="n">
        <v>0</v>
      </c>
      <c r="K501" t="n">
        <v>0</v>
      </c>
      <c r="L501" t="n">
        <v>0</v>
      </c>
      <c r="M501" t="n">
        <v>0</v>
      </c>
      <c r="N501" t="n">
        <v>0</v>
      </c>
      <c r="O501" t="n">
        <v>0</v>
      </c>
      <c r="P501" t="n">
        <v>0</v>
      </c>
      <c r="Q501" t="n">
        <v>0</v>
      </c>
      <c r="R501" s="2" t="inlineStr"/>
    </row>
    <row r="502" ht="15" customHeight="1">
      <c r="A502" t="inlineStr">
        <is>
          <t>A 39226-2019</t>
        </is>
      </c>
      <c r="B502" s="1" t="n">
        <v>43690</v>
      </c>
      <c r="C502" s="1" t="n">
        <v>45579</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row>
    <row r="503" ht="15" customHeight="1">
      <c r="A503" t="inlineStr">
        <is>
          <t>A 39282-2019</t>
        </is>
      </c>
      <c r="B503" s="1" t="n">
        <v>43690</v>
      </c>
      <c r="C503" s="1" t="n">
        <v>45579</v>
      </c>
      <c r="D503" t="inlineStr">
        <is>
          <t>JÄMTLANDS LÄN</t>
        </is>
      </c>
      <c r="E503" t="inlineStr">
        <is>
          <t>STRÖMSUND</t>
        </is>
      </c>
      <c r="F503" t="inlineStr">
        <is>
          <t>Holmen skog AB</t>
        </is>
      </c>
      <c r="G503" t="n">
        <v>21.2</v>
      </c>
      <c r="H503" t="n">
        <v>0</v>
      </c>
      <c r="I503" t="n">
        <v>0</v>
      </c>
      <c r="J503" t="n">
        <v>0</v>
      </c>
      <c r="K503" t="n">
        <v>0</v>
      </c>
      <c r="L503" t="n">
        <v>0</v>
      </c>
      <c r="M503" t="n">
        <v>0</v>
      </c>
      <c r="N503" t="n">
        <v>0</v>
      </c>
      <c r="O503" t="n">
        <v>0</v>
      </c>
      <c r="P503" t="n">
        <v>0</v>
      </c>
      <c r="Q503" t="n">
        <v>0</v>
      </c>
      <c r="R503" s="2" t="inlineStr"/>
    </row>
    <row r="504" ht="15" customHeight="1">
      <c r="A504" t="inlineStr">
        <is>
          <t>A 40509-2019</t>
        </is>
      </c>
      <c r="B504" s="1" t="n">
        <v>43696</v>
      </c>
      <c r="C504" s="1" t="n">
        <v>45579</v>
      </c>
      <c r="D504" t="inlineStr">
        <is>
          <t>JÄMTLANDS LÄN</t>
        </is>
      </c>
      <c r="E504" t="inlineStr">
        <is>
          <t>STRÖMSUND</t>
        </is>
      </c>
      <c r="G504" t="n">
        <v>16.4</v>
      </c>
      <c r="H504" t="n">
        <v>0</v>
      </c>
      <c r="I504" t="n">
        <v>0</v>
      </c>
      <c r="J504" t="n">
        <v>0</v>
      </c>
      <c r="K504" t="n">
        <v>0</v>
      </c>
      <c r="L504" t="n">
        <v>0</v>
      </c>
      <c r="M504" t="n">
        <v>0</v>
      </c>
      <c r="N504" t="n">
        <v>0</v>
      </c>
      <c r="O504" t="n">
        <v>0</v>
      </c>
      <c r="P504" t="n">
        <v>0</v>
      </c>
      <c r="Q504" t="n">
        <v>0</v>
      </c>
      <c r="R504" s="2" t="inlineStr"/>
    </row>
    <row r="505" ht="15" customHeight="1">
      <c r="A505" t="inlineStr">
        <is>
          <t>A 40661-2019</t>
        </is>
      </c>
      <c r="B505" s="1" t="n">
        <v>43696</v>
      </c>
      <c r="C505" s="1" t="n">
        <v>45579</v>
      </c>
      <c r="D505" t="inlineStr">
        <is>
          <t>JÄMTLANDS LÄN</t>
        </is>
      </c>
      <c r="E505" t="inlineStr">
        <is>
          <t>STRÖMSUND</t>
        </is>
      </c>
      <c r="G505" t="n">
        <v>2.9</v>
      </c>
      <c r="H505" t="n">
        <v>0</v>
      </c>
      <c r="I505" t="n">
        <v>0</v>
      </c>
      <c r="J505" t="n">
        <v>0</v>
      </c>
      <c r="K505" t="n">
        <v>0</v>
      </c>
      <c r="L505" t="n">
        <v>0</v>
      </c>
      <c r="M505" t="n">
        <v>0</v>
      </c>
      <c r="N505" t="n">
        <v>0</v>
      </c>
      <c r="O505" t="n">
        <v>0</v>
      </c>
      <c r="P505" t="n">
        <v>0</v>
      </c>
      <c r="Q505" t="n">
        <v>0</v>
      </c>
      <c r="R505" s="2" t="inlineStr"/>
    </row>
    <row r="506" ht="15" customHeight="1">
      <c r="A506" t="inlineStr">
        <is>
          <t>A 40670-2019</t>
        </is>
      </c>
      <c r="B506" s="1" t="n">
        <v>43696</v>
      </c>
      <c r="C506" s="1" t="n">
        <v>45579</v>
      </c>
      <c r="D506" t="inlineStr">
        <is>
          <t>JÄMTLANDS LÄN</t>
        </is>
      </c>
      <c r="E506" t="inlineStr">
        <is>
          <t>STRÖMSUND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40508-2019</t>
        </is>
      </c>
      <c r="B507" s="1" t="n">
        <v>43696</v>
      </c>
      <c r="C507" s="1" t="n">
        <v>45579</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41007-2019</t>
        </is>
      </c>
      <c r="B508" s="1" t="n">
        <v>43697</v>
      </c>
      <c r="C508" s="1" t="n">
        <v>45579</v>
      </c>
      <c r="D508" t="inlineStr">
        <is>
          <t>JÄMTLANDS LÄN</t>
        </is>
      </c>
      <c r="E508" t="inlineStr">
        <is>
          <t>STRÖMSUND</t>
        </is>
      </c>
      <c r="G508" t="n">
        <v>7.2</v>
      </c>
      <c r="H508" t="n">
        <v>0</v>
      </c>
      <c r="I508" t="n">
        <v>0</v>
      </c>
      <c r="J508" t="n">
        <v>0</v>
      </c>
      <c r="K508" t="n">
        <v>0</v>
      </c>
      <c r="L508" t="n">
        <v>0</v>
      </c>
      <c r="M508" t="n">
        <v>0</v>
      </c>
      <c r="N508" t="n">
        <v>0</v>
      </c>
      <c r="O508" t="n">
        <v>0</v>
      </c>
      <c r="P508" t="n">
        <v>0</v>
      </c>
      <c r="Q508" t="n">
        <v>0</v>
      </c>
      <c r="R508" s="2" t="inlineStr"/>
    </row>
    <row r="509" ht="15" customHeight="1">
      <c r="A509" t="inlineStr">
        <is>
          <t>A 41042-2019</t>
        </is>
      </c>
      <c r="B509" s="1" t="n">
        <v>43697</v>
      </c>
      <c r="C509" s="1" t="n">
        <v>45579</v>
      </c>
      <c r="D509" t="inlineStr">
        <is>
          <t>JÄMTLANDS LÄN</t>
        </is>
      </c>
      <c r="E509" t="inlineStr">
        <is>
          <t>STRÖMSUND</t>
        </is>
      </c>
      <c r="F509" t="inlineStr">
        <is>
          <t>SCA</t>
        </is>
      </c>
      <c r="G509" t="n">
        <v>58.2</v>
      </c>
      <c r="H509" t="n">
        <v>0</v>
      </c>
      <c r="I509" t="n">
        <v>0</v>
      </c>
      <c r="J509" t="n">
        <v>0</v>
      </c>
      <c r="K509" t="n">
        <v>0</v>
      </c>
      <c r="L509" t="n">
        <v>0</v>
      </c>
      <c r="M509" t="n">
        <v>0</v>
      </c>
      <c r="N509" t="n">
        <v>0</v>
      </c>
      <c r="O509" t="n">
        <v>0</v>
      </c>
      <c r="P509" t="n">
        <v>0</v>
      </c>
      <c r="Q509" t="n">
        <v>0</v>
      </c>
      <c r="R509" s="2" t="inlineStr"/>
    </row>
    <row r="510" ht="15" customHeight="1">
      <c r="A510" t="inlineStr">
        <is>
          <t>A 42420-2019</t>
        </is>
      </c>
      <c r="B510" s="1" t="n">
        <v>43703</v>
      </c>
      <c r="C510" s="1" t="n">
        <v>45579</v>
      </c>
      <c r="D510" t="inlineStr">
        <is>
          <t>JÄMTLANDS LÄN</t>
        </is>
      </c>
      <c r="E510" t="inlineStr">
        <is>
          <t>STRÖMSUND</t>
        </is>
      </c>
      <c r="G510" t="n">
        <v>8.4</v>
      </c>
      <c r="H510" t="n">
        <v>0</v>
      </c>
      <c r="I510" t="n">
        <v>0</v>
      </c>
      <c r="J510" t="n">
        <v>0</v>
      </c>
      <c r="K510" t="n">
        <v>0</v>
      </c>
      <c r="L510" t="n">
        <v>0</v>
      </c>
      <c r="M510" t="n">
        <v>0</v>
      </c>
      <c r="N510" t="n">
        <v>0</v>
      </c>
      <c r="O510" t="n">
        <v>0</v>
      </c>
      <c r="P510" t="n">
        <v>0</v>
      </c>
      <c r="Q510" t="n">
        <v>0</v>
      </c>
      <c r="R510" s="2" t="inlineStr"/>
    </row>
    <row r="511" ht="15" customHeight="1">
      <c r="A511" t="inlineStr">
        <is>
          <t>A 43180-2019</t>
        </is>
      </c>
      <c r="B511" s="1" t="n">
        <v>43705</v>
      </c>
      <c r="C511" s="1" t="n">
        <v>45579</v>
      </c>
      <c r="D511" t="inlineStr">
        <is>
          <t>JÄMTLANDS LÄN</t>
        </is>
      </c>
      <c r="E511" t="inlineStr">
        <is>
          <t>STRÖMSUND</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43707-2019</t>
        </is>
      </c>
      <c r="B512" s="1" t="n">
        <v>43707</v>
      </c>
      <c r="C512" s="1" t="n">
        <v>45579</v>
      </c>
      <c r="D512" t="inlineStr">
        <is>
          <t>JÄMTLANDS LÄN</t>
        </is>
      </c>
      <c r="E512" t="inlineStr">
        <is>
          <t>STRÖMSUND</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43943-2019</t>
        </is>
      </c>
      <c r="B513" s="1" t="n">
        <v>43707</v>
      </c>
      <c r="C513" s="1" t="n">
        <v>45579</v>
      </c>
      <c r="D513" t="inlineStr">
        <is>
          <t>JÄMTLANDS LÄN</t>
        </is>
      </c>
      <c r="E513" t="inlineStr">
        <is>
          <t>STRÖMSUND</t>
        </is>
      </c>
      <c r="F513" t="inlineStr">
        <is>
          <t>SCA</t>
        </is>
      </c>
      <c r="G513" t="n">
        <v>11.9</v>
      </c>
      <c r="H513" t="n">
        <v>0</v>
      </c>
      <c r="I513" t="n">
        <v>0</v>
      </c>
      <c r="J513" t="n">
        <v>0</v>
      </c>
      <c r="K513" t="n">
        <v>0</v>
      </c>
      <c r="L513" t="n">
        <v>0</v>
      </c>
      <c r="M513" t="n">
        <v>0</v>
      </c>
      <c r="N513" t="n">
        <v>0</v>
      </c>
      <c r="O513" t="n">
        <v>0</v>
      </c>
      <c r="P513" t="n">
        <v>0</v>
      </c>
      <c r="Q513" t="n">
        <v>0</v>
      </c>
      <c r="R513" s="2" t="inlineStr"/>
    </row>
    <row r="514" ht="15" customHeight="1">
      <c r="A514" t="inlineStr">
        <is>
          <t>A 43793-2019</t>
        </is>
      </c>
      <c r="B514" s="1" t="n">
        <v>43707</v>
      </c>
      <c r="C514" s="1" t="n">
        <v>45579</v>
      </c>
      <c r="D514" t="inlineStr">
        <is>
          <t>JÄMTLANDS LÄN</t>
        </is>
      </c>
      <c r="E514" t="inlineStr">
        <is>
          <t>STRÖMSUND</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45171-2019</t>
        </is>
      </c>
      <c r="B515" s="1" t="n">
        <v>43707</v>
      </c>
      <c r="C515" s="1" t="n">
        <v>45579</v>
      </c>
      <c r="D515" t="inlineStr">
        <is>
          <t>JÄMTLANDS LÄN</t>
        </is>
      </c>
      <c r="E515" t="inlineStr">
        <is>
          <t>STRÖMSUND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44010-2019</t>
        </is>
      </c>
      <c r="B516" s="1" t="n">
        <v>43709</v>
      </c>
      <c r="C516" s="1" t="n">
        <v>45579</v>
      </c>
      <c r="D516" t="inlineStr">
        <is>
          <t>JÄMTLANDS LÄN</t>
        </is>
      </c>
      <c r="E516" t="inlineStr">
        <is>
          <t>STRÖMSUND</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44535-2019</t>
        </is>
      </c>
      <c r="B517" s="1" t="n">
        <v>43711</v>
      </c>
      <c r="C517" s="1" t="n">
        <v>45579</v>
      </c>
      <c r="D517" t="inlineStr">
        <is>
          <t>JÄMTLANDS LÄN</t>
        </is>
      </c>
      <c r="E517" t="inlineStr">
        <is>
          <t>STRÖMSUND</t>
        </is>
      </c>
      <c r="G517" t="n">
        <v>23.8</v>
      </c>
      <c r="H517" t="n">
        <v>0</v>
      </c>
      <c r="I517" t="n">
        <v>0</v>
      </c>
      <c r="J517" t="n">
        <v>0</v>
      </c>
      <c r="K517" t="n">
        <v>0</v>
      </c>
      <c r="L517" t="n">
        <v>0</v>
      </c>
      <c r="M517" t="n">
        <v>0</v>
      </c>
      <c r="N517" t="n">
        <v>0</v>
      </c>
      <c r="O517" t="n">
        <v>0</v>
      </c>
      <c r="P517" t="n">
        <v>0</v>
      </c>
      <c r="Q517" t="n">
        <v>0</v>
      </c>
      <c r="R517" s="2" t="inlineStr"/>
    </row>
    <row r="518" ht="15" customHeight="1">
      <c r="A518" t="inlineStr">
        <is>
          <t>A 44604-2019</t>
        </is>
      </c>
      <c r="B518" s="1" t="n">
        <v>43711</v>
      </c>
      <c r="C518" s="1" t="n">
        <v>45579</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45773-2019</t>
        </is>
      </c>
      <c r="B519" s="1" t="n">
        <v>43711</v>
      </c>
      <c r="C519" s="1" t="n">
        <v>45579</v>
      </c>
      <c r="D519" t="inlineStr">
        <is>
          <t>JÄMTLANDS LÄN</t>
        </is>
      </c>
      <c r="E519" t="inlineStr">
        <is>
          <t>STRÖMSUND</t>
        </is>
      </c>
      <c r="G519" t="n">
        <v>3.2</v>
      </c>
      <c r="H519" t="n">
        <v>0</v>
      </c>
      <c r="I519" t="n">
        <v>0</v>
      </c>
      <c r="J519" t="n">
        <v>0</v>
      </c>
      <c r="K519" t="n">
        <v>0</v>
      </c>
      <c r="L519" t="n">
        <v>0</v>
      </c>
      <c r="M519" t="n">
        <v>0</v>
      </c>
      <c r="N519" t="n">
        <v>0</v>
      </c>
      <c r="O519" t="n">
        <v>0</v>
      </c>
      <c r="P519" t="n">
        <v>0</v>
      </c>
      <c r="Q519" t="n">
        <v>0</v>
      </c>
      <c r="R519" s="2" t="inlineStr"/>
    </row>
    <row r="520" ht="15" customHeight="1">
      <c r="A520" t="inlineStr">
        <is>
          <t>A 44605-2019</t>
        </is>
      </c>
      <c r="B520" s="1" t="n">
        <v>43711</v>
      </c>
      <c r="C520" s="1" t="n">
        <v>45579</v>
      </c>
      <c r="D520" t="inlineStr">
        <is>
          <t>JÄMTLANDS LÄN</t>
        </is>
      </c>
      <c r="E520" t="inlineStr">
        <is>
          <t>STRÖMSUND</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45737-2019</t>
        </is>
      </c>
      <c r="B521" s="1" t="n">
        <v>43711</v>
      </c>
      <c r="C521" s="1" t="n">
        <v>45579</v>
      </c>
      <c r="D521" t="inlineStr">
        <is>
          <t>JÄMTLANDS LÄN</t>
        </is>
      </c>
      <c r="E521" t="inlineStr">
        <is>
          <t>STRÖMSUND</t>
        </is>
      </c>
      <c r="F521" t="inlineStr">
        <is>
          <t>Holmen skog AB</t>
        </is>
      </c>
      <c r="G521" t="n">
        <v>9.5</v>
      </c>
      <c r="H521" t="n">
        <v>0</v>
      </c>
      <c r="I521" t="n">
        <v>0</v>
      </c>
      <c r="J521" t="n">
        <v>0</v>
      </c>
      <c r="K521" t="n">
        <v>0</v>
      </c>
      <c r="L521" t="n">
        <v>0</v>
      </c>
      <c r="M521" t="n">
        <v>0</v>
      </c>
      <c r="N521" t="n">
        <v>0</v>
      </c>
      <c r="O521" t="n">
        <v>0</v>
      </c>
      <c r="P521" t="n">
        <v>0</v>
      </c>
      <c r="Q521" t="n">
        <v>0</v>
      </c>
      <c r="R521" s="2" t="inlineStr"/>
    </row>
    <row r="522" ht="15" customHeight="1">
      <c r="A522" t="inlineStr">
        <is>
          <t>A 45776-2019</t>
        </is>
      </c>
      <c r="B522" s="1" t="n">
        <v>43711</v>
      </c>
      <c r="C522" s="1" t="n">
        <v>45579</v>
      </c>
      <c r="D522" t="inlineStr">
        <is>
          <t>JÄMTLANDS LÄN</t>
        </is>
      </c>
      <c r="E522" t="inlineStr">
        <is>
          <t>STRÖMSUND</t>
        </is>
      </c>
      <c r="G522" t="n">
        <v>3.6</v>
      </c>
      <c r="H522" t="n">
        <v>0</v>
      </c>
      <c r="I522" t="n">
        <v>0</v>
      </c>
      <c r="J522" t="n">
        <v>0</v>
      </c>
      <c r="K522" t="n">
        <v>0</v>
      </c>
      <c r="L522" t="n">
        <v>0</v>
      </c>
      <c r="M522" t="n">
        <v>0</v>
      </c>
      <c r="N522" t="n">
        <v>0</v>
      </c>
      <c r="O522" t="n">
        <v>0</v>
      </c>
      <c r="P522" t="n">
        <v>0</v>
      </c>
      <c r="Q522" t="n">
        <v>0</v>
      </c>
      <c r="R522" s="2" t="inlineStr"/>
    </row>
    <row r="523" ht="15" customHeight="1">
      <c r="A523" t="inlineStr">
        <is>
          <t>A 44774-2019</t>
        </is>
      </c>
      <c r="B523" s="1" t="n">
        <v>43712</v>
      </c>
      <c r="C523" s="1" t="n">
        <v>45579</v>
      </c>
      <c r="D523" t="inlineStr">
        <is>
          <t>JÄMTLANDS LÄN</t>
        </is>
      </c>
      <c r="E523" t="inlineStr">
        <is>
          <t>STRÖMSUND</t>
        </is>
      </c>
      <c r="G523" t="n">
        <v>4.6</v>
      </c>
      <c r="H523" t="n">
        <v>0</v>
      </c>
      <c r="I523" t="n">
        <v>0</v>
      </c>
      <c r="J523" t="n">
        <v>0</v>
      </c>
      <c r="K523" t="n">
        <v>0</v>
      </c>
      <c r="L523" t="n">
        <v>0</v>
      </c>
      <c r="M523" t="n">
        <v>0</v>
      </c>
      <c r="N523" t="n">
        <v>0</v>
      </c>
      <c r="O523" t="n">
        <v>0</v>
      </c>
      <c r="P523" t="n">
        <v>0</v>
      </c>
      <c r="Q523" t="n">
        <v>0</v>
      </c>
      <c r="R523" s="2" t="inlineStr"/>
    </row>
    <row r="524" ht="15" customHeight="1">
      <c r="A524" t="inlineStr">
        <is>
          <t>A 44809-2019</t>
        </is>
      </c>
      <c r="B524" s="1" t="n">
        <v>43712</v>
      </c>
      <c r="C524" s="1" t="n">
        <v>45579</v>
      </c>
      <c r="D524" t="inlineStr">
        <is>
          <t>JÄMTLANDS LÄN</t>
        </is>
      </c>
      <c r="E524" t="inlineStr">
        <is>
          <t>STRÖMSUND</t>
        </is>
      </c>
      <c r="F524" t="inlineStr">
        <is>
          <t>Kommuner</t>
        </is>
      </c>
      <c r="G524" t="n">
        <v>13.4</v>
      </c>
      <c r="H524" t="n">
        <v>0</v>
      </c>
      <c r="I524" t="n">
        <v>0</v>
      </c>
      <c r="J524" t="n">
        <v>0</v>
      </c>
      <c r="K524" t="n">
        <v>0</v>
      </c>
      <c r="L524" t="n">
        <v>0</v>
      </c>
      <c r="M524" t="n">
        <v>0</v>
      </c>
      <c r="N524" t="n">
        <v>0</v>
      </c>
      <c r="O524" t="n">
        <v>0</v>
      </c>
      <c r="P524" t="n">
        <v>0</v>
      </c>
      <c r="Q524" t="n">
        <v>0</v>
      </c>
      <c r="R524" s="2" t="inlineStr"/>
    </row>
    <row r="525" ht="15" customHeight="1">
      <c r="A525" t="inlineStr">
        <is>
          <t>A 44882-2019</t>
        </is>
      </c>
      <c r="B525" s="1" t="n">
        <v>43712</v>
      </c>
      <c r="C525" s="1" t="n">
        <v>45579</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44956-2019</t>
        </is>
      </c>
      <c r="B526" s="1" t="n">
        <v>43713</v>
      </c>
      <c r="C526" s="1" t="n">
        <v>45579</v>
      </c>
      <c r="D526" t="inlineStr">
        <is>
          <t>JÄMTLANDS LÄN</t>
        </is>
      </c>
      <c r="E526" t="inlineStr">
        <is>
          <t>STRÖMSUND</t>
        </is>
      </c>
      <c r="G526" t="n">
        <v>2.4</v>
      </c>
      <c r="H526" t="n">
        <v>0</v>
      </c>
      <c r="I526" t="n">
        <v>0</v>
      </c>
      <c r="J526" t="n">
        <v>0</v>
      </c>
      <c r="K526" t="n">
        <v>0</v>
      </c>
      <c r="L526" t="n">
        <v>0</v>
      </c>
      <c r="M526" t="n">
        <v>0</v>
      </c>
      <c r="N526" t="n">
        <v>0</v>
      </c>
      <c r="O526" t="n">
        <v>0</v>
      </c>
      <c r="P526" t="n">
        <v>0</v>
      </c>
      <c r="Q526" t="n">
        <v>0</v>
      </c>
      <c r="R526" s="2" t="inlineStr"/>
    </row>
    <row r="527" ht="15" customHeight="1">
      <c r="A527" t="inlineStr">
        <is>
          <t>A 45165-2019</t>
        </is>
      </c>
      <c r="B527" s="1" t="n">
        <v>43713</v>
      </c>
      <c r="C527" s="1" t="n">
        <v>45579</v>
      </c>
      <c r="D527" t="inlineStr">
        <is>
          <t>JÄMTLANDS LÄN</t>
        </is>
      </c>
      <c r="E527" t="inlineStr">
        <is>
          <t>STRÖMSUND</t>
        </is>
      </c>
      <c r="F527" t="inlineStr">
        <is>
          <t>Holmen skog AB</t>
        </is>
      </c>
      <c r="G527" t="n">
        <v>25.4</v>
      </c>
      <c r="H527" t="n">
        <v>0</v>
      </c>
      <c r="I527" t="n">
        <v>0</v>
      </c>
      <c r="J527" t="n">
        <v>0</v>
      </c>
      <c r="K527" t="n">
        <v>0</v>
      </c>
      <c r="L527" t="n">
        <v>0</v>
      </c>
      <c r="M527" t="n">
        <v>0</v>
      </c>
      <c r="N527" t="n">
        <v>0</v>
      </c>
      <c r="O527" t="n">
        <v>0</v>
      </c>
      <c r="P527" t="n">
        <v>0</v>
      </c>
      <c r="Q527" t="n">
        <v>0</v>
      </c>
      <c r="R527" s="2" t="inlineStr"/>
    </row>
    <row r="528" ht="15" customHeight="1">
      <c r="A528" t="inlineStr">
        <is>
          <t>A 45362-2019</t>
        </is>
      </c>
      <c r="B528" s="1" t="n">
        <v>43714</v>
      </c>
      <c r="C528" s="1" t="n">
        <v>45579</v>
      </c>
      <c r="D528" t="inlineStr">
        <is>
          <t>JÄMTLANDS LÄN</t>
        </is>
      </c>
      <c r="E528" t="inlineStr">
        <is>
          <t>STRÖMSUND</t>
        </is>
      </c>
      <c r="G528" t="n">
        <v>4.2</v>
      </c>
      <c r="H528" t="n">
        <v>0</v>
      </c>
      <c r="I528" t="n">
        <v>0</v>
      </c>
      <c r="J528" t="n">
        <v>0</v>
      </c>
      <c r="K528" t="n">
        <v>0</v>
      </c>
      <c r="L528" t="n">
        <v>0</v>
      </c>
      <c r="M528" t="n">
        <v>0</v>
      </c>
      <c r="N528" t="n">
        <v>0</v>
      </c>
      <c r="O528" t="n">
        <v>0</v>
      </c>
      <c r="P528" t="n">
        <v>0</v>
      </c>
      <c r="Q528" t="n">
        <v>0</v>
      </c>
      <c r="R528" s="2" t="inlineStr"/>
    </row>
    <row r="529" ht="15" customHeight="1">
      <c r="A529" t="inlineStr">
        <is>
          <t>A 45649-2019</t>
        </is>
      </c>
      <c r="B529" s="1" t="n">
        <v>43717</v>
      </c>
      <c r="C529" s="1" t="n">
        <v>45579</v>
      </c>
      <c r="D529" t="inlineStr">
        <is>
          <t>JÄMTLANDS LÄN</t>
        </is>
      </c>
      <c r="E529" t="inlineStr">
        <is>
          <t>STRÖMSUND</t>
        </is>
      </c>
      <c r="F529" t="inlineStr">
        <is>
          <t>Holmen skog AB</t>
        </is>
      </c>
      <c r="G529" t="n">
        <v>24.2</v>
      </c>
      <c r="H529" t="n">
        <v>0</v>
      </c>
      <c r="I529" t="n">
        <v>0</v>
      </c>
      <c r="J529" t="n">
        <v>0</v>
      </c>
      <c r="K529" t="n">
        <v>0</v>
      </c>
      <c r="L529" t="n">
        <v>0</v>
      </c>
      <c r="M529" t="n">
        <v>0</v>
      </c>
      <c r="N529" t="n">
        <v>0</v>
      </c>
      <c r="O529" t="n">
        <v>0</v>
      </c>
      <c r="P529" t="n">
        <v>0</v>
      </c>
      <c r="Q529" t="n">
        <v>0</v>
      </c>
      <c r="R529" s="2" t="inlineStr"/>
    </row>
    <row r="530" ht="15" customHeight="1">
      <c r="A530" t="inlineStr">
        <is>
          <t>A 45918-2019</t>
        </is>
      </c>
      <c r="B530" s="1" t="n">
        <v>43717</v>
      </c>
      <c r="C530" s="1" t="n">
        <v>45579</v>
      </c>
      <c r="D530" t="inlineStr">
        <is>
          <t>JÄMTLANDS LÄN</t>
        </is>
      </c>
      <c r="E530" t="inlineStr">
        <is>
          <t>STRÖMSUND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45917-2019</t>
        </is>
      </c>
      <c r="B531" s="1" t="n">
        <v>43717</v>
      </c>
      <c r="C531" s="1" t="n">
        <v>45579</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45835-2019</t>
        </is>
      </c>
      <c r="B532" s="1" t="n">
        <v>43717</v>
      </c>
      <c r="C532" s="1" t="n">
        <v>45579</v>
      </c>
      <c r="D532" t="inlineStr">
        <is>
          <t>JÄMTLANDS LÄN</t>
        </is>
      </c>
      <c r="E532" t="inlineStr">
        <is>
          <t>STRÖMSUND</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45963-2019</t>
        </is>
      </c>
      <c r="B533" s="1" t="n">
        <v>43718</v>
      </c>
      <c r="C533" s="1" t="n">
        <v>45579</v>
      </c>
      <c r="D533" t="inlineStr">
        <is>
          <t>JÄMTLANDS LÄN</t>
        </is>
      </c>
      <c r="E533" t="inlineStr">
        <is>
          <t>STRÖMSUND</t>
        </is>
      </c>
      <c r="F533" t="inlineStr">
        <is>
          <t>Holmen skog AB</t>
        </is>
      </c>
      <c r="G533" t="n">
        <v>11.8</v>
      </c>
      <c r="H533" t="n">
        <v>0</v>
      </c>
      <c r="I533" t="n">
        <v>0</v>
      </c>
      <c r="J533" t="n">
        <v>0</v>
      </c>
      <c r="K533" t="n">
        <v>0</v>
      </c>
      <c r="L533" t="n">
        <v>0</v>
      </c>
      <c r="M533" t="n">
        <v>0</v>
      </c>
      <c r="N533" t="n">
        <v>0</v>
      </c>
      <c r="O533" t="n">
        <v>0</v>
      </c>
      <c r="P533" t="n">
        <v>0</v>
      </c>
      <c r="Q533" t="n">
        <v>0</v>
      </c>
      <c r="R533" s="2" t="inlineStr"/>
    </row>
    <row r="534" ht="15" customHeight="1">
      <c r="A534" t="inlineStr">
        <is>
          <t>A 47082-2019</t>
        </is>
      </c>
      <c r="B534" s="1" t="n">
        <v>43720</v>
      </c>
      <c r="C534" s="1" t="n">
        <v>45579</v>
      </c>
      <c r="D534" t="inlineStr">
        <is>
          <t>JÄMTLANDS LÄN</t>
        </is>
      </c>
      <c r="E534" t="inlineStr">
        <is>
          <t>STRÖMSUND</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47410-2019</t>
        </is>
      </c>
      <c r="B535" s="1" t="n">
        <v>43723</v>
      </c>
      <c r="C535" s="1" t="n">
        <v>45579</v>
      </c>
      <c r="D535" t="inlineStr">
        <is>
          <t>JÄMTLANDS LÄN</t>
        </is>
      </c>
      <c r="E535" t="inlineStr">
        <is>
          <t>STRÖMSUND</t>
        </is>
      </c>
      <c r="G535" t="n">
        <v>5.4</v>
      </c>
      <c r="H535" t="n">
        <v>0</v>
      </c>
      <c r="I535" t="n">
        <v>0</v>
      </c>
      <c r="J535" t="n">
        <v>0</v>
      </c>
      <c r="K535" t="n">
        <v>0</v>
      </c>
      <c r="L535" t="n">
        <v>0</v>
      </c>
      <c r="M535" t="n">
        <v>0</v>
      </c>
      <c r="N535" t="n">
        <v>0</v>
      </c>
      <c r="O535" t="n">
        <v>0</v>
      </c>
      <c r="P535" t="n">
        <v>0</v>
      </c>
      <c r="Q535" t="n">
        <v>0</v>
      </c>
      <c r="R535" s="2" t="inlineStr"/>
    </row>
    <row r="536" ht="15" customHeight="1">
      <c r="A536" t="inlineStr">
        <is>
          <t>A 47531-2019</t>
        </is>
      </c>
      <c r="B536" s="1" t="n">
        <v>43724</v>
      </c>
      <c r="C536" s="1" t="n">
        <v>45579</v>
      </c>
      <c r="D536" t="inlineStr">
        <is>
          <t>JÄMTLANDS LÄN</t>
        </is>
      </c>
      <c r="E536" t="inlineStr">
        <is>
          <t>STRÖMSUND</t>
        </is>
      </c>
      <c r="G536" t="n">
        <v>30.4</v>
      </c>
      <c r="H536" t="n">
        <v>0</v>
      </c>
      <c r="I536" t="n">
        <v>0</v>
      </c>
      <c r="J536" t="n">
        <v>0</v>
      </c>
      <c r="K536" t="n">
        <v>0</v>
      </c>
      <c r="L536" t="n">
        <v>0</v>
      </c>
      <c r="M536" t="n">
        <v>0</v>
      </c>
      <c r="N536" t="n">
        <v>0</v>
      </c>
      <c r="O536" t="n">
        <v>0</v>
      </c>
      <c r="P536" t="n">
        <v>0</v>
      </c>
      <c r="Q536" t="n">
        <v>0</v>
      </c>
      <c r="R536" s="2" t="inlineStr"/>
    </row>
    <row r="537" ht="15" customHeight="1">
      <c r="A537" t="inlineStr">
        <is>
          <t>A 47811-2019</t>
        </is>
      </c>
      <c r="B537" s="1" t="n">
        <v>43724</v>
      </c>
      <c r="C537" s="1" t="n">
        <v>45579</v>
      </c>
      <c r="D537" t="inlineStr">
        <is>
          <t>JÄMTLANDS LÄN</t>
        </is>
      </c>
      <c r="E537" t="inlineStr">
        <is>
          <t>STRÖMSUND</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48052-2019</t>
        </is>
      </c>
      <c r="B538" s="1" t="n">
        <v>43725</v>
      </c>
      <c r="C538" s="1" t="n">
        <v>45579</v>
      </c>
      <c r="D538" t="inlineStr">
        <is>
          <t>JÄMTLANDS LÄN</t>
        </is>
      </c>
      <c r="E538" t="inlineStr">
        <is>
          <t>STRÖMSUND</t>
        </is>
      </c>
      <c r="G538" t="n">
        <v>4.8</v>
      </c>
      <c r="H538" t="n">
        <v>0</v>
      </c>
      <c r="I538" t="n">
        <v>0</v>
      </c>
      <c r="J538" t="n">
        <v>0</v>
      </c>
      <c r="K538" t="n">
        <v>0</v>
      </c>
      <c r="L538" t="n">
        <v>0</v>
      </c>
      <c r="M538" t="n">
        <v>0</v>
      </c>
      <c r="N538" t="n">
        <v>0</v>
      </c>
      <c r="O538" t="n">
        <v>0</v>
      </c>
      <c r="P538" t="n">
        <v>0</v>
      </c>
      <c r="Q538" t="n">
        <v>0</v>
      </c>
      <c r="R538" s="2" t="inlineStr"/>
    </row>
    <row r="539" ht="15" customHeight="1">
      <c r="A539" t="inlineStr">
        <is>
          <t>A 48578-2019</t>
        </is>
      </c>
      <c r="B539" s="1" t="n">
        <v>43727</v>
      </c>
      <c r="C539" s="1" t="n">
        <v>45579</v>
      </c>
      <c r="D539" t="inlineStr">
        <is>
          <t>JÄMTLANDS LÄN</t>
        </is>
      </c>
      <c r="E539" t="inlineStr">
        <is>
          <t>STRÖMSUND</t>
        </is>
      </c>
      <c r="G539" t="n">
        <v>20.8</v>
      </c>
      <c r="H539" t="n">
        <v>0</v>
      </c>
      <c r="I539" t="n">
        <v>0</v>
      </c>
      <c r="J539" t="n">
        <v>0</v>
      </c>
      <c r="K539" t="n">
        <v>0</v>
      </c>
      <c r="L539" t="n">
        <v>0</v>
      </c>
      <c r="M539" t="n">
        <v>0</v>
      </c>
      <c r="N539" t="n">
        <v>0</v>
      </c>
      <c r="O539" t="n">
        <v>0</v>
      </c>
      <c r="P539" t="n">
        <v>0</v>
      </c>
      <c r="Q539" t="n">
        <v>0</v>
      </c>
      <c r="R539" s="2" t="inlineStr"/>
    </row>
    <row r="540" ht="15" customHeight="1">
      <c r="A540" t="inlineStr">
        <is>
          <t>A 48565-2019</t>
        </is>
      </c>
      <c r="B540" s="1" t="n">
        <v>43727</v>
      </c>
      <c r="C540" s="1" t="n">
        <v>45579</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48620-2019</t>
        </is>
      </c>
      <c r="B541" s="1" t="n">
        <v>43727</v>
      </c>
      <c r="C541" s="1" t="n">
        <v>45579</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48573-2019</t>
        </is>
      </c>
      <c r="B542" s="1" t="n">
        <v>43727</v>
      </c>
      <c r="C542" s="1" t="n">
        <v>45579</v>
      </c>
      <c r="D542" t="inlineStr">
        <is>
          <t>JÄMTLANDS LÄN</t>
        </is>
      </c>
      <c r="E542" t="inlineStr">
        <is>
          <t>STRÖMSUND</t>
        </is>
      </c>
      <c r="G542" t="n">
        <v>7.5</v>
      </c>
      <c r="H542" t="n">
        <v>0</v>
      </c>
      <c r="I542" t="n">
        <v>0</v>
      </c>
      <c r="J542" t="n">
        <v>0</v>
      </c>
      <c r="K542" t="n">
        <v>0</v>
      </c>
      <c r="L542" t="n">
        <v>0</v>
      </c>
      <c r="M542" t="n">
        <v>0</v>
      </c>
      <c r="N542" t="n">
        <v>0</v>
      </c>
      <c r="O542" t="n">
        <v>0</v>
      </c>
      <c r="P542" t="n">
        <v>0</v>
      </c>
      <c r="Q542" t="n">
        <v>0</v>
      </c>
      <c r="R542" s="2" t="inlineStr"/>
    </row>
    <row r="543" ht="15" customHeight="1">
      <c r="A543" t="inlineStr">
        <is>
          <t>A 48951-2019</t>
        </is>
      </c>
      <c r="B543" s="1" t="n">
        <v>43728</v>
      </c>
      <c r="C543" s="1" t="n">
        <v>45579</v>
      </c>
      <c r="D543" t="inlineStr">
        <is>
          <t>JÄMTLANDS LÄN</t>
        </is>
      </c>
      <c r="E543" t="inlineStr">
        <is>
          <t>STRÖMSUND</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48965-2019</t>
        </is>
      </c>
      <c r="B544" s="1" t="n">
        <v>43728</v>
      </c>
      <c r="C544" s="1" t="n">
        <v>45579</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49291-2019</t>
        </is>
      </c>
      <c r="B545" s="1" t="n">
        <v>43731</v>
      </c>
      <c r="C545" s="1" t="n">
        <v>45579</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49316-2019</t>
        </is>
      </c>
      <c r="B546" s="1" t="n">
        <v>43731</v>
      </c>
      <c r="C546" s="1" t="n">
        <v>45579</v>
      </c>
      <c r="D546" t="inlineStr">
        <is>
          <t>JÄMTLANDS LÄN</t>
        </is>
      </c>
      <c r="E546" t="inlineStr">
        <is>
          <t>STRÖMSUND</t>
        </is>
      </c>
      <c r="G546" t="n">
        <v>1</v>
      </c>
      <c r="H546" t="n">
        <v>0</v>
      </c>
      <c r="I546" t="n">
        <v>0</v>
      </c>
      <c r="J546" t="n">
        <v>0</v>
      </c>
      <c r="K546" t="n">
        <v>0</v>
      </c>
      <c r="L546" t="n">
        <v>0</v>
      </c>
      <c r="M546" t="n">
        <v>0</v>
      </c>
      <c r="N546" t="n">
        <v>0</v>
      </c>
      <c r="O546" t="n">
        <v>0</v>
      </c>
      <c r="P546" t="n">
        <v>0</v>
      </c>
      <c r="Q546" t="n">
        <v>0</v>
      </c>
      <c r="R546" s="2" t="inlineStr"/>
    </row>
    <row r="547" ht="15" customHeight="1">
      <c r="A547" t="inlineStr">
        <is>
          <t>A 50001-2019</t>
        </is>
      </c>
      <c r="B547" s="1" t="n">
        <v>43733</v>
      </c>
      <c r="C547" s="1" t="n">
        <v>45579</v>
      </c>
      <c r="D547" t="inlineStr">
        <is>
          <t>JÄMTLANDS LÄN</t>
        </is>
      </c>
      <c r="E547" t="inlineStr">
        <is>
          <t>STRÖMSUND</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50305-2019</t>
        </is>
      </c>
      <c r="B548" s="1" t="n">
        <v>43734</v>
      </c>
      <c r="C548" s="1" t="n">
        <v>45579</v>
      </c>
      <c r="D548" t="inlineStr">
        <is>
          <t>JÄMTLANDS LÄN</t>
        </is>
      </c>
      <c r="E548" t="inlineStr">
        <is>
          <t>STRÖMSUND</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50302-2019</t>
        </is>
      </c>
      <c r="B549" s="1" t="n">
        <v>43734</v>
      </c>
      <c r="C549" s="1" t="n">
        <v>45579</v>
      </c>
      <c r="D549" t="inlineStr">
        <is>
          <t>JÄMTLANDS LÄN</t>
        </is>
      </c>
      <c r="E549" t="inlineStr">
        <is>
          <t>STRÖMSUND</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51008-2019</t>
        </is>
      </c>
      <c r="B550" s="1" t="n">
        <v>43738</v>
      </c>
      <c r="C550" s="1" t="n">
        <v>45579</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51183-2019</t>
        </is>
      </c>
      <c r="B551" s="1" t="n">
        <v>43739</v>
      </c>
      <c r="C551" s="1" t="n">
        <v>45579</v>
      </c>
      <c r="D551" t="inlineStr">
        <is>
          <t>JÄMTLANDS LÄN</t>
        </is>
      </c>
      <c r="E551" t="inlineStr">
        <is>
          <t>STRÖMSUND</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51015-2019</t>
        </is>
      </c>
      <c r="B552" s="1" t="n">
        <v>43739</v>
      </c>
      <c r="C552" s="1" t="n">
        <v>45579</v>
      </c>
      <c r="D552" t="inlineStr">
        <is>
          <t>JÄMTLANDS LÄN</t>
        </is>
      </c>
      <c r="E552" t="inlineStr">
        <is>
          <t>STRÖMSUND</t>
        </is>
      </c>
      <c r="G552" t="n">
        <v>2.1</v>
      </c>
      <c r="H552" t="n">
        <v>0</v>
      </c>
      <c r="I552" t="n">
        <v>0</v>
      </c>
      <c r="J552" t="n">
        <v>0</v>
      </c>
      <c r="K552" t="n">
        <v>0</v>
      </c>
      <c r="L552" t="n">
        <v>0</v>
      </c>
      <c r="M552" t="n">
        <v>0</v>
      </c>
      <c r="N552" t="n">
        <v>0</v>
      </c>
      <c r="O552" t="n">
        <v>0</v>
      </c>
      <c r="P552" t="n">
        <v>0</v>
      </c>
      <c r="Q552" t="n">
        <v>0</v>
      </c>
      <c r="R552" s="2" t="inlineStr"/>
    </row>
    <row r="553" ht="15" customHeight="1">
      <c r="A553" t="inlineStr">
        <is>
          <t>A 51951-2019</t>
        </is>
      </c>
      <c r="B553" s="1" t="n">
        <v>43741</v>
      </c>
      <c r="C553" s="1" t="n">
        <v>45579</v>
      </c>
      <c r="D553" t="inlineStr">
        <is>
          <t>JÄMTLANDS LÄN</t>
        </is>
      </c>
      <c r="E553" t="inlineStr">
        <is>
          <t>STRÖMSUND</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52258-2019</t>
        </is>
      </c>
      <c r="B554" s="1" t="n">
        <v>43742</v>
      </c>
      <c r="C554" s="1" t="n">
        <v>45579</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52384-2019</t>
        </is>
      </c>
      <c r="B555" s="1" t="n">
        <v>43745</v>
      </c>
      <c r="C555" s="1" t="n">
        <v>45579</v>
      </c>
      <c r="D555" t="inlineStr">
        <is>
          <t>JÄMTLANDS LÄN</t>
        </is>
      </c>
      <c r="E555" t="inlineStr">
        <is>
          <t>STRÖMSUND</t>
        </is>
      </c>
      <c r="G555" t="n">
        <v>3.7</v>
      </c>
      <c r="H555" t="n">
        <v>0</v>
      </c>
      <c r="I555" t="n">
        <v>0</v>
      </c>
      <c r="J555" t="n">
        <v>0</v>
      </c>
      <c r="K555" t="n">
        <v>0</v>
      </c>
      <c r="L555" t="n">
        <v>0</v>
      </c>
      <c r="M555" t="n">
        <v>0</v>
      </c>
      <c r="N555" t="n">
        <v>0</v>
      </c>
      <c r="O555" t="n">
        <v>0</v>
      </c>
      <c r="P555" t="n">
        <v>0</v>
      </c>
      <c r="Q555" t="n">
        <v>0</v>
      </c>
      <c r="R555" s="2" t="inlineStr"/>
    </row>
    <row r="556" ht="15" customHeight="1">
      <c r="A556" t="inlineStr">
        <is>
          <t>A 53874-2019</t>
        </is>
      </c>
      <c r="B556" s="1" t="n">
        <v>43745</v>
      </c>
      <c r="C556" s="1" t="n">
        <v>45579</v>
      </c>
      <c r="D556" t="inlineStr">
        <is>
          <t>JÄMTLANDS LÄN</t>
        </is>
      </c>
      <c r="E556" t="inlineStr">
        <is>
          <t>STRÖMSUND</t>
        </is>
      </c>
      <c r="G556" t="n">
        <v>10.1</v>
      </c>
      <c r="H556" t="n">
        <v>0</v>
      </c>
      <c r="I556" t="n">
        <v>0</v>
      </c>
      <c r="J556" t="n">
        <v>0</v>
      </c>
      <c r="K556" t="n">
        <v>0</v>
      </c>
      <c r="L556" t="n">
        <v>0</v>
      </c>
      <c r="M556" t="n">
        <v>0</v>
      </c>
      <c r="N556" t="n">
        <v>0</v>
      </c>
      <c r="O556" t="n">
        <v>0</v>
      </c>
      <c r="P556" t="n">
        <v>0</v>
      </c>
      <c r="Q556" t="n">
        <v>0</v>
      </c>
      <c r="R556" s="2" t="inlineStr"/>
    </row>
    <row r="557" ht="15" customHeight="1">
      <c r="A557" t="inlineStr">
        <is>
          <t>A 53886-2019</t>
        </is>
      </c>
      <c r="B557" s="1" t="n">
        <v>43745</v>
      </c>
      <c r="C557" s="1" t="n">
        <v>45579</v>
      </c>
      <c r="D557" t="inlineStr">
        <is>
          <t>JÄMTLANDS LÄN</t>
        </is>
      </c>
      <c r="E557" t="inlineStr">
        <is>
          <t>STRÖMSUND</t>
        </is>
      </c>
      <c r="G557" t="n">
        <v>15.2</v>
      </c>
      <c r="H557" t="n">
        <v>0</v>
      </c>
      <c r="I557" t="n">
        <v>0</v>
      </c>
      <c r="J557" t="n">
        <v>0</v>
      </c>
      <c r="K557" t="n">
        <v>0</v>
      </c>
      <c r="L557" t="n">
        <v>0</v>
      </c>
      <c r="M557" t="n">
        <v>0</v>
      </c>
      <c r="N557" t="n">
        <v>0</v>
      </c>
      <c r="O557" t="n">
        <v>0</v>
      </c>
      <c r="P557" t="n">
        <v>0</v>
      </c>
      <c r="Q557" t="n">
        <v>0</v>
      </c>
      <c r="R557" s="2" t="inlineStr"/>
    </row>
    <row r="558" ht="15" customHeight="1">
      <c r="A558" t="inlineStr">
        <is>
          <t>A 53483-2019</t>
        </is>
      </c>
      <c r="B558" s="1" t="n">
        <v>43748</v>
      </c>
      <c r="C558" s="1" t="n">
        <v>45579</v>
      </c>
      <c r="D558" t="inlineStr">
        <is>
          <t>JÄMTLANDS LÄN</t>
        </is>
      </c>
      <c r="E558" t="inlineStr">
        <is>
          <t>STRÖMSUND</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54235-2019</t>
        </is>
      </c>
      <c r="B559" s="1" t="n">
        <v>43748</v>
      </c>
      <c r="C559" s="1" t="n">
        <v>45579</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57227-2019</t>
        </is>
      </c>
      <c r="B560" s="1" t="n">
        <v>43748</v>
      </c>
      <c r="C560" s="1" t="n">
        <v>45579</v>
      </c>
      <c r="D560" t="inlineStr">
        <is>
          <t>JÄMTLANDS LÄN</t>
        </is>
      </c>
      <c r="E560" t="inlineStr">
        <is>
          <t>STRÖMSUND</t>
        </is>
      </c>
      <c r="G560" t="n">
        <v>1.1</v>
      </c>
      <c r="H560" t="n">
        <v>0</v>
      </c>
      <c r="I560" t="n">
        <v>0</v>
      </c>
      <c r="J560" t="n">
        <v>0</v>
      </c>
      <c r="K560" t="n">
        <v>0</v>
      </c>
      <c r="L560" t="n">
        <v>0</v>
      </c>
      <c r="M560" t="n">
        <v>0</v>
      </c>
      <c r="N560" t="n">
        <v>0</v>
      </c>
      <c r="O560" t="n">
        <v>0</v>
      </c>
      <c r="P560" t="n">
        <v>0</v>
      </c>
      <c r="Q560" t="n">
        <v>0</v>
      </c>
      <c r="R560" s="2" t="inlineStr"/>
    </row>
    <row r="561" ht="15" customHeight="1">
      <c r="A561" t="inlineStr">
        <is>
          <t>A 53898-2019</t>
        </is>
      </c>
      <c r="B561" s="1" t="n">
        <v>43748</v>
      </c>
      <c r="C561" s="1" t="n">
        <v>45579</v>
      </c>
      <c r="D561" t="inlineStr">
        <is>
          <t>JÄMTLANDS LÄN</t>
        </is>
      </c>
      <c r="E561" t="inlineStr">
        <is>
          <t>STRÖMSUND</t>
        </is>
      </c>
      <c r="G561" t="n">
        <v>4.2</v>
      </c>
      <c r="H561" t="n">
        <v>0</v>
      </c>
      <c r="I561" t="n">
        <v>0</v>
      </c>
      <c r="J561" t="n">
        <v>0</v>
      </c>
      <c r="K561" t="n">
        <v>0</v>
      </c>
      <c r="L561" t="n">
        <v>0</v>
      </c>
      <c r="M561" t="n">
        <v>0</v>
      </c>
      <c r="N561" t="n">
        <v>0</v>
      </c>
      <c r="O561" t="n">
        <v>0</v>
      </c>
      <c r="P561" t="n">
        <v>0</v>
      </c>
      <c r="Q561" t="n">
        <v>0</v>
      </c>
      <c r="R561" s="2" t="inlineStr"/>
    </row>
    <row r="562" ht="15" customHeight="1">
      <c r="A562" t="inlineStr">
        <is>
          <t>A 53482-2019</t>
        </is>
      </c>
      <c r="B562" s="1" t="n">
        <v>43748</v>
      </c>
      <c r="C562" s="1" t="n">
        <v>45579</v>
      </c>
      <c r="D562" t="inlineStr">
        <is>
          <t>JÄMTLANDS LÄN</t>
        </is>
      </c>
      <c r="E562" t="inlineStr">
        <is>
          <t>STRÖMSUND</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53895-2019</t>
        </is>
      </c>
      <c r="B563" s="1" t="n">
        <v>43748</v>
      </c>
      <c r="C563" s="1" t="n">
        <v>45579</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54672-2019</t>
        </is>
      </c>
      <c r="B564" s="1" t="n">
        <v>43754</v>
      </c>
      <c r="C564" s="1" t="n">
        <v>45579</v>
      </c>
      <c r="D564" t="inlineStr">
        <is>
          <t>JÄMTLANDS LÄN</t>
        </is>
      </c>
      <c r="E564" t="inlineStr">
        <is>
          <t>STRÖMSUND</t>
        </is>
      </c>
      <c r="F564" t="inlineStr">
        <is>
          <t>SCA</t>
        </is>
      </c>
      <c r="G564" t="n">
        <v>15.7</v>
      </c>
      <c r="H564" t="n">
        <v>0</v>
      </c>
      <c r="I564" t="n">
        <v>0</v>
      </c>
      <c r="J564" t="n">
        <v>0</v>
      </c>
      <c r="K564" t="n">
        <v>0</v>
      </c>
      <c r="L564" t="n">
        <v>0</v>
      </c>
      <c r="M564" t="n">
        <v>0</v>
      </c>
      <c r="N564" t="n">
        <v>0</v>
      </c>
      <c r="O564" t="n">
        <v>0</v>
      </c>
      <c r="P564" t="n">
        <v>0</v>
      </c>
      <c r="Q564" t="n">
        <v>0</v>
      </c>
      <c r="R564" s="2" t="inlineStr"/>
    </row>
    <row r="565" ht="15" customHeight="1">
      <c r="A565" t="inlineStr">
        <is>
          <t>A 55028-2019</t>
        </is>
      </c>
      <c r="B565" s="1" t="n">
        <v>43755</v>
      </c>
      <c r="C565" s="1" t="n">
        <v>45579</v>
      </c>
      <c r="D565" t="inlineStr">
        <is>
          <t>JÄMTLANDS LÄN</t>
        </is>
      </c>
      <c r="E565" t="inlineStr">
        <is>
          <t>STRÖMSUND</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56155-2019</t>
        </is>
      </c>
      <c r="B566" s="1" t="n">
        <v>43756</v>
      </c>
      <c r="C566" s="1" t="n">
        <v>45579</v>
      </c>
      <c r="D566" t="inlineStr">
        <is>
          <t>JÄMTLANDS LÄN</t>
        </is>
      </c>
      <c r="E566" t="inlineStr">
        <is>
          <t>STRÖMSUND</t>
        </is>
      </c>
      <c r="G566" t="n">
        <v>4.7</v>
      </c>
      <c r="H566" t="n">
        <v>0</v>
      </c>
      <c r="I566" t="n">
        <v>0</v>
      </c>
      <c r="J566" t="n">
        <v>0</v>
      </c>
      <c r="K566" t="n">
        <v>0</v>
      </c>
      <c r="L566" t="n">
        <v>0</v>
      </c>
      <c r="M566" t="n">
        <v>0</v>
      </c>
      <c r="N566" t="n">
        <v>0</v>
      </c>
      <c r="O566" t="n">
        <v>0</v>
      </c>
      <c r="P566" t="n">
        <v>0</v>
      </c>
      <c r="Q566" t="n">
        <v>0</v>
      </c>
      <c r="R566" s="2" t="inlineStr"/>
    </row>
    <row r="567" ht="15" customHeight="1">
      <c r="A567" t="inlineStr">
        <is>
          <t>A 23225-2020</t>
        </is>
      </c>
      <c r="B567" s="1" t="n">
        <v>43756</v>
      </c>
      <c r="C567" s="1" t="n">
        <v>45579</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55663-2019</t>
        </is>
      </c>
      <c r="B568" s="1" t="n">
        <v>43760</v>
      </c>
      <c r="C568" s="1" t="n">
        <v>45579</v>
      </c>
      <c r="D568" t="inlineStr">
        <is>
          <t>JÄMTLANDS LÄN</t>
        </is>
      </c>
      <c r="E568" t="inlineStr">
        <is>
          <t>STRÖMSUND</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55675-2019</t>
        </is>
      </c>
      <c r="B569" s="1" t="n">
        <v>43760</v>
      </c>
      <c r="C569" s="1" t="n">
        <v>45579</v>
      </c>
      <c r="D569" t="inlineStr">
        <is>
          <t>JÄMTLANDS LÄN</t>
        </is>
      </c>
      <c r="E569" t="inlineStr">
        <is>
          <t>STRÖMSUND</t>
        </is>
      </c>
      <c r="G569" t="n">
        <v>0.6</v>
      </c>
      <c r="H569" t="n">
        <v>0</v>
      </c>
      <c r="I569" t="n">
        <v>0</v>
      </c>
      <c r="J569" t="n">
        <v>0</v>
      </c>
      <c r="K569" t="n">
        <v>0</v>
      </c>
      <c r="L569" t="n">
        <v>0</v>
      </c>
      <c r="M569" t="n">
        <v>0</v>
      </c>
      <c r="N569" t="n">
        <v>0</v>
      </c>
      <c r="O569" t="n">
        <v>0</v>
      </c>
      <c r="P569" t="n">
        <v>0</v>
      </c>
      <c r="Q569" t="n">
        <v>0</v>
      </c>
      <c r="R569" s="2" t="inlineStr"/>
    </row>
    <row r="570" ht="15" customHeight="1">
      <c r="A570" t="inlineStr">
        <is>
          <t>A 55728-2019</t>
        </is>
      </c>
      <c r="B570" s="1" t="n">
        <v>43760</v>
      </c>
      <c r="C570" s="1" t="n">
        <v>45579</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55725-2019</t>
        </is>
      </c>
      <c r="B571" s="1" t="n">
        <v>43760</v>
      </c>
      <c r="C571" s="1" t="n">
        <v>45579</v>
      </c>
      <c r="D571" t="inlineStr">
        <is>
          <t>JÄMTLANDS LÄN</t>
        </is>
      </c>
      <c r="E571" t="inlineStr">
        <is>
          <t>STRÖMSUND</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56187-2019</t>
        </is>
      </c>
      <c r="B572" s="1" t="n">
        <v>43761</v>
      </c>
      <c r="C572" s="1" t="n">
        <v>45579</v>
      </c>
      <c r="D572" t="inlineStr">
        <is>
          <t>JÄMTLANDS LÄN</t>
        </is>
      </c>
      <c r="E572" t="inlineStr">
        <is>
          <t>STRÖMSUND</t>
        </is>
      </c>
      <c r="F572" t="inlineStr">
        <is>
          <t>SCA</t>
        </is>
      </c>
      <c r="G572" t="n">
        <v>11.3</v>
      </c>
      <c r="H572" t="n">
        <v>0</v>
      </c>
      <c r="I572" t="n">
        <v>0</v>
      </c>
      <c r="J572" t="n">
        <v>0</v>
      </c>
      <c r="K572" t="n">
        <v>0</v>
      </c>
      <c r="L572" t="n">
        <v>0</v>
      </c>
      <c r="M572" t="n">
        <v>0</v>
      </c>
      <c r="N572" t="n">
        <v>0</v>
      </c>
      <c r="O572" t="n">
        <v>0</v>
      </c>
      <c r="P572" t="n">
        <v>0</v>
      </c>
      <c r="Q572" t="n">
        <v>0</v>
      </c>
      <c r="R572" s="2" t="inlineStr"/>
    </row>
    <row r="573" ht="15" customHeight="1">
      <c r="A573" t="inlineStr">
        <is>
          <t>A 56798-2019</t>
        </is>
      </c>
      <c r="B573" s="1" t="n">
        <v>43763</v>
      </c>
      <c r="C573" s="1" t="n">
        <v>45579</v>
      </c>
      <c r="D573" t="inlineStr">
        <is>
          <t>JÄMTLANDS LÄN</t>
        </is>
      </c>
      <c r="E573" t="inlineStr">
        <is>
          <t>STRÖMSUND</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56797-2019</t>
        </is>
      </c>
      <c r="B574" s="1" t="n">
        <v>43763</v>
      </c>
      <c r="C574" s="1" t="n">
        <v>45579</v>
      </c>
      <c r="D574" t="inlineStr">
        <is>
          <t>JÄMTLANDS LÄN</t>
        </is>
      </c>
      <c r="E574" t="inlineStr">
        <is>
          <t>STRÖMSUND</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56801-2019</t>
        </is>
      </c>
      <c r="B575" s="1" t="n">
        <v>43763</v>
      </c>
      <c r="C575" s="1" t="n">
        <v>45579</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56800-2019</t>
        </is>
      </c>
      <c r="B576" s="1" t="n">
        <v>43763</v>
      </c>
      <c r="C576" s="1" t="n">
        <v>45579</v>
      </c>
      <c r="D576" t="inlineStr">
        <is>
          <t>JÄMTLANDS LÄN</t>
        </is>
      </c>
      <c r="E576" t="inlineStr">
        <is>
          <t>STRÖMSUND</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56799-2019</t>
        </is>
      </c>
      <c r="B577" s="1" t="n">
        <v>43763</v>
      </c>
      <c r="C577" s="1" t="n">
        <v>45579</v>
      </c>
      <c r="D577" t="inlineStr">
        <is>
          <t>JÄMTLANDS LÄN</t>
        </is>
      </c>
      <c r="E577" t="inlineStr">
        <is>
          <t>STRÖMSUND</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56692-2019</t>
        </is>
      </c>
      <c r="B578" s="1" t="n">
        <v>43763</v>
      </c>
      <c r="C578" s="1" t="n">
        <v>45579</v>
      </c>
      <c r="D578" t="inlineStr">
        <is>
          <t>JÄMTLANDS LÄN</t>
        </is>
      </c>
      <c r="E578" t="inlineStr">
        <is>
          <t>STRÖMSUND</t>
        </is>
      </c>
      <c r="G578" t="n">
        <v>0.8</v>
      </c>
      <c r="H578" t="n">
        <v>0</v>
      </c>
      <c r="I578" t="n">
        <v>0</v>
      </c>
      <c r="J578" t="n">
        <v>0</v>
      </c>
      <c r="K578" t="n">
        <v>0</v>
      </c>
      <c r="L578" t="n">
        <v>0</v>
      </c>
      <c r="M578" t="n">
        <v>0</v>
      </c>
      <c r="N578" t="n">
        <v>0</v>
      </c>
      <c r="O578" t="n">
        <v>0</v>
      </c>
      <c r="P578" t="n">
        <v>0</v>
      </c>
      <c r="Q578" t="n">
        <v>0</v>
      </c>
      <c r="R578" s="2" t="inlineStr"/>
    </row>
    <row r="579" ht="15" customHeight="1">
      <c r="A579" t="inlineStr">
        <is>
          <t>A 56808-2019</t>
        </is>
      </c>
      <c r="B579" s="1" t="n">
        <v>43763</v>
      </c>
      <c r="C579" s="1" t="n">
        <v>45579</v>
      </c>
      <c r="D579" t="inlineStr">
        <is>
          <t>JÄMTLANDS LÄN</t>
        </is>
      </c>
      <c r="E579" t="inlineStr">
        <is>
          <t>STRÖMSUND</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56809-2019</t>
        </is>
      </c>
      <c r="B580" s="1" t="n">
        <v>43763</v>
      </c>
      <c r="C580" s="1" t="n">
        <v>45579</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57546-2019</t>
        </is>
      </c>
      <c r="B581" s="1" t="n">
        <v>43767</v>
      </c>
      <c r="C581" s="1" t="n">
        <v>45579</v>
      </c>
      <c r="D581" t="inlineStr">
        <is>
          <t>JÄMTLANDS LÄN</t>
        </is>
      </c>
      <c r="E581" t="inlineStr">
        <is>
          <t>STRÖMSUND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58662-2019</t>
        </is>
      </c>
      <c r="B582" s="1" t="n">
        <v>43767</v>
      </c>
      <c r="C582" s="1" t="n">
        <v>45579</v>
      </c>
      <c r="D582" t="inlineStr">
        <is>
          <t>JÄMTLANDS LÄN</t>
        </is>
      </c>
      <c r="E582" t="inlineStr">
        <is>
          <t>STRÖMSUND</t>
        </is>
      </c>
      <c r="G582" t="n">
        <v>18.4</v>
      </c>
      <c r="H582" t="n">
        <v>0</v>
      </c>
      <c r="I582" t="n">
        <v>0</v>
      </c>
      <c r="J582" t="n">
        <v>0</v>
      </c>
      <c r="K582" t="n">
        <v>0</v>
      </c>
      <c r="L582" t="n">
        <v>0</v>
      </c>
      <c r="M582" t="n">
        <v>0</v>
      </c>
      <c r="N582" t="n">
        <v>0</v>
      </c>
      <c r="O582" t="n">
        <v>0</v>
      </c>
      <c r="P582" t="n">
        <v>0</v>
      </c>
      <c r="Q582" t="n">
        <v>0</v>
      </c>
      <c r="R582" s="2" t="inlineStr"/>
    </row>
    <row r="583" ht="15" customHeight="1">
      <c r="A583" t="inlineStr">
        <is>
          <t>A 57547-2019</t>
        </is>
      </c>
      <c r="B583" s="1" t="n">
        <v>43767</v>
      </c>
      <c r="C583" s="1" t="n">
        <v>45579</v>
      </c>
      <c r="D583" t="inlineStr">
        <is>
          <t>JÄMTLANDS LÄN</t>
        </is>
      </c>
      <c r="E583" t="inlineStr">
        <is>
          <t>STRÖMSUND</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57552-2019</t>
        </is>
      </c>
      <c r="B584" s="1" t="n">
        <v>43767</v>
      </c>
      <c r="C584" s="1" t="n">
        <v>45579</v>
      </c>
      <c r="D584" t="inlineStr">
        <is>
          <t>JÄMTLANDS LÄN</t>
        </is>
      </c>
      <c r="E584" t="inlineStr">
        <is>
          <t>STRÖMSUND</t>
        </is>
      </c>
      <c r="G584" t="n">
        <v>1.4</v>
      </c>
      <c r="H584" t="n">
        <v>0</v>
      </c>
      <c r="I584" t="n">
        <v>0</v>
      </c>
      <c r="J584" t="n">
        <v>0</v>
      </c>
      <c r="K584" t="n">
        <v>0</v>
      </c>
      <c r="L584" t="n">
        <v>0</v>
      </c>
      <c r="M584" t="n">
        <v>0</v>
      </c>
      <c r="N584" t="n">
        <v>0</v>
      </c>
      <c r="O584" t="n">
        <v>0</v>
      </c>
      <c r="P584" t="n">
        <v>0</v>
      </c>
      <c r="Q584" t="n">
        <v>0</v>
      </c>
      <c r="R584" s="2" t="inlineStr"/>
    </row>
    <row r="585" ht="15" customHeight="1">
      <c r="A585" t="inlineStr">
        <is>
          <t>A 57873-2019</t>
        </is>
      </c>
      <c r="B585" s="1" t="n">
        <v>43768</v>
      </c>
      <c r="C585" s="1" t="n">
        <v>45579</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57872-2019</t>
        </is>
      </c>
      <c r="B586" s="1" t="n">
        <v>43768</v>
      </c>
      <c r="C586" s="1" t="n">
        <v>45579</v>
      </c>
      <c r="D586" t="inlineStr">
        <is>
          <t>JÄMTLANDS LÄN</t>
        </is>
      </c>
      <c r="E586" t="inlineStr">
        <is>
          <t>STRÖMSUND</t>
        </is>
      </c>
      <c r="G586" t="n">
        <v>47.2</v>
      </c>
      <c r="H586" t="n">
        <v>0</v>
      </c>
      <c r="I586" t="n">
        <v>0</v>
      </c>
      <c r="J586" t="n">
        <v>0</v>
      </c>
      <c r="K586" t="n">
        <v>0</v>
      </c>
      <c r="L586" t="n">
        <v>0</v>
      </c>
      <c r="M586" t="n">
        <v>0</v>
      </c>
      <c r="N586" t="n">
        <v>0</v>
      </c>
      <c r="O586" t="n">
        <v>0</v>
      </c>
      <c r="P586" t="n">
        <v>0</v>
      </c>
      <c r="Q586" t="n">
        <v>0</v>
      </c>
      <c r="R586" s="2" t="inlineStr"/>
    </row>
    <row r="587" ht="15" customHeight="1">
      <c r="A587" t="inlineStr">
        <is>
          <t>A 58844-2019</t>
        </is>
      </c>
      <c r="B587" s="1" t="n">
        <v>43768</v>
      </c>
      <c r="C587" s="1" t="n">
        <v>45579</v>
      </c>
      <c r="D587" t="inlineStr">
        <is>
          <t>JÄMTLANDS LÄN</t>
        </is>
      </c>
      <c r="E587" t="inlineStr">
        <is>
          <t>STRÖMSUND</t>
        </is>
      </c>
      <c r="G587" t="n">
        <v>4.8</v>
      </c>
      <c r="H587" t="n">
        <v>0</v>
      </c>
      <c r="I587" t="n">
        <v>0</v>
      </c>
      <c r="J587" t="n">
        <v>0</v>
      </c>
      <c r="K587" t="n">
        <v>0</v>
      </c>
      <c r="L587" t="n">
        <v>0</v>
      </c>
      <c r="M587" t="n">
        <v>0</v>
      </c>
      <c r="N587" t="n">
        <v>0</v>
      </c>
      <c r="O587" t="n">
        <v>0</v>
      </c>
      <c r="P587" t="n">
        <v>0</v>
      </c>
      <c r="Q587" t="n">
        <v>0</v>
      </c>
      <c r="R587" s="2" t="inlineStr"/>
    </row>
    <row r="588" ht="15" customHeight="1">
      <c r="A588" t="inlineStr">
        <is>
          <t>A 58172-2019</t>
        </is>
      </c>
      <c r="B588" s="1" t="n">
        <v>43769</v>
      </c>
      <c r="C588" s="1" t="n">
        <v>45579</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59543-2019</t>
        </is>
      </c>
      <c r="B589" s="1" t="n">
        <v>43773</v>
      </c>
      <c r="C589" s="1" t="n">
        <v>45579</v>
      </c>
      <c r="D589" t="inlineStr">
        <is>
          <t>JÄMTLANDS LÄN</t>
        </is>
      </c>
      <c r="E589" t="inlineStr">
        <is>
          <t>STRÖMSUND</t>
        </is>
      </c>
      <c r="G589" t="n">
        <v>6.3</v>
      </c>
      <c r="H589" t="n">
        <v>0</v>
      </c>
      <c r="I589" t="n">
        <v>0</v>
      </c>
      <c r="J589" t="n">
        <v>0</v>
      </c>
      <c r="K589" t="n">
        <v>0</v>
      </c>
      <c r="L589" t="n">
        <v>0</v>
      </c>
      <c r="M589" t="n">
        <v>0</v>
      </c>
      <c r="N589" t="n">
        <v>0</v>
      </c>
      <c r="O589" t="n">
        <v>0</v>
      </c>
      <c r="P589" t="n">
        <v>0</v>
      </c>
      <c r="Q589" t="n">
        <v>0</v>
      </c>
      <c r="R589" s="2" t="inlineStr"/>
    </row>
    <row r="590" ht="15" customHeight="1">
      <c r="A590" t="inlineStr">
        <is>
          <t>A 59425-2019</t>
        </is>
      </c>
      <c r="B590" s="1" t="n">
        <v>43775</v>
      </c>
      <c r="C590" s="1" t="n">
        <v>45579</v>
      </c>
      <c r="D590" t="inlineStr">
        <is>
          <t>JÄMTLANDS LÄN</t>
        </is>
      </c>
      <c r="E590" t="inlineStr">
        <is>
          <t>STRÖMSUND</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59456-2019</t>
        </is>
      </c>
      <c r="B591" s="1" t="n">
        <v>43776</v>
      </c>
      <c r="C591" s="1" t="n">
        <v>45579</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61411-2019</t>
        </is>
      </c>
      <c r="B592" s="1" t="n">
        <v>43780</v>
      </c>
      <c r="C592" s="1" t="n">
        <v>45579</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61703-2019</t>
        </is>
      </c>
      <c r="B593" s="1" t="n">
        <v>43780</v>
      </c>
      <c r="C593" s="1" t="n">
        <v>45579</v>
      </c>
      <c r="D593" t="inlineStr">
        <is>
          <t>JÄMTLANDS LÄN</t>
        </is>
      </c>
      <c r="E593" t="inlineStr">
        <is>
          <t>STRÖMSUND</t>
        </is>
      </c>
      <c r="G593" t="n">
        <v>4</v>
      </c>
      <c r="H593" t="n">
        <v>0</v>
      </c>
      <c r="I593" t="n">
        <v>0</v>
      </c>
      <c r="J593" t="n">
        <v>0</v>
      </c>
      <c r="K593" t="n">
        <v>0</v>
      </c>
      <c r="L593" t="n">
        <v>0</v>
      </c>
      <c r="M593" t="n">
        <v>0</v>
      </c>
      <c r="N593" t="n">
        <v>0</v>
      </c>
      <c r="O593" t="n">
        <v>0</v>
      </c>
      <c r="P593" t="n">
        <v>0</v>
      </c>
      <c r="Q593" t="n">
        <v>0</v>
      </c>
      <c r="R593" s="2" t="inlineStr"/>
    </row>
    <row r="594" ht="15" customHeight="1">
      <c r="A594" t="inlineStr">
        <is>
          <t>A 61705-2019</t>
        </is>
      </c>
      <c r="B594" s="1" t="n">
        <v>43780</v>
      </c>
      <c r="C594" s="1" t="n">
        <v>45579</v>
      </c>
      <c r="D594" t="inlineStr">
        <is>
          <t>JÄMTLANDS LÄN</t>
        </is>
      </c>
      <c r="E594" t="inlineStr">
        <is>
          <t>STRÖMSUND</t>
        </is>
      </c>
      <c r="G594" t="n">
        <v>6.4</v>
      </c>
      <c r="H594" t="n">
        <v>0</v>
      </c>
      <c r="I594" t="n">
        <v>0</v>
      </c>
      <c r="J594" t="n">
        <v>0</v>
      </c>
      <c r="K594" t="n">
        <v>0</v>
      </c>
      <c r="L594" t="n">
        <v>0</v>
      </c>
      <c r="M594" t="n">
        <v>0</v>
      </c>
      <c r="N594" t="n">
        <v>0</v>
      </c>
      <c r="O594" t="n">
        <v>0</v>
      </c>
      <c r="P594" t="n">
        <v>0</v>
      </c>
      <c r="Q594" t="n">
        <v>0</v>
      </c>
      <c r="R594" s="2" t="inlineStr"/>
    </row>
    <row r="595" ht="15" customHeight="1">
      <c r="A595" t="inlineStr">
        <is>
          <t>A 60569-2019</t>
        </is>
      </c>
      <c r="B595" s="1" t="n">
        <v>43781</v>
      </c>
      <c r="C595" s="1" t="n">
        <v>45579</v>
      </c>
      <c r="D595" t="inlineStr">
        <is>
          <t>JÄMTLANDS LÄN</t>
        </is>
      </c>
      <c r="E595" t="inlineStr">
        <is>
          <t>STRÖMSUND</t>
        </is>
      </c>
      <c r="G595" t="n">
        <v>1</v>
      </c>
      <c r="H595" t="n">
        <v>0</v>
      </c>
      <c r="I595" t="n">
        <v>0</v>
      </c>
      <c r="J595" t="n">
        <v>0</v>
      </c>
      <c r="K595" t="n">
        <v>0</v>
      </c>
      <c r="L595" t="n">
        <v>0</v>
      </c>
      <c r="M595" t="n">
        <v>0</v>
      </c>
      <c r="N595" t="n">
        <v>0</v>
      </c>
      <c r="O595" t="n">
        <v>0</v>
      </c>
      <c r="P595" t="n">
        <v>0</v>
      </c>
      <c r="Q595" t="n">
        <v>0</v>
      </c>
      <c r="R595" s="2" t="inlineStr"/>
    </row>
    <row r="596" ht="15" customHeight="1">
      <c r="A596" t="inlineStr">
        <is>
          <t>A 60536-2019</t>
        </is>
      </c>
      <c r="B596" s="1" t="n">
        <v>43781</v>
      </c>
      <c r="C596" s="1" t="n">
        <v>45579</v>
      </c>
      <c r="D596" t="inlineStr">
        <is>
          <t>JÄMTLANDS LÄN</t>
        </is>
      </c>
      <c r="E596" t="inlineStr">
        <is>
          <t>STRÖMSUND</t>
        </is>
      </c>
      <c r="G596" t="n">
        <v>0.2</v>
      </c>
      <c r="H596" t="n">
        <v>0</v>
      </c>
      <c r="I596" t="n">
        <v>0</v>
      </c>
      <c r="J596" t="n">
        <v>0</v>
      </c>
      <c r="K596" t="n">
        <v>0</v>
      </c>
      <c r="L596" t="n">
        <v>0</v>
      </c>
      <c r="M596" t="n">
        <v>0</v>
      </c>
      <c r="N596" t="n">
        <v>0</v>
      </c>
      <c r="O596" t="n">
        <v>0</v>
      </c>
      <c r="P596" t="n">
        <v>0</v>
      </c>
      <c r="Q596" t="n">
        <v>0</v>
      </c>
      <c r="R596" s="2" t="inlineStr"/>
    </row>
    <row r="597" ht="15" customHeight="1">
      <c r="A597" t="inlineStr">
        <is>
          <t>A 61122-2019</t>
        </is>
      </c>
      <c r="B597" s="1" t="n">
        <v>43782</v>
      </c>
      <c r="C597" s="1" t="n">
        <v>45579</v>
      </c>
      <c r="D597" t="inlineStr">
        <is>
          <t>JÄMTLANDS LÄN</t>
        </is>
      </c>
      <c r="E597" t="inlineStr">
        <is>
          <t>STRÖMSUND</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62256-2019</t>
        </is>
      </c>
      <c r="B598" s="1" t="n">
        <v>43782</v>
      </c>
      <c r="C598" s="1" t="n">
        <v>45579</v>
      </c>
      <c r="D598" t="inlineStr">
        <is>
          <t>JÄMTLANDS LÄN</t>
        </is>
      </c>
      <c r="E598" t="inlineStr">
        <is>
          <t>STRÖMSUND</t>
        </is>
      </c>
      <c r="G598" t="n">
        <v>1.6</v>
      </c>
      <c r="H598" t="n">
        <v>0</v>
      </c>
      <c r="I598" t="n">
        <v>0</v>
      </c>
      <c r="J598" t="n">
        <v>0</v>
      </c>
      <c r="K598" t="n">
        <v>0</v>
      </c>
      <c r="L598" t="n">
        <v>0</v>
      </c>
      <c r="M598" t="n">
        <v>0</v>
      </c>
      <c r="N598" t="n">
        <v>0</v>
      </c>
      <c r="O598" t="n">
        <v>0</v>
      </c>
      <c r="P598" t="n">
        <v>0</v>
      </c>
      <c r="Q598" t="n">
        <v>0</v>
      </c>
      <c r="R598" s="2" t="inlineStr"/>
    </row>
    <row r="599" ht="15" customHeight="1">
      <c r="A599" t="inlineStr">
        <is>
          <t>A 60955-2019</t>
        </is>
      </c>
      <c r="B599" s="1" t="n">
        <v>43782</v>
      </c>
      <c r="C599" s="1" t="n">
        <v>45579</v>
      </c>
      <c r="D599" t="inlineStr">
        <is>
          <t>JÄMTLANDS LÄN</t>
        </is>
      </c>
      <c r="E599" t="inlineStr">
        <is>
          <t>STRÖMSUND</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61690-2019</t>
        </is>
      </c>
      <c r="B600" s="1" t="n">
        <v>43784</v>
      </c>
      <c r="C600" s="1" t="n">
        <v>45579</v>
      </c>
      <c r="D600" t="inlineStr">
        <is>
          <t>JÄMTLANDS LÄN</t>
        </is>
      </c>
      <c r="E600" t="inlineStr">
        <is>
          <t>STRÖMSUND</t>
        </is>
      </c>
      <c r="G600" t="n">
        <v>6</v>
      </c>
      <c r="H600" t="n">
        <v>0</v>
      </c>
      <c r="I600" t="n">
        <v>0</v>
      </c>
      <c r="J600" t="n">
        <v>0</v>
      </c>
      <c r="K600" t="n">
        <v>0</v>
      </c>
      <c r="L600" t="n">
        <v>0</v>
      </c>
      <c r="M600" t="n">
        <v>0</v>
      </c>
      <c r="N600" t="n">
        <v>0</v>
      </c>
      <c r="O600" t="n">
        <v>0</v>
      </c>
      <c r="P600" t="n">
        <v>0</v>
      </c>
      <c r="Q600" t="n">
        <v>0</v>
      </c>
      <c r="R600" s="2" t="inlineStr"/>
    </row>
    <row r="601" ht="15" customHeight="1">
      <c r="A601" t="inlineStr">
        <is>
          <t>A 61778-2019</t>
        </is>
      </c>
      <c r="B601" s="1" t="n">
        <v>43784</v>
      </c>
      <c r="C601" s="1" t="n">
        <v>45579</v>
      </c>
      <c r="D601" t="inlineStr">
        <is>
          <t>JÄMTLANDS LÄN</t>
        </is>
      </c>
      <c r="E601" t="inlineStr">
        <is>
          <t>STRÖMSUND</t>
        </is>
      </c>
      <c r="G601" t="n">
        <v>1</v>
      </c>
      <c r="H601" t="n">
        <v>0</v>
      </c>
      <c r="I601" t="n">
        <v>0</v>
      </c>
      <c r="J601" t="n">
        <v>0</v>
      </c>
      <c r="K601" t="n">
        <v>0</v>
      </c>
      <c r="L601" t="n">
        <v>0</v>
      </c>
      <c r="M601" t="n">
        <v>0</v>
      </c>
      <c r="N601" t="n">
        <v>0</v>
      </c>
      <c r="O601" t="n">
        <v>0</v>
      </c>
      <c r="P601" t="n">
        <v>0</v>
      </c>
      <c r="Q601" t="n">
        <v>0</v>
      </c>
      <c r="R601" s="2" t="inlineStr"/>
    </row>
    <row r="602" ht="15" customHeight="1">
      <c r="A602" t="inlineStr">
        <is>
          <t>A 61833-2019</t>
        </is>
      </c>
      <c r="B602" s="1" t="n">
        <v>43786</v>
      </c>
      <c r="C602" s="1" t="n">
        <v>45579</v>
      </c>
      <c r="D602" t="inlineStr">
        <is>
          <t>JÄMTLANDS LÄN</t>
        </is>
      </c>
      <c r="E602" t="inlineStr">
        <is>
          <t>STRÖMSUND</t>
        </is>
      </c>
      <c r="G602" t="n">
        <v>11.5</v>
      </c>
      <c r="H602" t="n">
        <v>0</v>
      </c>
      <c r="I602" t="n">
        <v>0</v>
      </c>
      <c r="J602" t="n">
        <v>0</v>
      </c>
      <c r="K602" t="n">
        <v>0</v>
      </c>
      <c r="L602" t="n">
        <v>0</v>
      </c>
      <c r="M602" t="n">
        <v>0</v>
      </c>
      <c r="N602" t="n">
        <v>0</v>
      </c>
      <c r="O602" t="n">
        <v>0</v>
      </c>
      <c r="P602" t="n">
        <v>0</v>
      </c>
      <c r="Q602" t="n">
        <v>0</v>
      </c>
      <c r="R602" s="2" t="inlineStr"/>
    </row>
    <row r="603" ht="15" customHeight="1">
      <c r="A603" t="inlineStr">
        <is>
          <t>A 61838-2019</t>
        </is>
      </c>
      <c r="B603" s="1" t="n">
        <v>43786</v>
      </c>
      <c r="C603" s="1" t="n">
        <v>45579</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61830-2019</t>
        </is>
      </c>
      <c r="B604" s="1" t="n">
        <v>43786</v>
      </c>
      <c r="C604" s="1" t="n">
        <v>45579</v>
      </c>
      <c r="D604" t="inlineStr">
        <is>
          <t>JÄMTLANDS LÄN</t>
        </is>
      </c>
      <c r="E604" t="inlineStr">
        <is>
          <t>STRÖMSUND</t>
        </is>
      </c>
      <c r="G604" t="n">
        <v>8</v>
      </c>
      <c r="H604" t="n">
        <v>0</v>
      </c>
      <c r="I604" t="n">
        <v>0</v>
      </c>
      <c r="J604" t="n">
        <v>0</v>
      </c>
      <c r="K604" t="n">
        <v>0</v>
      </c>
      <c r="L604" t="n">
        <v>0</v>
      </c>
      <c r="M604" t="n">
        <v>0</v>
      </c>
      <c r="N604" t="n">
        <v>0</v>
      </c>
      <c r="O604" t="n">
        <v>0</v>
      </c>
      <c r="P604" t="n">
        <v>0</v>
      </c>
      <c r="Q604" t="n">
        <v>0</v>
      </c>
      <c r="R604" s="2" t="inlineStr"/>
    </row>
    <row r="605" ht="15" customHeight="1">
      <c r="A605" t="inlineStr">
        <is>
          <t>A 61835-2019</t>
        </is>
      </c>
      <c r="B605" s="1" t="n">
        <v>43786</v>
      </c>
      <c r="C605" s="1" t="n">
        <v>45579</v>
      </c>
      <c r="D605" t="inlineStr">
        <is>
          <t>JÄMTLANDS LÄN</t>
        </is>
      </c>
      <c r="E605" t="inlineStr">
        <is>
          <t>STRÖMSUND</t>
        </is>
      </c>
      <c r="G605" t="n">
        <v>6</v>
      </c>
      <c r="H605" t="n">
        <v>0</v>
      </c>
      <c r="I605" t="n">
        <v>0</v>
      </c>
      <c r="J605" t="n">
        <v>0</v>
      </c>
      <c r="K605" t="n">
        <v>0</v>
      </c>
      <c r="L605" t="n">
        <v>0</v>
      </c>
      <c r="M605" t="n">
        <v>0</v>
      </c>
      <c r="N605" t="n">
        <v>0</v>
      </c>
      <c r="O605" t="n">
        <v>0</v>
      </c>
      <c r="P605" t="n">
        <v>0</v>
      </c>
      <c r="Q605" t="n">
        <v>0</v>
      </c>
      <c r="R605" s="2" t="inlineStr"/>
    </row>
    <row r="606" ht="15" customHeight="1">
      <c r="A606" t="inlineStr">
        <is>
          <t>A 61829-2019</t>
        </is>
      </c>
      <c r="B606" s="1" t="n">
        <v>43786</v>
      </c>
      <c r="C606" s="1" t="n">
        <v>45579</v>
      </c>
      <c r="D606" t="inlineStr">
        <is>
          <t>JÄMTLANDS LÄN</t>
        </is>
      </c>
      <c r="E606" t="inlineStr">
        <is>
          <t>STRÖMSUND</t>
        </is>
      </c>
      <c r="G606" t="n">
        <v>4.3</v>
      </c>
      <c r="H606" t="n">
        <v>0</v>
      </c>
      <c r="I606" t="n">
        <v>0</v>
      </c>
      <c r="J606" t="n">
        <v>0</v>
      </c>
      <c r="K606" t="n">
        <v>0</v>
      </c>
      <c r="L606" t="n">
        <v>0</v>
      </c>
      <c r="M606" t="n">
        <v>0</v>
      </c>
      <c r="N606" t="n">
        <v>0</v>
      </c>
      <c r="O606" t="n">
        <v>0</v>
      </c>
      <c r="P606" t="n">
        <v>0</v>
      </c>
      <c r="Q606" t="n">
        <v>0</v>
      </c>
      <c r="R606" s="2" t="inlineStr"/>
    </row>
    <row r="607" ht="15" customHeight="1">
      <c r="A607" t="inlineStr">
        <is>
          <t>A 61834-2019</t>
        </is>
      </c>
      <c r="B607" s="1" t="n">
        <v>43786</v>
      </c>
      <c r="C607" s="1" t="n">
        <v>45579</v>
      </c>
      <c r="D607" t="inlineStr">
        <is>
          <t>JÄMTLANDS LÄN</t>
        </is>
      </c>
      <c r="E607" t="inlineStr">
        <is>
          <t>STRÖMSUND</t>
        </is>
      </c>
      <c r="G607" t="n">
        <v>6.7</v>
      </c>
      <c r="H607" t="n">
        <v>0</v>
      </c>
      <c r="I607" t="n">
        <v>0</v>
      </c>
      <c r="J607" t="n">
        <v>0</v>
      </c>
      <c r="K607" t="n">
        <v>0</v>
      </c>
      <c r="L607" t="n">
        <v>0</v>
      </c>
      <c r="M607" t="n">
        <v>0</v>
      </c>
      <c r="N607" t="n">
        <v>0</v>
      </c>
      <c r="O607" t="n">
        <v>0</v>
      </c>
      <c r="P607" t="n">
        <v>0</v>
      </c>
      <c r="Q607" t="n">
        <v>0</v>
      </c>
      <c r="R607" s="2" t="inlineStr"/>
    </row>
    <row r="608" ht="15" customHeight="1">
      <c r="A608" t="inlineStr">
        <is>
          <t>A 61836-2019</t>
        </is>
      </c>
      <c r="B608" s="1" t="n">
        <v>43786</v>
      </c>
      <c r="C608" s="1" t="n">
        <v>45579</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61832-2019</t>
        </is>
      </c>
      <c r="B609" s="1" t="n">
        <v>43786</v>
      </c>
      <c r="C609" s="1" t="n">
        <v>45579</v>
      </c>
      <c r="D609" t="inlineStr">
        <is>
          <t>JÄMTLANDS LÄN</t>
        </is>
      </c>
      <c r="E609" t="inlineStr">
        <is>
          <t>STRÖMSUND</t>
        </is>
      </c>
      <c r="G609" t="n">
        <v>19.9</v>
      </c>
      <c r="H609" t="n">
        <v>0</v>
      </c>
      <c r="I609" t="n">
        <v>0</v>
      </c>
      <c r="J609" t="n">
        <v>0</v>
      </c>
      <c r="K609" t="n">
        <v>0</v>
      </c>
      <c r="L609" t="n">
        <v>0</v>
      </c>
      <c r="M609" t="n">
        <v>0</v>
      </c>
      <c r="N609" t="n">
        <v>0</v>
      </c>
      <c r="O609" t="n">
        <v>0</v>
      </c>
      <c r="P609" t="n">
        <v>0</v>
      </c>
      <c r="Q609" t="n">
        <v>0</v>
      </c>
      <c r="R609" s="2" t="inlineStr"/>
    </row>
    <row r="610" ht="15" customHeight="1">
      <c r="A610" t="inlineStr">
        <is>
          <t>A 62492-2019</t>
        </is>
      </c>
      <c r="B610" s="1" t="n">
        <v>43788</v>
      </c>
      <c r="C610" s="1" t="n">
        <v>45579</v>
      </c>
      <c r="D610" t="inlineStr">
        <is>
          <t>JÄMTLANDS LÄN</t>
        </is>
      </c>
      <c r="E610" t="inlineStr">
        <is>
          <t>STRÖMSUND</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63715-2019</t>
        </is>
      </c>
      <c r="B611" s="1" t="n">
        <v>43789</v>
      </c>
      <c r="C611" s="1" t="n">
        <v>45579</v>
      </c>
      <c r="D611" t="inlineStr">
        <is>
          <t>JÄMTLANDS LÄN</t>
        </is>
      </c>
      <c r="E611" t="inlineStr">
        <is>
          <t>STRÖMSUND</t>
        </is>
      </c>
      <c r="G611" t="n">
        <v>5.8</v>
      </c>
      <c r="H611" t="n">
        <v>0</v>
      </c>
      <c r="I611" t="n">
        <v>0</v>
      </c>
      <c r="J611" t="n">
        <v>0</v>
      </c>
      <c r="K611" t="n">
        <v>0</v>
      </c>
      <c r="L611" t="n">
        <v>0</v>
      </c>
      <c r="M611" t="n">
        <v>0</v>
      </c>
      <c r="N611" t="n">
        <v>0</v>
      </c>
      <c r="O611" t="n">
        <v>0</v>
      </c>
      <c r="P611" t="n">
        <v>0</v>
      </c>
      <c r="Q611" t="n">
        <v>0</v>
      </c>
      <c r="R611" s="2" t="inlineStr"/>
    </row>
    <row r="612" ht="15" customHeight="1">
      <c r="A612" t="inlineStr">
        <is>
          <t>A 62511-2019</t>
        </is>
      </c>
      <c r="B612" s="1" t="n">
        <v>43789</v>
      </c>
      <c r="C612" s="1" t="n">
        <v>45579</v>
      </c>
      <c r="D612" t="inlineStr">
        <is>
          <t>JÄMTLANDS LÄN</t>
        </is>
      </c>
      <c r="E612" t="inlineStr">
        <is>
          <t>STRÖMSUND</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63927-2019</t>
        </is>
      </c>
      <c r="B613" s="1" t="n">
        <v>43790</v>
      </c>
      <c r="C613" s="1" t="n">
        <v>45579</v>
      </c>
      <c r="D613" t="inlineStr">
        <is>
          <t>JÄMTLANDS LÄN</t>
        </is>
      </c>
      <c r="E613" t="inlineStr">
        <is>
          <t>STRÖMSUND</t>
        </is>
      </c>
      <c r="G613" t="n">
        <v>1</v>
      </c>
      <c r="H613" t="n">
        <v>0</v>
      </c>
      <c r="I613" t="n">
        <v>0</v>
      </c>
      <c r="J613" t="n">
        <v>0</v>
      </c>
      <c r="K613" t="n">
        <v>0</v>
      </c>
      <c r="L613" t="n">
        <v>0</v>
      </c>
      <c r="M613" t="n">
        <v>0</v>
      </c>
      <c r="N613" t="n">
        <v>0</v>
      </c>
      <c r="O613" t="n">
        <v>0</v>
      </c>
      <c r="P613" t="n">
        <v>0</v>
      </c>
      <c r="Q613" t="n">
        <v>0</v>
      </c>
      <c r="R613" s="2" t="inlineStr"/>
    </row>
    <row r="614" ht="15" customHeight="1">
      <c r="A614" t="inlineStr">
        <is>
          <t>A 63918-2019</t>
        </is>
      </c>
      <c r="B614" s="1" t="n">
        <v>43790</v>
      </c>
      <c r="C614" s="1" t="n">
        <v>45579</v>
      </c>
      <c r="D614" t="inlineStr">
        <is>
          <t>JÄMTLANDS LÄN</t>
        </is>
      </c>
      <c r="E614" t="inlineStr">
        <is>
          <t>STRÖMSUND</t>
        </is>
      </c>
      <c r="G614" t="n">
        <v>1.5</v>
      </c>
      <c r="H614" t="n">
        <v>0</v>
      </c>
      <c r="I614" t="n">
        <v>0</v>
      </c>
      <c r="J614" t="n">
        <v>0</v>
      </c>
      <c r="K614" t="n">
        <v>0</v>
      </c>
      <c r="L614" t="n">
        <v>0</v>
      </c>
      <c r="M614" t="n">
        <v>0</v>
      </c>
      <c r="N614" t="n">
        <v>0</v>
      </c>
      <c r="O614" t="n">
        <v>0</v>
      </c>
      <c r="P614" t="n">
        <v>0</v>
      </c>
      <c r="Q614" t="n">
        <v>0</v>
      </c>
      <c r="R614" s="2" t="inlineStr"/>
    </row>
    <row r="615" ht="15" customHeight="1">
      <c r="A615" t="inlineStr">
        <is>
          <t>A 63429-2019</t>
        </is>
      </c>
      <c r="B615" s="1" t="n">
        <v>43794</v>
      </c>
      <c r="C615" s="1" t="n">
        <v>45579</v>
      </c>
      <c r="D615" t="inlineStr">
        <is>
          <t>JÄMTLANDS LÄN</t>
        </is>
      </c>
      <c r="E615" t="inlineStr">
        <is>
          <t>STRÖMSUND</t>
        </is>
      </c>
      <c r="G615" t="n">
        <v>11</v>
      </c>
      <c r="H615" t="n">
        <v>0</v>
      </c>
      <c r="I615" t="n">
        <v>0</v>
      </c>
      <c r="J615" t="n">
        <v>0</v>
      </c>
      <c r="K615" t="n">
        <v>0</v>
      </c>
      <c r="L615" t="n">
        <v>0</v>
      </c>
      <c r="M615" t="n">
        <v>0</v>
      </c>
      <c r="N615" t="n">
        <v>0</v>
      </c>
      <c r="O615" t="n">
        <v>0</v>
      </c>
      <c r="P615" t="n">
        <v>0</v>
      </c>
      <c r="Q615" t="n">
        <v>0</v>
      </c>
      <c r="R615" s="2" t="inlineStr"/>
    </row>
    <row r="616" ht="15" customHeight="1">
      <c r="A616" t="inlineStr">
        <is>
          <t>A 63443-2019</t>
        </is>
      </c>
      <c r="B616" s="1" t="n">
        <v>43794</v>
      </c>
      <c r="C616" s="1" t="n">
        <v>45579</v>
      </c>
      <c r="D616" t="inlineStr">
        <is>
          <t>JÄMTLANDS LÄN</t>
        </is>
      </c>
      <c r="E616" t="inlineStr">
        <is>
          <t>STRÖMSUND</t>
        </is>
      </c>
      <c r="G616" t="n">
        <v>13.8</v>
      </c>
      <c r="H616" t="n">
        <v>0</v>
      </c>
      <c r="I616" t="n">
        <v>0</v>
      </c>
      <c r="J616" t="n">
        <v>0</v>
      </c>
      <c r="K616" t="n">
        <v>0</v>
      </c>
      <c r="L616" t="n">
        <v>0</v>
      </c>
      <c r="M616" t="n">
        <v>0</v>
      </c>
      <c r="N616" t="n">
        <v>0</v>
      </c>
      <c r="O616" t="n">
        <v>0</v>
      </c>
      <c r="P616" t="n">
        <v>0</v>
      </c>
      <c r="Q616" t="n">
        <v>0</v>
      </c>
      <c r="R616" s="2" t="inlineStr"/>
    </row>
    <row r="617" ht="15" customHeight="1">
      <c r="A617" t="inlineStr">
        <is>
          <t>A 63426-2019</t>
        </is>
      </c>
      <c r="B617" s="1" t="n">
        <v>43794</v>
      </c>
      <c r="C617" s="1" t="n">
        <v>45579</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63444-2019</t>
        </is>
      </c>
      <c r="B618" s="1" t="n">
        <v>43794</v>
      </c>
      <c r="C618" s="1" t="n">
        <v>45579</v>
      </c>
      <c r="D618" t="inlineStr">
        <is>
          <t>JÄMTLANDS LÄN</t>
        </is>
      </c>
      <c r="E618" t="inlineStr">
        <is>
          <t>STRÖMSUND</t>
        </is>
      </c>
      <c r="G618" t="n">
        <v>5.6</v>
      </c>
      <c r="H618" t="n">
        <v>0</v>
      </c>
      <c r="I618" t="n">
        <v>0</v>
      </c>
      <c r="J618" t="n">
        <v>0</v>
      </c>
      <c r="K618" t="n">
        <v>0</v>
      </c>
      <c r="L618" t="n">
        <v>0</v>
      </c>
      <c r="M618" t="n">
        <v>0</v>
      </c>
      <c r="N618" t="n">
        <v>0</v>
      </c>
      <c r="O618" t="n">
        <v>0</v>
      </c>
      <c r="P618" t="n">
        <v>0</v>
      </c>
      <c r="Q618" t="n">
        <v>0</v>
      </c>
      <c r="R618" s="2" t="inlineStr"/>
    </row>
    <row r="619" ht="15" customHeight="1">
      <c r="A619" t="inlineStr">
        <is>
          <t>A 64138-2019</t>
        </is>
      </c>
      <c r="B619" s="1" t="n">
        <v>43796</v>
      </c>
      <c r="C619" s="1" t="n">
        <v>45579</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64463-2019</t>
        </is>
      </c>
      <c r="B620" s="1" t="n">
        <v>43797</v>
      </c>
      <c r="C620" s="1" t="n">
        <v>45579</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65415-2019</t>
        </is>
      </c>
      <c r="B621" s="1" t="n">
        <v>43797</v>
      </c>
      <c r="C621" s="1" t="n">
        <v>45579</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65390-2019</t>
        </is>
      </c>
      <c r="B622" s="1" t="n">
        <v>43797</v>
      </c>
      <c r="C622" s="1" t="n">
        <v>45579</v>
      </c>
      <c r="D622" t="inlineStr">
        <is>
          <t>JÄMTLANDS LÄN</t>
        </is>
      </c>
      <c r="E622" t="inlineStr">
        <is>
          <t>STRÖMSUND</t>
        </is>
      </c>
      <c r="G622" t="n">
        <v>0.9</v>
      </c>
      <c r="H622" t="n">
        <v>0</v>
      </c>
      <c r="I622" t="n">
        <v>0</v>
      </c>
      <c r="J622" t="n">
        <v>0</v>
      </c>
      <c r="K622" t="n">
        <v>0</v>
      </c>
      <c r="L622" t="n">
        <v>0</v>
      </c>
      <c r="M622" t="n">
        <v>0</v>
      </c>
      <c r="N622" t="n">
        <v>0</v>
      </c>
      <c r="O622" t="n">
        <v>0</v>
      </c>
      <c r="P622" t="n">
        <v>0</v>
      </c>
      <c r="Q622" t="n">
        <v>0</v>
      </c>
      <c r="R622" s="2" t="inlineStr"/>
    </row>
    <row r="623" ht="15" customHeight="1">
      <c r="A623" t="inlineStr">
        <is>
          <t>A 66574-2019</t>
        </is>
      </c>
      <c r="B623" s="1" t="n">
        <v>43803</v>
      </c>
      <c r="C623" s="1" t="n">
        <v>45579</v>
      </c>
      <c r="D623" t="inlineStr">
        <is>
          <t>JÄMTLANDS LÄN</t>
        </is>
      </c>
      <c r="E623" t="inlineStr">
        <is>
          <t>STRÖMSUND</t>
        </is>
      </c>
      <c r="G623" t="n">
        <v>0.7</v>
      </c>
      <c r="H623" t="n">
        <v>0</v>
      </c>
      <c r="I623" t="n">
        <v>0</v>
      </c>
      <c r="J623" t="n">
        <v>0</v>
      </c>
      <c r="K623" t="n">
        <v>0</v>
      </c>
      <c r="L623" t="n">
        <v>0</v>
      </c>
      <c r="M623" t="n">
        <v>0</v>
      </c>
      <c r="N623" t="n">
        <v>0</v>
      </c>
      <c r="O623" t="n">
        <v>0</v>
      </c>
      <c r="P623" t="n">
        <v>0</v>
      </c>
      <c r="Q623" t="n">
        <v>0</v>
      </c>
      <c r="R623" s="2" t="inlineStr"/>
    </row>
    <row r="624" ht="15" customHeight="1">
      <c r="A624" t="inlineStr">
        <is>
          <t>A 65781-2019</t>
        </is>
      </c>
      <c r="B624" s="1" t="n">
        <v>43804</v>
      </c>
      <c r="C624" s="1" t="n">
        <v>45579</v>
      </c>
      <c r="D624" t="inlineStr">
        <is>
          <t>JÄMTLANDS LÄN</t>
        </is>
      </c>
      <c r="E624" t="inlineStr">
        <is>
          <t>STRÖMSUND</t>
        </is>
      </c>
      <c r="G624" t="n">
        <v>4.3</v>
      </c>
      <c r="H624" t="n">
        <v>0</v>
      </c>
      <c r="I624" t="n">
        <v>0</v>
      </c>
      <c r="J624" t="n">
        <v>0</v>
      </c>
      <c r="K624" t="n">
        <v>0</v>
      </c>
      <c r="L624" t="n">
        <v>0</v>
      </c>
      <c r="M624" t="n">
        <v>0</v>
      </c>
      <c r="N624" t="n">
        <v>0</v>
      </c>
      <c r="O624" t="n">
        <v>0</v>
      </c>
      <c r="P624" t="n">
        <v>0</v>
      </c>
      <c r="Q624" t="n">
        <v>0</v>
      </c>
      <c r="R624" s="2" t="inlineStr"/>
    </row>
    <row r="625" ht="15" customHeight="1">
      <c r="A625" t="inlineStr">
        <is>
          <t>A 67064-2019</t>
        </is>
      </c>
      <c r="B625" s="1" t="n">
        <v>43805</v>
      </c>
      <c r="C625" s="1" t="n">
        <v>45579</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66349-2019</t>
        </is>
      </c>
      <c r="B626" s="1" t="n">
        <v>43808</v>
      </c>
      <c r="C626" s="1" t="n">
        <v>45579</v>
      </c>
      <c r="D626" t="inlineStr">
        <is>
          <t>JÄMTLANDS LÄN</t>
        </is>
      </c>
      <c r="E626" t="inlineStr">
        <is>
          <t>STRÖMSUND</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67820-2019</t>
        </is>
      </c>
      <c r="B627" s="1" t="n">
        <v>43815</v>
      </c>
      <c r="C627" s="1" t="n">
        <v>45579</v>
      </c>
      <c r="D627" t="inlineStr">
        <is>
          <t>JÄMTLANDS LÄN</t>
        </is>
      </c>
      <c r="E627" t="inlineStr">
        <is>
          <t>STRÖMSUND</t>
        </is>
      </c>
      <c r="F627" t="inlineStr">
        <is>
          <t>SCA</t>
        </is>
      </c>
      <c r="G627" t="n">
        <v>28.7</v>
      </c>
      <c r="H627" t="n">
        <v>0</v>
      </c>
      <c r="I627" t="n">
        <v>0</v>
      </c>
      <c r="J627" t="n">
        <v>0</v>
      </c>
      <c r="K627" t="n">
        <v>0</v>
      </c>
      <c r="L627" t="n">
        <v>0</v>
      </c>
      <c r="M627" t="n">
        <v>0</v>
      </c>
      <c r="N627" t="n">
        <v>0</v>
      </c>
      <c r="O627" t="n">
        <v>0</v>
      </c>
      <c r="P627" t="n">
        <v>0</v>
      </c>
      <c r="Q627" t="n">
        <v>0</v>
      </c>
      <c r="R627" s="2" t="inlineStr"/>
    </row>
    <row r="628" ht="15" customHeight="1">
      <c r="A628" t="inlineStr">
        <is>
          <t>A 67914-2019</t>
        </is>
      </c>
      <c r="B628" s="1" t="n">
        <v>43816</v>
      </c>
      <c r="C628" s="1" t="n">
        <v>45579</v>
      </c>
      <c r="D628" t="inlineStr">
        <is>
          <t>JÄMTLANDS LÄN</t>
        </is>
      </c>
      <c r="E628" t="inlineStr">
        <is>
          <t>STRÖMSUND</t>
        </is>
      </c>
      <c r="F628" t="inlineStr">
        <is>
          <t>Holmen skog AB</t>
        </is>
      </c>
      <c r="G628" t="n">
        <v>27.7</v>
      </c>
      <c r="H628" t="n">
        <v>0</v>
      </c>
      <c r="I628" t="n">
        <v>0</v>
      </c>
      <c r="J628" t="n">
        <v>0</v>
      </c>
      <c r="K628" t="n">
        <v>0</v>
      </c>
      <c r="L628" t="n">
        <v>0</v>
      </c>
      <c r="M628" t="n">
        <v>0</v>
      </c>
      <c r="N628" t="n">
        <v>0</v>
      </c>
      <c r="O628" t="n">
        <v>0</v>
      </c>
      <c r="P628" t="n">
        <v>0</v>
      </c>
      <c r="Q628" t="n">
        <v>0</v>
      </c>
      <c r="R628" s="2" t="inlineStr"/>
    </row>
    <row r="629" ht="15" customHeight="1">
      <c r="A629" t="inlineStr">
        <is>
          <t>A 68080-2019</t>
        </is>
      </c>
      <c r="B629" s="1" t="n">
        <v>43816</v>
      </c>
      <c r="C629" s="1" t="n">
        <v>45579</v>
      </c>
      <c r="D629" t="inlineStr">
        <is>
          <t>JÄMTLANDS LÄN</t>
        </is>
      </c>
      <c r="E629" t="inlineStr">
        <is>
          <t>STRÖMSUND</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68607-2019</t>
        </is>
      </c>
      <c r="B630" s="1" t="n">
        <v>43818</v>
      </c>
      <c r="C630" s="1" t="n">
        <v>45579</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68335-2019</t>
        </is>
      </c>
      <c r="B631" s="1" t="n">
        <v>43818</v>
      </c>
      <c r="C631" s="1" t="n">
        <v>45579</v>
      </c>
      <c r="D631" t="inlineStr">
        <is>
          <t>JÄMTLANDS LÄN</t>
        </is>
      </c>
      <c r="E631" t="inlineStr">
        <is>
          <t>STRÖMSUND</t>
        </is>
      </c>
      <c r="G631" t="n">
        <v>3.4</v>
      </c>
      <c r="H631" t="n">
        <v>0</v>
      </c>
      <c r="I631" t="n">
        <v>0</v>
      </c>
      <c r="J631" t="n">
        <v>0</v>
      </c>
      <c r="K631" t="n">
        <v>0</v>
      </c>
      <c r="L631" t="n">
        <v>0</v>
      </c>
      <c r="M631" t="n">
        <v>0</v>
      </c>
      <c r="N631" t="n">
        <v>0</v>
      </c>
      <c r="O631" t="n">
        <v>0</v>
      </c>
      <c r="P631" t="n">
        <v>0</v>
      </c>
      <c r="Q631" t="n">
        <v>0</v>
      </c>
      <c r="R631" s="2" t="inlineStr"/>
    </row>
    <row r="632" ht="15" customHeight="1">
      <c r="A632" t="inlineStr">
        <is>
          <t>A 861-2020</t>
        </is>
      </c>
      <c r="B632" s="1" t="n">
        <v>43838</v>
      </c>
      <c r="C632" s="1" t="n">
        <v>45579</v>
      </c>
      <c r="D632" t="inlineStr">
        <is>
          <t>JÄMTLANDS LÄN</t>
        </is>
      </c>
      <c r="E632" t="inlineStr">
        <is>
          <t>STRÖMSUND</t>
        </is>
      </c>
      <c r="G632" t="n">
        <v>0.6</v>
      </c>
      <c r="H632" t="n">
        <v>0</v>
      </c>
      <c r="I632" t="n">
        <v>0</v>
      </c>
      <c r="J632" t="n">
        <v>0</v>
      </c>
      <c r="K632" t="n">
        <v>0</v>
      </c>
      <c r="L632" t="n">
        <v>0</v>
      </c>
      <c r="M632" t="n">
        <v>0</v>
      </c>
      <c r="N632" t="n">
        <v>0</v>
      </c>
      <c r="O632" t="n">
        <v>0</v>
      </c>
      <c r="P632" t="n">
        <v>0</v>
      </c>
      <c r="Q632" t="n">
        <v>0</v>
      </c>
      <c r="R632" s="2" t="inlineStr"/>
    </row>
    <row r="633" ht="15" customHeight="1">
      <c r="A633" t="inlineStr">
        <is>
          <t>A 1034-2020</t>
        </is>
      </c>
      <c r="B633" s="1" t="n">
        <v>43839</v>
      </c>
      <c r="C633" s="1" t="n">
        <v>45579</v>
      </c>
      <c r="D633" t="inlineStr">
        <is>
          <t>JÄMTLANDS LÄN</t>
        </is>
      </c>
      <c r="E633" t="inlineStr">
        <is>
          <t>STRÖMSUND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1134-2020</t>
        </is>
      </c>
      <c r="B634" s="1" t="n">
        <v>43840</v>
      </c>
      <c r="C634" s="1" t="n">
        <v>45579</v>
      </c>
      <c r="D634" t="inlineStr">
        <is>
          <t>JÄMTLANDS LÄN</t>
        </is>
      </c>
      <c r="E634" t="inlineStr">
        <is>
          <t>STRÖMSUND</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1138-2020</t>
        </is>
      </c>
      <c r="B635" s="1" t="n">
        <v>43840</v>
      </c>
      <c r="C635" s="1" t="n">
        <v>45579</v>
      </c>
      <c r="D635" t="inlineStr">
        <is>
          <t>JÄMTLANDS LÄN</t>
        </is>
      </c>
      <c r="E635" t="inlineStr">
        <is>
          <t>STRÖMSUND</t>
        </is>
      </c>
      <c r="G635" t="n">
        <v>6.5</v>
      </c>
      <c r="H635" t="n">
        <v>0</v>
      </c>
      <c r="I635" t="n">
        <v>0</v>
      </c>
      <c r="J635" t="n">
        <v>0</v>
      </c>
      <c r="K635" t="n">
        <v>0</v>
      </c>
      <c r="L635" t="n">
        <v>0</v>
      </c>
      <c r="M635" t="n">
        <v>0</v>
      </c>
      <c r="N635" t="n">
        <v>0</v>
      </c>
      <c r="O635" t="n">
        <v>0</v>
      </c>
      <c r="P635" t="n">
        <v>0</v>
      </c>
      <c r="Q635" t="n">
        <v>0</v>
      </c>
      <c r="R635" s="2" t="inlineStr"/>
    </row>
    <row r="636" ht="15" customHeight="1">
      <c r="A636" t="inlineStr">
        <is>
          <t>A 1201-2020</t>
        </is>
      </c>
      <c r="B636" s="1" t="n">
        <v>43840</v>
      </c>
      <c r="C636" s="1" t="n">
        <v>45579</v>
      </c>
      <c r="D636" t="inlineStr">
        <is>
          <t>JÄMTLANDS LÄN</t>
        </is>
      </c>
      <c r="E636" t="inlineStr">
        <is>
          <t>STRÖMSUND</t>
        </is>
      </c>
      <c r="G636" t="n">
        <v>39.5</v>
      </c>
      <c r="H636" t="n">
        <v>0</v>
      </c>
      <c r="I636" t="n">
        <v>0</v>
      </c>
      <c r="J636" t="n">
        <v>0</v>
      </c>
      <c r="K636" t="n">
        <v>0</v>
      </c>
      <c r="L636" t="n">
        <v>0</v>
      </c>
      <c r="M636" t="n">
        <v>0</v>
      </c>
      <c r="N636" t="n">
        <v>0</v>
      </c>
      <c r="O636" t="n">
        <v>0</v>
      </c>
      <c r="P636" t="n">
        <v>0</v>
      </c>
      <c r="Q636" t="n">
        <v>0</v>
      </c>
      <c r="R636" s="2" t="inlineStr"/>
    </row>
    <row r="637" ht="15" customHeight="1">
      <c r="A637" t="inlineStr">
        <is>
          <t>A 1238-2020</t>
        </is>
      </c>
      <c r="B637" s="1" t="n">
        <v>43840</v>
      </c>
      <c r="C637" s="1" t="n">
        <v>45579</v>
      </c>
      <c r="D637" t="inlineStr">
        <is>
          <t>JÄMTLANDS LÄN</t>
        </is>
      </c>
      <c r="E637" t="inlineStr">
        <is>
          <t>STRÖMSUND</t>
        </is>
      </c>
      <c r="G637" t="n">
        <v>20.3</v>
      </c>
      <c r="H637" t="n">
        <v>0</v>
      </c>
      <c r="I637" t="n">
        <v>0</v>
      </c>
      <c r="J637" t="n">
        <v>0</v>
      </c>
      <c r="K637" t="n">
        <v>0</v>
      </c>
      <c r="L637" t="n">
        <v>0</v>
      </c>
      <c r="M637" t="n">
        <v>0</v>
      </c>
      <c r="N637" t="n">
        <v>0</v>
      </c>
      <c r="O637" t="n">
        <v>0</v>
      </c>
      <c r="P637" t="n">
        <v>0</v>
      </c>
      <c r="Q637" t="n">
        <v>0</v>
      </c>
      <c r="R637" s="2" t="inlineStr"/>
    </row>
    <row r="638" ht="15" customHeight="1">
      <c r="A638" t="inlineStr">
        <is>
          <t>A 2250-2020</t>
        </is>
      </c>
      <c r="B638" s="1" t="n">
        <v>43846</v>
      </c>
      <c r="C638" s="1" t="n">
        <v>45579</v>
      </c>
      <c r="D638" t="inlineStr">
        <is>
          <t>JÄMTLANDS LÄN</t>
        </is>
      </c>
      <c r="E638" t="inlineStr">
        <is>
          <t>STRÖMSUND</t>
        </is>
      </c>
      <c r="G638" t="n">
        <v>0.1</v>
      </c>
      <c r="H638" t="n">
        <v>0</v>
      </c>
      <c r="I638" t="n">
        <v>0</v>
      </c>
      <c r="J638" t="n">
        <v>0</v>
      </c>
      <c r="K638" t="n">
        <v>0</v>
      </c>
      <c r="L638" t="n">
        <v>0</v>
      </c>
      <c r="M638" t="n">
        <v>0</v>
      </c>
      <c r="N638" t="n">
        <v>0</v>
      </c>
      <c r="O638" t="n">
        <v>0</v>
      </c>
      <c r="P638" t="n">
        <v>0</v>
      </c>
      <c r="Q638" t="n">
        <v>0</v>
      </c>
      <c r="R638" s="2" t="inlineStr"/>
    </row>
    <row r="639" ht="15" customHeight="1">
      <c r="A639" t="inlineStr">
        <is>
          <t>A 2184-2020</t>
        </is>
      </c>
      <c r="B639" s="1" t="n">
        <v>43846</v>
      </c>
      <c r="C639" s="1" t="n">
        <v>45579</v>
      </c>
      <c r="D639" t="inlineStr">
        <is>
          <t>JÄMTLANDS LÄN</t>
        </is>
      </c>
      <c r="E639" t="inlineStr">
        <is>
          <t>STRÖMSUND</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2705-2020</t>
        </is>
      </c>
      <c r="B640" s="1" t="n">
        <v>43850</v>
      </c>
      <c r="C640" s="1" t="n">
        <v>45579</v>
      </c>
      <c r="D640" t="inlineStr">
        <is>
          <t>JÄMTLANDS LÄN</t>
        </is>
      </c>
      <c r="E640" t="inlineStr">
        <is>
          <t>STRÖMSUND</t>
        </is>
      </c>
      <c r="G640" t="n">
        <v>11.2</v>
      </c>
      <c r="H640" t="n">
        <v>0</v>
      </c>
      <c r="I640" t="n">
        <v>0</v>
      </c>
      <c r="J640" t="n">
        <v>0</v>
      </c>
      <c r="K640" t="n">
        <v>0</v>
      </c>
      <c r="L640" t="n">
        <v>0</v>
      </c>
      <c r="M640" t="n">
        <v>0</v>
      </c>
      <c r="N640" t="n">
        <v>0</v>
      </c>
      <c r="O640" t="n">
        <v>0</v>
      </c>
      <c r="P640" t="n">
        <v>0</v>
      </c>
      <c r="Q640" t="n">
        <v>0</v>
      </c>
      <c r="R640" s="2" t="inlineStr"/>
    </row>
    <row r="641" ht="15" customHeight="1">
      <c r="A641" t="inlineStr">
        <is>
          <t>A 2911-2020</t>
        </is>
      </c>
      <c r="B641" s="1" t="n">
        <v>43850</v>
      </c>
      <c r="C641" s="1" t="n">
        <v>45579</v>
      </c>
      <c r="D641" t="inlineStr">
        <is>
          <t>JÄMTLANDS LÄN</t>
        </is>
      </c>
      <c r="E641" t="inlineStr">
        <is>
          <t>STRÖMSUND</t>
        </is>
      </c>
      <c r="G641" t="n">
        <v>6.4</v>
      </c>
      <c r="H641" t="n">
        <v>0</v>
      </c>
      <c r="I641" t="n">
        <v>0</v>
      </c>
      <c r="J641" t="n">
        <v>0</v>
      </c>
      <c r="K641" t="n">
        <v>0</v>
      </c>
      <c r="L641" t="n">
        <v>0</v>
      </c>
      <c r="M641" t="n">
        <v>0</v>
      </c>
      <c r="N641" t="n">
        <v>0</v>
      </c>
      <c r="O641" t="n">
        <v>0</v>
      </c>
      <c r="P641" t="n">
        <v>0</v>
      </c>
      <c r="Q641" t="n">
        <v>0</v>
      </c>
      <c r="R641" s="2" t="inlineStr"/>
    </row>
    <row r="642" ht="15" customHeight="1">
      <c r="A642" t="inlineStr">
        <is>
          <t>A 5127-2020</t>
        </is>
      </c>
      <c r="B642" s="1" t="n">
        <v>43850</v>
      </c>
      <c r="C642" s="1" t="n">
        <v>45579</v>
      </c>
      <c r="D642" t="inlineStr">
        <is>
          <t>JÄMTLANDS LÄN</t>
        </is>
      </c>
      <c r="E642" t="inlineStr">
        <is>
          <t>STRÖMSUND</t>
        </is>
      </c>
      <c r="G642" t="n">
        <v>15.4</v>
      </c>
      <c r="H642" t="n">
        <v>0</v>
      </c>
      <c r="I642" t="n">
        <v>0</v>
      </c>
      <c r="J642" t="n">
        <v>0</v>
      </c>
      <c r="K642" t="n">
        <v>0</v>
      </c>
      <c r="L642" t="n">
        <v>0</v>
      </c>
      <c r="M642" t="n">
        <v>0</v>
      </c>
      <c r="N642" t="n">
        <v>0</v>
      </c>
      <c r="O642" t="n">
        <v>0</v>
      </c>
      <c r="P642" t="n">
        <v>0</v>
      </c>
      <c r="Q642" t="n">
        <v>0</v>
      </c>
      <c r="R642" s="2" t="inlineStr"/>
    </row>
    <row r="643" ht="15" customHeight="1">
      <c r="A643" t="inlineStr">
        <is>
          <t>A 5119-2020</t>
        </is>
      </c>
      <c r="B643" s="1" t="n">
        <v>43850</v>
      </c>
      <c r="C643" s="1" t="n">
        <v>45579</v>
      </c>
      <c r="D643" t="inlineStr">
        <is>
          <t>JÄMTLANDS LÄN</t>
        </is>
      </c>
      <c r="E643" t="inlineStr">
        <is>
          <t>STRÖMSUND</t>
        </is>
      </c>
      <c r="G643" t="n">
        <v>0.7</v>
      </c>
      <c r="H643" t="n">
        <v>0</v>
      </c>
      <c r="I643" t="n">
        <v>0</v>
      </c>
      <c r="J643" t="n">
        <v>0</v>
      </c>
      <c r="K643" t="n">
        <v>0</v>
      </c>
      <c r="L643" t="n">
        <v>0</v>
      </c>
      <c r="M643" t="n">
        <v>0</v>
      </c>
      <c r="N643" t="n">
        <v>0</v>
      </c>
      <c r="O643" t="n">
        <v>0</v>
      </c>
      <c r="P643" t="n">
        <v>0</v>
      </c>
      <c r="Q643" t="n">
        <v>0</v>
      </c>
      <c r="R643" s="2" t="inlineStr"/>
    </row>
    <row r="644" ht="15" customHeight="1">
      <c r="A644" t="inlineStr">
        <is>
          <t>A 2987-2020</t>
        </is>
      </c>
      <c r="B644" s="1" t="n">
        <v>43850</v>
      </c>
      <c r="C644" s="1" t="n">
        <v>45579</v>
      </c>
      <c r="D644" t="inlineStr">
        <is>
          <t>JÄMTLANDS LÄN</t>
        </is>
      </c>
      <c r="E644" t="inlineStr">
        <is>
          <t>STRÖMSUND</t>
        </is>
      </c>
      <c r="G644" t="n">
        <v>7.3</v>
      </c>
      <c r="H644" t="n">
        <v>0</v>
      </c>
      <c r="I644" t="n">
        <v>0</v>
      </c>
      <c r="J644" t="n">
        <v>0</v>
      </c>
      <c r="K644" t="n">
        <v>0</v>
      </c>
      <c r="L644" t="n">
        <v>0</v>
      </c>
      <c r="M644" t="n">
        <v>0</v>
      </c>
      <c r="N644" t="n">
        <v>0</v>
      </c>
      <c r="O644" t="n">
        <v>0</v>
      </c>
      <c r="P644" t="n">
        <v>0</v>
      </c>
      <c r="Q644" t="n">
        <v>0</v>
      </c>
      <c r="R644" s="2" t="inlineStr"/>
    </row>
    <row r="645" ht="15" customHeight="1">
      <c r="A645" t="inlineStr">
        <is>
          <t>A 5147-2020</t>
        </is>
      </c>
      <c r="B645" s="1" t="n">
        <v>43850</v>
      </c>
      <c r="C645" s="1" t="n">
        <v>45579</v>
      </c>
      <c r="D645" t="inlineStr">
        <is>
          <t>JÄMTLANDS LÄN</t>
        </is>
      </c>
      <c r="E645" t="inlineStr">
        <is>
          <t>STRÖMSUND</t>
        </is>
      </c>
      <c r="G645" t="n">
        <v>10.8</v>
      </c>
      <c r="H645" t="n">
        <v>0</v>
      </c>
      <c r="I645" t="n">
        <v>0</v>
      </c>
      <c r="J645" t="n">
        <v>0</v>
      </c>
      <c r="K645" t="n">
        <v>0</v>
      </c>
      <c r="L645" t="n">
        <v>0</v>
      </c>
      <c r="M645" t="n">
        <v>0</v>
      </c>
      <c r="N645" t="n">
        <v>0</v>
      </c>
      <c r="O645" t="n">
        <v>0</v>
      </c>
      <c r="P645" t="n">
        <v>0</v>
      </c>
      <c r="Q645" t="n">
        <v>0</v>
      </c>
      <c r="R645" s="2" t="inlineStr"/>
    </row>
    <row r="646" ht="15" customHeight="1">
      <c r="A646" t="inlineStr">
        <is>
          <t>A 4654-2020</t>
        </is>
      </c>
      <c r="B646" s="1" t="n">
        <v>43851</v>
      </c>
      <c r="C646" s="1" t="n">
        <v>45579</v>
      </c>
      <c r="D646" t="inlineStr">
        <is>
          <t>JÄMTLANDS LÄN</t>
        </is>
      </c>
      <c r="E646" t="inlineStr">
        <is>
          <t>STRÖMSUND</t>
        </is>
      </c>
      <c r="G646" t="n">
        <v>4</v>
      </c>
      <c r="H646" t="n">
        <v>0</v>
      </c>
      <c r="I646" t="n">
        <v>0</v>
      </c>
      <c r="J646" t="n">
        <v>0</v>
      </c>
      <c r="K646" t="n">
        <v>0</v>
      </c>
      <c r="L646" t="n">
        <v>0</v>
      </c>
      <c r="M646" t="n">
        <v>0</v>
      </c>
      <c r="N646" t="n">
        <v>0</v>
      </c>
      <c r="O646" t="n">
        <v>0</v>
      </c>
      <c r="P646" t="n">
        <v>0</v>
      </c>
      <c r="Q646" t="n">
        <v>0</v>
      </c>
      <c r="R646" s="2" t="inlineStr"/>
    </row>
    <row r="647" ht="15" customHeight="1">
      <c r="A647" t="inlineStr">
        <is>
          <t>A 4898-2020</t>
        </is>
      </c>
      <c r="B647" s="1" t="n">
        <v>43852</v>
      </c>
      <c r="C647" s="1" t="n">
        <v>45579</v>
      </c>
      <c r="D647" t="inlineStr">
        <is>
          <t>JÄMTLANDS LÄN</t>
        </is>
      </c>
      <c r="E647" t="inlineStr">
        <is>
          <t>STRÖMSUND</t>
        </is>
      </c>
      <c r="G647" t="n">
        <v>6.7</v>
      </c>
      <c r="H647" t="n">
        <v>0</v>
      </c>
      <c r="I647" t="n">
        <v>0</v>
      </c>
      <c r="J647" t="n">
        <v>0</v>
      </c>
      <c r="K647" t="n">
        <v>0</v>
      </c>
      <c r="L647" t="n">
        <v>0</v>
      </c>
      <c r="M647" t="n">
        <v>0</v>
      </c>
      <c r="N647" t="n">
        <v>0</v>
      </c>
      <c r="O647" t="n">
        <v>0</v>
      </c>
      <c r="P647" t="n">
        <v>0</v>
      </c>
      <c r="Q647" t="n">
        <v>0</v>
      </c>
      <c r="R647" s="2" t="inlineStr"/>
    </row>
    <row r="648" ht="15" customHeight="1">
      <c r="A648" t="inlineStr">
        <is>
          <t>A 3862-2020</t>
        </is>
      </c>
      <c r="B648" s="1" t="n">
        <v>43854</v>
      </c>
      <c r="C648" s="1" t="n">
        <v>45579</v>
      </c>
      <c r="D648" t="inlineStr">
        <is>
          <t>JÄMTLANDS LÄN</t>
        </is>
      </c>
      <c r="E648" t="inlineStr">
        <is>
          <t>STRÖMSUND</t>
        </is>
      </c>
      <c r="G648" t="n">
        <v>4.3</v>
      </c>
      <c r="H648" t="n">
        <v>0</v>
      </c>
      <c r="I648" t="n">
        <v>0</v>
      </c>
      <c r="J648" t="n">
        <v>0</v>
      </c>
      <c r="K648" t="n">
        <v>0</v>
      </c>
      <c r="L648" t="n">
        <v>0</v>
      </c>
      <c r="M648" t="n">
        <v>0</v>
      </c>
      <c r="N648" t="n">
        <v>0</v>
      </c>
      <c r="O648" t="n">
        <v>0</v>
      </c>
      <c r="P648" t="n">
        <v>0</v>
      </c>
      <c r="Q648" t="n">
        <v>0</v>
      </c>
      <c r="R648" s="2" t="inlineStr"/>
    </row>
    <row r="649" ht="15" customHeight="1">
      <c r="A649" t="inlineStr">
        <is>
          <t>A 3895-2020</t>
        </is>
      </c>
      <c r="B649" s="1" t="n">
        <v>43854</v>
      </c>
      <c r="C649" s="1" t="n">
        <v>45579</v>
      </c>
      <c r="D649" t="inlineStr">
        <is>
          <t>JÄMTLANDS LÄN</t>
        </is>
      </c>
      <c r="E649" t="inlineStr">
        <is>
          <t>STRÖMSUND</t>
        </is>
      </c>
      <c r="G649" t="n">
        <v>0.5</v>
      </c>
      <c r="H649" t="n">
        <v>0</v>
      </c>
      <c r="I649" t="n">
        <v>0</v>
      </c>
      <c r="J649" t="n">
        <v>0</v>
      </c>
      <c r="K649" t="n">
        <v>0</v>
      </c>
      <c r="L649" t="n">
        <v>0</v>
      </c>
      <c r="M649" t="n">
        <v>0</v>
      </c>
      <c r="N649" t="n">
        <v>0</v>
      </c>
      <c r="O649" t="n">
        <v>0</v>
      </c>
      <c r="P649" t="n">
        <v>0</v>
      </c>
      <c r="Q649" t="n">
        <v>0</v>
      </c>
      <c r="R649" s="2" t="inlineStr"/>
    </row>
    <row r="650" ht="15" customHeight="1">
      <c r="A650" t="inlineStr">
        <is>
          <t>A 3988-2020</t>
        </is>
      </c>
      <c r="B650" s="1" t="n">
        <v>43856</v>
      </c>
      <c r="C650" s="1" t="n">
        <v>45579</v>
      </c>
      <c r="D650" t="inlineStr">
        <is>
          <t>JÄMTLANDS LÄN</t>
        </is>
      </c>
      <c r="E650" t="inlineStr">
        <is>
          <t>STRÖMSUND</t>
        </is>
      </c>
      <c r="G650" t="n">
        <v>12.4</v>
      </c>
      <c r="H650" t="n">
        <v>0</v>
      </c>
      <c r="I650" t="n">
        <v>0</v>
      </c>
      <c r="J650" t="n">
        <v>0</v>
      </c>
      <c r="K650" t="n">
        <v>0</v>
      </c>
      <c r="L650" t="n">
        <v>0</v>
      </c>
      <c r="M650" t="n">
        <v>0</v>
      </c>
      <c r="N650" t="n">
        <v>0</v>
      </c>
      <c r="O650" t="n">
        <v>0</v>
      </c>
      <c r="P650" t="n">
        <v>0</v>
      </c>
      <c r="Q650" t="n">
        <v>0</v>
      </c>
      <c r="R650" s="2" t="inlineStr"/>
    </row>
    <row r="651" ht="15" customHeight="1">
      <c r="A651" t="inlineStr">
        <is>
          <t>A 4905-2020</t>
        </is>
      </c>
      <c r="B651" s="1" t="n">
        <v>43859</v>
      </c>
      <c r="C651" s="1" t="n">
        <v>45579</v>
      </c>
      <c r="D651" t="inlineStr">
        <is>
          <t>JÄMTLANDS LÄN</t>
        </is>
      </c>
      <c r="E651" t="inlineStr">
        <is>
          <t>STRÖMSUND</t>
        </is>
      </c>
      <c r="G651" t="n">
        <v>22.3</v>
      </c>
      <c r="H651" t="n">
        <v>0</v>
      </c>
      <c r="I651" t="n">
        <v>0</v>
      </c>
      <c r="J651" t="n">
        <v>0</v>
      </c>
      <c r="K651" t="n">
        <v>0</v>
      </c>
      <c r="L651" t="n">
        <v>0</v>
      </c>
      <c r="M651" t="n">
        <v>0</v>
      </c>
      <c r="N651" t="n">
        <v>0</v>
      </c>
      <c r="O651" t="n">
        <v>0</v>
      </c>
      <c r="P651" t="n">
        <v>0</v>
      </c>
      <c r="Q651" t="n">
        <v>0</v>
      </c>
      <c r="R651" s="2" t="inlineStr"/>
    </row>
    <row r="652" ht="15" customHeight="1">
      <c r="A652" t="inlineStr">
        <is>
          <t>A 5915-2020</t>
        </is>
      </c>
      <c r="B652" s="1" t="n">
        <v>43861</v>
      </c>
      <c r="C652" s="1" t="n">
        <v>45579</v>
      </c>
      <c r="D652" t="inlineStr">
        <is>
          <t>JÄMTLANDS LÄN</t>
        </is>
      </c>
      <c r="E652" t="inlineStr">
        <is>
          <t>STRÖMSUND</t>
        </is>
      </c>
      <c r="G652" t="n">
        <v>10.3</v>
      </c>
      <c r="H652" t="n">
        <v>0</v>
      </c>
      <c r="I652" t="n">
        <v>0</v>
      </c>
      <c r="J652" t="n">
        <v>0</v>
      </c>
      <c r="K652" t="n">
        <v>0</v>
      </c>
      <c r="L652" t="n">
        <v>0</v>
      </c>
      <c r="M652" t="n">
        <v>0</v>
      </c>
      <c r="N652" t="n">
        <v>0</v>
      </c>
      <c r="O652" t="n">
        <v>0</v>
      </c>
      <c r="P652" t="n">
        <v>0</v>
      </c>
      <c r="Q652" t="n">
        <v>0</v>
      </c>
      <c r="R652" s="2" t="inlineStr"/>
    </row>
    <row r="653" ht="15" customHeight="1">
      <c r="A653" t="inlineStr">
        <is>
          <t>A 6146-2020</t>
        </is>
      </c>
      <c r="B653" s="1" t="n">
        <v>43865</v>
      </c>
      <c r="C653" s="1" t="n">
        <v>45579</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7192-2020</t>
        </is>
      </c>
      <c r="B654" s="1" t="n">
        <v>43871</v>
      </c>
      <c r="C654" s="1" t="n">
        <v>45579</v>
      </c>
      <c r="D654" t="inlineStr">
        <is>
          <t>JÄMTLANDS LÄN</t>
        </is>
      </c>
      <c r="E654" t="inlineStr">
        <is>
          <t>STRÖMSUND</t>
        </is>
      </c>
      <c r="G654" t="n">
        <v>11.4</v>
      </c>
      <c r="H654" t="n">
        <v>0</v>
      </c>
      <c r="I654" t="n">
        <v>0</v>
      </c>
      <c r="J654" t="n">
        <v>0</v>
      </c>
      <c r="K654" t="n">
        <v>0</v>
      </c>
      <c r="L654" t="n">
        <v>0</v>
      </c>
      <c r="M654" t="n">
        <v>0</v>
      </c>
      <c r="N654" t="n">
        <v>0</v>
      </c>
      <c r="O654" t="n">
        <v>0</v>
      </c>
      <c r="P654" t="n">
        <v>0</v>
      </c>
      <c r="Q654" t="n">
        <v>0</v>
      </c>
      <c r="R654" s="2" t="inlineStr"/>
    </row>
    <row r="655" ht="15" customHeight="1">
      <c r="A655" t="inlineStr">
        <is>
          <t>A 7630-2020</t>
        </is>
      </c>
      <c r="B655" s="1" t="n">
        <v>43871</v>
      </c>
      <c r="C655" s="1" t="n">
        <v>45579</v>
      </c>
      <c r="D655" t="inlineStr">
        <is>
          <t>JÄMTLANDS LÄN</t>
        </is>
      </c>
      <c r="E655" t="inlineStr">
        <is>
          <t>STRÖMSUND</t>
        </is>
      </c>
      <c r="G655" t="n">
        <v>3</v>
      </c>
      <c r="H655" t="n">
        <v>0</v>
      </c>
      <c r="I655" t="n">
        <v>0</v>
      </c>
      <c r="J655" t="n">
        <v>0</v>
      </c>
      <c r="K655" t="n">
        <v>0</v>
      </c>
      <c r="L655" t="n">
        <v>0</v>
      </c>
      <c r="M655" t="n">
        <v>0</v>
      </c>
      <c r="N655" t="n">
        <v>0</v>
      </c>
      <c r="O655" t="n">
        <v>0</v>
      </c>
      <c r="P655" t="n">
        <v>0</v>
      </c>
      <c r="Q655" t="n">
        <v>0</v>
      </c>
      <c r="R655" s="2" t="inlineStr"/>
    </row>
    <row r="656" ht="15" customHeight="1">
      <c r="A656" t="inlineStr">
        <is>
          <t>A 7963-2020</t>
        </is>
      </c>
      <c r="B656" s="1" t="n">
        <v>43872</v>
      </c>
      <c r="C656" s="1" t="n">
        <v>45579</v>
      </c>
      <c r="D656" t="inlineStr">
        <is>
          <t>JÄMTLANDS LÄN</t>
        </is>
      </c>
      <c r="E656" t="inlineStr">
        <is>
          <t>STRÖMSUND</t>
        </is>
      </c>
      <c r="G656" t="n">
        <v>0.5</v>
      </c>
      <c r="H656" t="n">
        <v>0</v>
      </c>
      <c r="I656" t="n">
        <v>0</v>
      </c>
      <c r="J656" t="n">
        <v>0</v>
      </c>
      <c r="K656" t="n">
        <v>0</v>
      </c>
      <c r="L656" t="n">
        <v>0</v>
      </c>
      <c r="M656" t="n">
        <v>0</v>
      </c>
      <c r="N656" t="n">
        <v>0</v>
      </c>
      <c r="O656" t="n">
        <v>0</v>
      </c>
      <c r="P656" t="n">
        <v>0</v>
      </c>
      <c r="Q656" t="n">
        <v>0</v>
      </c>
      <c r="R656" s="2" t="inlineStr"/>
    </row>
    <row r="657" ht="15" customHeight="1">
      <c r="A657" t="inlineStr">
        <is>
          <t>A 7974-2020</t>
        </is>
      </c>
      <c r="B657" s="1" t="n">
        <v>43873</v>
      </c>
      <c r="C657" s="1" t="n">
        <v>45579</v>
      </c>
      <c r="D657" t="inlineStr">
        <is>
          <t>JÄMTLANDS LÄN</t>
        </is>
      </c>
      <c r="E657" t="inlineStr">
        <is>
          <t>STRÖMSUND</t>
        </is>
      </c>
      <c r="G657" t="n">
        <v>24.1</v>
      </c>
      <c r="H657" t="n">
        <v>0</v>
      </c>
      <c r="I657" t="n">
        <v>0</v>
      </c>
      <c r="J657" t="n">
        <v>0</v>
      </c>
      <c r="K657" t="n">
        <v>0</v>
      </c>
      <c r="L657" t="n">
        <v>0</v>
      </c>
      <c r="M657" t="n">
        <v>0</v>
      </c>
      <c r="N657" t="n">
        <v>0</v>
      </c>
      <c r="O657" t="n">
        <v>0</v>
      </c>
      <c r="P657" t="n">
        <v>0</v>
      </c>
      <c r="Q657" t="n">
        <v>0</v>
      </c>
      <c r="R657" s="2" t="inlineStr"/>
    </row>
    <row r="658" ht="15" customHeight="1">
      <c r="A658" t="inlineStr">
        <is>
          <t>A 8482-2020</t>
        </is>
      </c>
      <c r="B658" s="1" t="n">
        <v>43875</v>
      </c>
      <c r="C658" s="1" t="n">
        <v>45579</v>
      </c>
      <c r="D658" t="inlineStr">
        <is>
          <t>JÄMTLANDS LÄN</t>
        </is>
      </c>
      <c r="E658" t="inlineStr">
        <is>
          <t>STRÖMSUND</t>
        </is>
      </c>
      <c r="G658" t="n">
        <v>25.5</v>
      </c>
      <c r="H658" t="n">
        <v>0</v>
      </c>
      <c r="I658" t="n">
        <v>0</v>
      </c>
      <c r="J658" t="n">
        <v>0</v>
      </c>
      <c r="K658" t="n">
        <v>0</v>
      </c>
      <c r="L658" t="n">
        <v>0</v>
      </c>
      <c r="M658" t="n">
        <v>0</v>
      </c>
      <c r="N658" t="n">
        <v>0</v>
      </c>
      <c r="O658" t="n">
        <v>0</v>
      </c>
      <c r="P658" t="n">
        <v>0</v>
      </c>
      <c r="Q658" t="n">
        <v>0</v>
      </c>
      <c r="R658" s="2" t="inlineStr"/>
    </row>
    <row r="659" ht="15" customHeight="1">
      <c r="A659" t="inlineStr">
        <is>
          <t>A 8775-2020</t>
        </is>
      </c>
      <c r="B659" s="1" t="n">
        <v>43878</v>
      </c>
      <c r="C659" s="1" t="n">
        <v>45579</v>
      </c>
      <c r="D659" t="inlineStr">
        <is>
          <t>JÄMTLANDS LÄN</t>
        </is>
      </c>
      <c r="E659" t="inlineStr">
        <is>
          <t>STRÖMSUND</t>
        </is>
      </c>
      <c r="G659" t="n">
        <v>4.2</v>
      </c>
      <c r="H659" t="n">
        <v>0</v>
      </c>
      <c r="I659" t="n">
        <v>0</v>
      </c>
      <c r="J659" t="n">
        <v>0</v>
      </c>
      <c r="K659" t="n">
        <v>0</v>
      </c>
      <c r="L659" t="n">
        <v>0</v>
      </c>
      <c r="M659" t="n">
        <v>0</v>
      </c>
      <c r="N659" t="n">
        <v>0</v>
      </c>
      <c r="O659" t="n">
        <v>0</v>
      </c>
      <c r="P659" t="n">
        <v>0</v>
      </c>
      <c r="Q659" t="n">
        <v>0</v>
      </c>
      <c r="R659" s="2" t="inlineStr"/>
    </row>
    <row r="660" ht="15" customHeight="1">
      <c r="A660" t="inlineStr">
        <is>
          <t>A 10057-2020</t>
        </is>
      </c>
      <c r="B660" s="1" t="n">
        <v>43882</v>
      </c>
      <c r="C660" s="1" t="n">
        <v>45579</v>
      </c>
      <c r="D660" t="inlineStr">
        <is>
          <t>JÄMTLANDS LÄN</t>
        </is>
      </c>
      <c r="E660" t="inlineStr">
        <is>
          <t>STRÖMSUND</t>
        </is>
      </c>
      <c r="G660" t="n">
        <v>10.4</v>
      </c>
      <c r="H660" t="n">
        <v>0</v>
      </c>
      <c r="I660" t="n">
        <v>0</v>
      </c>
      <c r="J660" t="n">
        <v>0</v>
      </c>
      <c r="K660" t="n">
        <v>0</v>
      </c>
      <c r="L660" t="n">
        <v>0</v>
      </c>
      <c r="M660" t="n">
        <v>0</v>
      </c>
      <c r="N660" t="n">
        <v>0</v>
      </c>
      <c r="O660" t="n">
        <v>0</v>
      </c>
      <c r="P660" t="n">
        <v>0</v>
      </c>
      <c r="Q660" t="n">
        <v>0</v>
      </c>
      <c r="R660" s="2" t="inlineStr"/>
    </row>
    <row r="661" ht="15" customHeight="1">
      <c r="A661" t="inlineStr">
        <is>
          <t>A 12609-2020</t>
        </is>
      </c>
      <c r="B661" s="1" t="n">
        <v>43899</v>
      </c>
      <c r="C661" s="1" t="n">
        <v>45579</v>
      </c>
      <c r="D661" t="inlineStr">
        <is>
          <t>JÄMTLANDS LÄN</t>
        </is>
      </c>
      <c r="E661" t="inlineStr">
        <is>
          <t>STRÖMSUND</t>
        </is>
      </c>
      <c r="F661" t="inlineStr">
        <is>
          <t>Kyrkan</t>
        </is>
      </c>
      <c r="G661" t="n">
        <v>1.6</v>
      </c>
      <c r="H661" t="n">
        <v>0</v>
      </c>
      <c r="I661" t="n">
        <v>0</v>
      </c>
      <c r="J661" t="n">
        <v>0</v>
      </c>
      <c r="K661" t="n">
        <v>0</v>
      </c>
      <c r="L661" t="n">
        <v>0</v>
      </c>
      <c r="M661" t="n">
        <v>0</v>
      </c>
      <c r="N661" t="n">
        <v>0</v>
      </c>
      <c r="O661" t="n">
        <v>0</v>
      </c>
      <c r="P661" t="n">
        <v>0</v>
      </c>
      <c r="Q661" t="n">
        <v>0</v>
      </c>
      <c r="R661" s="2" t="inlineStr"/>
    </row>
    <row r="662" ht="15" customHeight="1">
      <c r="A662" t="inlineStr">
        <is>
          <t>A 13233-2020</t>
        </is>
      </c>
      <c r="B662" s="1" t="n">
        <v>43901</v>
      </c>
      <c r="C662" s="1" t="n">
        <v>45579</v>
      </c>
      <c r="D662" t="inlineStr">
        <is>
          <t>JÄMTLANDS LÄN</t>
        </is>
      </c>
      <c r="E662" t="inlineStr">
        <is>
          <t>STRÖMSUND</t>
        </is>
      </c>
      <c r="G662" t="n">
        <v>6.9</v>
      </c>
      <c r="H662" t="n">
        <v>0</v>
      </c>
      <c r="I662" t="n">
        <v>0</v>
      </c>
      <c r="J662" t="n">
        <v>0</v>
      </c>
      <c r="K662" t="n">
        <v>0</v>
      </c>
      <c r="L662" t="n">
        <v>0</v>
      </c>
      <c r="M662" t="n">
        <v>0</v>
      </c>
      <c r="N662" t="n">
        <v>0</v>
      </c>
      <c r="O662" t="n">
        <v>0</v>
      </c>
      <c r="P662" t="n">
        <v>0</v>
      </c>
      <c r="Q662" t="n">
        <v>0</v>
      </c>
      <c r="R662" s="2" t="inlineStr"/>
    </row>
    <row r="663" ht="15" customHeight="1">
      <c r="A663" t="inlineStr">
        <is>
          <t>A 13241-2020</t>
        </is>
      </c>
      <c r="B663" s="1" t="n">
        <v>43901</v>
      </c>
      <c r="C663" s="1" t="n">
        <v>45579</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14259-2020</t>
        </is>
      </c>
      <c r="B664" s="1" t="n">
        <v>43901</v>
      </c>
      <c r="C664" s="1" t="n">
        <v>45579</v>
      </c>
      <c r="D664" t="inlineStr">
        <is>
          <t>JÄMTLANDS LÄN</t>
        </is>
      </c>
      <c r="E664" t="inlineStr">
        <is>
          <t>STRÖMSUND</t>
        </is>
      </c>
      <c r="G664" t="n">
        <v>17.8</v>
      </c>
      <c r="H664" t="n">
        <v>0</v>
      </c>
      <c r="I664" t="n">
        <v>0</v>
      </c>
      <c r="J664" t="n">
        <v>0</v>
      </c>
      <c r="K664" t="n">
        <v>0</v>
      </c>
      <c r="L664" t="n">
        <v>0</v>
      </c>
      <c r="M664" t="n">
        <v>0</v>
      </c>
      <c r="N664" t="n">
        <v>0</v>
      </c>
      <c r="O664" t="n">
        <v>0</v>
      </c>
      <c r="P664" t="n">
        <v>0</v>
      </c>
      <c r="Q664" t="n">
        <v>0</v>
      </c>
      <c r="R664" s="2" t="inlineStr"/>
    </row>
    <row r="665" ht="15" customHeight="1">
      <c r="A665" t="inlineStr">
        <is>
          <t>A 14904-2020</t>
        </is>
      </c>
      <c r="B665" s="1" t="n">
        <v>43906</v>
      </c>
      <c r="C665" s="1" t="n">
        <v>45579</v>
      </c>
      <c r="D665" t="inlineStr">
        <is>
          <t>JÄMTLANDS LÄN</t>
        </is>
      </c>
      <c r="E665" t="inlineStr">
        <is>
          <t>STRÖMSUND</t>
        </is>
      </c>
      <c r="G665" t="n">
        <v>7.5</v>
      </c>
      <c r="H665" t="n">
        <v>0</v>
      </c>
      <c r="I665" t="n">
        <v>0</v>
      </c>
      <c r="J665" t="n">
        <v>0</v>
      </c>
      <c r="K665" t="n">
        <v>0</v>
      </c>
      <c r="L665" t="n">
        <v>0</v>
      </c>
      <c r="M665" t="n">
        <v>0</v>
      </c>
      <c r="N665" t="n">
        <v>0</v>
      </c>
      <c r="O665" t="n">
        <v>0</v>
      </c>
      <c r="P665" t="n">
        <v>0</v>
      </c>
      <c r="Q665" t="n">
        <v>0</v>
      </c>
      <c r="R665" s="2" t="inlineStr"/>
    </row>
    <row r="666" ht="15" customHeight="1">
      <c r="A666" t="inlineStr">
        <is>
          <t>A 16335-2020</t>
        </is>
      </c>
      <c r="B666" s="1" t="n">
        <v>43917</v>
      </c>
      <c r="C666" s="1" t="n">
        <v>45579</v>
      </c>
      <c r="D666" t="inlineStr">
        <is>
          <t>JÄMTLANDS LÄN</t>
        </is>
      </c>
      <c r="E666" t="inlineStr">
        <is>
          <t>STRÖMSUND</t>
        </is>
      </c>
      <c r="F666" t="inlineStr">
        <is>
          <t>Kyrkan</t>
        </is>
      </c>
      <c r="G666" t="n">
        <v>2.6</v>
      </c>
      <c r="H666" t="n">
        <v>0</v>
      </c>
      <c r="I666" t="n">
        <v>0</v>
      </c>
      <c r="J666" t="n">
        <v>0</v>
      </c>
      <c r="K666" t="n">
        <v>0</v>
      </c>
      <c r="L666" t="n">
        <v>0</v>
      </c>
      <c r="M666" t="n">
        <v>0</v>
      </c>
      <c r="N666" t="n">
        <v>0</v>
      </c>
      <c r="O666" t="n">
        <v>0</v>
      </c>
      <c r="P666" t="n">
        <v>0</v>
      </c>
      <c r="Q666" t="n">
        <v>0</v>
      </c>
      <c r="R666" s="2" t="inlineStr"/>
    </row>
    <row r="667" ht="15" customHeight="1">
      <c r="A667" t="inlineStr">
        <is>
          <t>A 17063-2020</t>
        </is>
      </c>
      <c r="B667" s="1" t="n">
        <v>43921</v>
      </c>
      <c r="C667" s="1" t="n">
        <v>45579</v>
      </c>
      <c r="D667" t="inlineStr">
        <is>
          <t>JÄMTLANDS LÄN</t>
        </is>
      </c>
      <c r="E667" t="inlineStr">
        <is>
          <t>STRÖMSUND</t>
        </is>
      </c>
      <c r="G667" t="n">
        <v>3.4</v>
      </c>
      <c r="H667" t="n">
        <v>0</v>
      </c>
      <c r="I667" t="n">
        <v>0</v>
      </c>
      <c r="J667" t="n">
        <v>0</v>
      </c>
      <c r="K667" t="n">
        <v>0</v>
      </c>
      <c r="L667" t="n">
        <v>0</v>
      </c>
      <c r="M667" t="n">
        <v>0</v>
      </c>
      <c r="N667" t="n">
        <v>0</v>
      </c>
      <c r="O667" t="n">
        <v>0</v>
      </c>
      <c r="P667" t="n">
        <v>0</v>
      </c>
      <c r="Q667" t="n">
        <v>0</v>
      </c>
      <c r="R667" s="2" t="inlineStr"/>
    </row>
    <row r="668" ht="15" customHeight="1">
      <c r="A668" t="inlineStr">
        <is>
          <t>A 18731-2020</t>
        </is>
      </c>
      <c r="B668" s="1" t="n">
        <v>43930</v>
      </c>
      <c r="C668" s="1" t="n">
        <v>45579</v>
      </c>
      <c r="D668" t="inlineStr">
        <is>
          <t>JÄMTLANDS LÄN</t>
        </is>
      </c>
      <c r="E668" t="inlineStr">
        <is>
          <t>STRÖMSUND</t>
        </is>
      </c>
      <c r="G668" t="n">
        <v>0.9</v>
      </c>
      <c r="H668" t="n">
        <v>0</v>
      </c>
      <c r="I668" t="n">
        <v>0</v>
      </c>
      <c r="J668" t="n">
        <v>0</v>
      </c>
      <c r="K668" t="n">
        <v>0</v>
      </c>
      <c r="L668" t="n">
        <v>0</v>
      </c>
      <c r="M668" t="n">
        <v>0</v>
      </c>
      <c r="N668" t="n">
        <v>0</v>
      </c>
      <c r="O668" t="n">
        <v>0</v>
      </c>
      <c r="P668" t="n">
        <v>0</v>
      </c>
      <c r="Q668" t="n">
        <v>0</v>
      </c>
      <c r="R668" s="2" t="inlineStr"/>
    </row>
    <row r="669" ht="15" customHeight="1">
      <c r="A669" t="inlineStr">
        <is>
          <t>A 18780-2020</t>
        </is>
      </c>
      <c r="B669" s="1" t="n">
        <v>43930</v>
      </c>
      <c r="C669" s="1" t="n">
        <v>45579</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19089-2020</t>
        </is>
      </c>
      <c r="B670" s="1" t="n">
        <v>43935</v>
      </c>
      <c r="C670" s="1" t="n">
        <v>45579</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19842-2020</t>
        </is>
      </c>
      <c r="B671" s="1" t="n">
        <v>43942</v>
      </c>
      <c r="C671" s="1" t="n">
        <v>45579</v>
      </c>
      <c r="D671" t="inlineStr">
        <is>
          <t>JÄMTLANDS LÄN</t>
        </is>
      </c>
      <c r="E671" t="inlineStr">
        <is>
          <t>STRÖMSUND</t>
        </is>
      </c>
      <c r="G671" t="n">
        <v>20.3</v>
      </c>
      <c r="H671" t="n">
        <v>0</v>
      </c>
      <c r="I671" t="n">
        <v>0</v>
      </c>
      <c r="J671" t="n">
        <v>0</v>
      </c>
      <c r="K671" t="n">
        <v>0</v>
      </c>
      <c r="L671" t="n">
        <v>0</v>
      </c>
      <c r="M671" t="n">
        <v>0</v>
      </c>
      <c r="N671" t="n">
        <v>0</v>
      </c>
      <c r="O671" t="n">
        <v>0</v>
      </c>
      <c r="P671" t="n">
        <v>0</v>
      </c>
      <c r="Q671" t="n">
        <v>0</v>
      </c>
      <c r="R671" s="2" t="inlineStr"/>
    </row>
    <row r="672" ht="15" customHeight="1">
      <c r="A672" t="inlineStr">
        <is>
          <t>A 20816-2020</t>
        </is>
      </c>
      <c r="B672" s="1" t="n">
        <v>43949</v>
      </c>
      <c r="C672" s="1" t="n">
        <v>45579</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20812-2020</t>
        </is>
      </c>
      <c r="B673" s="1" t="n">
        <v>43950</v>
      </c>
      <c r="C673" s="1" t="n">
        <v>45579</v>
      </c>
      <c r="D673" t="inlineStr">
        <is>
          <t>JÄMTLANDS LÄN</t>
        </is>
      </c>
      <c r="E673" t="inlineStr">
        <is>
          <t>STRÖMSUND</t>
        </is>
      </c>
      <c r="G673" t="n">
        <v>6.1</v>
      </c>
      <c r="H673" t="n">
        <v>0</v>
      </c>
      <c r="I673" t="n">
        <v>0</v>
      </c>
      <c r="J673" t="n">
        <v>0</v>
      </c>
      <c r="K673" t="n">
        <v>0</v>
      </c>
      <c r="L673" t="n">
        <v>0</v>
      </c>
      <c r="M673" t="n">
        <v>0</v>
      </c>
      <c r="N673" t="n">
        <v>0</v>
      </c>
      <c r="O673" t="n">
        <v>0</v>
      </c>
      <c r="P673" t="n">
        <v>0</v>
      </c>
      <c r="Q673" t="n">
        <v>0</v>
      </c>
      <c r="R673" s="2" t="inlineStr"/>
    </row>
    <row r="674" ht="15" customHeight="1">
      <c r="A674" t="inlineStr">
        <is>
          <t>A 21939-2020</t>
        </is>
      </c>
      <c r="B674" s="1" t="n">
        <v>43955</v>
      </c>
      <c r="C674" s="1" t="n">
        <v>45579</v>
      </c>
      <c r="D674" t="inlineStr">
        <is>
          <t>JÄMTLANDS LÄN</t>
        </is>
      </c>
      <c r="E674" t="inlineStr">
        <is>
          <t>STRÖMSUND</t>
        </is>
      </c>
      <c r="G674" t="n">
        <v>4.5</v>
      </c>
      <c r="H674" t="n">
        <v>0</v>
      </c>
      <c r="I674" t="n">
        <v>0</v>
      </c>
      <c r="J674" t="n">
        <v>0</v>
      </c>
      <c r="K674" t="n">
        <v>0</v>
      </c>
      <c r="L674" t="n">
        <v>0</v>
      </c>
      <c r="M674" t="n">
        <v>0</v>
      </c>
      <c r="N674" t="n">
        <v>0</v>
      </c>
      <c r="O674" t="n">
        <v>0</v>
      </c>
      <c r="P674" t="n">
        <v>0</v>
      </c>
      <c r="Q674" t="n">
        <v>0</v>
      </c>
      <c r="R674" s="2" t="inlineStr"/>
    </row>
    <row r="675" ht="15" customHeight="1">
      <c r="A675" t="inlineStr">
        <is>
          <t>A 21602-2020</t>
        </is>
      </c>
      <c r="B675" s="1" t="n">
        <v>43957</v>
      </c>
      <c r="C675" s="1" t="n">
        <v>45579</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21773-2020</t>
        </is>
      </c>
      <c r="B676" s="1" t="n">
        <v>43957</v>
      </c>
      <c r="C676" s="1" t="n">
        <v>45579</v>
      </c>
      <c r="D676" t="inlineStr">
        <is>
          <t>JÄMTLANDS LÄN</t>
        </is>
      </c>
      <c r="E676" t="inlineStr">
        <is>
          <t>STRÖMSUND</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21971-2020</t>
        </is>
      </c>
      <c r="B677" s="1" t="n">
        <v>43958</v>
      </c>
      <c r="C677" s="1" t="n">
        <v>45579</v>
      </c>
      <c r="D677" t="inlineStr">
        <is>
          <t>JÄMTLANDS LÄN</t>
        </is>
      </c>
      <c r="E677" t="inlineStr">
        <is>
          <t>STRÖMSUND</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22092-2020</t>
        </is>
      </c>
      <c r="B678" s="1" t="n">
        <v>43959</v>
      </c>
      <c r="C678" s="1" t="n">
        <v>45579</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22699-2020</t>
        </is>
      </c>
      <c r="B679" s="1" t="n">
        <v>43963</v>
      </c>
      <c r="C679" s="1" t="n">
        <v>45579</v>
      </c>
      <c r="D679" t="inlineStr">
        <is>
          <t>JÄMTLANDS LÄN</t>
        </is>
      </c>
      <c r="E679" t="inlineStr">
        <is>
          <t>STRÖMSUND</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22905-2020</t>
        </is>
      </c>
      <c r="B680" s="1" t="n">
        <v>43964</v>
      </c>
      <c r="C680" s="1" t="n">
        <v>45579</v>
      </c>
      <c r="D680" t="inlineStr">
        <is>
          <t>JÄMTLANDS LÄN</t>
        </is>
      </c>
      <c r="E680" t="inlineStr">
        <is>
          <t>STRÖMSUND</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22906-2020</t>
        </is>
      </c>
      <c r="B681" s="1" t="n">
        <v>43964</v>
      </c>
      <c r="C681" s="1" t="n">
        <v>45579</v>
      </c>
      <c r="D681" t="inlineStr">
        <is>
          <t>JÄMTLANDS LÄN</t>
        </is>
      </c>
      <c r="E681" t="inlineStr">
        <is>
          <t>STRÖMSUND</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22912-2020</t>
        </is>
      </c>
      <c r="B682" s="1" t="n">
        <v>43964</v>
      </c>
      <c r="C682" s="1" t="n">
        <v>45579</v>
      </c>
      <c r="D682" t="inlineStr">
        <is>
          <t>JÄMTLANDS LÄN</t>
        </is>
      </c>
      <c r="E682" t="inlineStr">
        <is>
          <t>STRÖMSUND</t>
        </is>
      </c>
      <c r="F682" t="inlineStr">
        <is>
          <t>SCA</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23412-2020</t>
        </is>
      </c>
      <c r="B683" s="1" t="n">
        <v>43969</v>
      </c>
      <c r="C683" s="1" t="n">
        <v>45579</v>
      </c>
      <c r="D683" t="inlineStr">
        <is>
          <t>JÄMTLANDS LÄN</t>
        </is>
      </c>
      <c r="E683" t="inlineStr">
        <is>
          <t>STRÖMSUND</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23647-2020</t>
        </is>
      </c>
      <c r="B684" s="1" t="n">
        <v>43969</v>
      </c>
      <c r="C684" s="1" t="n">
        <v>45579</v>
      </c>
      <c r="D684" t="inlineStr">
        <is>
          <t>JÄMTLANDS LÄN</t>
        </is>
      </c>
      <c r="E684" t="inlineStr">
        <is>
          <t>STRÖMSUND</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24054-2020</t>
        </is>
      </c>
      <c r="B685" s="1" t="n">
        <v>43971</v>
      </c>
      <c r="C685" s="1" t="n">
        <v>45579</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24064-2020</t>
        </is>
      </c>
      <c r="B686" s="1" t="n">
        <v>43971</v>
      </c>
      <c r="C686" s="1" t="n">
        <v>45579</v>
      </c>
      <c r="D686" t="inlineStr">
        <is>
          <t>JÄMTLANDS LÄN</t>
        </is>
      </c>
      <c r="E686" t="inlineStr">
        <is>
          <t>STRÖMSUND</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24335-2020</t>
        </is>
      </c>
      <c r="B687" s="1" t="n">
        <v>43971</v>
      </c>
      <c r="C687" s="1" t="n">
        <v>45579</v>
      </c>
      <c r="D687" t="inlineStr">
        <is>
          <t>JÄMTLANDS LÄN</t>
        </is>
      </c>
      <c r="E687" t="inlineStr">
        <is>
          <t>STRÖMSUND</t>
        </is>
      </c>
      <c r="G687" t="n">
        <v>14.3</v>
      </c>
      <c r="H687" t="n">
        <v>0</v>
      </c>
      <c r="I687" t="n">
        <v>0</v>
      </c>
      <c r="J687" t="n">
        <v>0</v>
      </c>
      <c r="K687" t="n">
        <v>0</v>
      </c>
      <c r="L687" t="n">
        <v>0</v>
      </c>
      <c r="M687" t="n">
        <v>0</v>
      </c>
      <c r="N687" t="n">
        <v>0</v>
      </c>
      <c r="O687" t="n">
        <v>0</v>
      </c>
      <c r="P687" t="n">
        <v>0</v>
      </c>
      <c r="Q687" t="n">
        <v>0</v>
      </c>
      <c r="R687" s="2" t="inlineStr"/>
    </row>
    <row r="688" ht="15" customHeight="1">
      <c r="A688" t="inlineStr">
        <is>
          <t>A 24117-2020</t>
        </is>
      </c>
      <c r="B688" s="1" t="n">
        <v>43973</v>
      </c>
      <c r="C688" s="1" t="n">
        <v>45579</v>
      </c>
      <c r="D688" t="inlineStr">
        <is>
          <t>JÄMTLANDS LÄN</t>
        </is>
      </c>
      <c r="E688" t="inlineStr">
        <is>
          <t>STRÖMSUND</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24414-2020</t>
        </is>
      </c>
      <c r="B689" s="1" t="n">
        <v>43976</v>
      </c>
      <c r="C689" s="1" t="n">
        <v>45579</v>
      </c>
      <c r="D689" t="inlineStr">
        <is>
          <t>JÄMTLANDS LÄN</t>
        </is>
      </c>
      <c r="E689" t="inlineStr">
        <is>
          <t>STRÖMSUND</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24379-2020</t>
        </is>
      </c>
      <c r="B690" s="1" t="n">
        <v>43976</v>
      </c>
      <c r="C690" s="1" t="n">
        <v>45579</v>
      </c>
      <c r="D690" t="inlineStr">
        <is>
          <t>JÄMTLANDS LÄN</t>
        </is>
      </c>
      <c r="E690" t="inlineStr">
        <is>
          <t>STRÖMSUND</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24415-2020</t>
        </is>
      </c>
      <c r="B691" s="1" t="n">
        <v>43976</v>
      </c>
      <c r="C691" s="1" t="n">
        <v>45579</v>
      </c>
      <c r="D691" t="inlineStr">
        <is>
          <t>JÄMTLANDS LÄN</t>
        </is>
      </c>
      <c r="E691" t="inlineStr">
        <is>
          <t>STRÖMSUND</t>
        </is>
      </c>
      <c r="F691" t="inlineStr">
        <is>
          <t>SCA</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24384-2020</t>
        </is>
      </c>
      <c r="B692" s="1" t="n">
        <v>43976</v>
      </c>
      <c r="C692" s="1" t="n">
        <v>45579</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24413-2020</t>
        </is>
      </c>
      <c r="B693" s="1" t="n">
        <v>43976</v>
      </c>
      <c r="C693" s="1" t="n">
        <v>45579</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25109-2020</t>
        </is>
      </c>
      <c r="B694" s="1" t="n">
        <v>43979</v>
      </c>
      <c r="C694" s="1" t="n">
        <v>45579</v>
      </c>
      <c r="D694" t="inlineStr">
        <is>
          <t>JÄMTLANDS LÄN</t>
        </is>
      </c>
      <c r="E694" t="inlineStr">
        <is>
          <t>STRÖMSUND</t>
        </is>
      </c>
      <c r="F694" t="inlineStr">
        <is>
          <t>SCA</t>
        </is>
      </c>
      <c r="G694" t="n">
        <v>10.7</v>
      </c>
      <c r="H694" t="n">
        <v>0</v>
      </c>
      <c r="I694" t="n">
        <v>0</v>
      </c>
      <c r="J694" t="n">
        <v>0</v>
      </c>
      <c r="K694" t="n">
        <v>0</v>
      </c>
      <c r="L694" t="n">
        <v>0</v>
      </c>
      <c r="M694" t="n">
        <v>0</v>
      </c>
      <c r="N694" t="n">
        <v>0</v>
      </c>
      <c r="O694" t="n">
        <v>0</v>
      </c>
      <c r="P694" t="n">
        <v>0</v>
      </c>
      <c r="Q694" t="n">
        <v>0</v>
      </c>
      <c r="R694" s="2" t="inlineStr"/>
    </row>
    <row r="695" ht="15" customHeight="1">
      <c r="A695" t="inlineStr">
        <is>
          <t>A 25107-2020</t>
        </is>
      </c>
      <c r="B695" s="1" t="n">
        <v>43979</v>
      </c>
      <c r="C695" s="1" t="n">
        <v>45579</v>
      </c>
      <c r="D695" t="inlineStr">
        <is>
          <t>JÄMTLANDS LÄN</t>
        </is>
      </c>
      <c r="E695" t="inlineStr">
        <is>
          <t>STRÖMSUND</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25396-2020</t>
        </is>
      </c>
      <c r="B696" s="1" t="n">
        <v>43980</v>
      </c>
      <c r="C696" s="1" t="n">
        <v>45579</v>
      </c>
      <c r="D696" t="inlineStr">
        <is>
          <t>JÄMTLANDS LÄN</t>
        </is>
      </c>
      <c r="E696" t="inlineStr">
        <is>
          <t>STRÖMSUND</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25375-2020</t>
        </is>
      </c>
      <c r="B697" s="1" t="n">
        <v>43980</v>
      </c>
      <c r="C697" s="1" t="n">
        <v>45579</v>
      </c>
      <c r="D697" t="inlineStr">
        <is>
          <t>JÄMTLANDS LÄN</t>
        </is>
      </c>
      <c r="E697" t="inlineStr">
        <is>
          <t>STRÖMSUND</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25390-2020</t>
        </is>
      </c>
      <c r="B698" s="1" t="n">
        <v>43980</v>
      </c>
      <c r="C698" s="1" t="n">
        <v>45579</v>
      </c>
      <c r="D698" t="inlineStr">
        <is>
          <t>JÄMTLANDS LÄN</t>
        </is>
      </c>
      <c r="E698" t="inlineStr">
        <is>
          <t>STRÖMSUND</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25388-2020</t>
        </is>
      </c>
      <c r="B699" s="1" t="n">
        <v>43980</v>
      </c>
      <c r="C699" s="1" t="n">
        <v>45579</v>
      </c>
      <c r="D699" t="inlineStr">
        <is>
          <t>JÄMTLANDS LÄN</t>
        </is>
      </c>
      <c r="E699" t="inlineStr">
        <is>
          <t>STRÖMSUND</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25398-2020</t>
        </is>
      </c>
      <c r="B700" s="1" t="n">
        <v>43980</v>
      </c>
      <c r="C700" s="1" t="n">
        <v>45579</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25381-2020</t>
        </is>
      </c>
      <c r="B701" s="1" t="n">
        <v>43980</v>
      </c>
      <c r="C701" s="1" t="n">
        <v>45579</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25392-2020</t>
        </is>
      </c>
      <c r="B702" s="1" t="n">
        <v>43980</v>
      </c>
      <c r="C702" s="1" t="n">
        <v>45579</v>
      </c>
      <c r="D702" t="inlineStr">
        <is>
          <t>JÄMTLANDS LÄN</t>
        </is>
      </c>
      <c r="E702" t="inlineStr">
        <is>
          <t>STRÖMSUND</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25680-2020</t>
        </is>
      </c>
      <c r="B703" s="1" t="n">
        <v>43983</v>
      </c>
      <c r="C703" s="1" t="n">
        <v>45579</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25892-2020</t>
        </is>
      </c>
      <c r="B704" s="1" t="n">
        <v>43984</v>
      </c>
      <c r="C704" s="1" t="n">
        <v>45579</v>
      </c>
      <c r="D704" t="inlineStr">
        <is>
          <t>JÄMTLANDS LÄN</t>
        </is>
      </c>
      <c r="E704" t="inlineStr">
        <is>
          <t>STRÖMSUND</t>
        </is>
      </c>
      <c r="G704" t="n">
        <v>3.5</v>
      </c>
      <c r="H704" t="n">
        <v>0</v>
      </c>
      <c r="I704" t="n">
        <v>0</v>
      </c>
      <c r="J704" t="n">
        <v>0</v>
      </c>
      <c r="K704" t="n">
        <v>0</v>
      </c>
      <c r="L704" t="n">
        <v>0</v>
      </c>
      <c r="M704" t="n">
        <v>0</v>
      </c>
      <c r="N704" t="n">
        <v>0</v>
      </c>
      <c r="O704" t="n">
        <v>0</v>
      </c>
      <c r="P704" t="n">
        <v>0</v>
      </c>
      <c r="Q704" t="n">
        <v>0</v>
      </c>
      <c r="R704" s="2" t="inlineStr"/>
    </row>
    <row r="705" ht="15" customHeight="1">
      <c r="A705" t="inlineStr">
        <is>
          <t>A 25913-2020</t>
        </is>
      </c>
      <c r="B705" s="1" t="n">
        <v>43984</v>
      </c>
      <c r="C705" s="1" t="n">
        <v>45579</v>
      </c>
      <c r="D705" t="inlineStr">
        <is>
          <t>JÄMTLANDS LÄN</t>
        </is>
      </c>
      <c r="E705" t="inlineStr">
        <is>
          <t>STRÖMSUND</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25997-2020</t>
        </is>
      </c>
      <c r="B706" s="1" t="n">
        <v>43985</v>
      </c>
      <c r="C706" s="1" t="n">
        <v>45579</v>
      </c>
      <c r="D706" t="inlineStr">
        <is>
          <t>JÄMTLANDS LÄN</t>
        </is>
      </c>
      <c r="E706" t="inlineStr">
        <is>
          <t>STRÖMSUND</t>
        </is>
      </c>
      <c r="G706" t="n">
        <v>2.4</v>
      </c>
      <c r="H706" t="n">
        <v>0</v>
      </c>
      <c r="I706" t="n">
        <v>0</v>
      </c>
      <c r="J706" t="n">
        <v>0</v>
      </c>
      <c r="K706" t="n">
        <v>0</v>
      </c>
      <c r="L706" t="n">
        <v>0</v>
      </c>
      <c r="M706" t="n">
        <v>0</v>
      </c>
      <c r="N706" t="n">
        <v>0</v>
      </c>
      <c r="O706" t="n">
        <v>0</v>
      </c>
      <c r="P706" t="n">
        <v>0</v>
      </c>
      <c r="Q706" t="n">
        <v>0</v>
      </c>
      <c r="R706" s="2" t="inlineStr"/>
    </row>
    <row r="707" ht="15" customHeight="1">
      <c r="A707" t="inlineStr">
        <is>
          <t>A 26190-2020</t>
        </is>
      </c>
      <c r="B707" s="1" t="n">
        <v>43985</v>
      </c>
      <c r="C707" s="1" t="n">
        <v>45579</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26669-2020</t>
        </is>
      </c>
      <c r="B708" s="1" t="n">
        <v>43989</v>
      </c>
      <c r="C708" s="1" t="n">
        <v>45579</v>
      </c>
      <c r="D708" t="inlineStr">
        <is>
          <t>JÄMTLANDS LÄN</t>
        </is>
      </c>
      <c r="E708" t="inlineStr">
        <is>
          <t>STRÖMSUND</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26670-2020</t>
        </is>
      </c>
      <c r="B709" s="1" t="n">
        <v>43989</v>
      </c>
      <c r="C709" s="1" t="n">
        <v>45579</v>
      </c>
      <c r="D709" t="inlineStr">
        <is>
          <t>JÄMTLANDS LÄN</t>
        </is>
      </c>
      <c r="E709" t="inlineStr">
        <is>
          <t>STRÖMSUND</t>
        </is>
      </c>
      <c r="G709" t="n">
        <v>2.3</v>
      </c>
      <c r="H709" t="n">
        <v>0</v>
      </c>
      <c r="I709" t="n">
        <v>0</v>
      </c>
      <c r="J709" t="n">
        <v>0</v>
      </c>
      <c r="K709" t="n">
        <v>0</v>
      </c>
      <c r="L709" t="n">
        <v>0</v>
      </c>
      <c r="M709" t="n">
        <v>0</v>
      </c>
      <c r="N709" t="n">
        <v>0</v>
      </c>
      <c r="O709" t="n">
        <v>0</v>
      </c>
      <c r="P709" t="n">
        <v>0</v>
      </c>
      <c r="Q709" t="n">
        <v>0</v>
      </c>
      <c r="R709" s="2" t="inlineStr"/>
    </row>
    <row r="710" ht="15" customHeight="1">
      <c r="A710" t="inlineStr">
        <is>
          <t>A 27415-2020</t>
        </is>
      </c>
      <c r="B710" s="1" t="n">
        <v>43992</v>
      </c>
      <c r="C710" s="1" t="n">
        <v>45579</v>
      </c>
      <c r="D710" t="inlineStr">
        <is>
          <t>JÄMTLANDS LÄN</t>
        </is>
      </c>
      <c r="E710" t="inlineStr">
        <is>
          <t>STRÖMSUND</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27709-2020</t>
        </is>
      </c>
      <c r="B711" s="1" t="n">
        <v>43994</v>
      </c>
      <c r="C711" s="1" t="n">
        <v>45579</v>
      </c>
      <c r="D711" t="inlineStr">
        <is>
          <t>JÄMTLANDS LÄN</t>
        </is>
      </c>
      <c r="E711" t="inlineStr">
        <is>
          <t>STRÖMSUND</t>
        </is>
      </c>
      <c r="G711" t="n">
        <v>2.9</v>
      </c>
      <c r="H711" t="n">
        <v>0</v>
      </c>
      <c r="I711" t="n">
        <v>0</v>
      </c>
      <c r="J711" t="n">
        <v>0</v>
      </c>
      <c r="K711" t="n">
        <v>0</v>
      </c>
      <c r="L711" t="n">
        <v>0</v>
      </c>
      <c r="M711" t="n">
        <v>0</v>
      </c>
      <c r="N711" t="n">
        <v>0</v>
      </c>
      <c r="O711" t="n">
        <v>0</v>
      </c>
      <c r="P711" t="n">
        <v>0</v>
      </c>
      <c r="Q711" t="n">
        <v>0</v>
      </c>
      <c r="R711" s="2" t="inlineStr"/>
    </row>
    <row r="712" ht="15" customHeight="1">
      <c r="A712" t="inlineStr">
        <is>
          <t>A 28196-2020</t>
        </is>
      </c>
      <c r="B712" s="1" t="n">
        <v>43997</v>
      </c>
      <c r="C712" s="1" t="n">
        <v>45579</v>
      </c>
      <c r="D712" t="inlineStr">
        <is>
          <t>JÄMTLANDS LÄN</t>
        </is>
      </c>
      <c r="E712" t="inlineStr">
        <is>
          <t>STRÖMSUND</t>
        </is>
      </c>
      <c r="F712" t="inlineStr">
        <is>
          <t>SCA</t>
        </is>
      </c>
      <c r="G712" t="n">
        <v>7.7</v>
      </c>
      <c r="H712" t="n">
        <v>0</v>
      </c>
      <c r="I712" t="n">
        <v>0</v>
      </c>
      <c r="J712" t="n">
        <v>0</v>
      </c>
      <c r="K712" t="n">
        <v>0</v>
      </c>
      <c r="L712" t="n">
        <v>0</v>
      </c>
      <c r="M712" t="n">
        <v>0</v>
      </c>
      <c r="N712" t="n">
        <v>0</v>
      </c>
      <c r="O712" t="n">
        <v>0</v>
      </c>
      <c r="P712" t="n">
        <v>0</v>
      </c>
      <c r="Q712" t="n">
        <v>0</v>
      </c>
      <c r="R712" s="2" t="inlineStr"/>
    </row>
    <row r="713" ht="15" customHeight="1">
      <c r="A713" t="inlineStr">
        <is>
          <t>A 28765-2020</t>
        </is>
      </c>
      <c r="B713" s="1" t="n">
        <v>43999</v>
      </c>
      <c r="C713" s="1" t="n">
        <v>45579</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29046-2020</t>
        </is>
      </c>
      <c r="B714" s="1" t="n">
        <v>44000</v>
      </c>
      <c r="C714" s="1" t="n">
        <v>45579</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30804-2020</t>
        </is>
      </c>
      <c r="B715" s="1" t="n">
        <v>44010</v>
      </c>
      <c r="C715" s="1" t="n">
        <v>45579</v>
      </c>
      <c r="D715" t="inlineStr">
        <is>
          <t>JÄMTLANDS LÄN</t>
        </is>
      </c>
      <c r="E715" t="inlineStr">
        <is>
          <t>STRÖMSUND</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30981-2020</t>
        </is>
      </c>
      <c r="B716" s="1" t="n">
        <v>44011</v>
      </c>
      <c r="C716" s="1" t="n">
        <v>45579</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31077-2020</t>
        </is>
      </c>
      <c r="B717" s="1" t="n">
        <v>44011</v>
      </c>
      <c r="C717" s="1" t="n">
        <v>45579</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31337-2020</t>
        </is>
      </c>
      <c r="B718" s="1" t="n">
        <v>44012</v>
      </c>
      <c r="C718" s="1" t="n">
        <v>45579</v>
      </c>
      <c r="D718" t="inlineStr">
        <is>
          <t>JÄMTLANDS LÄN</t>
        </is>
      </c>
      <c r="E718" t="inlineStr">
        <is>
          <t>STRÖMSUND</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31465-2020</t>
        </is>
      </c>
      <c r="B719" s="1" t="n">
        <v>44013</v>
      </c>
      <c r="C719" s="1" t="n">
        <v>45579</v>
      </c>
      <c r="D719" t="inlineStr">
        <is>
          <t>JÄMTLANDS LÄN</t>
        </is>
      </c>
      <c r="E719" t="inlineStr">
        <is>
          <t>STRÖMSUND</t>
        </is>
      </c>
      <c r="G719" t="n">
        <v>0.2</v>
      </c>
      <c r="H719" t="n">
        <v>0</v>
      </c>
      <c r="I719" t="n">
        <v>0</v>
      </c>
      <c r="J719" t="n">
        <v>0</v>
      </c>
      <c r="K719" t="n">
        <v>0</v>
      </c>
      <c r="L719" t="n">
        <v>0</v>
      </c>
      <c r="M719" t="n">
        <v>0</v>
      </c>
      <c r="N719" t="n">
        <v>0</v>
      </c>
      <c r="O719" t="n">
        <v>0</v>
      </c>
      <c r="P719" t="n">
        <v>0</v>
      </c>
      <c r="Q719" t="n">
        <v>0</v>
      </c>
      <c r="R719" s="2" t="inlineStr"/>
    </row>
    <row r="720" ht="15" customHeight="1">
      <c r="A720" t="inlineStr">
        <is>
          <t>A 31663-2020</t>
        </is>
      </c>
      <c r="B720" s="1" t="n">
        <v>44013</v>
      </c>
      <c r="C720" s="1" t="n">
        <v>45579</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31634-2020</t>
        </is>
      </c>
      <c r="B721" s="1" t="n">
        <v>44013</v>
      </c>
      <c r="C721" s="1" t="n">
        <v>45579</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31658-2020</t>
        </is>
      </c>
      <c r="B722" s="1" t="n">
        <v>44013</v>
      </c>
      <c r="C722" s="1" t="n">
        <v>45579</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31990-2020</t>
        </is>
      </c>
      <c r="B723" s="1" t="n">
        <v>44014</v>
      </c>
      <c r="C723" s="1" t="n">
        <v>45579</v>
      </c>
      <c r="D723" t="inlineStr">
        <is>
          <t>JÄMTLANDS LÄN</t>
        </is>
      </c>
      <c r="E723" t="inlineStr">
        <is>
          <t>STRÖMSUND</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31991-2020</t>
        </is>
      </c>
      <c r="B724" s="1" t="n">
        <v>44014</v>
      </c>
      <c r="C724" s="1" t="n">
        <v>45579</v>
      </c>
      <c r="D724" t="inlineStr">
        <is>
          <t>JÄMTLANDS LÄN</t>
        </is>
      </c>
      <c r="E724" t="inlineStr">
        <is>
          <t>STRÖMSUND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32315-2020</t>
        </is>
      </c>
      <c r="B725" s="1" t="n">
        <v>44015</v>
      </c>
      <c r="C725" s="1" t="n">
        <v>45579</v>
      </c>
      <c r="D725" t="inlineStr">
        <is>
          <t>JÄMTLANDS LÄN</t>
        </is>
      </c>
      <c r="E725" t="inlineStr">
        <is>
          <t>STRÖMSUND</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32307-2020</t>
        </is>
      </c>
      <c r="B726" s="1" t="n">
        <v>44015</v>
      </c>
      <c r="C726" s="1" t="n">
        <v>45579</v>
      </c>
      <c r="D726" t="inlineStr">
        <is>
          <t>JÄMTLANDS LÄN</t>
        </is>
      </c>
      <c r="E726" t="inlineStr">
        <is>
          <t>STRÖMSUND</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32316-2020</t>
        </is>
      </c>
      <c r="B727" s="1" t="n">
        <v>44015</v>
      </c>
      <c r="C727" s="1" t="n">
        <v>45579</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32326-2020</t>
        </is>
      </c>
      <c r="B728" s="1" t="n">
        <v>44015</v>
      </c>
      <c r="C728" s="1" t="n">
        <v>45579</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32199-2020</t>
        </is>
      </c>
      <c r="B729" s="1" t="n">
        <v>44015</v>
      </c>
      <c r="C729" s="1" t="n">
        <v>45579</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32783-2020</t>
        </is>
      </c>
      <c r="B730" s="1" t="n">
        <v>44019</v>
      </c>
      <c r="C730" s="1" t="n">
        <v>45579</v>
      </c>
      <c r="D730" t="inlineStr">
        <is>
          <t>JÄMTLANDS LÄN</t>
        </is>
      </c>
      <c r="E730" t="inlineStr">
        <is>
          <t>STRÖMSUND</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33135-2020</t>
        </is>
      </c>
      <c r="B731" s="1" t="n">
        <v>44019</v>
      </c>
      <c r="C731" s="1" t="n">
        <v>45579</v>
      </c>
      <c r="D731" t="inlineStr">
        <is>
          <t>JÄMTLANDS LÄN</t>
        </is>
      </c>
      <c r="E731" t="inlineStr">
        <is>
          <t>STRÖMSUND</t>
        </is>
      </c>
      <c r="G731" t="n">
        <v>0.4</v>
      </c>
      <c r="H731" t="n">
        <v>0</v>
      </c>
      <c r="I731" t="n">
        <v>0</v>
      </c>
      <c r="J731" t="n">
        <v>0</v>
      </c>
      <c r="K731" t="n">
        <v>0</v>
      </c>
      <c r="L731" t="n">
        <v>0</v>
      </c>
      <c r="M731" t="n">
        <v>0</v>
      </c>
      <c r="N731" t="n">
        <v>0</v>
      </c>
      <c r="O731" t="n">
        <v>0</v>
      </c>
      <c r="P731" t="n">
        <v>0</v>
      </c>
      <c r="Q731" t="n">
        <v>0</v>
      </c>
      <c r="R731" s="2" t="inlineStr"/>
    </row>
    <row r="732" ht="15" customHeight="1">
      <c r="A732" t="inlineStr">
        <is>
          <t>A 32763-2020</t>
        </is>
      </c>
      <c r="B732" s="1" t="n">
        <v>44019</v>
      </c>
      <c r="C732" s="1" t="n">
        <v>45579</v>
      </c>
      <c r="D732" t="inlineStr">
        <is>
          <t>JÄMTLANDS LÄN</t>
        </is>
      </c>
      <c r="E732" t="inlineStr">
        <is>
          <t>STRÖMSUND</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33006-2020</t>
        </is>
      </c>
      <c r="B733" s="1" t="n">
        <v>44020</v>
      </c>
      <c r="C733" s="1" t="n">
        <v>45579</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33017-2020</t>
        </is>
      </c>
      <c r="B734" s="1" t="n">
        <v>44020</v>
      </c>
      <c r="C734" s="1" t="n">
        <v>45579</v>
      </c>
      <c r="D734" t="inlineStr">
        <is>
          <t>JÄMTLANDS LÄN</t>
        </is>
      </c>
      <c r="E734" t="inlineStr">
        <is>
          <t>STRÖMSUND</t>
        </is>
      </c>
      <c r="F734" t="inlineStr">
        <is>
          <t>Sveaskog</t>
        </is>
      </c>
      <c r="G734" t="n">
        <v>20.8</v>
      </c>
      <c r="H734" t="n">
        <v>0</v>
      </c>
      <c r="I734" t="n">
        <v>0</v>
      </c>
      <c r="J734" t="n">
        <v>0</v>
      </c>
      <c r="K734" t="n">
        <v>0</v>
      </c>
      <c r="L734" t="n">
        <v>0</v>
      </c>
      <c r="M734" t="n">
        <v>0</v>
      </c>
      <c r="N734" t="n">
        <v>0</v>
      </c>
      <c r="O734" t="n">
        <v>0</v>
      </c>
      <c r="P734" t="n">
        <v>0</v>
      </c>
      <c r="Q734" t="n">
        <v>0</v>
      </c>
      <c r="R734" s="2" t="inlineStr"/>
    </row>
    <row r="735" ht="15" customHeight="1">
      <c r="A735" t="inlineStr">
        <is>
          <t>A 33007-2020</t>
        </is>
      </c>
      <c r="B735" s="1" t="n">
        <v>44020</v>
      </c>
      <c r="C735" s="1" t="n">
        <v>45579</v>
      </c>
      <c r="D735" t="inlineStr">
        <is>
          <t>JÄMTLANDS LÄN</t>
        </is>
      </c>
      <c r="E735" t="inlineStr">
        <is>
          <t>STRÖMSUND</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33205-2020</t>
        </is>
      </c>
      <c r="B736" s="1" t="n">
        <v>44021</v>
      </c>
      <c r="C736" s="1" t="n">
        <v>45579</v>
      </c>
      <c r="D736" t="inlineStr">
        <is>
          <t>JÄMTLANDS LÄN</t>
        </is>
      </c>
      <c r="E736" t="inlineStr">
        <is>
          <t>STRÖMSUND</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33207-2020</t>
        </is>
      </c>
      <c r="B737" s="1" t="n">
        <v>44021</v>
      </c>
      <c r="C737" s="1" t="n">
        <v>45579</v>
      </c>
      <c r="D737" t="inlineStr">
        <is>
          <t>JÄMTLANDS LÄN</t>
        </is>
      </c>
      <c r="E737" t="inlineStr">
        <is>
          <t>STRÖMSUND</t>
        </is>
      </c>
      <c r="F737" t="inlineStr">
        <is>
          <t>SCA</t>
        </is>
      </c>
      <c r="G737" t="n">
        <v>7.2</v>
      </c>
      <c r="H737" t="n">
        <v>0</v>
      </c>
      <c r="I737" t="n">
        <v>0</v>
      </c>
      <c r="J737" t="n">
        <v>0</v>
      </c>
      <c r="K737" t="n">
        <v>0</v>
      </c>
      <c r="L737" t="n">
        <v>0</v>
      </c>
      <c r="M737" t="n">
        <v>0</v>
      </c>
      <c r="N737" t="n">
        <v>0</v>
      </c>
      <c r="O737" t="n">
        <v>0</v>
      </c>
      <c r="P737" t="n">
        <v>0</v>
      </c>
      <c r="Q737" t="n">
        <v>0</v>
      </c>
      <c r="R737" s="2" t="inlineStr"/>
    </row>
    <row r="738" ht="15" customHeight="1">
      <c r="A738" t="inlineStr">
        <is>
          <t>A 33460-2020</t>
        </is>
      </c>
      <c r="B738" s="1" t="n">
        <v>44022</v>
      </c>
      <c r="C738" s="1" t="n">
        <v>45579</v>
      </c>
      <c r="D738" t="inlineStr">
        <is>
          <t>JÄMTLANDS LÄN</t>
        </is>
      </c>
      <c r="E738" t="inlineStr">
        <is>
          <t>STRÖMSUND</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33439-2020</t>
        </is>
      </c>
      <c r="B739" s="1" t="n">
        <v>44022</v>
      </c>
      <c r="C739" s="1" t="n">
        <v>45579</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33446-2020</t>
        </is>
      </c>
      <c r="B740" s="1" t="n">
        <v>44022</v>
      </c>
      <c r="C740" s="1" t="n">
        <v>45579</v>
      </c>
      <c r="D740" t="inlineStr">
        <is>
          <t>JÄMTLANDS LÄN</t>
        </is>
      </c>
      <c r="E740" t="inlineStr">
        <is>
          <t>STRÖMSUND</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33632-2020</t>
        </is>
      </c>
      <c r="B741" s="1" t="n">
        <v>44025</v>
      </c>
      <c r="C741" s="1" t="n">
        <v>45579</v>
      </c>
      <c r="D741" t="inlineStr">
        <is>
          <t>JÄMTLANDS LÄN</t>
        </is>
      </c>
      <c r="E741" t="inlineStr">
        <is>
          <t>STRÖMSUND</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33617-2020</t>
        </is>
      </c>
      <c r="B742" s="1" t="n">
        <v>44025</v>
      </c>
      <c r="C742" s="1" t="n">
        <v>45579</v>
      </c>
      <c r="D742" t="inlineStr">
        <is>
          <t>JÄMTLANDS LÄN</t>
        </is>
      </c>
      <c r="E742" t="inlineStr">
        <is>
          <t>STRÖMSUND</t>
        </is>
      </c>
      <c r="F742" t="inlineStr">
        <is>
          <t>SCA</t>
        </is>
      </c>
      <c r="G742" t="n">
        <v>135.3</v>
      </c>
      <c r="H742" t="n">
        <v>0</v>
      </c>
      <c r="I742" t="n">
        <v>0</v>
      </c>
      <c r="J742" t="n">
        <v>0</v>
      </c>
      <c r="K742" t="n">
        <v>0</v>
      </c>
      <c r="L742" t="n">
        <v>0</v>
      </c>
      <c r="M742" t="n">
        <v>0</v>
      </c>
      <c r="N742" t="n">
        <v>0</v>
      </c>
      <c r="O742" t="n">
        <v>0</v>
      </c>
      <c r="P742" t="n">
        <v>0</v>
      </c>
      <c r="Q742" t="n">
        <v>0</v>
      </c>
      <c r="R742" s="2" t="inlineStr"/>
    </row>
    <row r="743" ht="15" customHeight="1">
      <c r="A743" t="inlineStr">
        <is>
          <t>A 34079-2020</t>
        </is>
      </c>
      <c r="B743" s="1" t="n">
        <v>44028</v>
      </c>
      <c r="C743" s="1" t="n">
        <v>45579</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34084-2020</t>
        </is>
      </c>
      <c r="B744" s="1" t="n">
        <v>44028</v>
      </c>
      <c r="C744" s="1" t="n">
        <v>45579</v>
      </c>
      <c r="D744" t="inlineStr">
        <is>
          <t>JÄMTLANDS LÄN</t>
        </is>
      </c>
      <c r="E744" t="inlineStr">
        <is>
          <t>STRÖMSUND</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34080-2020</t>
        </is>
      </c>
      <c r="B745" s="1" t="n">
        <v>44028</v>
      </c>
      <c r="C745" s="1" t="n">
        <v>45579</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33959-2020</t>
        </is>
      </c>
      <c r="B746" s="1" t="n">
        <v>44028</v>
      </c>
      <c r="C746" s="1" t="n">
        <v>45579</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34082-2020</t>
        </is>
      </c>
      <c r="B747" s="1" t="n">
        <v>44028</v>
      </c>
      <c r="C747" s="1" t="n">
        <v>45579</v>
      </c>
      <c r="D747" t="inlineStr">
        <is>
          <t>JÄMTLANDS LÄN</t>
        </is>
      </c>
      <c r="E747" t="inlineStr">
        <is>
          <t>STRÖMSUND</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34086-2020</t>
        </is>
      </c>
      <c r="B748" s="1" t="n">
        <v>44028</v>
      </c>
      <c r="C748" s="1" t="n">
        <v>45579</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34078-2020</t>
        </is>
      </c>
      <c r="B749" s="1" t="n">
        <v>44028</v>
      </c>
      <c r="C749" s="1" t="n">
        <v>45579</v>
      </c>
      <c r="D749" t="inlineStr">
        <is>
          <t>JÄMTLANDS LÄN</t>
        </is>
      </c>
      <c r="E749" t="inlineStr">
        <is>
          <t>STRÖMSUND</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34083-2020</t>
        </is>
      </c>
      <c r="B750" s="1" t="n">
        <v>44028</v>
      </c>
      <c r="C750" s="1" t="n">
        <v>45579</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34162-2020</t>
        </is>
      </c>
      <c r="B751" s="1" t="n">
        <v>44029</v>
      </c>
      <c r="C751" s="1" t="n">
        <v>45579</v>
      </c>
      <c r="D751" t="inlineStr">
        <is>
          <t>JÄMTLANDS LÄN</t>
        </is>
      </c>
      <c r="E751" t="inlineStr">
        <is>
          <t>STRÖMSUND</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34280-2020</t>
        </is>
      </c>
      <c r="B752" s="1" t="n">
        <v>44029</v>
      </c>
      <c r="C752" s="1" t="n">
        <v>45579</v>
      </c>
      <c r="D752" t="inlineStr">
        <is>
          <t>JÄMTLANDS LÄN</t>
        </is>
      </c>
      <c r="E752" t="inlineStr">
        <is>
          <t>STRÖMSUND</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34292-2020</t>
        </is>
      </c>
      <c r="B753" s="1" t="n">
        <v>44029</v>
      </c>
      <c r="C753" s="1" t="n">
        <v>45579</v>
      </c>
      <c r="D753" t="inlineStr">
        <is>
          <t>JÄMTLANDS LÄN</t>
        </is>
      </c>
      <c r="E753" t="inlineStr">
        <is>
          <t>STRÖMSUND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34289-2020</t>
        </is>
      </c>
      <c r="B754" s="1" t="n">
        <v>44029</v>
      </c>
      <c r="C754" s="1" t="n">
        <v>45579</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34658-2020</t>
        </is>
      </c>
      <c r="B755" s="1" t="n">
        <v>44034</v>
      </c>
      <c r="C755" s="1" t="n">
        <v>45579</v>
      </c>
      <c r="D755" t="inlineStr">
        <is>
          <t>JÄMTLANDS LÄN</t>
        </is>
      </c>
      <c r="E755" t="inlineStr">
        <is>
          <t>STRÖMSUND</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34796-2020</t>
        </is>
      </c>
      <c r="B756" s="1" t="n">
        <v>44035</v>
      </c>
      <c r="C756" s="1" t="n">
        <v>45579</v>
      </c>
      <c r="D756" t="inlineStr">
        <is>
          <t>JÄMTLANDS LÄN</t>
        </is>
      </c>
      <c r="E756" t="inlineStr">
        <is>
          <t>STRÖMSUND</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34855-2020</t>
        </is>
      </c>
      <c r="B757" s="1" t="n">
        <v>44036</v>
      </c>
      <c r="C757" s="1" t="n">
        <v>45579</v>
      </c>
      <c r="D757" t="inlineStr">
        <is>
          <t>JÄMTLANDS LÄN</t>
        </is>
      </c>
      <c r="E757" t="inlineStr">
        <is>
          <t>STRÖMSUND</t>
        </is>
      </c>
      <c r="G757" t="n">
        <v>20.2</v>
      </c>
      <c r="H757" t="n">
        <v>0</v>
      </c>
      <c r="I757" t="n">
        <v>0</v>
      </c>
      <c r="J757" t="n">
        <v>0</v>
      </c>
      <c r="K757" t="n">
        <v>0</v>
      </c>
      <c r="L757" t="n">
        <v>0</v>
      </c>
      <c r="M757" t="n">
        <v>0</v>
      </c>
      <c r="N757" t="n">
        <v>0</v>
      </c>
      <c r="O757" t="n">
        <v>0</v>
      </c>
      <c r="P757" t="n">
        <v>0</v>
      </c>
      <c r="Q757" t="n">
        <v>0</v>
      </c>
      <c r="R757" s="2" t="inlineStr"/>
    </row>
    <row r="758" ht="15" customHeight="1">
      <c r="A758" t="inlineStr">
        <is>
          <t>A 34952-2020</t>
        </is>
      </c>
      <c r="B758" s="1" t="n">
        <v>44038</v>
      </c>
      <c r="C758" s="1" t="n">
        <v>45579</v>
      </c>
      <c r="D758" t="inlineStr">
        <is>
          <t>JÄMTLANDS LÄN</t>
        </is>
      </c>
      <c r="E758" t="inlineStr">
        <is>
          <t>STRÖMSUND</t>
        </is>
      </c>
      <c r="G758" t="n">
        <v>26.1</v>
      </c>
      <c r="H758" t="n">
        <v>0</v>
      </c>
      <c r="I758" t="n">
        <v>0</v>
      </c>
      <c r="J758" t="n">
        <v>0</v>
      </c>
      <c r="K758" t="n">
        <v>0</v>
      </c>
      <c r="L758" t="n">
        <v>0</v>
      </c>
      <c r="M758" t="n">
        <v>0</v>
      </c>
      <c r="N758" t="n">
        <v>0</v>
      </c>
      <c r="O758" t="n">
        <v>0</v>
      </c>
      <c r="P758" t="n">
        <v>0</v>
      </c>
      <c r="Q758" t="n">
        <v>0</v>
      </c>
      <c r="R758" s="2" t="inlineStr"/>
    </row>
    <row r="759" ht="15" customHeight="1">
      <c r="A759" t="inlineStr">
        <is>
          <t>A 35393-2020</t>
        </is>
      </c>
      <c r="B759" s="1" t="n">
        <v>44042</v>
      </c>
      <c r="C759" s="1" t="n">
        <v>45579</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35605-2020</t>
        </is>
      </c>
      <c r="B760" s="1" t="n">
        <v>44043</v>
      </c>
      <c r="C760" s="1" t="n">
        <v>45579</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35658-2020</t>
        </is>
      </c>
      <c r="B761" s="1" t="n">
        <v>44046</v>
      </c>
      <c r="C761" s="1" t="n">
        <v>45579</v>
      </c>
      <c r="D761" t="inlineStr">
        <is>
          <t>JÄMTLANDS LÄN</t>
        </is>
      </c>
      <c r="E761" t="inlineStr">
        <is>
          <t>STRÖMSUND</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36504-2020</t>
        </is>
      </c>
      <c r="B762" s="1" t="n">
        <v>44050</v>
      </c>
      <c r="C762" s="1" t="n">
        <v>45579</v>
      </c>
      <c r="D762" t="inlineStr">
        <is>
          <t>JÄMTLANDS LÄN</t>
        </is>
      </c>
      <c r="E762" t="inlineStr">
        <is>
          <t>STRÖMSUND</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36574-2020</t>
        </is>
      </c>
      <c r="B763" s="1" t="n">
        <v>44050</v>
      </c>
      <c r="C763" s="1" t="n">
        <v>45579</v>
      </c>
      <c r="D763" t="inlineStr">
        <is>
          <t>JÄMTLANDS LÄN</t>
        </is>
      </c>
      <c r="E763" t="inlineStr">
        <is>
          <t>STRÖMSUND</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36787-2020</t>
        </is>
      </c>
      <c r="B764" s="1" t="n">
        <v>44053</v>
      </c>
      <c r="C764" s="1" t="n">
        <v>45579</v>
      </c>
      <c r="D764" t="inlineStr">
        <is>
          <t>JÄMTLANDS LÄN</t>
        </is>
      </c>
      <c r="E764" t="inlineStr">
        <is>
          <t>STRÖMSUND</t>
        </is>
      </c>
      <c r="F764" t="inlineStr">
        <is>
          <t>Holmen skog AB</t>
        </is>
      </c>
      <c r="G764" t="n">
        <v>5.3</v>
      </c>
      <c r="H764" t="n">
        <v>0</v>
      </c>
      <c r="I764" t="n">
        <v>0</v>
      </c>
      <c r="J764" t="n">
        <v>0</v>
      </c>
      <c r="K764" t="n">
        <v>0</v>
      </c>
      <c r="L764" t="n">
        <v>0</v>
      </c>
      <c r="M764" t="n">
        <v>0</v>
      </c>
      <c r="N764" t="n">
        <v>0</v>
      </c>
      <c r="O764" t="n">
        <v>0</v>
      </c>
      <c r="P764" t="n">
        <v>0</v>
      </c>
      <c r="Q764" t="n">
        <v>0</v>
      </c>
      <c r="R764" s="2" t="inlineStr"/>
    </row>
    <row r="765" ht="15" customHeight="1">
      <c r="A765" t="inlineStr">
        <is>
          <t>A 36963-2020</t>
        </is>
      </c>
      <c r="B765" s="1" t="n">
        <v>44053</v>
      </c>
      <c r="C765" s="1" t="n">
        <v>45579</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37308-2020</t>
        </is>
      </c>
      <c r="B766" s="1" t="n">
        <v>44055</v>
      </c>
      <c r="C766" s="1" t="n">
        <v>45579</v>
      </c>
      <c r="D766" t="inlineStr">
        <is>
          <t>JÄMTLANDS LÄN</t>
        </is>
      </c>
      <c r="E766" t="inlineStr">
        <is>
          <t>STRÖMSUND</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37501-2020</t>
        </is>
      </c>
      <c r="B767" s="1" t="n">
        <v>44055</v>
      </c>
      <c r="C767" s="1" t="n">
        <v>45579</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37878-2020</t>
        </is>
      </c>
      <c r="B768" s="1" t="n">
        <v>44057</v>
      </c>
      <c r="C768" s="1" t="n">
        <v>45579</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38019-2020</t>
        </is>
      </c>
      <c r="B769" s="1" t="n">
        <v>44057</v>
      </c>
      <c r="C769" s="1" t="n">
        <v>45579</v>
      </c>
      <c r="D769" t="inlineStr">
        <is>
          <t>JÄMTLANDS LÄN</t>
        </is>
      </c>
      <c r="E769" t="inlineStr">
        <is>
          <t>STRÖMSUND</t>
        </is>
      </c>
      <c r="G769" t="n">
        <v>0.2</v>
      </c>
      <c r="H769" t="n">
        <v>0</v>
      </c>
      <c r="I769" t="n">
        <v>0</v>
      </c>
      <c r="J769" t="n">
        <v>0</v>
      </c>
      <c r="K769" t="n">
        <v>0</v>
      </c>
      <c r="L769" t="n">
        <v>0</v>
      </c>
      <c r="M769" t="n">
        <v>0</v>
      </c>
      <c r="N769" t="n">
        <v>0</v>
      </c>
      <c r="O769" t="n">
        <v>0</v>
      </c>
      <c r="P769" t="n">
        <v>0</v>
      </c>
      <c r="Q769" t="n">
        <v>0</v>
      </c>
      <c r="R769" s="2" t="inlineStr"/>
    </row>
    <row r="770" ht="15" customHeight="1">
      <c r="A770" t="inlineStr">
        <is>
          <t>A 38029-2020</t>
        </is>
      </c>
      <c r="B770" s="1" t="n">
        <v>44057</v>
      </c>
      <c r="C770" s="1" t="n">
        <v>45579</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38070-2020</t>
        </is>
      </c>
      <c r="B771" s="1" t="n">
        <v>44057</v>
      </c>
      <c r="C771" s="1" t="n">
        <v>45579</v>
      </c>
      <c r="D771" t="inlineStr">
        <is>
          <t>JÄMTLANDS LÄN</t>
        </is>
      </c>
      <c r="E771" t="inlineStr">
        <is>
          <t>STRÖMSUND</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38071-2020</t>
        </is>
      </c>
      <c r="B772" s="1" t="n">
        <v>44057</v>
      </c>
      <c r="C772" s="1" t="n">
        <v>45579</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38266-2020</t>
        </is>
      </c>
      <c r="B773" s="1" t="n">
        <v>44060</v>
      </c>
      <c r="C773" s="1" t="n">
        <v>45579</v>
      </c>
      <c r="D773" t="inlineStr">
        <is>
          <t>JÄMTLANDS LÄN</t>
        </is>
      </c>
      <c r="E773" t="inlineStr">
        <is>
          <t>STRÖMSUND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38261-2020</t>
        </is>
      </c>
      <c r="B774" s="1" t="n">
        <v>44060</v>
      </c>
      <c r="C774" s="1" t="n">
        <v>45579</v>
      </c>
      <c r="D774" t="inlineStr">
        <is>
          <t>JÄMTLANDS LÄN</t>
        </is>
      </c>
      <c r="E774" t="inlineStr">
        <is>
          <t>STRÖMSUND</t>
        </is>
      </c>
      <c r="G774" t="n">
        <v>2.8</v>
      </c>
      <c r="H774" t="n">
        <v>0</v>
      </c>
      <c r="I774" t="n">
        <v>0</v>
      </c>
      <c r="J774" t="n">
        <v>0</v>
      </c>
      <c r="K774" t="n">
        <v>0</v>
      </c>
      <c r="L774" t="n">
        <v>0</v>
      </c>
      <c r="M774" t="n">
        <v>0</v>
      </c>
      <c r="N774" t="n">
        <v>0</v>
      </c>
      <c r="O774" t="n">
        <v>0</v>
      </c>
      <c r="P774" t="n">
        <v>0</v>
      </c>
      <c r="Q774" t="n">
        <v>0</v>
      </c>
      <c r="R774" s="2" t="inlineStr"/>
    </row>
    <row r="775" ht="15" customHeight="1">
      <c r="A775" t="inlineStr">
        <is>
          <t>A 38268-2020</t>
        </is>
      </c>
      <c r="B775" s="1" t="n">
        <v>44060</v>
      </c>
      <c r="C775" s="1" t="n">
        <v>45579</v>
      </c>
      <c r="D775" t="inlineStr">
        <is>
          <t>JÄMTLANDS LÄN</t>
        </is>
      </c>
      <c r="E775" t="inlineStr">
        <is>
          <t>STRÖMSUND</t>
        </is>
      </c>
      <c r="G775" t="n">
        <v>6.4</v>
      </c>
      <c r="H775" t="n">
        <v>0</v>
      </c>
      <c r="I775" t="n">
        <v>0</v>
      </c>
      <c r="J775" t="n">
        <v>0</v>
      </c>
      <c r="K775" t="n">
        <v>0</v>
      </c>
      <c r="L775" t="n">
        <v>0</v>
      </c>
      <c r="M775" t="n">
        <v>0</v>
      </c>
      <c r="N775" t="n">
        <v>0</v>
      </c>
      <c r="O775" t="n">
        <v>0</v>
      </c>
      <c r="P775" t="n">
        <v>0</v>
      </c>
      <c r="Q775" t="n">
        <v>0</v>
      </c>
      <c r="R775" s="2" t="inlineStr"/>
    </row>
    <row r="776" ht="15" customHeight="1">
      <c r="A776" t="inlineStr">
        <is>
          <t>A 38484-2020</t>
        </is>
      </c>
      <c r="B776" s="1" t="n">
        <v>44060</v>
      </c>
      <c r="C776" s="1" t="n">
        <v>45579</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38467-2020</t>
        </is>
      </c>
      <c r="B777" s="1" t="n">
        <v>44060</v>
      </c>
      <c r="C777" s="1" t="n">
        <v>45579</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38485-2020</t>
        </is>
      </c>
      <c r="B778" s="1" t="n">
        <v>44060</v>
      </c>
      <c r="C778" s="1" t="n">
        <v>45579</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38779-2020</t>
        </is>
      </c>
      <c r="B779" s="1" t="n">
        <v>44061</v>
      </c>
      <c r="C779" s="1" t="n">
        <v>45579</v>
      </c>
      <c r="D779" t="inlineStr">
        <is>
          <t>JÄMTLANDS LÄN</t>
        </is>
      </c>
      <c r="E779" t="inlineStr">
        <is>
          <t>STRÖMSUND</t>
        </is>
      </c>
      <c r="F779" t="inlineStr">
        <is>
          <t>SCA</t>
        </is>
      </c>
      <c r="G779" t="n">
        <v>34.2</v>
      </c>
      <c r="H779" t="n">
        <v>0</v>
      </c>
      <c r="I779" t="n">
        <v>0</v>
      </c>
      <c r="J779" t="n">
        <v>0</v>
      </c>
      <c r="K779" t="n">
        <v>0</v>
      </c>
      <c r="L779" t="n">
        <v>0</v>
      </c>
      <c r="M779" t="n">
        <v>0</v>
      </c>
      <c r="N779" t="n">
        <v>0</v>
      </c>
      <c r="O779" t="n">
        <v>0</v>
      </c>
      <c r="P779" t="n">
        <v>0</v>
      </c>
      <c r="Q779" t="n">
        <v>0</v>
      </c>
      <c r="R779" s="2" t="inlineStr"/>
    </row>
    <row r="780" ht="15" customHeight="1">
      <c r="A780" t="inlineStr">
        <is>
          <t>A 38781-2020</t>
        </is>
      </c>
      <c r="B780" s="1" t="n">
        <v>44061</v>
      </c>
      <c r="C780" s="1" t="n">
        <v>45579</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38780-2020</t>
        </is>
      </c>
      <c r="B781" s="1" t="n">
        <v>44061</v>
      </c>
      <c r="C781" s="1" t="n">
        <v>45579</v>
      </c>
      <c r="D781" t="inlineStr">
        <is>
          <t>JÄMTLANDS LÄN</t>
        </is>
      </c>
      <c r="E781" t="inlineStr">
        <is>
          <t>STRÖMSUND</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38782-2020</t>
        </is>
      </c>
      <c r="B782" s="1" t="n">
        <v>44061</v>
      </c>
      <c r="C782" s="1" t="n">
        <v>45579</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39396-2020</t>
        </is>
      </c>
      <c r="B783" s="1" t="n">
        <v>44064</v>
      </c>
      <c r="C783" s="1" t="n">
        <v>45579</v>
      </c>
      <c r="D783" t="inlineStr">
        <is>
          <t>JÄMTLANDS LÄN</t>
        </is>
      </c>
      <c r="E783" t="inlineStr">
        <is>
          <t>STRÖMSUND</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39390-2020</t>
        </is>
      </c>
      <c r="B784" s="1" t="n">
        <v>44064</v>
      </c>
      <c r="C784" s="1" t="n">
        <v>45579</v>
      </c>
      <c r="D784" t="inlineStr">
        <is>
          <t>JÄMTLANDS LÄN</t>
        </is>
      </c>
      <c r="E784" t="inlineStr">
        <is>
          <t>STRÖMSUND</t>
        </is>
      </c>
      <c r="G784" t="n">
        <v>1.7</v>
      </c>
      <c r="H784" t="n">
        <v>0</v>
      </c>
      <c r="I784" t="n">
        <v>0</v>
      </c>
      <c r="J784" t="n">
        <v>0</v>
      </c>
      <c r="K784" t="n">
        <v>0</v>
      </c>
      <c r="L784" t="n">
        <v>0</v>
      </c>
      <c r="M784" t="n">
        <v>0</v>
      </c>
      <c r="N784" t="n">
        <v>0</v>
      </c>
      <c r="O784" t="n">
        <v>0</v>
      </c>
      <c r="P784" t="n">
        <v>0</v>
      </c>
      <c r="Q784" t="n">
        <v>0</v>
      </c>
      <c r="R784" s="2" t="inlineStr"/>
    </row>
    <row r="785" ht="15" customHeight="1">
      <c r="A785" t="inlineStr">
        <is>
          <t>A 39397-2020</t>
        </is>
      </c>
      <c r="B785" s="1" t="n">
        <v>44064</v>
      </c>
      <c r="C785" s="1" t="n">
        <v>45579</v>
      </c>
      <c r="D785" t="inlineStr">
        <is>
          <t>JÄMTLANDS LÄN</t>
        </is>
      </c>
      <c r="E785" t="inlineStr">
        <is>
          <t>STRÖMSUND</t>
        </is>
      </c>
      <c r="G785" t="n">
        <v>6.1</v>
      </c>
      <c r="H785" t="n">
        <v>0</v>
      </c>
      <c r="I785" t="n">
        <v>0</v>
      </c>
      <c r="J785" t="n">
        <v>0</v>
      </c>
      <c r="K785" t="n">
        <v>0</v>
      </c>
      <c r="L785" t="n">
        <v>0</v>
      </c>
      <c r="M785" t="n">
        <v>0</v>
      </c>
      <c r="N785" t="n">
        <v>0</v>
      </c>
      <c r="O785" t="n">
        <v>0</v>
      </c>
      <c r="P785" t="n">
        <v>0</v>
      </c>
      <c r="Q785" t="n">
        <v>0</v>
      </c>
      <c r="R785" s="2" t="inlineStr"/>
    </row>
    <row r="786" ht="15" customHeight="1">
      <c r="A786" t="inlineStr">
        <is>
          <t>A 39648-2020</t>
        </is>
      </c>
      <c r="B786" s="1" t="n">
        <v>44065</v>
      </c>
      <c r="C786" s="1" t="n">
        <v>45579</v>
      </c>
      <c r="D786" t="inlineStr">
        <is>
          <t>JÄMTLANDS LÄN</t>
        </is>
      </c>
      <c r="E786" t="inlineStr">
        <is>
          <t>STRÖMSUND</t>
        </is>
      </c>
      <c r="G786" t="n">
        <v>1</v>
      </c>
      <c r="H786" t="n">
        <v>0</v>
      </c>
      <c r="I786" t="n">
        <v>0</v>
      </c>
      <c r="J786" t="n">
        <v>0</v>
      </c>
      <c r="K786" t="n">
        <v>0</v>
      </c>
      <c r="L786" t="n">
        <v>0</v>
      </c>
      <c r="M786" t="n">
        <v>0</v>
      </c>
      <c r="N786" t="n">
        <v>0</v>
      </c>
      <c r="O786" t="n">
        <v>0</v>
      </c>
      <c r="P786" t="n">
        <v>0</v>
      </c>
      <c r="Q786" t="n">
        <v>0</v>
      </c>
      <c r="R786" s="2" t="inlineStr"/>
    </row>
    <row r="787" ht="15" customHeight="1">
      <c r="A787" t="inlineStr">
        <is>
          <t>A 40080-2020</t>
        </is>
      </c>
      <c r="B787" s="1" t="n">
        <v>44067</v>
      </c>
      <c r="C787" s="1" t="n">
        <v>45579</v>
      </c>
      <c r="D787" t="inlineStr">
        <is>
          <t>JÄMTLANDS LÄN</t>
        </is>
      </c>
      <c r="E787" t="inlineStr">
        <is>
          <t>STRÖMSUND</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40519-2020</t>
        </is>
      </c>
      <c r="B788" s="1" t="n">
        <v>44069</v>
      </c>
      <c r="C788" s="1" t="n">
        <v>45579</v>
      </c>
      <c r="D788" t="inlineStr">
        <is>
          <t>JÄMTLANDS LÄN</t>
        </is>
      </c>
      <c r="E788" t="inlineStr">
        <is>
          <t>STRÖMSUND</t>
        </is>
      </c>
      <c r="G788" t="n">
        <v>11.7</v>
      </c>
      <c r="H788" t="n">
        <v>0</v>
      </c>
      <c r="I788" t="n">
        <v>0</v>
      </c>
      <c r="J788" t="n">
        <v>0</v>
      </c>
      <c r="K788" t="n">
        <v>0</v>
      </c>
      <c r="L788" t="n">
        <v>0</v>
      </c>
      <c r="M788" t="n">
        <v>0</v>
      </c>
      <c r="N788" t="n">
        <v>0</v>
      </c>
      <c r="O788" t="n">
        <v>0</v>
      </c>
      <c r="P788" t="n">
        <v>0</v>
      </c>
      <c r="Q788" t="n">
        <v>0</v>
      </c>
      <c r="R788" s="2" t="inlineStr"/>
    </row>
    <row r="789" ht="15" customHeight="1">
      <c r="A789" t="inlineStr">
        <is>
          <t>A 41368-2020</t>
        </is>
      </c>
      <c r="B789" s="1" t="n">
        <v>44071</v>
      </c>
      <c r="C789" s="1" t="n">
        <v>45579</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41451-2020</t>
        </is>
      </c>
      <c r="B790" s="1" t="n">
        <v>44073</v>
      </c>
      <c r="C790" s="1" t="n">
        <v>45579</v>
      </c>
      <c r="D790" t="inlineStr">
        <is>
          <t>JÄMTLANDS LÄN</t>
        </is>
      </c>
      <c r="E790" t="inlineStr">
        <is>
          <t>STRÖMSUND</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41450-2020</t>
        </is>
      </c>
      <c r="B791" s="1" t="n">
        <v>44073</v>
      </c>
      <c r="C791" s="1" t="n">
        <v>45579</v>
      </c>
      <c r="D791" t="inlineStr">
        <is>
          <t>JÄMTLANDS LÄN</t>
        </is>
      </c>
      <c r="E791" t="inlineStr">
        <is>
          <t>STRÖMSUND</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41454-2020</t>
        </is>
      </c>
      <c r="B792" s="1" t="n">
        <v>44073</v>
      </c>
      <c r="C792" s="1" t="n">
        <v>45579</v>
      </c>
      <c r="D792" t="inlineStr">
        <is>
          <t>JÄMTLANDS LÄN</t>
        </is>
      </c>
      <c r="E792" t="inlineStr">
        <is>
          <t>STRÖMSUND</t>
        </is>
      </c>
      <c r="F792" t="inlineStr">
        <is>
          <t>SCA</t>
        </is>
      </c>
      <c r="G792" t="n">
        <v>11.8</v>
      </c>
      <c r="H792" t="n">
        <v>0</v>
      </c>
      <c r="I792" t="n">
        <v>0</v>
      </c>
      <c r="J792" t="n">
        <v>0</v>
      </c>
      <c r="K792" t="n">
        <v>0</v>
      </c>
      <c r="L792" t="n">
        <v>0</v>
      </c>
      <c r="M792" t="n">
        <v>0</v>
      </c>
      <c r="N792" t="n">
        <v>0</v>
      </c>
      <c r="O792" t="n">
        <v>0</v>
      </c>
      <c r="P792" t="n">
        <v>0</v>
      </c>
      <c r="Q792" t="n">
        <v>0</v>
      </c>
      <c r="R792" s="2" t="inlineStr"/>
    </row>
    <row r="793" ht="15" customHeight="1">
      <c r="A793" t="inlineStr">
        <is>
          <t>A 41892-2020</t>
        </is>
      </c>
      <c r="B793" s="1" t="n">
        <v>44074</v>
      </c>
      <c r="C793" s="1" t="n">
        <v>45579</v>
      </c>
      <c r="D793" t="inlineStr">
        <is>
          <t>JÄMTLANDS LÄN</t>
        </is>
      </c>
      <c r="E793" t="inlineStr">
        <is>
          <t>STRÖMSUND</t>
        </is>
      </c>
      <c r="F793" t="inlineStr">
        <is>
          <t>SCA</t>
        </is>
      </c>
      <c r="G793" t="n">
        <v>12.2</v>
      </c>
      <c r="H793" t="n">
        <v>0</v>
      </c>
      <c r="I793" t="n">
        <v>0</v>
      </c>
      <c r="J793" t="n">
        <v>0</v>
      </c>
      <c r="K793" t="n">
        <v>0</v>
      </c>
      <c r="L793" t="n">
        <v>0</v>
      </c>
      <c r="M793" t="n">
        <v>0</v>
      </c>
      <c r="N793" t="n">
        <v>0</v>
      </c>
      <c r="O793" t="n">
        <v>0</v>
      </c>
      <c r="P793" t="n">
        <v>0</v>
      </c>
      <c r="Q793" t="n">
        <v>0</v>
      </c>
      <c r="R793" s="2" t="inlineStr"/>
    </row>
    <row r="794" ht="15" customHeight="1">
      <c r="A794" t="inlineStr">
        <is>
          <t>A 41490-2020</t>
        </is>
      </c>
      <c r="B794" s="1" t="n">
        <v>44074</v>
      </c>
      <c r="C794" s="1" t="n">
        <v>45579</v>
      </c>
      <c r="D794" t="inlineStr">
        <is>
          <t>JÄMTLANDS LÄN</t>
        </is>
      </c>
      <c r="E794" t="inlineStr">
        <is>
          <t>STRÖMSUND</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43447-2020</t>
        </is>
      </c>
      <c r="B795" s="1" t="n">
        <v>44081</v>
      </c>
      <c r="C795" s="1" t="n">
        <v>45579</v>
      </c>
      <c r="D795" t="inlineStr">
        <is>
          <t>JÄMTLANDS LÄN</t>
        </is>
      </c>
      <c r="E795" t="inlineStr">
        <is>
          <t>STRÖMSUND</t>
        </is>
      </c>
      <c r="F795" t="inlineStr">
        <is>
          <t>SCA</t>
        </is>
      </c>
      <c r="G795" t="n">
        <v>24.7</v>
      </c>
      <c r="H795" t="n">
        <v>0</v>
      </c>
      <c r="I795" t="n">
        <v>0</v>
      </c>
      <c r="J795" t="n">
        <v>0</v>
      </c>
      <c r="K795" t="n">
        <v>0</v>
      </c>
      <c r="L795" t="n">
        <v>0</v>
      </c>
      <c r="M795" t="n">
        <v>0</v>
      </c>
      <c r="N795" t="n">
        <v>0</v>
      </c>
      <c r="O795" t="n">
        <v>0</v>
      </c>
      <c r="P795" t="n">
        <v>0</v>
      </c>
      <c r="Q795" t="n">
        <v>0</v>
      </c>
      <c r="R795" s="2" t="inlineStr"/>
    </row>
    <row r="796" ht="15" customHeight="1">
      <c r="A796" t="inlineStr">
        <is>
          <t>A 43448-2020</t>
        </is>
      </c>
      <c r="B796" s="1" t="n">
        <v>44081</v>
      </c>
      <c r="C796" s="1" t="n">
        <v>45579</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44009-2020</t>
        </is>
      </c>
      <c r="B797" s="1" t="n">
        <v>44083</v>
      </c>
      <c r="C797" s="1" t="n">
        <v>45579</v>
      </c>
      <c r="D797" t="inlineStr">
        <is>
          <t>JÄMTLANDS LÄN</t>
        </is>
      </c>
      <c r="E797" t="inlineStr">
        <is>
          <t>STRÖMSUND</t>
        </is>
      </c>
      <c r="G797" t="n">
        <v>3.2</v>
      </c>
      <c r="H797" t="n">
        <v>0</v>
      </c>
      <c r="I797" t="n">
        <v>0</v>
      </c>
      <c r="J797" t="n">
        <v>0</v>
      </c>
      <c r="K797" t="n">
        <v>0</v>
      </c>
      <c r="L797" t="n">
        <v>0</v>
      </c>
      <c r="M797" t="n">
        <v>0</v>
      </c>
      <c r="N797" t="n">
        <v>0</v>
      </c>
      <c r="O797" t="n">
        <v>0</v>
      </c>
      <c r="P797" t="n">
        <v>0</v>
      </c>
      <c r="Q797" t="n">
        <v>0</v>
      </c>
      <c r="R797" s="2" t="inlineStr"/>
    </row>
    <row r="798" ht="15" customHeight="1">
      <c r="A798" t="inlineStr">
        <is>
          <t>A 44197-2020</t>
        </is>
      </c>
      <c r="B798" s="1" t="n">
        <v>44083</v>
      </c>
      <c r="C798" s="1" t="n">
        <v>45579</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44989-2020</t>
        </is>
      </c>
      <c r="B799" s="1" t="n">
        <v>44083</v>
      </c>
      <c r="C799" s="1" t="n">
        <v>45579</v>
      </c>
      <c r="D799" t="inlineStr">
        <is>
          <t>JÄMTLANDS LÄN</t>
        </is>
      </c>
      <c r="E799" t="inlineStr">
        <is>
          <t>STRÖMSUND</t>
        </is>
      </c>
      <c r="G799" t="n">
        <v>8</v>
      </c>
      <c r="H799" t="n">
        <v>0</v>
      </c>
      <c r="I799" t="n">
        <v>0</v>
      </c>
      <c r="J799" t="n">
        <v>0</v>
      </c>
      <c r="K799" t="n">
        <v>0</v>
      </c>
      <c r="L799" t="n">
        <v>0</v>
      </c>
      <c r="M799" t="n">
        <v>0</v>
      </c>
      <c r="N799" t="n">
        <v>0</v>
      </c>
      <c r="O799" t="n">
        <v>0</v>
      </c>
      <c r="P799" t="n">
        <v>0</v>
      </c>
      <c r="Q799" t="n">
        <v>0</v>
      </c>
      <c r="R799" s="2" t="inlineStr"/>
    </row>
    <row r="800" ht="15" customHeight="1">
      <c r="A800" t="inlineStr">
        <is>
          <t>A 44992-2020</t>
        </is>
      </c>
      <c r="B800" s="1" t="n">
        <v>44083</v>
      </c>
      <c r="C800" s="1" t="n">
        <v>45579</v>
      </c>
      <c r="D800" t="inlineStr">
        <is>
          <t>JÄMTLANDS LÄN</t>
        </is>
      </c>
      <c r="E800" t="inlineStr">
        <is>
          <t>STRÖMSUND</t>
        </is>
      </c>
      <c r="G800" t="n">
        <v>20.3</v>
      </c>
      <c r="H800" t="n">
        <v>0</v>
      </c>
      <c r="I800" t="n">
        <v>0</v>
      </c>
      <c r="J800" t="n">
        <v>0</v>
      </c>
      <c r="K800" t="n">
        <v>0</v>
      </c>
      <c r="L800" t="n">
        <v>0</v>
      </c>
      <c r="M800" t="n">
        <v>0</v>
      </c>
      <c r="N800" t="n">
        <v>0</v>
      </c>
      <c r="O800" t="n">
        <v>0</v>
      </c>
      <c r="P800" t="n">
        <v>0</v>
      </c>
      <c r="Q800" t="n">
        <v>0</v>
      </c>
      <c r="R800" s="2" t="inlineStr"/>
    </row>
    <row r="801" ht="15" customHeight="1">
      <c r="A801" t="inlineStr">
        <is>
          <t>A 46425-2020</t>
        </is>
      </c>
      <c r="B801" s="1" t="n">
        <v>44095</v>
      </c>
      <c r="C801" s="1" t="n">
        <v>45579</v>
      </c>
      <c r="D801" t="inlineStr">
        <is>
          <t>JÄMTLANDS LÄN</t>
        </is>
      </c>
      <c r="E801" t="inlineStr">
        <is>
          <t>STRÖMSUND</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46540-2020</t>
        </is>
      </c>
      <c r="B802" s="1" t="n">
        <v>44095</v>
      </c>
      <c r="C802" s="1" t="n">
        <v>45579</v>
      </c>
      <c r="D802" t="inlineStr">
        <is>
          <t>JÄMTLANDS LÄN</t>
        </is>
      </c>
      <c r="E802" t="inlineStr">
        <is>
          <t>STRÖMSUND</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46426-2020</t>
        </is>
      </c>
      <c r="B803" s="1" t="n">
        <v>44095</v>
      </c>
      <c r="C803" s="1" t="n">
        <v>45579</v>
      </c>
      <c r="D803" t="inlineStr">
        <is>
          <t>JÄMTLANDS LÄN</t>
        </is>
      </c>
      <c r="E803" t="inlineStr">
        <is>
          <t>STRÖMSUND</t>
        </is>
      </c>
      <c r="F803" t="inlineStr">
        <is>
          <t>Sveaskog</t>
        </is>
      </c>
      <c r="G803" t="n">
        <v>7.9</v>
      </c>
      <c r="H803" t="n">
        <v>0</v>
      </c>
      <c r="I803" t="n">
        <v>0</v>
      </c>
      <c r="J803" t="n">
        <v>0</v>
      </c>
      <c r="K803" t="n">
        <v>0</v>
      </c>
      <c r="L803" t="n">
        <v>0</v>
      </c>
      <c r="M803" t="n">
        <v>0</v>
      </c>
      <c r="N803" t="n">
        <v>0</v>
      </c>
      <c r="O803" t="n">
        <v>0</v>
      </c>
      <c r="P803" t="n">
        <v>0</v>
      </c>
      <c r="Q803" t="n">
        <v>0</v>
      </c>
      <c r="R803" s="2" t="inlineStr"/>
    </row>
    <row r="804" ht="15" customHeight="1">
      <c r="A804" t="inlineStr">
        <is>
          <t>A 47126-2020</t>
        </is>
      </c>
      <c r="B804" s="1" t="n">
        <v>44096</v>
      </c>
      <c r="C804" s="1" t="n">
        <v>45579</v>
      </c>
      <c r="D804" t="inlineStr">
        <is>
          <t>JÄMTLANDS LÄN</t>
        </is>
      </c>
      <c r="E804" t="inlineStr">
        <is>
          <t>STRÖMSUND</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47504-2020</t>
        </is>
      </c>
      <c r="B805" s="1" t="n">
        <v>44098</v>
      </c>
      <c r="C805" s="1" t="n">
        <v>45579</v>
      </c>
      <c r="D805" t="inlineStr">
        <is>
          <t>JÄMTLANDS LÄN</t>
        </is>
      </c>
      <c r="E805" t="inlineStr">
        <is>
          <t>STRÖMSUND</t>
        </is>
      </c>
      <c r="F805" t="inlineStr">
        <is>
          <t>Holmen skog AB</t>
        </is>
      </c>
      <c r="G805" t="n">
        <v>6.6</v>
      </c>
      <c r="H805" t="n">
        <v>0</v>
      </c>
      <c r="I805" t="n">
        <v>0</v>
      </c>
      <c r="J805" t="n">
        <v>0</v>
      </c>
      <c r="K805" t="n">
        <v>0</v>
      </c>
      <c r="L805" t="n">
        <v>0</v>
      </c>
      <c r="M805" t="n">
        <v>0</v>
      </c>
      <c r="N805" t="n">
        <v>0</v>
      </c>
      <c r="O805" t="n">
        <v>0</v>
      </c>
      <c r="P805" t="n">
        <v>0</v>
      </c>
      <c r="Q805" t="n">
        <v>0</v>
      </c>
      <c r="R805" s="2" t="inlineStr"/>
    </row>
    <row r="806" ht="15" customHeight="1">
      <c r="A806" t="inlineStr">
        <is>
          <t>A 48227-2020</t>
        </is>
      </c>
      <c r="B806" s="1" t="n">
        <v>44102</v>
      </c>
      <c r="C806" s="1" t="n">
        <v>45579</v>
      </c>
      <c r="D806" t="inlineStr">
        <is>
          <t>JÄMTLANDS LÄN</t>
        </is>
      </c>
      <c r="E806" t="inlineStr">
        <is>
          <t>STRÖMSUND</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48224-2020</t>
        </is>
      </c>
      <c r="B807" s="1" t="n">
        <v>44102</v>
      </c>
      <c r="C807" s="1" t="n">
        <v>45579</v>
      </c>
      <c r="D807" t="inlineStr">
        <is>
          <t>JÄMTLANDS LÄN</t>
        </is>
      </c>
      <c r="E807" t="inlineStr">
        <is>
          <t>STRÖMSUND</t>
        </is>
      </c>
      <c r="F807" t="inlineStr">
        <is>
          <t>Holmen skog AB</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49772-2020</t>
        </is>
      </c>
      <c r="B808" s="1" t="n">
        <v>44103</v>
      </c>
      <c r="C808" s="1" t="n">
        <v>45579</v>
      </c>
      <c r="D808" t="inlineStr">
        <is>
          <t>JÄMTLANDS LÄN</t>
        </is>
      </c>
      <c r="E808" t="inlineStr">
        <is>
          <t>STRÖMSUND</t>
        </is>
      </c>
      <c r="G808" t="n">
        <v>7.6</v>
      </c>
      <c r="H808" t="n">
        <v>0</v>
      </c>
      <c r="I808" t="n">
        <v>0</v>
      </c>
      <c r="J808" t="n">
        <v>0</v>
      </c>
      <c r="K808" t="n">
        <v>0</v>
      </c>
      <c r="L808" t="n">
        <v>0</v>
      </c>
      <c r="M808" t="n">
        <v>0</v>
      </c>
      <c r="N808" t="n">
        <v>0</v>
      </c>
      <c r="O808" t="n">
        <v>0</v>
      </c>
      <c r="P808" t="n">
        <v>0</v>
      </c>
      <c r="Q808" t="n">
        <v>0</v>
      </c>
      <c r="R808" s="2" t="inlineStr"/>
    </row>
    <row r="809" ht="15" customHeight="1">
      <c r="A809" t="inlineStr">
        <is>
          <t>A 49156-2020</t>
        </is>
      </c>
      <c r="B809" s="1" t="n">
        <v>44104</v>
      </c>
      <c r="C809" s="1" t="n">
        <v>45579</v>
      </c>
      <c r="D809" t="inlineStr">
        <is>
          <t>JÄMTLANDS LÄN</t>
        </is>
      </c>
      <c r="E809" t="inlineStr">
        <is>
          <t>STRÖMSUND</t>
        </is>
      </c>
      <c r="F809" t="inlineStr">
        <is>
          <t>SCA</t>
        </is>
      </c>
      <c r="G809" t="n">
        <v>7</v>
      </c>
      <c r="H809" t="n">
        <v>0</v>
      </c>
      <c r="I809" t="n">
        <v>0</v>
      </c>
      <c r="J809" t="n">
        <v>0</v>
      </c>
      <c r="K809" t="n">
        <v>0</v>
      </c>
      <c r="L809" t="n">
        <v>0</v>
      </c>
      <c r="M809" t="n">
        <v>0</v>
      </c>
      <c r="N809" t="n">
        <v>0</v>
      </c>
      <c r="O809" t="n">
        <v>0</v>
      </c>
      <c r="P809" t="n">
        <v>0</v>
      </c>
      <c r="Q809" t="n">
        <v>0</v>
      </c>
      <c r="R809" s="2" t="inlineStr"/>
    </row>
    <row r="810" ht="15" customHeight="1">
      <c r="A810" t="inlineStr">
        <is>
          <t>A 49161-2020</t>
        </is>
      </c>
      <c r="B810" s="1" t="n">
        <v>44104</v>
      </c>
      <c r="C810" s="1" t="n">
        <v>45579</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49152-2020</t>
        </is>
      </c>
      <c r="B811" s="1" t="n">
        <v>44104</v>
      </c>
      <c r="C811" s="1" t="n">
        <v>45579</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49167-2020</t>
        </is>
      </c>
      <c r="B812" s="1" t="n">
        <v>44104</v>
      </c>
      <c r="C812" s="1" t="n">
        <v>45579</v>
      </c>
      <c r="D812" t="inlineStr">
        <is>
          <t>JÄMTLANDS LÄN</t>
        </is>
      </c>
      <c r="E812" t="inlineStr">
        <is>
          <t>STRÖMSUND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49511-2020</t>
        </is>
      </c>
      <c r="B813" s="1" t="n">
        <v>44105</v>
      </c>
      <c r="C813" s="1" t="n">
        <v>45579</v>
      </c>
      <c r="D813" t="inlineStr">
        <is>
          <t>JÄMTLANDS LÄN</t>
        </is>
      </c>
      <c r="E813" t="inlineStr">
        <is>
          <t>STRÖMSUND</t>
        </is>
      </c>
      <c r="F813" t="inlineStr">
        <is>
          <t>SCA</t>
        </is>
      </c>
      <c r="G813" t="n">
        <v>13.6</v>
      </c>
      <c r="H813" t="n">
        <v>0</v>
      </c>
      <c r="I813" t="n">
        <v>0</v>
      </c>
      <c r="J813" t="n">
        <v>0</v>
      </c>
      <c r="K813" t="n">
        <v>0</v>
      </c>
      <c r="L813" t="n">
        <v>0</v>
      </c>
      <c r="M813" t="n">
        <v>0</v>
      </c>
      <c r="N813" t="n">
        <v>0</v>
      </c>
      <c r="O813" t="n">
        <v>0</v>
      </c>
      <c r="P813" t="n">
        <v>0</v>
      </c>
      <c r="Q813" t="n">
        <v>0</v>
      </c>
      <c r="R813" s="2" t="inlineStr"/>
    </row>
    <row r="814" ht="15" customHeight="1">
      <c r="A814" t="inlineStr">
        <is>
          <t>A 49510-2020</t>
        </is>
      </c>
      <c r="B814" s="1" t="n">
        <v>44105</v>
      </c>
      <c r="C814" s="1" t="n">
        <v>45579</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49997-2020</t>
        </is>
      </c>
      <c r="B815" s="1" t="n">
        <v>44109</v>
      </c>
      <c r="C815" s="1" t="n">
        <v>45579</v>
      </c>
      <c r="D815" t="inlineStr">
        <is>
          <t>JÄMTLANDS LÄN</t>
        </is>
      </c>
      <c r="E815" t="inlineStr">
        <is>
          <t>STRÖMSUND</t>
        </is>
      </c>
      <c r="G815" t="n">
        <v>1.2</v>
      </c>
      <c r="H815" t="n">
        <v>0</v>
      </c>
      <c r="I815" t="n">
        <v>0</v>
      </c>
      <c r="J815" t="n">
        <v>0</v>
      </c>
      <c r="K815" t="n">
        <v>0</v>
      </c>
      <c r="L815" t="n">
        <v>0</v>
      </c>
      <c r="M815" t="n">
        <v>0</v>
      </c>
      <c r="N815" t="n">
        <v>0</v>
      </c>
      <c r="O815" t="n">
        <v>0</v>
      </c>
      <c r="P815" t="n">
        <v>0</v>
      </c>
      <c r="Q815" t="n">
        <v>0</v>
      </c>
      <c r="R815" s="2" t="inlineStr"/>
    </row>
    <row r="816" ht="15" customHeight="1">
      <c r="A816" t="inlineStr">
        <is>
          <t>A 50645-2020</t>
        </is>
      </c>
      <c r="B816" s="1" t="n">
        <v>44110</v>
      </c>
      <c r="C816" s="1" t="n">
        <v>45579</v>
      </c>
      <c r="D816" t="inlineStr">
        <is>
          <t>JÄMTLANDS LÄN</t>
        </is>
      </c>
      <c r="E816" t="inlineStr">
        <is>
          <t>STRÖMSUND</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51042-2020</t>
        </is>
      </c>
      <c r="B817" s="1" t="n">
        <v>44112</v>
      </c>
      <c r="C817" s="1" t="n">
        <v>45579</v>
      </c>
      <c r="D817" t="inlineStr">
        <is>
          <t>JÄMTLANDS LÄN</t>
        </is>
      </c>
      <c r="E817" t="inlineStr">
        <is>
          <t>STRÖMSUND</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51670-2020</t>
        </is>
      </c>
      <c r="B818" s="1" t="n">
        <v>44113</v>
      </c>
      <c r="C818" s="1" t="n">
        <v>45579</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51689-2020</t>
        </is>
      </c>
      <c r="B819" s="1" t="n">
        <v>44113</v>
      </c>
      <c r="C819" s="1" t="n">
        <v>45579</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52030-2020</t>
        </is>
      </c>
      <c r="B820" s="1" t="n">
        <v>44116</v>
      </c>
      <c r="C820" s="1" t="n">
        <v>45579</v>
      </c>
      <c r="D820" t="inlineStr">
        <is>
          <t>JÄMTLANDS LÄN</t>
        </is>
      </c>
      <c r="E820" t="inlineStr">
        <is>
          <t>STRÖMSUND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52622-2020</t>
        </is>
      </c>
      <c r="B821" s="1" t="n">
        <v>44118</v>
      </c>
      <c r="C821" s="1" t="n">
        <v>45579</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53293-2020</t>
        </is>
      </c>
      <c r="B822" s="1" t="n">
        <v>44123</v>
      </c>
      <c r="C822" s="1" t="n">
        <v>45579</v>
      </c>
      <c r="D822" t="inlineStr">
        <is>
          <t>JÄMTLANDS LÄN</t>
        </is>
      </c>
      <c r="E822" t="inlineStr">
        <is>
          <t>STRÖMSUND</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55342-2020</t>
        </is>
      </c>
      <c r="B823" s="1" t="n">
        <v>44130</v>
      </c>
      <c r="C823" s="1" t="n">
        <v>45579</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55708-2020</t>
        </is>
      </c>
      <c r="B824" s="1" t="n">
        <v>44131</v>
      </c>
      <c r="C824" s="1" t="n">
        <v>45579</v>
      </c>
      <c r="D824" t="inlineStr">
        <is>
          <t>JÄMTLANDS LÄN</t>
        </is>
      </c>
      <c r="E824" t="inlineStr">
        <is>
          <t>STRÖMSUND</t>
        </is>
      </c>
      <c r="G824" t="n">
        <v>1</v>
      </c>
      <c r="H824" t="n">
        <v>0</v>
      </c>
      <c r="I824" t="n">
        <v>0</v>
      </c>
      <c r="J824" t="n">
        <v>0</v>
      </c>
      <c r="K824" t="n">
        <v>0</v>
      </c>
      <c r="L824" t="n">
        <v>0</v>
      </c>
      <c r="M824" t="n">
        <v>0</v>
      </c>
      <c r="N824" t="n">
        <v>0</v>
      </c>
      <c r="O824" t="n">
        <v>0</v>
      </c>
      <c r="P824" t="n">
        <v>0</v>
      </c>
      <c r="Q824" t="n">
        <v>0</v>
      </c>
      <c r="R824" s="2" t="inlineStr"/>
    </row>
    <row r="825" ht="15" customHeight="1">
      <c r="A825" t="inlineStr">
        <is>
          <t>A 56251-2020</t>
        </is>
      </c>
      <c r="B825" s="1" t="n">
        <v>44134</v>
      </c>
      <c r="C825" s="1" t="n">
        <v>45579</v>
      </c>
      <c r="D825" t="inlineStr">
        <is>
          <t>JÄMTLANDS LÄN</t>
        </is>
      </c>
      <c r="E825" t="inlineStr">
        <is>
          <t>STRÖMSUND</t>
        </is>
      </c>
      <c r="F825" t="inlineStr">
        <is>
          <t>Holmen skog AB</t>
        </is>
      </c>
      <c r="G825" t="n">
        <v>7.3</v>
      </c>
      <c r="H825" t="n">
        <v>0</v>
      </c>
      <c r="I825" t="n">
        <v>0</v>
      </c>
      <c r="J825" t="n">
        <v>0</v>
      </c>
      <c r="K825" t="n">
        <v>0</v>
      </c>
      <c r="L825" t="n">
        <v>0</v>
      </c>
      <c r="M825" t="n">
        <v>0</v>
      </c>
      <c r="N825" t="n">
        <v>0</v>
      </c>
      <c r="O825" t="n">
        <v>0</v>
      </c>
      <c r="P825" t="n">
        <v>0</v>
      </c>
      <c r="Q825" t="n">
        <v>0</v>
      </c>
      <c r="R825" s="2" t="inlineStr"/>
    </row>
    <row r="826" ht="15" customHeight="1">
      <c r="A826" t="inlineStr">
        <is>
          <t>A 56290-2020</t>
        </is>
      </c>
      <c r="B826" s="1" t="n">
        <v>44134</v>
      </c>
      <c r="C826" s="1" t="n">
        <v>45579</v>
      </c>
      <c r="D826" t="inlineStr">
        <is>
          <t>JÄMTLANDS LÄN</t>
        </is>
      </c>
      <c r="E826" t="inlineStr">
        <is>
          <t>STRÖMSUND</t>
        </is>
      </c>
      <c r="F826" t="inlineStr">
        <is>
          <t>Holmen skog AB</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56493-2020</t>
        </is>
      </c>
      <c r="B827" s="1" t="n">
        <v>44137</v>
      </c>
      <c r="C827" s="1" t="n">
        <v>45579</v>
      </c>
      <c r="D827" t="inlineStr">
        <is>
          <t>JÄMTLANDS LÄN</t>
        </is>
      </c>
      <c r="E827" t="inlineStr">
        <is>
          <t>STRÖMSUND</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56966-2020</t>
        </is>
      </c>
      <c r="B828" s="1" t="n">
        <v>44137</v>
      </c>
      <c r="C828" s="1" t="n">
        <v>45579</v>
      </c>
      <c r="D828" t="inlineStr">
        <is>
          <t>JÄMTLANDS LÄN</t>
        </is>
      </c>
      <c r="E828" t="inlineStr">
        <is>
          <t>STRÖMSUND</t>
        </is>
      </c>
      <c r="G828" t="n">
        <v>2.6</v>
      </c>
      <c r="H828" t="n">
        <v>0</v>
      </c>
      <c r="I828" t="n">
        <v>0</v>
      </c>
      <c r="J828" t="n">
        <v>0</v>
      </c>
      <c r="K828" t="n">
        <v>0</v>
      </c>
      <c r="L828" t="n">
        <v>0</v>
      </c>
      <c r="M828" t="n">
        <v>0</v>
      </c>
      <c r="N828" t="n">
        <v>0</v>
      </c>
      <c r="O828" t="n">
        <v>0</v>
      </c>
      <c r="P828" t="n">
        <v>0</v>
      </c>
      <c r="Q828" t="n">
        <v>0</v>
      </c>
      <c r="R828" s="2" t="inlineStr"/>
    </row>
    <row r="829" ht="15" customHeight="1">
      <c r="A829" t="inlineStr">
        <is>
          <t>A 57336-2020</t>
        </is>
      </c>
      <c r="B829" s="1" t="n">
        <v>44139</v>
      </c>
      <c r="C829" s="1" t="n">
        <v>45579</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57511-2020</t>
        </is>
      </c>
      <c r="B830" s="1" t="n">
        <v>44140</v>
      </c>
      <c r="C830" s="1" t="n">
        <v>45579</v>
      </c>
      <c r="D830" t="inlineStr">
        <is>
          <t>JÄMTLANDS LÄN</t>
        </is>
      </c>
      <c r="E830" t="inlineStr">
        <is>
          <t>STRÖMSUND</t>
        </is>
      </c>
      <c r="F830" t="inlineStr">
        <is>
          <t>Holmen skog AB</t>
        </is>
      </c>
      <c r="G830" t="n">
        <v>6.7</v>
      </c>
      <c r="H830" t="n">
        <v>0</v>
      </c>
      <c r="I830" t="n">
        <v>0</v>
      </c>
      <c r="J830" t="n">
        <v>0</v>
      </c>
      <c r="K830" t="n">
        <v>0</v>
      </c>
      <c r="L830" t="n">
        <v>0</v>
      </c>
      <c r="M830" t="n">
        <v>0</v>
      </c>
      <c r="N830" t="n">
        <v>0</v>
      </c>
      <c r="O830" t="n">
        <v>0</v>
      </c>
      <c r="P830" t="n">
        <v>0</v>
      </c>
      <c r="Q830" t="n">
        <v>0</v>
      </c>
      <c r="R830" s="2" t="inlineStr"/>
    </row>
    <row r="831" ht="15" customHeight="1">
      <c r="A831" t="inlineStr">
        <is>
          <t>A 57550-2020</t>
        </is>
      </c>
      <c r="B831" s="1" t="n">
        <v>44140</v>
      </c>
      <c r="C831" s="1" t="n">
        <v>45579</v>
      </c>
      <c r="D831" t="inlineStr">
        <is>
          <t>JÄMTLANDS LÄN</t>
        </is>
      </c>
      <c r="E831" t="inlineStr">
        <is>
          <t>STRÖMSUND</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57423-2020</t>
        </is>
      </c>
      <c r="B832" s="1" t="n">
        <v>44140</v>
      </c>
      <c r="C832" s="1" t="n">
        <v>45579</v>
      </c>
      <c r="D832" t="inlineStr">
        <is>
          <t>JÄMTLANDS LÄN</t>
        </is>
      </c>
      <c r="E832" t="inlineStr">
        <is>
          <t>STRÖMSUND</t>
        </is>
      </c>
      <c r="F832" t="inlineStr">
        <is>
          <t>Holmen skog AB</t>
        </is>
      </c>
      <c r="G832" t="n">
        <v>2.6</v>
      </c>
      <c r="H832" t="n">
        <v>0</v>
      </c>
      <c r="I832" t="n">
        <v>0</v>
      </c>
      <c r="J832" t="n">
        <v>0</v>
      </c>
      <c r="K832" t="n">
        <v>0</v>
      </c>
      <c r="L832" t="n">
        <v>0</v>
      </c>
      <c r="M832" t="n">
        <v>0</v>
      </c>
      <c r="N832" t="n">
        <v>0</v>
      </c>
      <c r="O832" t="n">
        <v>0</v>
      </c>
      <c r="P832" t="n">
        <v>0</v>
      </c>
      <c r="Q832" t="n">
        <v>0</v>
      </c>
      <c r="R832" s="2" t="inlineStr"/>
    </row>
    <row r="833" ht="15" customHeight="1">
      <c r="A833" t="inlineStr">
        <is>
          <t>A 57808-2020</t>
        </is>
      </c>
      <c r="B833" s="1" t="n">
        <v>44141</v>
      </c>
      <c r="C833" s="1" t="n">
        <v>45579</v>
      </c>
      <c r="D833" t="inlineStr">
        <is>
          <t>JÄMTLANDS LÄN</t>
        </is>
      </c>
      <c r="E833" t="inlineStr">
        <is>
          <t>STRÖMSUND</t>
        </is>
      </c>
      <c r="G833" t="n">
        <v>6.8</v>
      </c>
      <c r="H833" t="n">
        <v>0</v>
      </c>
      <c r="I833" t="n">
        <v>0</v>
      </c>
      <c r="J833" t="n">
        <v>0</v>
      </c>
      <c r="K833" t="n">
        <v>0</v>
      </c>
      <c r="L833" t="n">
        <v>0</v>
      </c>
      <c r="M833" t="n">
        <v>0</v>
      </c>
      <c r="N833" t="n">
        <v>0</v>
      </c>
      <c r="O833" t="n">
        <v>0</v>
      </c>
      <c r="P833" t="n">
        <v>0</v>
      </c>
      <c r="Q833" t="n">
        <v>0</v>
      </c>
      <c r="R833" s="2" t="inlineStr"/>
    </row>
    <row r="834" ht="15" customHeight="1">
      <c r="A834" t="inlineStr">
        <is>
          <t>A 58219-2020</t>
        </is>
      </c>
      <c r="B834" s="1" t="n">
        <v>44144</v>
      </c>
      <c r="C834" s="1" t="n">
        <v>45579</v>
      </c>
      <c r="D834" t="inlineStr">
        <is>
          <t>JÄMTLANDS LÄN</t>
        </is>
      </c>
      <c r="E834" t="inlineStr">
        <is>
          <t>STRÖMSUND</t>
        </is>
      </c>
      <c r="F834" t="inlineStr">
        <is>
          <t>Holmen skog AB</t>
        </is>
      </c>
      <c r="G834" t="n">
        <v>4.9</v>
      </c>
      <c r="H834" t="n">
        <v>0</v>
      </c>
      <c r="I834" t="n">
        <v>0</v>
      </c>
      <c r="J834" t="n">
        <v>0</v>
      </c>
      <c r="K834" t="n">
        <v>0</v>
      </c>
      <c r="L834" t="n">
        <v>0</v>
      </c>
      <c r="M834" t="n">
        <v>0</v>
      </c>
      <c r="N834" t="n">
        <v>0</v>
      </c>
      <c r="O834" t="n">
        <v>0</v>
      </c>
      <c r="P834" t="n">
        <v>0</v>
      </c>
      <c r="Q834" t="n">
        <v>0</v>
      </c>
      <c r="R834" s="2" t="inlineStr"/>
    </row>
    <row r="835" ht="15" customHeight="1">
      <c r="A835" t="inlineStr">
        <is>
          <t>A 59012-2020</t>
        </is>
      </c>
      <c r="B835" s="1" t="n">
        <v>44146</v>
      </c>
      <c r="C835" s="1" t="n">
        <v>45579</v>
      </c>
      <c r="D835" t="inlineStr">
        <is>
          <t>JÄMTLANDS LÄN</t>
        </is>
      </c>
      <c r="E835" t="inlineStr">
        <is>
          <t>STRÖMSUND</t>
        </is>
      </c>
      <c r="F835" t="inlineStr">
        <is>
          <t>SCA</t>
        </is>
      </c>
      <c r="G835" t="n">
        <v>15.5</v>
      </c>
      <c r="H835" t="n">
        <v>0</v>
      </c>
      <c r="I835" t="n">
        <v>0</v>
      </c>
      <c r="J835" t="n">
        <v>0</v>
      </c>
      <c r="K835" t="n">
        <v>0</v>
      </c>
      <c r="L835" t="n">
        <v>0</v>
      </c>
      <c r="M835" t="n">
        <v>0</v>
      </c>
      <c r="N835" t="n">
        <v>0</v>
      </c>
      <c r="O835" t="n">
        <v>0</v>
      </c>
      <c r="P835" t="n">
        <v>0</v>
      </c>
      <c r="Q835" t="n">
        <v>0</v>
      </c>
      <c r="R835" s="2" t="inlineStr"/>
    </row>
    <row r="836" ht="15" customHeight="1">
      <c r="A836" t="inlineStr">
        <is>
          <t>A 59330-2020</t>
        </is>
      </c>
      <c r="B836" s="1" t="n">
        <v>44147</v>
      </c>
      <c r="C836" s="1" t="n">
        <v>45579</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60256-2020</t>
        </is>
      </c>
      <c r="B837" s="1" t="n">
        <v>44151</v>
      </c>
      <c r="C837" s="1" t="n">
        <v>45579</v>
      </c>
      <c r="D837" t="inlineStr">
        <is>
          <t>JÄMTLANDS LÄN</t>
        </is>
      </c>
      <c r="E837" t="inlineStr">
        <is>
          <t>STRÖMSUND</t>
        </is>
      </c>
      <c r="G837" t="n">
        <v>0.3</v>
      </c>
      <c r="H837" t="n">
        <v>0</v>
      </c>
      <c r="I837" t="n">
        <v>0</v>
      </c>
      <c r="J837" t="n">
        <v>0</v>
      </c>
      <c r="K837" t="n">
        <v>0</v>
      </c>
      <c r="L837" t="n">
        <v>0</v>
      </c>
      <c r="M837" t="n">
        <v>0</v>
      </c>
      <c r="N837" t="n">
        <v>0</v>
      </c>
      <c r="O837" t="n">
        <v>0</v>
      </c>
      <c r="P837" t="n">
        <v>0</v>
      </c>
      <c r="Q837" t="n">
        <v>0</v>
      </c>
      <c r="R837" s="2" t="inlineStr"/>
    </row>
    <row r="838" ht="15" customHeight="1">
      <c r="A838" t="inlineStr">
        <is>
          <t>A 60061-2020</t>
        </is>
      </c>
      <c r="B838" s="1" t="n">
        <v>44151</v>
      </c>
      <c r="C838" s="1" t="n">
        <v>45579</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60395-2020</t>
        </is>
      </c>
      <c r="B839" s="1" t="n">
        <v>44152</v>
      </c>
      <c r="C839" s="1" t="n">
        <v>45579</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60703-2020</t>
        </is>
      </c>
      <c r="B840" s="1" t="n">
        <v>44153</v>
      </c>
      <c r="C840" s="1" t="n">
        <v>45579</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61149-2020</t>
        </is>
      </c>
      <c r="B841" s="1" t="n">
        <v>44154</v>
      </c>
      <c r="C841" s="1" t="n">
        <v>45579</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61586-2020</t>
        </is>
      </c>
      <c r="B842" s="1" t="n">
        <v>44158</v>
      </c>
      <c r="C842" s="1" t="n">
        <v>45579</v>
      </c>
      <c r="D842" t="inlineStr">
        <is>
          <t>JÄMTLANDS LÄN</t>
        </is>
      </c>
      <c r="E842" t="inlineStr">
        <is>
          <t>STRÖMSUND</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61662-2020</t>
        </is>
      </c>
      <c r="B843" s="1" t="n">
        <v>44158</v>
      </c>
      <c r="C843" s="1" t="n">
        <v>45579</v>
      </c>
      <c r="D843" t="inlineStr">
        <is>
          <t>JÄMTLANDS LÄN</t>
        </is>
      </c>
      <c r="E843" t="inlineStr">
        <is>
          <t>STRÖMSUND</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61811-2020</t>
        </is>
      </c>
      <c r="B844" s="1" t="n">
        <v>44158</v>
      </c>
      <c r="C844" s="1" t="n">
        <v>45579</v>
      </c>
      <c r="D844" t="inlineStr">
        <is>
          <t>JÄMTLANDS LÄN</t>
        </is>
      </c>
      <c r="E844" t="inlineStr">
        <is>
          <t>STRÖMSUND</t>
        </is>
      </c>
      <c r="G844" t="n">
        <v>1.9</v>
      </c>
      <c r="H844" t="n">
        <v>0</v>
      </c>
      <c r="I844" t="n">
        <v>0</v>
      </c>
      <c r="J844" t="n">
        <v>0</v>
      </c>
      <c r="K844" t="n">
        <v>0</v>
      </c>
      <c r="L844" t="n">
        <v>0</v>
      </c>
      <c r="M844" t="n">
        <v>0</v>
      </c>
      <c r="N844" t="n">
        <v>0</v>
      </c>
      <c r="O844" t="n">
        <v>0</v>
      </c>
      <c r="P844" t="n">
        <v>0</v>
      </c>
      <c r="Q844" t="n">
        <v>0</v>
      </c>
      <c r="R844" s="2" t="inlineStr"/>
    </row>
    <row r="845" ht="15" customHeight="1">
      <c r="A845" t="inlineStr">
        <is>
          <t>A 61807-2020</t>
        </is>
      </c>
      <c r="B845" s="1" t="n">
        <v>44158</v>
      </c>
      <c r="C845" s="1" t="n">
        <v>45579</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62503-2020</t>
        </is>
      </c>
      <c r="B846" s="1" t="n">
        <v>44160</v>
      </c>
      <c r="C846" s="1" t="n">
        <v>45579</v>
      </c>
      <c r="D846" t="inlineStr">
        <is>
          <t>JÄMTLANDS LÄN</t>
        </is>
      </c>
      <c r="E846" t="inlineStr">
        <is>
          <t>STRÖMSUND</t>
        </is>
      </c>
      <c r="G846" t="n">
        <v>7.9</v>
      </c>
      <c r="H846" t="n">
        <v>0</v>
      </c>
      <c r="I846" t="n">
        <v>0</v>
      </c>
      <c r="J846" t="n">
        <v>0</v>
      </c>
      <c r="K846" t="n">
        <v>0</v>
      </c>
      <c r="L846" t="n">
        <v>0</v>
      </c>
      <c r="M846" t="n">
        <v>0</v>
      </c>
      <c r="N846" t="n">
        <v>0</v>
      </c>
      <c r="O846" t="n">
        <v>0</v>
      </c>
      <c r="P846" t="n">
        <v>0</v>
      </c>
      <c r="Q846" t="n">
        <v>0</v>
      </c>
      <c r="R846" s="2" t="inlineStr"/>
    </row>
    <row r="847" ht="15" customHeight="1">
      <c r="A847" t="inlineStr">
        <is>
          <t>A 63692-2020</t>
        </is>
      </c>
      <c r="B847" s="1" t="n">
        <v>44161</v>
      </c>
      <c r="C847" s="1" t="n">
        <v>45579</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63699-2020</t>
        </is>
      </c>
      <c r="B848" s="1" t="n">
        <v>44161</v>
      </c>
      <c r="C848" s="1" t="n">
        <v>45579</v>
      </c>
      <c r="D848" t="inlineStr">
        <is>
          <t>JÄMTLANDS LÄN</t>
        </is>
      </c>
      <c r="E848" t="inlineStr">
        <is>
          <t>STRÖMSUND</t>
        </is>
      </c>
      <c r="G848" t="n">
        <v>1.1</v>
      </c>
      <c r="H848" t="n">
        <v>0</v>
      </c>
      <c r="I848" t="n">
        <v>0</v>
      </c>
      <c r="J848" t="n">
        <v>0</v>
      </c>
      <c r="K848" t="n">
        <v>0</v>
      </c>
      <c r="L848" t="n">
        <v>0</v>
      </c>
      <c r="M848" t="n">
        <v>0</v>
      </c>
      <c r="N848" t="n">
        <v>0</v>
      </c>
      <c r="O848" t="n">
        <v>0</v>
      </c>
      <c r="P848" t="n">
        <v>0</v>
      </c>
      <c r="Q848" t="n">
        <v>0</v>
      </c>
      <c r="R848" s="2" t="inlineStr"/>
    </row>
    <row r="849" ht="15" customHeight="1">
      <c r="A849" t="inlineStr">
        <is>
          <t>A 63678-2020</t>
        </is>
      </c>
      <c r="B849" s="1" t="n">
        <v>44162</v>
      </c>
      <c r="C849" s="1" t="n">
        <v>45579</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63567-2020</t>
        </is>
      </c>
      <c r="B850" s="1" t="n">
        <v>44165</v>
      </c>
      <c r="C850" s="1" t="n">
        <v>45579</v>
      </c>
      <c r="D850" t="inlineStr">
        <is>
          <t>JÄMTLANDS LÄN</t>
        </is>
      </c>
      <c r="E850" t="inlineStr">
        <is>
          <t>STRÖMSUND</t>
        </is>
      </c>
      <c r="G850" t="n">
        <v>14.4</v>
      </c>
      <c r="H850" t="n">
        <v>0</v>
      </c>
      <c r="I850" t="n">
        <v>0</v>
      </c>
      <c r="J850" t="n">
        <v>0</v>
      </c>
      <c r="K850" t="n">
        <v>0</v>
      </c>
      <c r="L850" t="n">
        <v>0</v>
      </c>
      <c r="M850" t="n">
        <v>0</v>
      </c>
      <c r="N850" t="n">
        <v>0</v>
      </c>
      <c r="O850" t="n">
        <v>0</v>
      </c>
      <c r="P850" t="n">
        <v>0</v>
      </c>
      <c r="Q850" t="n">
        <v>0</v>
      </c>
      <c r="R850" s="2" t="inlineStr"/>
    </row>
    <row r="851" ht="15" customHeight="1">
      <c r="A851" t="inlineStr">
        <is>
          <t>A 64124-2020</t>
        </is>
      </c>
      <c r="B851" s="1" t="n">
        <v>44165</v>
      </c>
      <c r="C851" s="1" t="n">
        <v>45579</v>
      </c>
      <c r="D851" t="inlineStr">
        <is>
          <t>JÄMTLANDS LÄN</t>
        </is>
      </c>
      <c r="E851" t="inlineStr">
        <is>
          <t>STRÖMSUND</t>
        </is>
      </c>
      <c r="G851" t="n">
        <v>1.6</v>
      </c>
      <c r="H851" t="n">
        <v>0</v>
      </c>
      <c r="I851" t="n">
        <v>0</v>
      </c>
      <c r="J851" t="n">
        <v>0</v>
      </c>
      <c r="K851" t="n">
        <v>0</v>
      </c>
      <c r="L851" t="n">
        <v>0</v>
      </c>
      <c r="M851" t="n">
        <v>0</v>
      </c>
      <c r="N851" t="n">
        <v>0</v>
      </c>
      <c r="O851" t="n">
        <v>0</v>
      </c>
      <c r="P851" t="n">
        <v>0</v>
      </c>
      <c r="Q851" t="n">
        <v>0</v>
      </c>
      <c r="R851" s="2" t="inlineStr"/>
    </row>
    <row r="852" ht="15" customHeight="1">
      <c r="A852" t="inlineStr">
        <is>
          <t>A 65115-2020</t>
        </is>
      </c>
      <c r="B852" s="1" t="n">
        <v>44165</v>
      </c>
      <c r="C852" s="1" t="n">
        <v>45579</v>
      </c>
      <c r="D852" t="inlineStr">
        <is>
          <t>JÄMTLANDS LÄN</t>
        </is>
      </c>
      <c r="E852" t="inlineStr">
        <is>
          <t>STRÖMSUND</t>
        </is>
      </c>
      <c r="G852" t="n">
        <v>3.6</v>
      </c>
      <c r="H852" t="n">
        <v>0</v>
      </c>
      <c r="I852" t="n">
        <v>0</v>
      </c>
      <c r="J852" t="n">
        <v>0</v>
      </c>
      <c r="K852" t="n">
        <v>0</v>
      </c>
      <c r="L852" t="n">
        <v>0</v>
      </c>
      <c r="M852" t="n">
        <v>0</v>
      </c>
      <c r="N852" t="n">
        <v>0</v>
      </c>
      <c r="O852" t="n">
        <v>0</v>
      </c>
      <c r="P852" t="n">
        <v>0</v>
      </c>
      <c r="Q852" t="n">
        <v>0</v>
      </c>
      <c r="R852" s="2" t="inlineStr"/>
    </row>
    <row r="853" ht="15" customHeight="1">
      <c r="A853" t="inlineStr">
        <is>
          <t>A 65078-2020</t>
        </is>
      </c>
      <c r="B853" s="1" t="n">
        <v>44165</v>
      </c>
      <c r="C853" s="1" t="n">
        <v>45579</v>
      </c>
      <c r="D853" t="inlineStr">
        <is>
          <t>JÄMTLANDS LÄN</t>
        </is>
      </c>
      <c r="E853" t="inlineStr">
        <is>
          <t>STRÖMSUND</t>
        </is>
      </c>
      <c r="G853" t="n">
        <v>3.4</v>
      </c>
      <c r="H853" t="n">
        <v>0</v>
      </c>
      <c r="I853" t="n">
        <v>0</v>
      </c>
      <c r="J853" t="n">
        <v>0</v>
      </c>
      <c r="K853" t="n">
        <v>0</v>
      </c>
      <c r="L853" t="n">
        <v>0</v>
      </c>
      <c r="M853" t="n">
        <v>0</v>
      </c>
      <c r="N853" t="n">
        <v>0</v>
      </c>
      <c r="O853" t="n">
        <v>0</v>
      </c>
      <c r="P853" t="n">
        <v>0</v>
      </c>
      <c r="Q853" t="n">
        <v>0</v>
      </c>
      <c r="R853" s="2" t="inlineStr"/>
    </row>
    <row r="854" ht="15" customHeight="1">
      <c r="A854" t="inlineStr">
        <is>
          <t>A 65076-2020</t>
        </is>
      </c>
      <c r="B854" s="1" t="n">
        <v>44165</v>
      </c>
      <c r="C854" s="1" t="n">
        <v>45579</v>
      </c>
      <c r="D854" t="inlineStr">
        <is>
          <t>JÄMTLANDS LÄN</t>
        </is>
      </c>
      <c r="E854" t="inlineStr">
        <is>
          <t>STRÖMSUND</t>
        </is>
      </c>
      <c r="G854" t="n">
        <v>20.3</v>
      </c>
      <c r="H854" t="n">
        <v>0</v>
      </c>
      <c r="I854" t="n">
        <v>0</v>
      </c>
      <c r="J854" t="n">
        <v>0</v>
      </c>
      <c r="K854" t="n">
        <v>0</v>
      </c>
      <c r="L854" t="n">
        <v>0</v>
      </c>
      <c r="M854" t="n">
        <v>0</v>
      </c>
      <c r="N854" t="n">
        <v>0</v>
      </c>
      <c r="O854" t="n">
        <v>0</v>
      </c>
      <c r="P854" t="n">
        <v>0</v>
      </c>
      <c r="Q854" t="n">
        <v>0</v>
      </c>
      <c r="R854" s="2" t="inlineStr"/>
    </row>
    <row r="855" ht="15" customHeight="1">
      <c r="A855" t="inlineStr">
        <is>
          <t>A 65110-2020</t>
        </is>
      </c>
      <c r="B855" s="1" t="n">
        <v>44165</v>
      </c>
      <c r="C855" s="1" t="n">
        <v>45579</v>
      </c>
      <c r="D855" t="inlineStr">
        <is>
          <t>JÄMTLANDS LÄN</t>
        </is>
      </c>
      <c r="E855" t="inlineStr">
        <is>
          <t>STRÖMSUND</t>
        </is>
      </c>
      <c r="G855" t="n">
        <v>6.8</v>
      </c>
      <c r="H855" t="n">
        <v>0</v>
      </c>
      <c r="I855" t="n">
        <v>0</v>
      </c>
      <c r="J855" t="n">
        <v>0</v>
      </c>
      <c r="K855" t="n">
        <v>0</v>
      </c>
      <c r="L855" t="n">
        <v>0</v>
      </c>
      <c r="M855" t="n">
        <v>0</v>
      </c>
      <c r="N855" t="n">
        <v>0</v>
      </c>
      <c r="O855" t="n">
        <v>0</v>
      </c>
      <c r="P855" t="n">
        <v>0</v>
      </c>
      <c r="Q855" t="n">
        <v>0</v>
      </c>
      <c r="R855" s="2" t="inlineStr"/>
    </row>
    <row r="856" ht="15" customHeight="1">
      <c r="A856" t="inlineStr">
        <is>
          <t>A 63755-2020</t>
        </is>
      </c>
      <c r="B856" s="1" t="n">
        <v>44166</v>
      </c>
      <c r="C856" s="1" t="n">
        <v>45579</v>
      </c>
      <c r="D856" t="inlineStr">
        <is>
          <t>JÄMTLANDS LÄN</t>
        </is>
      </c>
      <c r="E856" t="inlineStr">
        <is>
          <t>STRÖMSUND</t>
        </is>
      </c>
      <c r="G856" t="n">
        <v>0.7</v>
      </c>
      <c r="H856" t="n">
        <v>0</v>
      </c>
      <c r="I856" t="n">
        <v>0</v>
      </c>
      <c r="J856" t="n">
        <v>0</v>
      </c>
      <c r="K856" t="n">
        <v>0</v>
      </c>
      <c r="L856" t="n">
        <v>0</v>
      </c>
      <c r="M856" t="n">
        <v>0</v>
      </c>
      <c r="N856" t="n">
        <v>0</v>
      </c>
      <c r="O856" t="n">
        <v>0</v>
      </c>
      <c r="P856" t="n">
        <v>0</v>
      </c>
      <c r="Q856" t="n">
        <v>0</v>
      </c>
      <c r="R856" s="2" t="inlineStr"/>
    </row>
    <row r="857" ht="15" customHeight="1">
      <c r="A857" t="inlineStr">
        <is>
          <t>A 64186-2020</t>
        </is>
      </c>
      <c r="B857" s="1" t="n">
        <v>44167</v>
      </c>
      <c r="C857" s="1" t="n">
        <v>45579</v>
      </c>
      <c r="D857" t="inlineStr">
        <is>
          <t>JÄMTLANDS LÄN</t>
        </is>
      </c>
      <c r="E857" t="inlineStr">
        <is>
          <t>STRÖMSUND</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64608-2020</t>
        </is>
      </c>
      <c r="B858" s="1" t="n">
        <v>44169</v>
      </c>
      <c r="C858" s="1" t="n">
        <v>45579</v>
      </c>
      <c r="D858" t="inlineStr">
        <is>
          <t>JÄMTLANDS LÄN</t>
        </is>
      </c>
      <c r="E858" t="inlineStr">
        <is>
          <t>STRÖMSUND</t>
        </is>
      </c>
      <c r="F858" t="inlineStr">
        <is>
          <t>Holmen skog AB</t>
        </is>
      </c>
      <c r="G858" t="n">
        <v>17.7</v>
      </c>
      <c r="H858" t="n">
        <v>0</v>
      </c>
      <c r="I858" t="n">
        <v>0</v>
      </c>
      <c r="J858" t="n">
        <v>0</v>
      </c>
      <c r="K858" t="n">
        <v>0</v>
      </c>
      <c r="L858" t="n">
        <v>0</v>
      </c>
      <c r="M858" t="n">
        <v>0</v>
      </c>
      <c r="N858" t="n">
        <v>0</v>
      </c>
      <c r="O858" t="n">
        <v>0</v>
      </c>
      <c r="P858" t="n">
        <v>0</v>
      </c>
      <c r="Q858" t="n">
        <v>0</v>
      </c>
      <c r="R858" s="2" t="inlineStr"/>
    </row>
    <row r="859" ht="15" customHeight="1">
      <c r="A859" t="inlineStr">
        <is>
          <t>A 64825-2020</t>
        </is>
      </c>
      <c r="B859" s="1" t="n">
        <v>44169</v>
      </c>
      <c r="C859" s="1" t="n">
        <v>45579</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64828-2020</t>
        </is>
      </c>
      <c r="B860" s="1" t="n">
        <v>44169</v>
      </c>
      <c r="C860" s="1" t="n">
        <v>45579</v>
      </c>
      <c r="D860" t="inlineStr">
        <is>
          <t>JÄMTLANDS LÄN</t>
        </is>
      </c>
      <c r="E860" t="inlineStr">
        <is>
          <t>STRÖMSUND</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65530-2020</t>
        </is>
      </c>
      <c r="B861" s="1" t="n">
        <v>44173</v>
      </c>
      <c r="C861" s="1" t="n">
        <v>45579</v>
      </c>
      <c r="D861" t="inlineStr">
        <is>
          <t>JÄMTLANDS LÄN</t>
        </is>
      </c>
      <c r="E861" t="inlineStr">
        <is>
          <t>STRÖMSUND</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65618-2020</t>
        </is>
      </c>
      <c r="B862" s="1" t="n">
        <v>44173</v>
      </c>
      <c r="C862" s="1" t="n">
        <v>45579</v>
      </c>
      <c r="D862" t="inlineStr">
        <is>
          <t>JÄMTLANDS LÄN</t>
        </is>
      </c>
      <c r="E862" t="inlineStr">
        <is>
          <t>STRÖMSUND</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65797-2020</t>
        </is>
      </c>
      <c r="B863" s="1" t="n">
        <v>44174</v>
      </c>
      <c r="C863" s="1" t="n">
        <v>45579</v>
      </c>
      <c r="D863" t="inlineStr">
        <is>
          <t>JÄMTLANDS LÄN</t>
        </is>
      </c>
      <c r="E863" t="inlineStr">
        <is>
          <t>STRÖMSUND</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65762-2020</t>
        </is>
      </c>
      <c r="B864" s="1" t="n">
        <v>44174</v>
      </c>
      <c r="C864" s="1" t="n">
        <v>45579</v>
      </c>
      <c r="D864" t="inlineStr">
        <is>
          <t>JÄMTLANDS LÄN</t>
        </is>
      </c>
      <c r="E864" t="inlineStr">
        <is>
          <t>STRÖMSUND</t>
        </is>
      </c>
      <c r="F864" t="inlineStr">
        <is>
          <t>Holmen skog AB</t>
        </is>
      </c>
      <c r="G864" t="n">
        <v>8.5</v>
      </c>
      <c r="H864" t="n">
        <v>0</v>
      </c>
      <c r="I864" t="n">
        <v>0</v>
      </c>
      <c r="J864" t="n">
        <v>0</v>
      </c>
      <c r="K864" t="n">
        <v>0</v>
      </c>
      <c r="L864" t="n">
        <v>0</v>
      </c>
      <c r="M864" t="n">
        <v>0</v>
      </c>
      <c r="N864" t="n">
        <v>0</v>
      </c>
      <c r="O864" t="n">
        <v>0</v>
      </c>
      <c r="P864" t="n">
        <v>0</v>
      </c>
      <c r="Q864" t="n">
        <v>0</v>
      </c>
      <c r="R864" s="2" t="inlineStr"/>
    </row>
    <row r="865" ht="15" customHeight="1">
      <c r="A865" t="inlineStr">
        <is>
          <t>A 65768-2020</t>
        </is>
      </c>
      <c r="B865" s="1" t="n">
        <v>44174</v>
      </c>
      <c r="C865" s="1" t="n">
        <v>45579</v>
      </c>
      <c r="D865" t="inlineStr">
        <is>
          <t>JÄMTLANDS LÄN</t>
        </is>
      </c>
      <c r="E865" t="inlineStr">
        <is>
          <t>STRÖMSUND</t>
        </is>
      </c>
      <c r="F865" t="inlineStr">
        <is>
          <t>Holmen skog AB</t>
        </is>
      </c>
      <c r="G865" t="n">
        <v>21.7</v>
      </c>
      <c r="H865" t="n">
        <v>0</v>
      </c>
      <c r="I865" t="n">
        <v>0</v>
      </c>
      <c r="J865" t="n">
        <v>0</v>
      </c>
      <c r="K865" t="n">
        <v>0</v>
      </c>
      <c r="L865" t="n">
        <v>0</v>
      </c>
      <c r="M865" t="n">
        <v>0</v>
      </c>
      <c r="N865" t="n">
        <v>0</v>
      </c>
      <c r="O865" t="n">
        <v>0</v>
      </c>
      <c r="P865" t="n">
        <v>0</v>
      </c>
      <c r="Q865" t="n">
        <v>0</v>
      </c>
      <c r="R865" s="2" t="inlineStr"/>
    </row>
    <row r="866" ht="15" customHeight="1">
      <c r="A866" t="inlineStr">
        <is>
          <t>A 66130-2020</t>
        </is>
      </c>
      <c r="B866" s="1" t="n">
        <v>44175</v>
      </c>
      <c r="C866" s="1" t="n">
        <v>45579</v>
      </c>
      <c r="D866" t="inlineStr">
        <is>
          <t>JÄMTLANDS LÄN</t>
        </is>
      </c>
      <c r="E866" t="inlineStr">
        <is>
          <t>STRÖMSUND</t>
        </is>
      </c>
      <c r="F866" t="inlineStr">
        <is>
          <t>Holmen skog AB</t>
        </is>
      </c>
      <c r="G866" t="n">
        <v>20.1</v>
      </c>
      <c r="H866" t="n">
        <v>0</v>
      </c>
      <c r="I866" t="n">
        <v>0</v>
      </c>
      <c r="J866" t="n">
        <v>0</v>
      </c>
      <c r="K866" t="n">
        <v>0</v>
      </c>
      <c r="L866" t="n">
        <v>0</v>
      </c>
      <c r="M866" t="n">
        <v>0</v>
      </c>
      <c r="N866" t="n">
        <v>0</v>
      </c>
      <c r="O866" t="n">
        <v>0</v>
      </c>
      <c r="P866" t="n">
        <v>0</v>
      </c>
      <c r="Q866" t="n">
        <v>0</v>
      </c>
      <c r="R866" s="2" t="inlineStr"/>
    </row>
    <row r="867" ht="15" customHeight="1">
      <c r="A867" t="inlineStr">
        <is>
          <t>A 65997-2020</t>
        </is>
      </c>
      <c r="B867" s="1" t="n">
        <v>44175</v>
      </c>
      <c r="C867" s="1" t="n">
        <v>45579</v>
      </c>
      <c r="D867" t="inlineStr">
        <is>
          <t>JÄMTLANDS LÄN</t>
        </is>
      </c>
      <c r="E867" t="inlineStr">
        <is>
          <t>STRÖMSUND</t>
        </is>
      </c>
      <c r="F867" t="inlineStr">
        <is>
          <t>Kyrkan</t>
        </is>
      </c>
      <c r="G867" t="n">
        <v>3.7</v>
      </c>
      <c r="H867" t="n">
        <v>0</v>
      </c>
      <c r="I867" t="n">
        <v>0</v>
      </c>
      <c r="J867" t="n">
        <v>0</v>
      </c>
      <c r="K867" t="n">
        <v>0</v>
      </c>
      <c r="L867" t="n">
        <v>0</v>
      </c>
      <c r="M867" t="n">
        <v>0</v>
      </c>
      <c r="N867" t="n">
        <v>0</v>
      </c>
      <c r="O867" t="n">
        <v>0</v>
      </c>
      <c r="P867" t="n">
        <v>0</v>
      </c>
      <c r="Q867" t="n">
        <v>0</v>
      </c>
      <c r="R867" s="2" t="inlineStr"/>
    </row>
    <row r="868" ht="15" customHeight="1">
      <c r="A868" t="inlineStr">
        <is>
          <t>A 66982-2020</t>
        </is>
      </c>
      <c r="B868" s="1" t="n">
        <v>44176</v>
      </c>
      <c r="C868" s="1" t="n">
        <v>45579</v>
      </c>
      <c r="D868" t="inlineStr">
        <is>
          <t>JÄMTLANDS LÄN</t>
        </is>
      </c>
      <c r="E868" t="inlineStr">
        <is>
          <t>STRÖMSUND</t>
        </is>
      </c>
      <c r="G868" t="n">
        <v>2.4</v>
      </c>
      <c r="H868" t="n">
        <v>0</v>
      </c>
      <c r="I868" t="n">
        <v>0</v>
      </c>
      <c r="J868" t="n">
        <v>0</v>
      </c>
      <c r="K868" t="n">
        <v>0</v>
      </c>
      <c r="L868" t="n">
        <v>0</v>
      </c>
      <c r="M868" t="n">
        <v>0</v>
      </c>
      <c r="N868" t="n">
        <v>0</v>
      </c>
      <c r="O868" t="n">
        <v>0</v>
      </c>
      <c r="P868" t="n">
        <v>0</v>
      </c>
      <c r="Q868" t="n">
        <v>0</v>
      </c>
      <c r="R868" s="2" t="inlineStr"/>
    </row>
    <row r="869" ht="15" customHeight="1">
      <c r="A869" t="inlineStr">
        <is>
          <t>A 66983-2020</t>
        </is>
      </c>
      <c r="B869" s="1" t="n">
        <v>44176</v>
      </c>
      <c r="C869" s="1" t="n">
        <v>45579</v>
      </c>
      <c r="D869" t="inlineStr">
        <is>
          <t>JÄMTLANDS LÄN</t>
        </is>
      </c>
      <c r="E869" t="inlineStr">
        <is>
          <t>STRÖMSUND</t>
        </is>
      </c>
      <c r="G869" t="n">
        <v>4.8</v>
      </c>
      <c r="H869" t="n">
        <v>0</v>
      </c>
      <c r="I869" t="n">
        <v>0</v>
      </c>
      <c r="J869" t="n">
        <v>0</v>
      </c>
      <c r="K869" t="n">
        <v>0</v>
      </c>
      <c r="L869" t="n">
        <v>0</v>
      </c>
      <c r="M869" t="n">
        <v>0</v>
      </c>
      <c r="N869" t="n">
        <v>0</v>
      </c>
      <c r="O869" t="n">
        <v>0</v>
      </c>
      <c r="P869" t="n">
        <v>0</v>
      </c>
      <c r="Q869" t="n">
        <v>0</v>
      </c>
      <c r="R869" s="2" t="inlineStr"/>
    </row>
    <row r="870" ht="15" customHeight="1">
      <c r="A870" t="inlineStr">
        <is>
          <t>A 66770-2020</t>
        </is>
      </c>
      <c r="B870" s="1" t="n">
        <v>44179</v>
      </c>
      <c r="C870" s="1" t="n">
        <v>45579</v>
      </c>
      <c r="D870" t="inlineStr">
        <is>
          <t>JÄMTLANDS LÄN</t>
        </is>
      </c>
      <c r="E870" t="inlineStr">
        <is>
          <t>STRÖMSUND</t>
        </is>
      </c>
      <c r="F870" t="inlineStr">
        <is>
          <t>Holmen skog AB</t>
        </is>
      </c>
      <c r="G870" t="n">
        <v>17.9</v>
      </c>
      <c r="H870" t="n">
        <v>0</v>
      </c>
      <c r="I870" t="n">
        <v>0</v>
      </c>
      <c r="J870" t="n">
        <v>0</v>
      </c>
      <c r="K870" t="n">
        <v>0</v>
      </c>
      <c r="L870" t="n">
        <v>0</v>
      </c>
      <c r="M870" t="n">
        <v>0</v>
      </c>
      <c r="N870" t="n">
        <v>0</v>
      </c>
      <c r="O870" t="n">
        <v>0</v>
      </c>
      <c r="P870" t="n">
        <v>0</v>
      </c>
      <c r="Q870" t="n">
        <v>0</v>
      </c>
      <c r="R870" s="2" t="inlineStr"/>
    </row>
    <row r="871" ht="15" customHeight="1">
      <c r="A871" t="inlineStr">
        <is>
          <t>A 66653-2020</t>
        </is>
      </c>
      <c r="B871" s="1" t="n">
        <v>44179</v>
      </c>
      <c r="C871" s="1" t="n">
        <v>45579</v>
      </c>
      <c r="D871" t="inlineStr">
        <is>
          <t>JÄMTLANDS LÄN</t>
        </is>
      </c>
      <c r="E871" t="inlineStr">
        <is>
          <t>STRÖMSUND</t>
        </is>
      </c>
      <c r="F871" t="inlineStr">
        <is>
          <t>SCA</t>
        </is>
      </c>
      <c r="G871" t="n">
        <v>27.7</v>
      </c>
      <c r="H871" t="n">
        <v>0</v>
      </c>
      <c r="I871" t="n">
        <v>0</v>
      </c>
      <c r="J871" t="n">
        <v>0</v>
      </c>
      <c r="K871" t="n">
        <v>0</v>
      </c>
      <c r="L871" t="n">
        <v>0</v>
      </c>
      <c r="M871" t="n">
        <v>0</v>
      </c>
      <c r="N871" t="n">
        <v>0</v>
      </c>
      <c r="O871" t="n">
        <v>0</v>
      </c>
      <c r="P871" t="n">
        <v>0</v>
      </c>
      <c r="Q871" t="n">
        <v>0</v>
      </c>
      <c r="R871" s="2" t="inlineStr"/>
    </row>
    <row r="872" ht="15" customHeight="1">
      <c r="A872" t="inlineStr">
        <is>
          <t>A 66702-2020</t>
        </is>
      </c>
      <c r="B872" s="1" t="n">
        <v>44179</v>
      </c>
      <c r="C872" s="1" t="n">
        <v>45579</v>
      </c>
      <c r="D872" t="inlineStr">
        <is>
          <t>JÄMTLANDS LÄN</t>
        </is>
      </c>
      <c r="E872" t="inlineStr">
        <is>
          <t>STRÖMSUND</t>
        </is>
      </c>
      <c r="F872" t="inlineStr">
        <is>
          <t>SCA</t>
        </is>
      </c>
      <c r="G872" t="n">
        <v>23.5</v>
      </c>
      <c r="H872" t="n">
        <v>0</v>
      </c>
      <c r="I872" t="n">
        <v>0</v>
      </c>
      <c r="J872" t="n">
        <v>0</v>
      </c>
      <c r="K872" t="n">
        <v>0</v>
      </c>
      <c r="L872" t="n">
        <v>0</v>
      </c>
      <c r="M872" t="n">
        <v>0</v>
      </c>
      <c r="N872" t="n">
        <v>0</v>
      </c>
      <c r="O872" t="n">
        <v>0</v>
      </c>
      <c r="P872" t="n">
        <v>0</v>
      </c>
      <c r="Q872" t="n">
        <v>0</v>
      </c>
      <c r="R872" s="2" t="inlineStr"/>
    </row>
    <row r="873" ht="15" customHeight="1">
      <c r="A873" t="inlineStr">
        <is>
          <t>A 66739-2020</t>
        </is>
      </c>
      <c r="B873" s="1" t="n">
        <v>44179</v>
      </c>
      <c r="C873" s="1" t="n">
        <v>45579</v>
      </c>
      <c r="D873" t="inlineStr">
        <is>
          <t>JÄMTLANDS LÄN</t>
        </is>
      </c>
      <c r="E873" t="inlineStr">
        <is>
          <t>STRÖMSUND</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67620-2020</t>
        </is>
      </c>
      <c r="B874" s="1" t="n">
        <v>44181</v>
      </c>
      <c r="C874" s="1" t="n">
        <v>45579</v>
      </c>
      <c r="D874" t="inlineStr">
        <is>
          <t>JÄMTLANDS LÄN</t>
        </is>
      </c>
      <c r="E874" t="inlineStr">
        <is>
          <t>STRÖMSUND</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67621-2020</t>
        </is>
      </c>
      <c r="B875" s="1" t="n">
        <v>44181</v>
      </c>
      <c r="C875" s="1" t="n">
        <v>45579</v>
      </c>
      <c r="D875" t="inlineStr">
        <is>
          <t>JÄMTLANDS LÄN</t>
        </is>
      </c>
      <c r="E875" t="inlineStr">
        <is>
          <t>STRÖMSUND</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67618-2020</t>
        </is>
      </c>
      <c r="B876" s="1" t="n">
        <v>44181</v>
      </c>
      <c r="C876" s="1" t="n">
        <v>45579</v>
      </c>
      <c r="D876" t="inlineStr">
        <is>
          <t>JÄMTLANDS LÄN</t>
        </is>
      </c>
      <c r="E876" t="inlineStr">
        <is>
          <t>STRÖMSUND</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68006-2020</t>
        </is>
      </c>
      <c r="B877" s="1" t="n">
        <v>44182</v>
      </c>
      <c r="C877" s="1" t="n">
        <v>45579</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68522-2020</t>
        </is>
      </c>
      <c r="B878" s="1" t="n">
        <v>44186</v>
      </c>
      <c r="C878" s="1" t="n">
        <v>45579</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68568-2020</t>
        </is>
      </c>
      <c r="B879" s="1" t="n">
        <v>44186</v>
      </c>
      <c r="C879" s="1" t="n">
        <v>45579</v>
      </c>
      <c r="D879" t="inlineStr">
        <is>
          <t>JÄMTLANDS LÄN</t>
        </is>
      </c>
      <c r="E879" t="inlineStr">
        <is>
          <t>STRÖMSUND</t>
        </is>
      </c>
      <c r="F879" t="inlineStr">
        <is>
          <t>Holmen skog AB</t>
        </is>
      </c>
      <c r="G879" t="n">
        <v>39.3</v>
      </c>
      <c r="H879" t="n">
        <v>0</v>
      </c>
      <c r="I879" t="n">
        <v>0</v>
      </c>
      <c r="J879" t="n">
        <v>0</v>
      </c>
      <c r="K879" t="n">
        <v>0</v>
      </c>
      <c r="L879" t="n">
        <v>0</v>
      </c>
      <c r="M879" t="n">
        <v>0</v>
      </c>
      <c r="N879" t="n">
        <v>0</v>
      </c>
      <c r="O879" t="n">
        <v>0</v>
      </c>
      <c r="P879" t="n">
        <v>0</v>
      </c>
      <c r="Q879" t="n">
        <v>0</v>
      </c>
      <c r="R879" s="2" t="inlineStr"/>
    </row>
    <row r="880" ht="15" customHeight="1">
      <c r="A880" t="inlineStr">
        <is>
          <t>A 68783-2020</t>
        </is>
      </c>
      <c r="B880" s="1" t="n">
        <v>44186</v>
      </c>
      <c r="C880" s="1" t="n">
        <v>45579</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68653-2020</t>
        </is>
      </c>
      <c r="B881" s="1" t="n">
        <v>44186</v>
      </c>
      <c r="C881" s="1" t="n">
        <v>45579</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69282-2020</t>
        </is>
      </c>
      <c r="B882" s="1" t="n">
        <v>44188</v>
      </c>
      <c r="C882" s="1" t="n">
        <v>45579</v>
      </c>
      <c r="D882" t="inlineStr">
        <is>
          <t>JÄMTLANDS LÄN</t>
        </is>
      </c>
      <c r="E882" t="inlineStr">
        <is>
          <t>STRÖMSUND</t>
        </is>
      </c>
      <c r="G882" t="n">
        <v>13.8</v>
      </c>
      <c r="H882" t="n">
        <v>0</v>
      </c>
      <c r="I882" t="n">
        <v>0</v>
      </c>
      <c r="J882" t="n">
        <v>0</v>
      </c>
      <c r="K882" t="n">
        <v>0</v>
      </c>
      <c r="L882" t="n">
        <v>0</v>
      </c>
      <c r="M882" t="n">
        <v>0</v>
      </c>
      <c r="N882" t="n">
        <v>0</v>
      </c>
      <c r="O882" t="n">
        <v>0</v>
      </c>
      <c r="P882" t="n">
        <v>0</v>
      </c>
      <c r="Q882" t="n">
        <v>0</v>
      </c>
      <c r="R882" s="2" t="inlineStr"/>
    </row>
    <row r="883" ht="15" customHeight="1">
      <c r="A883" t="inlineStr">
        <is>
          <t>A 69346-2020</t>
        </is>
      </c>
      <c r="B883" s="1" t="n">
        <v>44193</v>
      </c>
      <c r="C883" s="1" t="n">
        <v>45579</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69508-2020</t>
        </is>
      </c>
      <c r="B884" s="1" t="n">
        <v>44193</v>
      </c>
      <c r="C884" s="1" t="n">
        <v>45579</v>
      </c>
      <c r="D884" t="inlineStr">
        <is>
          <t>JÄMTLANDS LÄN</t>
        </is>
      </c>
      <c r="E884" t="inlineStr">
        <is>
          <t>STRÖMSUND</t>
        </is>
      </c>
      <c r="F884" t="inlineStr">
        <is>
          <t>Övriga statliga verk och myndigheter</t>
        </is>
      </c>
      <c r="G884" t="n">
        <v>6.1</v>
      </c>
      <c r="H884" t="n">
        <v>0</v>
      </c>
      <c r="I884" t="n">
        <v>0</v>
      </c>
      <c r="J884" t="n">
        <v>0</v>
      </c>
      <c r="K884" t="n">
        <v>0</v>
      </c>
      <c r="L884" t="n">
        <v>0</v>
      </c>
      <c r="M884" t="n">
        <v>0</v>
      </c>
      <c r="N884" t="n">
        <v>0</v>
      </c>
      <c r="O884" t="n">
        <v>0</v>
      </c>
      <c r="P884" t="n">
        <v>0</v>
      </c>
      <c r="Q884" t="n">
        <v>0</v>
      </c>
      <c r="R884" s="2" t="inlineStr"/>
    </row>
    <row r="885" ht="15" customHeight="1">
      <c r="A885" t="inlineStr">
        <is>
          <t>A 69506-2020</t>
        </is>
      </c>
      <c r="B885" s="1" t="n">
        <v>44193</v>
      </c>
      <c r="C885" s="1" t="n">
        <v>45579</v>
      </c>
      <c r="D885" t="inlineStr">
        <is>
          <t>JÄMTLANDS LÄN</t>
        </is>
      </c>
      <c r="E885" t="inlineStr">
        <is>
          <t>STRÖMSUND</t>
        </is>
      </c>
      <c r="F885" t="inlineStr">
        <is>
          <t>Övriga statliga verk och myndigheter</t>
        </is>
      </c>
      <c r="G885" t="n">
        <v>14.1</v>
      </c>
      <c r="H885" t="n">
        <v>0</v>
      </c>
      <c r="I885" t="n">
        <v>0</v>
      </c>
      <c r="J885" t="n">
        <v>0</v>
      </c>
      <c r="K885" t="n">
        <v>0</v>
      </c>
      <c r="L885" t="n">
        <v>0</v>
      </c>
      <c r="M885" t="n">
        <v>0</v>
      </c>
      <c r="N885" t="n">
        <v>0</v>
      </c>
      <c r="O885" t="n">
        <v>0</v>
      </c>
      <c r="P885" t="n">
        <v>0</v>
      </c>
      <c r="Q885" t="n">
        <v>0</v>
      </c>
      <c r="R885" s="2" t="inlineStr"/>
    </row>
    <row r="886" ht="15" customHeight="1">
      <c r="A886" t="inlineStr">
        <is>
          <t>A 108-2021</t>
        </is>
      </c>
      <c r="B886" s="1" t="n">
        <v>44195</v>
      </c>
      <c r="C886" s="1" t="n">
        <v>45579</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135-2021</t>
        </is>
      </c>
      <c r="B887" s="1" t="n">
        <v>44196</v>
      </c>
      <c r="C887" s="1" t="n">
        <v>45579</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142-2021</t>
        </is>
      </c>
      <c r="B888" s="1" t="n">
        <v>44196</v>
      </c>
      <c r="C888" s="1" t="n">
        <v>45579</v>
      </c>
      <c r="D888" t="inlineStr">
        <is>
          <t>JÄMTLANDS LÄN</t>
        </is>
      </c>
      <c r="E888" t="inlineStr">
        <is>
          <t>STRÖMSUND</t>
        </is>
      </c>
      <c r="G888" t="n">
        <v>6.1</v>
      </c>
      <c r="H888" t="n">
        <v>0</v>
      </c>
      <c r="I888" t="n">
        <v>0</v>
      </c>
      <c r="J888" t="n">
        <v>0</v>
      </c>
      <c r="K888" t="n">
        <v>0</v>
      </c>
      <c r="L888" t="n">
        <v>0</v>
      </c>
      <c r="M888" t="n">
        <v>0</v>
      </c>
      <c r="N888" t="n">
        <v>0</v>
      </c>
      <c r="O888" t="n">
        <v>0</v>
      </c>
      <c r="P888" t="n">
        <v>0</v>
      </c>
      <c r="Q888" t="n">
        <v>0</v>
      </c>
      <c r="R888" s="2" t="inlineStr"/>
    </row>
    <row r="889" ht="15" customHeight="1">
      <c r="A889" t="inlineStr">
        <is>
          <t>A 138-2021</t>
        </is>
      </c>
      <c r="B889" s="1" t="n">
        <v>44196</v>
      </c>
      <c r="C889" s="1" t="n">
        <v>45579</v>
      </c>
      <c r="D889" t="inlineStr">
        <is>
          <t>JÄMTLANDS LÄN</t>
        </is>
      </c>
      <c r="E889" t="inlineStr">
        <is>
          <t>STRÖMSUND</t>
        </is>
      </c>
      <c r="G889" t="n">
        <v>3.3</v>
      </c>
      <c r="H889" t="n">
        <v>0</v>
      </c>
      <c r="I889" t="n">
        <v>0</v>
      </c>
      <c r="J889" t="n">
        <v>0</v>
      </c>
      <c r="K889" t="n">
        <v>0</v>
      </c>
      <c r="L889" t="n">
        <v>0</v>
      </c>
      <c r="M889" t="n">
        <v>0</v>
      </c>
      <c r="N889" t="n">
        <v>0</v>
      </c>
      <c r="O889" t="n">
        <v>0</v>
      </c>
      <c r="P889" t="n">
        <v>0</v>
      </c>
      <c r="Q889" t="n">
        <v>0</v>
      </c>
      <c r="R889" s="2" t="inlineStr"/>
    </row>
    <row r="890" ht="15" customHeight="1">
      <c r="A890" t="inlineStr">
        <is>
          <t>A 326-2021</t>
        </is>
      </c>
      <c r="B890" s="1" t="n">
        <v>44201</v>
      </c>
      <c r="C890" s="1" t="n">
        <v>45579</v>
      </c>
      <c r="D890" t="inlineStr">
        <is>
          <t>JÄMTLANDS LÄN</t>
        </is>
      </c>
      <c r="E890" t="inlineStr">
        <is>
          <t>STRÖMSUND</t>
        </is>
      </c>
      <c r="F890" t="inlineStr">
        <is>
          <t>SCA</t>
        </is>
      </c>
      <c r="G890" t="n">
        <v>88.09999999999999</v>
      </c>
      <c r="H890" t="n">
        <v>0</v>
      </c>
      <c r="I890" t="n">
        <v>0</v>
      </c>
      <c r="J890" t="n">
        <v>0</v>
      </c>
      <c r="K890" t="n">
        <v>0</v>
      </c>
      <c r="L890" t="n">
        <v>0</v>
      </c>
      <c r="M890" t="n">
        <v>0</v>
      </c>
      <c r="N890" t="n">
        <v>0</v>
      </c>
      <c r="O890" t="n">
        <v>0</v>
      </c>
      <c r="P890" t="n">
        <v>0</v>
      </c>
      <c r="Q890" t="n">
        <v>0</v>
      </c>
      <c r="R890" s="2" t="inlineStr"/>
    </row>
    <row r="891" ht="15" customHeight="1">
      <c r="A891" t="inlineStr">
        <is>
          <t>A 363-2021</t>
        </is>
      </c>
      <c r="B891" s="1" t="n">
        <v>44201</v>
      </c>
      <c r="C891" s="1" t="n">
        <v>45579</v>
      </c>
      <c r="D891" t="inlineStr">
        <is>
          <t>JÄMTLANDS LÄN</t>
        </is>
      </c>
      <c r="E891" t="inlineStr">
        <is>
          <t>STRÖMSUND</t>
        </is>
      </c>
      <c r="F891" t="inlineStr">
        <is>
          <t>SCA</t>
        </is>
      </c>
      <c r="G891" t="n">
        <v>52.4</v>
      </c>
      <c r="H891" t="n">
        <v>0</v>
      </c>
      <c r="I891" t="n">
        <v>0</v>
      </c>
      <c r="J891" t="n">
        <v>0</v>
      </c>
      <c r="K891" t="n">
        <v>0</v>
      </c>
      <c r="L891" t="n">
        <v>0</v>
      </c>
      <c r="M891" t="n">
        <v>0</v>
      </c>
      <c r="N891" t="n">
        <v>0</v>
      </c>
      <c r="O891" t="n">
        <v>0</v>
      </c>
      <c r="P891" t="n">
        <v>0</v>
      </c>
      <c r="Q891" t="n">
        <v>0</v>
      </c>
      <c r="R891" s="2" t="inlineStr"/>
    </row>
    <row r="892" ht="15" customHeight="1">
      <c r="A892" t="inlineStr">
        <is>
          <t>A 457-2021</t>
        </is>
      </c>
      <c r="B892" s="1" t="n">
        <v>44202</v>
      </c>
      <c r="C892" s="1" t="n">
        <v>45579</v>
      </c>
      <c r="D892" t="inlineStr">
        <is>
          <t>JÄMTLANDS LÄN</t>
        </is>
      </c>
      <c r="E892" t="inlineStr">
        <is>
          <t>STRÖMSUND</t>
        </is>
      </c>
      <c r="G892" t="n">
        <v>2.3</v>
      </c>
      <c r="H892" t="n">
        <v>0</v>
      </c>
      <c r="I892" t="n">
        <v>0</v>
      </c>
      <c r="J892" t="n">
        <v>0</v>
      </c>
      <c r="K892" t="n">
        <v>0</v>
      </c>
      <c r="L892" t="n">
        <v>0</v>
      </c>
      <c r="M892" t="n">
        <v>0</v>
      </c>
      <c r="N892" t="n">
        <v>0</v>
      </c>
      <c r="O892" t="n">
        <v>0</v>
      </c>
      <c r="P892" t="n">
        <v>0</v>
      </c>
      <c r="Q892" t="n">
        <v>0</v>
      </c>
      <c r="R892" s="2" t="inlineStr"/>
    </row>
    <row r="893" ht="15" customHeight="1">
      <c r="A893" t="inlineStr">
        <is>
          <t>A 582-2021</t>
        </is>
      </c>
      <c r="B893" s="1" t="n">
        <v>44203</v>
      </c>
      <c r="C893" s="1" t="n">
        <v>45579</v>
      </c>
      <c r="D893" t="inlineStr">
        <is>
          <t>JÄMTLANDS LÄN</t>
        </is>
      </c>
      <c r="E893" t="inlineStr">
        <is>
          <t>STRÖMSUND</t>
        </is>
      </c>
      <c r="F893" t="inlineStr">
        <is>
          <t>SCA</t>
        </is>
      </c>
      <c r="G893" t="n">
        <v>54.9</v>
      </c>
      <c r="H893" t="n">
        <v>0</v>
      </c>
      <c r="I893" t="n">
        <v>0</v>
      </c>
      <c r="J893" t="n">
        <v>0</v>
      </c>
      <c r="K893" t="n">
        <v>0</v>
      </c>
      <c r="L893" t="n">
        <v>0</v>
      </c>
      <c r="M893" t="n">
        <v>0</v>
      </c>
      <c r="N893" t="n">
        <v>0</v>
      </c>
      <c r="O893" t="n">
        <v>0</v>
      </c>
      <c r="P893" t="n">
        <v>0</v>
      </c>
      <c r="Q893" t="n">
        <v>0</v>
      </c>
      <c r="R893" s="2" t="inlineStr"/>
    </row>
    <row r="894" ht="15" customHeight="1">
      <c r="A894" t="inlineStr">
        <is>
          <t>A 647-2021</t>
        </is>
      </c>
      <c r="B894" s="1" t="n">
        <v>44203</v>
      </c>
      <c r="C894" s="1" t="n">
        <v>45579</v>
      </c>
      <c r="D894" t="inlineStr">
        <is>
          <t>JÄMTLANDS LÄN</t>
        </is>
      </c>
      <c r="E894" t="inlineStr">
        <is>
          <t>STRÖMSUND</t>
        </is>
      </c>
      <c r="F894" t="inlineStr">
        <is>
          <t>SCA</t>
        </is>
      </c>
      <c r="G894" t="n">
        <v>151.3</v>
      </c>
      <c r="H894" t="n">
        <v>0</v>
      </c>
      <c r="I894" t="n">
        <v>0</v>
      </c>
      <c r="J894" t="n">
        <v>0</v>
      </c>
      <c r="K894" t="n">
        <v>0</v>
      </c>
      <c r="L894" t="n">
        <v>0</v>
      </c>
      <c r="M894" t="n">
        <v>0</v>
      </c>
      <c r="N894" t="n">
        <v>0</v>
      </c>
      <c r="O894" t="n">
        <v>0</v>
      </c>
      <c r="P894" t="n">
        <v>0</v>
      </c>
      <c r="Q894" t="n">
        <v>0</v>
      </c>
      <c r="R894" s="2" t="inlineStr"/>
    </row>
    <row r="895" ht="15" customHeight="1">
      <c r="A895" t="inlineStr">
        <is>
          <t>A 742-2021</t>
        </is>
      </c>
      <c r="B895" s="1" t="n">
        <v>44204</v>
      </c>
      <c r="C895" s="1" t="n">
        <v>45579</v>
      </c>
      <c r="D895" t="inlineStr">
        <is>
          <t>JÄMTLANDS LÄN</t>
        </is>
      </c>
      <c r="E895" t="inlineStr">
        <is>
          <t>STRÖMSUND</t>
        </is>
      </c>
      <c r="F895" t="inlineStr">
        <is>
          <t>SCA</t>
        </is>
      </c>
      <c r="G895" t="n">
        <v>22.8</v>
      </c>
      <c r="H895" t="n">
        <v>0</v>
      </c>
      <c r="I895" t="n">
        <v>0</v>
      </c>
      <c r="J895" t="n">
        <v>0</v>
      </c>
      <c r="K895" t="n">
        <v>0</v>
      </c>
      <c r="L895" t="n">
        <v>0</v>
      </c>
      <c r="M895" t="n">
        <v>0</v>
      </c>
      <c r="N895" t="n">
        <v>0</v>
      </c>
      <c r="O895" t="n">
        <v>0</v>
      </c>
      <c r="P895" t="n">
        <v>0</v>
      </c>
      <c r="Q895" t="n">
        <v>0</v>
      </c>
      <c r="R895" s="2" t="inlineStr"/>
    </row>
    <row r="896" ht="15" customHeight="1">
      <c r="A896" t="inlineStr">
        <is>
          <t>A 1305-2021</t>
        </is>
      </c>
      <c r="B896" s="1" t="n">
        <v>44207</v>
      </c>
      <c r="C896" s="1" t="n">
        <v>45579</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2159-2021</t>
        </is>
      </c>
      <c r="B897" s="1" t="n">
        <v>44211</v>
      </c>
      <c r="C897" s="1" t="n">
        <v>45579</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2432-2021</t>
        </is>
      </c>
      <c r="B898" s="1" t="n">
        <v>44211</v>
      </c>
      <c r="C898" s="1" t="n">
        <v>45579</v>
      </c>
      <c r="D898" t="inlineStr">
        <is>
          <t>JÄMTLANDS LÄN</t>
        </is>
      </c>
      <c r="E898" t="inlineStr">
        <is>
          <t>STRÖMSUND</t>
        </is>
      </c>
      <c r="G898" t="n">
        <v>1.5</v>
      </c>
      <c r="H898" t="n">
        <v>0</v>
      </c>
      <c r="I898" t="n">
        <v>0</v>
      </c>
      <c r="J898" t="n">
        <v>0</v>
      </c>
      <c r="K898" t="n">
        <v>0</v>
      </c>
      <c r="L898" t="n">
        <v>0</v>
      </c>
      <c r="M898" t="n">
        <v>0</v>
      </c>
      <c r="N898" t="n">
        <v>0</v>
      </c>
      <c r="O898" t="n">
        <v>0</v>
      </c>
      <c r="P898" t="n">
        <v>0</v>
      </c>
      <c r="Q898" t="n">
        <v>0</v>
      </c>
      <c r="R898" s="2" t="inlineStr"/>
    </row>
    <row r="899" ht="15" customHeight="1">
      <c r="A899" t="inlineStr">
        <is>
          <t>A 2549-2021</t>
        </is>
      </c>
      <c r="B899" s="1" t="n">
        <v>44214</v>
      </c>
      <c r="C899" s="1" t="n">
        <v>45579</v>
      </c>
      <c r="D899" t="inlineStr">
        <is>
          <t>JÄMTLANDS LÄN</t>
        </is>
      </c>
      <c r="E899" t="inlineStr">
        <is>
          <t>STRÖMSUND</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2660-2021</t>
        </is>
      </c>
      <c r="B900" s="1" t="n">
        <v>44215</v>
      </c>
      <c r="C900" s="1" t="n">
        <v>45579</v>
      </c>
      <c r="D900" t="inlineStr">
        <is>
          <t>JÄMTLANDS LÄN</t>
        </is>
      </c>
      <c r="E900" t="inlineStr">
        <is>
          <t>STRÖMSUND</t>
        </is>
      </c>
      <c r="G900" t="n">
        <v>11.2</v>
      </c>
      <c r="H900" t="n">
        <v>0</v>
      </c>
      <c r="I900" t="n">
        <v>0</v>
      </c>
      <c r="J900" t="n">
        <v>0</v>
      </c>
      <c r="K900" t="n">
        <v>0</v>
      </c>
      <c r="L900" t="n">
        <v>0</v>
      </c>
      <c r="M900" t="n">
        <v>0</v>
      </c>
      <c r="N900" t="n">
        <v>0</v>
      </c>
      <c r="O900" t="n">
        <v>0</v>
      </c>
      <c r="P900" t="n">
        <v>0</v>
      </c>
      <c r="Q900" t="n">
        <v>0</v>
      </c>
      <c r="R900" s="2" t="inlineStr"/>
    </row>
    <row r="901" ht="15" customHeight="1">
      <c r="A901" t="inlineStr">
        <is>
          <t>A 3186-2021</t>
        </is>
      </c>
      <c r="B901" s="1" t="n">
        <v>44217</v>
      </c>
      <c r="C901" s="1" t="n">
        <v>45579</v>
      </c>
      <c r="D901" t="inlineStr">
        <is>
          <t>JÄMTLANDS LÄN</t>
        </is>
      </c>
      <c r="E901" t="inlineStr">
        <is>
          <t>STRÖMSUND</t>
        </is>
      </c>
      <c r="G901" t="n">
        <v>13.7</v>
      </c>
      <c r="H901" t="n">
        <v>0</v>
      </c>
      <c r="I901" t="n">
        <v>0</v>
      </c>
      <c r="J901" t="n">
        <v>0</v>
      </c>
      <c r="K901" t="n">
        <v>0</v>
      </c>
      <c r="L901" t="n">
        <v>0</v>
      </c>
      <c r="M901" t="n">
        <v>0</v>
      </c>
      <c r="N901" t="n">
        <v>0</v>
      </c>
      <c r="O901" t="n">
        <v>0</v>
      </c>
      <c r="P901" t="n">
        <v>0</v>
      </c>
      <c r="Q901" t="n">
        <v>0</v>
      </c>
      <c r="R901" s="2" t="inlineStr"/>
    </row>
    <row r="902" ht="15" customHeight="1">
      <c r="A902" t="inlineStr">
        <is>
          <t>A 4004-2021</t>
        </is>
      </c>
      <c r="B902" s="1" t="n">
        <v>44222</v>
      </c>
      <c r="C902" s="1" t="n">
        <v>45579</v>
      </c>
      <c r="D902" t="inlineStr">
        <is>
          <t>JÄMTLANDS LÄN</t>
        </is>
      </c>
      <c r="E902" t="inlineStr">
        <is>
          <t>STRÖMSUND</t>
        </is>
      </c>
      <c r="F902" t="inlineStr">
        <is>
          <t>Kyrkan</t>
        </is>
      </c>
      <c r="G902" t="n">
        <v>5.9</v>
      </c>
      <c r="H902" t="n">
        <v>0</v>
      </c>
      <c r="I902" t="n">
        <v>0</v>
      </c>
      <c r="J902" t="n">
        <v>0</v>
      </c>
      <c r="K902" t="n">
        <v>0</v>
      </c>
      <c r="L902" t="n">
        <v>0</v>
      </c>
      <c r="M902" t="n">
        <v>0</v>
      </c>
      <c r="N902" t="n">
        <v>0</v>
      </c>
      <c r="O902" t="n">
        <v>0</v>
      </c>
      <c r="P902" t="n">
        <v>0</v>
      </c>
      <c r="Q902" t="n">
        <v>0</v>
      </c>
      <c r="R902" s="2" t="inlineStr"/>
    </row>
    <row r="903" ht="15" customHeight="1">
      <c r="A903" t="inlineStr">
        <is>
          <t>A 4135-2021</t>
        </is>
      </c>
      <c r="B903" s="1" t="n">
        <v>44223</v>
      </c>
      <c r="C903" s="1" t="n">
        <v>45579</v>
      </c>
      <c r="D903" t="inlineStr">
        <is>
          <t>JÄMTLANDS LÄN</t>
        </is>
      </c>
      <c r="E903" t="inlineStr">
        <is>
          <t>STRÖMSUND</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4662-2021</t>
        </is>
      </c>
      <c r="B904" s="1" t="n">
        <v>44224</v>
      </c>
      <c r="C904" s="1" t="n">
        <v>45579</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4661-2021</t>
        </is>
      </c>
      <c r="B905" s="1" t="n">
        <v>44224</v>
      </c>
      <c r="C905" s="1" t="n">
        <v>45579</v>
      </c>
      <c r="D905" t="inlineStr">
        <is>
          <t>JÄMTLANDS LÄN</t>
        </is>
      </c>
      <c r="E905" t="inlineStr">
        <is>
          <t>STRÖMSUND</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5034-2021</t>
        </is>
      </c>
      <c r="B906" s="1" t="n">
        <v>44228</v>
      </c>
      <c r="C906" s="1" t="n">
        <v>45579</v>
      </c>
      <c r="D906" t="inlineStr">
        <is>
          <t>JÄMTLANDS LÄN</t>
        </is>
      </c>
      <c r="E906" t="inlineStr">
        <is>
          <t>STRÖMSUND</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5384-2021</t>
        </is>
      </c>
      <c r="B907" s="1" t="n">
        <v>44228</v>
      </c>
      <c r="C907" s="1" t="n">
        <v>45579</v>
      </c>
      <c r="D907" t="inlineStr">
        <is>
          <t>JÄMTLANDS LÄN</t>
        </is>
      </c>
      <c r="E907" t="inlineStr">
        <is>
          <t>STRÖMSUND</t>
        </is>
      </c>
      <c r="G907" t="n">
        <v>18.3</v>
      </c>
      <c r="H907" t="n">
        <v>0</v>
      </c>
      <c r="I907" t="n">
        <v>0</v>
      </c>
      <c r="J907" t="n">
        <v>0</v>
      </c>
      <c r="K907" t="n">
        <v>0</v>
      </c>
      <c r="L907" t="n">
        <v>0</v>
      </c>
      <c r="M907" t="n">
        <v>0</v>
      </c>
      <c r="N907" t="n">
        <v>0</v>
      </c>
      <c r="O907" t="n">
        <v>0</v>
      </c>
      <c r="P907" t="n">
        <v>0</v>
      </c>
      <c r="Q907" t="n">
        <v>0</v>
      </c>
      <c r="R907" s="2" t="inlineStr"/>
    </row>
    <row r="908" ht="15" customHeight="1">
      <c r="A908" t="inlineStr">
        <is>
          <t>A 5464-2021</t>
        </is>
      </c>
      <c r="B908" s="1" t="n">
        <v>44229</v>
      </c>
      <c r="C908" s="1" t="n">
        <v>45579</v>
      </c>
      <c r="D908" t="inlineStr">
        <is>
          <t>JÄMTLANDS LÄN</t>
        </is>
      </c>
      <c r="E908" t="inlineStr">
        <is>
          <t>STRÖMSUND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5470-2021</t>
        </is>
      </c>
      <c r="B909" s="1" t="n">
        <v>44229</v>
      </c>
      <c r="C909" s="1" t="n">
        <v>45579</v>
      </c>
      <c r="D909" t="inlineStr">
        <is>
          <t>JÄMTLANDS LÄN</t>
        </is>
      </c>
      <c r="E909" t="inlineStr">
        <is>
          <t>STRÖMSUND</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5795-2021</t>
        </is>
      </c>
      <c r="B910" s="1" t="n">
        <v>44230</v>
      </c>
      <c r="C910" s="1" t="n">
        <v>45579</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5794-2021</t>
        </is>
      </c>
      <c r="B911" s="1" t="n">
        <v>44230</v>
      </c>
      <c r="C911" s="1" t="n">
        <v>45579</v>
      </c>
      <c r="D911" t="inlineStr">
        <is>
          <t>JÄMTLANDS LÄN</t>
        </is>
      </c>
      <c r="E911" t="inlineStr">
        <is>
          <t>STRÖMSUND</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6386-2021</t>
        </is>
      </c>
      <c r="B912" s="1" t="n">
        <v>44232</v>
      </c>
      <c r="C912" s="1" t="n">
        <v>45579</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6394-2021</t>
        </is>
      </c>
      <c r="B913" s="1" t="n">
        <v>44232</v>
      </c>
      <c r="C913" s="1" t="n">
        <v>45579</v>
      </c>
      <c r="D913" t="inlineStr">
        <is>
          <t>JÄMTLANDS LÄN</t>
        </is>
      </c>
      <c r="E913" t="inlineStr">
        <is>
          <t>STRÖMSUND</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6371-2021</t>
        </is>
      </c>
      <c r="B914" s="1" t="n">
        <v>44232</v>
      </c>
      <c r="C914" s="1" t="n">
        <v>45579</v>
      </c>
      <c r="D914" t="inlineStr">
        <is>
          <t>JÄMTLANDS LÄN</t>
        </is>
      </c>
      <c r="E914" t="inlineStr">
        <is>
          <t>STRÖMSUND</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7268-2021</t>
        </is>
      </c>
      <c r="B915" s="1" t="n">
        <v>44238</v>
      </c>
      <c r="C915" s="1" t="n">
        <v>45579</v>
      </c>
      <c r="D915" t="inlineStr">
        <is>
          <t>JÄMTLANDS LÄN</t>
        </is>
      </c>
      <c r="E915" t="inlineStr">
        <is>
          <t>STRÖMSUND</t>
        </is>
      </c>
      <c r="G915" t="n">
        <v>5.2</v>
      </c>
      <c r="H915" t="n">
        <v>0</v>
      </c>
      <c r="I915" t="n">
        <v>0</v>
      </c>
      <c r="J915" t="n">
        <v>0</v>
      </c>
      <c r="K915" t="n">
        <v>0</v>
      </c>
      <c r="L915" t="n">
        <v>0</v>
      </c>
      <c r="M915" t="n">
        <v>0</v>
      </c>
      <c r="N915" t="n">
        <v>0</v>
      </c>
      <c r="O915" t="n">
        <v>0</v>
      </c>
      <c r="P915" t="n">
        <v>0</v>
      </c>
      <c r="Q915" t="n">
        <v>0</v>
      </c>
      <c r="R915" s="2" t="inlineStr"/>
    </row>
    <row r="916" ht="15" customHeight="1">
      <c r="A916" t="inlineStr">
        <is>
          <t>A 7697-2021</t>
        </is>
      </c>
      <c r="B916" s="1" t="n">
        <v>44239</v>
      </c>
      <c r="C916" s="1" t="n">
        <v>45579</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8016-2021</t>
        </is>
      </c>
      <c r="B917" s="1" t="n">
        <v>44243</v>
      </c>
      <c r="C917" s="1" t="n">
        <v>45579</v>
      </c>
      <c r="D917" t="inlineStr">
        <is>
          <t>JÄMTLANDS LÄN</t>
        </is>
      </c>
      <c r="E917" t="inlineStr">
        <is>
          <t>STRÖMSUND</t>
        </is>
      </c>
      <c r="G917" t="n">
        <v>2.8</v>
      </c>
      <c r="H917" t="n">
        <v>0</v>
      </c>
      <c r="I917" t="n">
        <v>0</v>
      </c>
      <c r="J917" t="n">
        <v>0</v>
      </c>
      <c r="K917" t="n">
        <v>0</v>
      </c>
      <c r="L917" t="n">
        <v>0</v>
      </c>
      <c r="M917" t="n">
        <v>0</v>
      </c>
      <c r="N917" t="n">
        <v>0</v>
      </c>
      <c r="O917" t="n">
        <v>0</v>
      </c>
      <c r="P917" t="n">
        <v>0</v>
      </c>
      <c r="Q917" t="n">
        <v>0</v>
      </c>
      <c r="R917" s="2" t="inlineStr"/>
    </row>
    <row r="918" ht="15" customHeight="1">
      <c r="A918" t="inlineStr">
        <is>
          <t>A 8020-2021</t>
        </is>
      </c>
      <c r="B918" s="1" t="n">
        <v>44243</v>
      </c>
      <c r="C918" s="1" t="n">
        <v>45579</v>
      </c>
      <c r="D918" t="inlineStr">
        <is>
          <t>JÄMTLANDS LÄN</t>
        </is>
      </c>
      <c r="E918" t="inlineStr">
        <is>
          <t>STRÖMSUND</t>
        </is>
      </c>
      <c r="G918" t="n">
        <v>2.7</v>
      </c>
      <c r="H918" t="n">
        <v>0</v>
      </c>
      <c r="I918" t="n">
        <v>0</v>
      </c>
      <c r="J918" t="n">
        <v>0</v>
      </c>
      <c r="K918" t="n">
        <v>0</v>
      </c>
      <c r="L918" t="n">
        <v>0</v>
      </c>
      <c r="M918" t="n">
        <v>0</v>
      </c>
      <c r="N918" t="n">
        <v>0</v>
      </c>
      <c r="O918" t="n">
        <v>0</v>
      </c>
      <c r="P918" t="n">
        <v>0</v>
      </c>
      <c r="Q918" t="n">
        <v>0</v>
      </c>
      <c r="R918" s="2" t="inlineStr"/>
    </row>
    <row r="919" ht="15" customHeight="1">
      <c r="A919" t="inlineStr">
        <is>
          <t>A 8364-2021</t>
        </is>
      </c>
      <c r="B919" s="1" t="n">
        <v>44244</v>
      </c>
      <c r="C919" s="1" t="n">
        <v>45579</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8979-2021</t>
        </is>
      </c>
      <c r="B920" s="1" t="n">
        <v>44246</v>
      </c>
      <c r="C920" s="1" t="n">
        <v>45579</v>
      </c>
      <c r="D920" t="inlineStr">
        <is>
          <t>JÄMTLANDS LÄN</t>
        </is>
      </c>
      <c r="E920" t="inlineStr">
        <is>
          <t>STRÖMSUND</t>
        </is>
      </c>
      <c r="G920" t="n">
        <v>40.4</v>
      </c>
      <c r="H920" t="n">
        <v>0</v>
      </c>
      <c r="I920" t="n">
        <v>0</v>
      </c>
      <c r="J920" t="n">
        <v>0</v>
      </c>
      <c r="K920" t="n">
        <v>0</v>
      </c>
      <c r="L920" t="n">
        <v>0</v>
      </c>
      <c r="M920" t="n">
        <v>0</v>
      </c>
      <c r="N920" t="n">
        <v>0</v>
      </c>
      <c r="O920" t="n">
        <v>0</v>
      </c>
      <c r="P920" t="n">
        <v>0</v>
      </c>
      <c r="Q920" t="n">
        <v>0</v>
      </c>
      <c r="R920" s="2" t="inlineStr"/>
    </row>
    <row r="921" ht="15" customHeight="1">
      <c r="A921" t="inlineStr">
        <is>
          <t>A 9710-2021</t>
        </is>
      </c>
      <c r="B921" s="1" t="n">
        <v>44252</v>
      </c>
      <c r="C921" s="1" t="n">
        <v>45579</v>
      </c>
      <c r="D921" t="inlineStr">
        <is>
          <t>JÄMTLANDS LÄN</t>
        </is>
      </c>
      <c r="E921" t="inlineStr">
        <is>
          <t>STRÖMSUND</t>
        </is>
      </c>
      <c r="G921" t="n">
        <v>18.5</v>
      </c>
      <c r="H921" t="n">
        <v>0</v>
      </c>
      <c r="I921" t="n">
        <v>0</v>
      </c>
      <c r="J921" t="n">
        <v>0</v>
      </c>
      <c r="K921" t="n">
        <v>0</v>
      </c>
      <c r="L921" t="n">
        <v>0</v>
      </c>
      <c r="M921" t="n">
        <v>0</v>
      </c>
      <c r="N921" t="n">
        <v>0</v>
      </c>
      <c r="O921" t="n">
        <v>0</v>
      </c>
      <c r="P921" t="n">
        <v>0</v>
      </c>
      <c r="Q921" t="n">
        <v>0</v>
      </c>
      <c r="R921" s="2" t="inlineStr"/>
    </row>
    <row r="922" ht="15" customHeight="1">
      <c r="A922" t="inlineStr">
        <is>
          <t>A 10528-2021</t>
        </is>
      </c>
      <c r="B922" s="1" t="n">
        <v>44257</v>
      </c>
      <c r="C922" s="1" t="n">
        <v>45579</v>
      </c>
      <c r="D922" t="inlineStr">
        <is>
          <t>JÄMTLANDS LÄN</t>
        </is>
      </c>
      <c r="E922" t="inlineStr">
        <is>
          <t>STRÖMSUND</t>
        </is>
      </c>
      <c r="G922" t="n">
        <v>12.8</v>
      </c>
      <c r="H922" t="n">
        <v>0</v>
      </c>
      <c r="I922" t="n">
        <v>0</v>
      </c>
      <c r="J922" t="n">
        <v>0</v>
      </c>
      <c r="K922" t="n">
        <v>0</v>
      </c>
      <c r="L922" t="n">
        <v>0</v>
      </c>
      <c r="M922" t="n">
        <v>0</v>
      </c>
      <c r="N922" t="n">
        <v>0</v>
      </c>
      <c r="O922" t="n">
        <v>0</v>
      </c>
      <c r="P922" t="n">
        <v>0</v>
      </c>
      <c r="Q922" t="n">
        <v>0</v>
      </c>
      <c r="R922" s="2" t="inlineStr"/>
    </row>
    <row r="923" ht="15" customHeight="1">
      <c r="A923" t="inlineStr">
        <is>
          <t>A 11034-2021</t>
        </is>
      </c>
      <c r="B923" s="1" t="n">
        <v>44260</v>
      </c>
      <c r="C923" s="1" t="n">
        <v>45579</v>
      </c>
      <c r="D923" t="inlineStr">
        <is>
          <t>JÄMTLANDS LÄN</t>
        </is>
      </c>
      <c r="E923" t="inlineStr">
        <is>
          <t>STRÖMSUND</t>
        </is>
      </c>
      <c r="G923" t="n">
        <v>8.5</v>
      </c>
      <c r="H923" t="n">
        <v>0</v>
      </c>
      <c r="I923" t="n">
        <v>0</v>
      </c>
      <c r="J923" t="n">
        <v>0</v>
      </c>
      <c r="K923" t="n">
        <v>0</v>
      </c>
      <c r="L923" t="n">
        <v>0</v>
      </c>
      <c r="M923" t="n">
        <v>0</v>
      </c>
      <c r="N923" t="n">
        <v>0</v>
      </c>
      <c r="O923" t="n">
        <v>0</v>
      </c>
      <c r="P923" t="n">
        <v>0</v>
      </c>
      <c r="Q923" t="n">
        <v>0</v>
      </c>
      <c r="R923" s="2" t="inlineStr"/>
    </row>
    <row r="924" ht="15" customHeight="1">
      <c r="A924" t="inlineStr">
        <is>
          <t>A 11508-2021</t>
        </is>
      </c>
      <c r="B924" s="1" t="n">
        <v>44264</v>
      </c>
      <c r="C924" s="1" t="n">
        <v>45579</v>
      </c>
      <c r="D924" t="inlineStr">
        <is>
          <t>JÄMTLANDS LÄN</t>
        </is>
      </c>
      <c r="E924" t="inlineStr">
        <is>
          <t>STRÖMSUND</t>
        </is>
      </c>
      <c r="F924" t="inlineStr">
        <is>
          <t>Kyrkan</t>
        </is>
      </c>
      <c r="G924" t="n">
        <v>3.5</v>
      </c>
      <c r="H924" t="n">
        <v>0</v>
      </c>
      <c r="I924" t="n">
        <v>0</v>
      </c>
      <c r="J924" t="n">
        <v>0</v>
      </c>
      <c r="K924" t="n">
        <v>0</v>
      </c>
      <c r="L924" t="n">
        <v>0</v>
      </c>
      <c r="M924" t="n">
        <v>0</v>
      </c>
      <c r="N924" t="n">
        <v>0</v>
      </c>
      <c r="O924" t="n">
        <v>0</v>
      </c>
      <c r="P924" t="n">
        <v>0</v>
      </c>
      <c r="Q924" t="n">
        <v>0</v>
      </c>
      <c r="R924" s="2" t="inlineStr"/>
    </row>
    <row r="925" ht="15" customHeight="1">
      <c r="A925" t="inlineStr">
        <is>
          <t>A 12250-2021</t>
        </is>
      </c>
      <c r="B925" s="1" t="n">
        <v>44266</v>
      </c>
      <c r="C925" s="1" t="n">
        <v>45579</v>
      </c>
      <c r="D925" t="inlineStr">
        <is>
          <t>JÄMTLANDS LÄN</t>
        </is>
      </c>
      <c r="E925" t="inlineStr">
        <is>
          <t>STRÖMSUND</t>
        </is>
      </c>
      <c r="G925" t="n">
        <v>5</v>
      </c>
      <c r="H925" t="n">
        <v>0</v>
      </c>
      <c r="I925" t="n">
        <v>0</v>
      </c>
      <c r="J925" t="n">
        <v>0</v>
      </c>
      <c r="K925" t="n">
        <v>0</v>
      </c>
      <c r="L925" t="n">
        <v>0</v>
      </c>
      <c r="M925" t="n">
        <v>0</v>
      </c>
      <c r="N925" t="n">
        <v>0</v>
      </c>
      <c r="O925" t="n">
        <v>0</v>
      </c>
      <c r="P925" t="n">
        <v>0</v>
      </c>
      <c r="Q925" t="n">
        <v>0</v>
      </c>
      <c r="R925" s="2" t="inlineStr"/>
    </row>
    <row r="926" ht="15" customHeight="1">
      <c r="A926" t="inlineStr">
        <is>
          <t>A 12186-2021</t>
        </is>
      </c>
      <c r="B926" s="1" t="n">
        <v>44266</v>
      </c>
      <c r="C926" s="1" t="n">
        <v>45579</v>
      </c>
      <c r="D926" t="inlineStr">
        <is>
          <t>JÄMTLANDS LÄN</t>
        </is>
      </c>
      <c r="E926" t="inlineStr">
        <is>
          <t>STRÖMSUND</t>
        </is>
      </c>
      <c r="G926" t="n">
        <v>3</v>
      </c>
      <c r="H926" t="n">
        <v>0</v>
      </c>
      <c r="I926" t="n">
        <v>0</v>
      </c>
      <c r="J926" t="n">
        <v>0</v>
      </c>
      <c r="K926" t="n">
        <v>0</v>
      </c>
      <c r="L926" t="n">
        <v>0</v>
      </c>
      <c r="M926" t="n">
        <v>0</v>
      </c>
      <c r="N926" t="n">
        <v>0</v>
      </c>
      <c r="O926" t="n">
        <v>0</v>
      </c>
      <c r="P926" t="n">
        <v>0</v>
      </c>
      <c r="Q926" t="n">
        <v>0</v>
      </c>
      <c r="R926" s="2" t="inlineStr"/>
    </row>
    <row r="927" ht="15" customHeight="1">
      <c r="A927" t="inlineStr">
        <is>
          <t>A 12428-2021</t>
        </is>
      </c>
      <c r="B927" s="1" t="n">
        <v>44267</v>
      </c>
      <c r="C927" s="1" t="n">
        <v>45579</v>
      </c>
      <c r="D927" t="inlineStr">
        <is>
          <t>JÄMTLANDS LÄN</t>
        </is>
      </c>
      <c r="E927" t="inlineStr">
        <is>
          <t>STRÖMSUND</t>
        </is>
      </c>
      <c r="G927" t="n">
        <v>19.6</v>
      </c>
      <c r="H927" t="n">
        <v>0</v>
      </c>
      <c r="I927" t="n">
        <v>0</v>
      </c>
      <c r="J927" t="n">
        <v>0</v>
      </c>
      <c r="K927" t="n">
        <v>0</v>
      </c>
      <c r="L927" t="n">
        <v>0</v>
      </c>
      <c r="M927" t="n">
        <v>0</v>
      </c>
      <c r="N927" t="n">
        <v>0</v>
      </c>
      <c r="O927" t="n">
        <v>0</v>
      </c>
      <c r="P927" t="n">
        <v>0</v>
      </c>
      <c r="Q927" t="n">
        <v>0</v>
      </c>
      <c r="R927" s="2" t="inlineStr"/>
    </row>
    <row r="928" ht="15" customHeight="1">
      <c r="A928" t="inlineStr">
        <is>
          <t>A 12840-2021</t>
        </is>
      </c>
      <c r="B928" s="1" t="n">
        <v>44270</v>
      </c>
      <c r="C928" s="1" t="n">
        <v>45579</v>
      </c>
      <c r="D928" t="inlineStr">
        <is>
          <t>JÄMTLANDS LÄN</t>
        </is>
      </c>
      <c r="E928" t="inlineStr">
        <is>
          <t>STRÖMSUND</t>
        </is>
      </c>
      <c r="G928" t="n">
        <v>15.5</v>
      </c>
      <c r="H928" t="n">
        <v>0</v>
      </c>
      <c r="I928" t="n">
        <v>0</v>
      </c>
      <c r="J928" t="n">
        <v>0</v>
      </c>
      <c r="K928" t="n">
        <v>0</v>
      </c>
      <c r="L928" t="n">
        <v>0</v>
      </c>
      <c r="M928" t="n">
        <v>0</v>
      </c>
      <c r="N928" t="n">
        <v>0</v>
      </c>
      <c r="O928" t="n">
        <v>0</v>
      </c>
      <c r="P928" t="n">
        <v>0</v>
      </c>
      <c r="Q928" t="n">
        <v>0</v>
      </c>
      <c r="R928" s="2" t="inlineStr"/>
    </row>
    <row r="929" ht="15" customHeight="1">
      <c r="A929" t="inlineStr">
        <is>
          <t>A 13041-2021</t>
        </is>
      </c>
      <c r="B929" s="1" t="n">
        <v>44271</v>
      </c>
      <c r="C929" s="1" t="n">
        <v>45579</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13563-2021</t>
        </is>
      </c>
      <c r="B930" s="1" t="n">
        <v>44273</v>
      </c>
      <c r="C930" s="1" t="n">
        <v>45579</v>
      </c>
      <c r="D930" t="inlineStr">
        <is>
          <t>JÄMTLANDS LÄN</t>
        </is>
      </c>
      <c r="E930" t="inlineStr">
        <is>
          <t>STRÖMSUND</t>
        </is>
      </c>
      <c r="G930" t="n">
        <v>27.1</v>
      </c>
      <c r="H930" t="n">
        <v>0</v>
      </c>
      <c r="I930" t="n">
        <v>0</v>
      </c>
      <c r="J930" t="n">
        <v>0</v>
      </c>
      <c r="K930" t="n">
        <v>0</v>
      </c>
      <c r="L930" t="n">
        <v>0</v>
      </c>
      <c r="M930" t="n">
        <v>0</v>
      </c>
      <c r="N930" t="n">
        <v>0</v>
      </c>
      <c r="O930" t="n">
        <v>0</v>
      </c>
      <c r="P930" t="n">
        <v>0</v>
      </c>
      <c r="Q930" t="n">
        <v>0</v>
      </c>
      <c r="R930" s="2" t="inlineStr"/>
    </row>
    <row r="931" ht="15" customHeight="1">
      <c r="A931" t="inlineStr">
        <is>
          <t>A 14067-2021</t>
        </is>
      </c>
      <c r="B931" s="1" t="n">
        <v>44277</v>
      </c>
      <c r="C931" s="1" t="n">
        <v>45579</v>
      </c>
      <c r="D931" t="inlineStr">
        <is>
          <t>JÄMTLANDS LÄN</t>
        </is>
      </c>
      <c r="E931" t="inlineStr">
        <is>
          <t>STRÖMSUND</t>
        </is>
      </c>
      <c r="G931" t="n">
        <v>27.7</v>
      </c>
      <c r="H931" t="n">
        <v>0</v>
      </c>
      <c r="I931" t="n">
        <v>0</v>
      </c>
      <c r="J931" t="n">
        <v>0</v>
      </c>
      <c r="K931" t="n">
        <v>0</v>
      </c>
      <c r="L931" t="n">
        <v>0</v>
      </c>
      <c r="M931" t="n">
        <v>0</v>
      </c>
      <c r="N931" t="n">
        <v>0</v>
      </c>
      <c r="O931" t="n">
        <v>0</v>
      </c>
      <c r="P931" t="n">
        <v>0</v>
      </c>
      <c r="Q931" t="n">
        <v>0</v>
      </c>
      <c r="R931" s="2" t="inlineStr"/>
    </row>
    <row r="932" ht="15" customHeight="1">
      <c r="A932" t="inlineStr">
        <is>
          <t>A 14147-2021</t>
        </is>
      </c>
      <c r="B932" s="1" t="n">
        <v>44278</v>
      </c>
      <c r="C932" s="1" t="n">
        <v>45579</v>
      </c>
      <c r="D932" t="inlineStr">
        <is>
          <t>JÄMTLANDS LÄN</t>
        </is>
      </c>
      <c r="E932" t="inlineStr">
        <is>
          <t>STRÖMSUND</t>
        </is>
      </c>
      <c r="G932" t="n">
        <v>3.9</v>
      </c>
      <c r="H932" t="n">
        <v>0</v>
      </c>
      <c r="I932" t="n">
        <v>0</v>
      </c>
      <c r="J932" t="n">
        <v>0</v>
      </c>
      <c r="K932" t="n">
        <v>0</v>
      </c>
      <c r="L932" t="n">
        <v>0</v>
      </c>
      <c r="M932" t="n">
        <v>0</v>
      </c>
      <c r="N932" t="n">
        <v>0</v>
      </c>
      <c r="O932" t="n">
        <v>0</v>
      </c>
      <c r="P932" t="n">
        <v>0</v>
      </c>
      <c r="Q932" t="n">
        <v>0</v>
      </c>
      <c r="R932" s="2" t="inlineStr"/>
    </row>
    <row r="933" ht="15" customHeight="1">
      <c r="A933" t="inlineStr">
        <is>
          <t>A 15118-2021</t>
        </is>
      </c>
      <c r="B933" s="1" t="n">
        <v>44282</v>
      </c>
      <c r="C933" s="1" t="n">
        <v>45579</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15355-2021</t>
        </is>
      </c>
      <c r="B934" s="1" t="n">
        <v>44284</v>
      </c>
      <c r="C934" s="1" t="n">
        <v>45579</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15360-2021</t>
        </is>
      </c>
      <c r="B935" s="1" t="n">
        <v>44284</v>
      </c>
      <c r="C935" s="1" t="n">
        <v>45579</v>
      </c>
      <c r="D935" t="inlineStr">
        <is>
          <t>JÄMTLANDS LÄN</t>
        </is>
      </c>
      <c r="E935" t="inlineStr">
        <is>
          <t>STRÖMSUND</t>
        </is>
      </c>
      <c r="G935" t="n">
        <v>1.2</v>
      </c>
      <c r="H935" t="n">
        <v>0</v>
      </c>
      <c r="I935" t="n">
        <v>0</v>
      </c>
      <c r="J935" t="n">
        <v>0</v>
      </c>
      <c r="K935" t="n">
        <v>0</v>
      </c>
      <c r="L935" t="n">
        <v>0</v>
      </c>
      <c r="M935" t="n">
        <v>0</v>
      </c>
      <c r="N935" t="n">
        <v>0</v>
      </c>
      <c r="O935" t="n">
        <v>0</v>
      </c>
      <c r="P935" t="n">
        <v>0</v>
      </c>
      <c r="Q935" t="n">
        <v>0</v>
      </c>
      <c r="R935" s="2" t="inlineStr"/>
    </row>
    <row r="936" ht="15" customHeight="1">
      <c r="A936" t="inlineStr">
        <is>
          <t>A 15371-2021</t>
        </is>
      </c>
      <c r="B936" s="1" t="n">
        <v>44284</v>
      </c>
      <c r="C936" s="1" t="n">
        <v>45579</v>
      </c>
      <c r="D936" t="inlineStr">
        <is>
          <t>JÄMTLANDS LÄN</t>
        </is>
      </c>
      <c r="E936" t="inlineStr">
        <is>
          <t>STRÖMSUND</t>
        </is>
      </c>
      <c r="G936" t="n">
        <v>10.7</v>
      </c>
      <c r="H936" t="n">
        <v>0</v>
      </c>
      <c r="I936" t="n">
        <v>0</v>
      </c>
      <c r="J936" t="n">
        <v>0</v>
      </c>
      <c r="K936" t="n">
        <v>0</v>
      </c>
      <c r="L936" t="n">
        <v>0</v>
      </c>
      <c r="M936" t="n">
        <v>0</v>
      </c>
      <c r="N936" t="n">
        <v>0</v>
      </c>
      <c r="O936" t="n">
        <v>0</v>
      </c>
      <c r="P936" t="n">
        <v>0</v>
      </c>
      <c r="Q936" t="n">
        <v>0</v>
      </c>
      <c r="R936" s="2" t="inlineStr"/>
    </row>
    <row r="937" ht="15" customHeight="1">
      <c r="A937" t="inlineStr">
        <is>
          <t>A 15650-2021</t>
        </is>
      </c>
      <c r="B937" s="1" t="n">
        <v>44285</v>
      </c>
      <c r="C937" s="1" t="n">
        <v>45579</v>
      </c>
      <c r="D937" t="inlineStr">
        <is>
          <t>JÄMTLANDS LÄN</t>
        </is>
      </c>
      <c r="E937" t="inlineStr">
        <is>
          <t>STRÖMSUND</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16128-2021</t>
        </is>
      </c>
      <c r="B938" s="1" t="n">
        <v>44291</v>
      </c>
      <c r="C938" s="1" t="n">
        <v>45579</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16774-2021</t>
        </is>
      </c>
      <c r="B939" s="1" t="n">
        <v>44294</v>
      </c>
      <c r="C939" s="1" t="n">
        <v>45579</v>
      </c>
      <c r="D939" t="inlineStr">
        <is>
          <t>JÄMTLANDS LÄN</t>
        </is>
      </c>
      <c r="E939" t="inlineStr">
        <is>
          <t>STRÖMSUND</t>
        </is>
      </c>
      <c r="G939" t="n">
        <v>10.5</v>
      </c>
      <c r="H939" t="n">
        <v>0</v>
      </c>
      <c r="I939" t="n">
        <v>0</v>
      </c>
      <c r="J939" t="n">
        <v>0</v>
      </c>
      <c r="K939" t="n">
        <v>0</v>
      </c>
      <c r="L939" t="n">
        <v>0</v>
      </c>
      <c r="M939" t="n">
        <v>0</v>
      </c>
      <c r="N939" t="n">
        <v>0</v>
      </c>
      <c r="O939" t="n">
        <v>0</v>
      </c>
      <c r="P939" t="n">
        <v>0</v>
      </c>
      <c r="Q939" t="n">
        <v>0</v>
      </c>
      <c r="R939" s="2" t="inlineStr"/>
    </row>
    <row r="940" ht="15" customHeight="1">
      <c r="A940" t="inlineStr">
        <is>
          <t>A 17368-2021</t>
        </is>
      </c>
      <c r="B940" s="1" t="n">
        <v>44299</v>
      </c>
      <c r="C940" s="1" t="n">
        <v>45579</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17373-2021</t>
        </is>
      </c>
      <c r="B941" s="1" t="n">
        <v>44299</v>
      </c>
      <c r="C941" s="1" t="n">
        <v>45579</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17808-2021</t>
        </is>
      </c>
      <c r="B942" s="1" t="n">
        <v>44300</v>
      </c>
      <c r="C942" s="1" t="n">
        <v>45579</v>
      </c>
      <c r="D942" t="inlineStr">
        <is>
          <t>JÄMTLANDS LÄN</t>
        </is>
      </c>
      <c r="E942" t="inlineStr">
        <is>
          <t>STRÖMSUND</t>
        </is>
      </c>
      <c r="G942" t="n">
        <v>3</v>
      </c>
      <c r="H942" t="n">
        <v>0</v>
      </c>
      <c r="I942" t="n">
        <v>0</v>
      </c>
      <c r="J942" t="n">
        <v>0</v>
      </c>
      <c r="K942" t="n">
        <v>0</v>
      </c>
      <c r="L942" t="n">
        <v>0</v>
      </c>
      <c r="M942" t="n">
        <v>0</v>
      </c>
      <c r="N942" t="n">
        <v>0</v>
      </c>
      <c r="O942" t="n">
        <v>0</v>
      </c>
      <c r="P942" t="n">
        <v>0</v>
      </c>
      <c r="Q942" t="n">
        <v>0</v>
      </c>
      <c r="R942" s="2" t="inlineStr"/>
    </row>
    <row r="943" ht="15" customHeight="1">
      <c r="A943" t="inlineStr">
        <is>
          <t>A 17857-2021</t>
        </is>
      </c>
      <c r="B943" s="1" t="n">
        <v>44300</v>
      </c>
      <c r="C943" s="1" t="n">
        <v>45579</v>
      </c>
      <c r="D943" t="inlineStr">
        <is>
          <t>JÄMTLANDS LÄN</t>
        </is>
      </c>
      <c r="E943" t="inlineStr">
        <is>
          <t>STRÖMSUND</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17933-2021</t>
        </is>
      </c>
      <c r="B944" s="1" t="n">
        <v>44301</v>
      </c>
      <c r="C944" s="1" t="n">
        <v>45579</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18220-2021</t>
        </is>
      </c>
      <c r="B945" s="1" t="n">
        <v>44302</v>
      </c>
      <c r="C945" s="1" t="n">
        <v>45579</v>
      </c>
      <c r="D945" t="inlineStr">
        <is>
          <t>JÄMTLANDS LÄN</t>
        </is>
      </c>
      <c r="E945" t="inlineStr">
        <is>
          <t>STRÖMSUND</t>
        </is>
      </c>
      <c r="F945" t="inlineStr">
        <is>
          <t>SCA</t>
        </is>
      </c>
      <c r="G945" t="n">
        <v>11.3</v>
      </c>
      <c r="H945" t="n">
        <v>0</v>
      </c>
      <c r="I945" t="n">
        <v>0</v>
      </c>
      <c r="J945" t="n">
        <v>0</v>
      </c>
      <c r="K945" t="n">
        <v>0</v>
      </c>
      <c r="L945" t="n">
        <v>0</v>
      </c>
      <c r="M945" t="n">
        <v>0</v>
      </c>
      <c r="N945" t="n">
        <v>0</v>
      </c>
      <c r="O945" t="n">
        <v>0</v>
      </c>
      <c r="P945" t="n">
        <v>0</v>
      </c>
      <c r="Q945" t="n">
        <v>0</v>
      </c>
      <c r="R945" s="2" t="inlineStr"/>
    </row>
    <row r="946" ht="15" customHeight="1">
      <c r="A946" t="inlineStr">
        <is>
          <t>A 18775-2021</t>
        </is>
      </c>
      <c r="B946" s="1" t="n">
        <v>44307</v>
      </c>
      <c r="C946" s="1" t="n">
        <v>45579</v>
      </c>
      <c r="D946" t="inlineStr">
        <is>
          <t>JÄMTLANDS LÄN</t>
        </is>
      </c>
      <c r="E946" t="inlineStr">
        <is>
          <t>STRÖMSUND</t>
        </is>
      </c>
      <c r="G946" t="n">
        <v>39.7</v>
      </c>
      <c r="H946" t="n">
        <v>0</v>
      </c>
      <c r="I946" t="n">
        <v>0</v>
      </c>
      <c r="J946" t="n">
        <v>0</v>
      </c>
      <c r="K946" t="n">
        <v>0</v>
      </c>
      <c r="L946" t="n">
        <v>0</v>
      </c>
      <c r="M946" t="n">
        <v>0</v>
      </c>
      <c r="N946" t="n">
        <v>0</v>
      </c>
      <c r="O946" t="n">
        <v>0</v>
      </c>
      <c r="P946" t="n">
        <v>0</v>
      </c>
      <c r="Q946" t="n">
        <v>0</v>
      </c>
      <c r="R946" s="2" t="inlineStr"/>
    </row>
    <row r="947" ht="15" customHeight="1">
      <c r="A947" t="inlineStr">
        <is>
          <t>A 20413-2021</t>
        </is>
      </c>
      <c r="B947" s="1" t="n">
        <v>44312</v>
      </c>
      <c r="C947" s="1" t="n">
        <v>45579</v>
      </c>
      <c r="D947" t="inlineStr">
        <is>
          <t>JÄMTLANDS LÄN</t>
        </is>
      </c>
      <c r="E947" t="inlineStr">
        <is>
          <t>STRÖMSUND</t>
        </is>
      </c>
      <c r="G947" t="n">
        <v>1.9</v>
      </c>
      <c r="H947" t="n">
        <v>0</v>
      </c>
      <c r="I947" t="n">
        <v>0</v>
      </c>
      <c r="J947" t="n">
        <v>0</v>
      </c>
      <c r="K947" t="n">
        <v>0</v>
      </c>
      <c r="L947" t="n">
        <v>0</v>
      </c>
      <c r="M947" t="n">
        <v>0</v>
      </c>
      <c r="N947" t="n">
        <v>0</v>
      </c>
      <c r="O947" t="n">
        <v>0</v>
      </c>
      <c r="P947" t="n">
        <v>0</v>
      </c>
      <c r="Q947" t="n">
        <v>0</v>
      </c>
      <c r="R947" s="2" t="inlineStr"/>
    </row>
    <row r="948" ht="15" customHeight="1">
      <c r="A948" t="inlineStr">
        <is>
          <t>A 19726-2021</t>
        </is>
      </c>
      <c r="B948" s="1" t="n">
        <v>44312</v>
      </c>
      <c r="C948" s="1" t="n">
        <v>45579</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19556-2021</t>
        </is>
      </c>
      <c r="B949" s="1" t="n">
        <v>44312</v>
      </c>
      <c r="C949" s="1" t="n">
        <v>45579</v>
      </c>
      <c r="D949" t="inlineStr">
        <is>
          <t>JÄMTLANDS LÄN</t>
        </is>
      </c>
      <c r="E949" t="inlineStr">
        <is>
          <t>STRÖMSUND</t>
        </is>
      </c>
      <c r="G949" t="n">
        <v>2.1</v>
      </c>
      <c r="H949" t="n">
        <v>0</v>
      </c>
      <c r="I949" t="n">
        <v>0</v>
      </c>
      <c r="J949" t="n">
        <v>0</v>
      </c>
      <c r="K949" t="n">
        <v>0</v>
      </c>
      <c r="L949" t="n">
        <v>0</v>
      </c>
      <c r="M949" t="n">
        <v>0</v>
      </c>
      <c r="N949" t="n">
        <v>0</v>
      </c>
      <c r="O949" t="n">
        <v>0</v>
      </c>
      <c r="P949" t="n">
        <v>0</v>
      </c>
      <c r="Q949" t="n">
        <v>0</v>
      </c>
      <c r="R949" s="2" t="inlineStr"/>
    </row>
    <row r="950" ht="15" customHeight="1">
      <c r="A950" t="inlineStr">
        <is>
          <t>A 19572-2021</t>
        </is>
      </c>
      <c r="B950" s="1" t="n">
        <v>44312</v>
      </c>
      <c r="C950" s="1" t="n">
        <v>45579</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19567-2021</t>
        </is>
      </c>
      <c r="B951" s="1" t="n">
        <v>44312</v>
      </c>
      <c r="C951" s="1" t="n">
        <v>45579</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20295-2021</t>
        </is>
      </c>
      <c r="B952" s="1" t="n">
        <v>44314</v>
      </c>
      <c r="C952" s="1" t="n">
        <v>45579</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21095-2021</t>
        </is>
      </c>
      <c r="B953" s="1" t="n">
        <v>44319</v>
      </c>
      <c r="C953" s="1" t="n">
        <v>45579</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21103-2021</t>
        </is>
      </c>
      <c r="B954" s="1" t="n">
        <v>44320</v>
      </c>
      <c r="C954" s="1" t="n">
        <v>45579</v>
      </c>
      <c r="D954" t="inlineStr">
        <is>
          <t>JÄMTLANDS LÄN</t>
        </is>
      </c>
      <c r="E954" t="inlineStr">
        <is>
          <t>STRÖMSUND</t>
        </is>
      </c>
      <c r="F954" t="inlineStr">
        <is>
          <t>SCA</t>
        </is>
      </c>
      <c r="G954" t="n">
        <v>14.8</v>
      </c>
      <c r="H954" t="n">
        <v>0</v>
      </c>
      <c r="I954" t="n">
        <v>0</v>
      </c>
      <c r="J954" t="n">
        <v>0</v>
      </c>
      <c r="K954" t="n">
        <v>0</v>
      </c>
      <c r="L954" t="n">
        <v>0</v>
      </c>
      <c r="M954" t="n">
        <v>0</v>
      </c>
      <c r="N954" t="n">
        <v>0</v>
      </c>
      <c r="O954" t="n">
        <v>0</v>
      </c>
      <c r="P954" t="n">
        <v>0</v>
      </c>
      <c r="Q954" t="n">
        <v>0</v>
      </c>
      <c r="R954" s="2" t="inlineStr"/>
    </row>
    <row r="955" ht="15" customHeight="1">
      <c r="A955" t="inlineStr">
        <is>
          <t>A 21097-2021</t>
        </is>
      </c>
      <c r="B955" s="1" t="n">
        <v>44319</v>
      </c>
      <c r="C955" s="1" t="n">
        <v>45579</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21093-2021</t>
        </is>
      </c>
      <c r="B956" s="1" t="n">
        <v>44319</v>
      </c>
      <c r="C956" s="1" t="n">
        <v>45579</v>
      </c>
      <c r="D956" t="inlineStr">
        <is>
          <t>JÄMTLANDS LÄN</t>
        </is>
      </c>
      <c r="E956" t="inlineStr">
        <is>
          <t>STRÖMSUND</t>
        </is>
      </c>
      <c r="F956" t="inlineStr">
        <is>
          <t>SCA</t>
        </is>
      </c>
      <c r="G956" t="n">
        <v>11.7</v>
      </c>
      <c r="H956" t="n">
        <v>0</v>
      </c>
      <c r="I956" t="n">
        <v>0</v>
      </c>
      <c r="J956" t="n">
        <v>0</v>
      </c>
      <c r="K956" t="n">
        <v>0</v>
      </c>
      <c r="L956" t="n">
        <v>0</v>
      </c>
      <c r="M956" t="n">
        <v>0</v>
      </c>
      <c r="N956" t="n">
        <v>0</v>
      </c>
      <c r="O956" t="n">
        <v>0</v>
      </c>
      <c r="P956" t="n">
        <v>0</v>
      </c>
      <c r="Q956" t="n">
        <v>0</v>
      </c>
      <c r="R956" s="2" t="inlineStr"/>
    </row>
    <row r="957" ht="15" customHeight="1">
      <c r="A957" t="inlineStr">
        <is>
          <t>A 22318-2021</t>
        </is>
      </c>
      <c r="B957" s="1" t="n">
        <v>44321</v>
      </c>
      <c r="C957" s="1" t="n">
        <v>45579</v>
      </c>
      <c r="D957" t="inlineStr">
        <is>
          <t>JÄMTLANDS LÄN</t>
        </is>
      </c>
      <c r="E957" t="inlineStr">
        <is>
          <t>STRÖMSUND</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22527-2021</t>
        </is>
      </c>
      <c r="B958" s="1" t="n">
        <v>44326</v>
      </c>
      <c r="C958" s="1" t="n">
        <v>45579</v>
      </c>
      <c r="D958" t="inlineStr">
        <is>
          <t>JÄMTLANDS LÄN</t>
        </is>
      </c>
      <c r="E958" t="inlineStr">
        <is>
          <t>STRÖMSUND</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22632-2021</t>
        </is>
      </c>
      <c r="B959" s="1" t="n">
        <v>44327</v>
      </c>
      <c r="C959" s="1" t="n">
        <v>45579</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22783-2021</t>
        </is>
      </c>
      <c r="B960" s="1" t="n">
        <v>44327</v>
      </c>
      <c r="C960" s="1" t="n">
        <v>45579</v>
      </c>
      <c r="D960" t="inlineStr">
        <is>
          <t>JÄMTLANDS LÄN</t>
        </is>
      </c>
      <c r="E960" t="inlineStr">
        <is>
          <t>STRÖMSUND</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23103-2021</t>
        </is>
      </c>
      <c r="B961" s="1" t="n">
        <v>44330</v>
      </c>
      <c r="C961" s="1" t="n">
        <v>45579</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23486-2021</t>
        </is>
      </c>
      <c r="B962" s="1" t="n">
        <v>44333</v>
      </c>
      <c r="C962" s="1" t="n">
        <v>45579</v>
      </c>
      <c r="D962" t="inlineStr">
        <is>
          <t>JÄMTLANDS LÄN</t>
        </is>
      </c>
      <c r="E962" t="inlineStr">
        <is>
          <t>STRÖMSUND</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23498-2021</t>
        </is>
      </c>
      <c r="B963" s="1" t="n">
        <v>44334</v>
      </c>
      <c r="C963" s="1" t="n">
        <v>45579</v>
      </c>
      <c r="D963" t="inlineStr">
        <is>
          <t>JÄMTLANDS LÄN</t>
        </is>
      </c>
      <c r="E963" t="inlineStr">
        <is>
          <t>STRÖMSUND</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23484-2021</t>
        </is>
      </c>
      <c r="B964" s="1" t="n">
        <v>44334</v>
      </c>
      <c r="C964" s="1" t="n">
        <v>45579</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23501-2021</t>
        </is>
      </c>
      <c r="B965" s="1" t="n">
        <v>44333</v>
      </c>
      <c r="C965" s="1" t="n">
        <v>45579</v>
      </c>
      <c r="D965" t="inlineStr">
        <is>
          <t>JÄMTLANDS LÄN</t>
        </is>
      </c>
      <c r="E965" t="inlineStr">
        <is>
          <t>STRÖMSUND</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24197-2021</t>
        </is>
      </c>
      <c r="B966" s="1" t="n">
        <v>44336</v>
      </c>
      <c r="C966" s="1" t="n">
        <v>45579</v>
      </c>
      <c r="D966" t="inlineStr">
        <is>
          <t>JÄMTLANDS LÄN</t>
        </is>
      </c>
      <c r="E966" t="inlineStr">
        <is>
          <t>STRÖMSUND</t>
        </is>
      </c>
      <c r="G966" t="n">
        <v>0.8</v>
      </c>
      <c r="H966" t="n">
        <v>0</v>
      </c>
      <c r="I966" t="n">
        <v>0</v>
      </c>
      <c r="J966" t="n">
        <v>0</v>
      </c>
      <c r="K966" t="n">
        <v>0</v>
      </c>
      <c r="L966" t="n">
        <v>0</v>
      </c>
      <c r="M966" t="n">
        <v>0</v>
      </c>
      <c r="N966" t="n">
        <v>0</v>
      </c>
      <c r="O966" t="n">
        <v>0</v>
      </c>
      <c r="P966" t="n">
        <v>0</v>
      </c>
      <c r="Q966" t="n">
        <v>0</v>
      </c>
      <c r="R966" s="2" t="inlineStr"/>
    </row>
    <row r="967" ht="15" customHeight="1">
      <c r="A967" t="inlineStr">
        <is>
          <t>A 24744-2021</t>
        </is>
      </c>
      <c r="B967" s="1" t="n">
        <v>44340</v>
      </c>
      <c r="C967" s="1" t="n">
        <v>45579</v>
      </c>
      <c r="D967" t="inlineStr">
        <is>
          <t>JÄMTLANDS LÄN</t>
        </is>
      </c>
      <c r="E967" t="inlineStr">
        <is>
          <t>STRÖMSUND</t>
        </is>
      </c>
      <c r="G967" t="n">
        <v>7.9</v>
      </c>
      <c r="H967" t="n">
        <v>0</v>
      </c>
      <c r="I967" t="n">
        <v>0</v>
      </c>
      <c r="J967" t="n">
        <v>0</v>
      </c>
      <c r="K967" t="n">
        <v>0</v>
      </c>
      <c r="L967" t="n">
        <v>0</v>
      </c>
      <c r="M967" t="n">
        <v>0</v>
      </c>
      <c r="N967" t="n">
        <v>0</v>
      </c>
      <c r="O967" t="n">
        <v>0</v>
      </c>
      <c r="P967" t="n">
        <v>0</v>
      </c>
      <c r="Q967" t="n">
        <v>0</v>
      </c>
      <c r="R967" s="2" t="inlineStr"/>
    </row>
    <row r="968" ht="15" customHeight="1">
      <c r="A968" t="inlineStr">
        <is>
          <t>A 25510-2021</t>
        </is>
      </c>
      <c r="B968" s="1" t="n">
        <v>44343</v>
      </c>
      <c r="C968" s="1" t="n">
        <v>45579</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25888-2021</t>
        </is>
      </c>
      <c r="B969" s="1" t="n">
        <v>44344</v>
      </c>
      <c r="C969" s="1" t="n">
        <v>45579</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25963-2021</t>
        </is>
      </c>
      <c r="B970" s="1" t="n">
        <v>44344</v>
      </c>
      <c r="C970" s="1" t="n">
        <v>45579</v>
      </c>
      <c r="D970" t="inlineStr">
        <is>
          <t>JÄMTLANDS LÄN</t>
        </is>
      </c>
      <c r="E970" t="inlineStr">
        <is>
          <t>STRÖMSUND</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25960-2021</t>
        </is>
      </c>
      <c r="B971" s="1" t="n">
        <v>44344</v>
      </c>
      <c r="C971" s="1" t="n">
        <v>45579</v>
      </c>
      <c r="D971" t="inlineStr">
        <is>
          <t>JÄMTLANDS LÄN</t>
        </is>
      </c>
      <c r="E971" t="inlineStr">
        <is>
          <t>STRÖMSUND</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26101-2021</t>
        </is>
      </c>
      <c r="B972" s="1" t="n">
        <v>44344</v>
      </c>
      <c r="C972" s="1" t="n">
        <v>45579</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26104-2021</t>
        </is>
      </c>
      <c r="B973" s="1" t="n">
        <v>44344</v>
      </c>
      <c r="C973" s="1" t="n">
        <v>45579</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26127-2021</t>
        </is>
      </c>
      <c r="B974" s="1" t="n">
        <v>44346</v>
      </c>
      <c r="C974" s="1" t="n">
        <v>45579</v>
      </c>
      <c r="D974" t="inlineStr">
        <is>
          <t>JÄMTLANDS LÄN</t>
        </is>
      </c>
      <c r="E974" t="inlineStr">
        <is>
          <t>STRÖMSUND</t>
        </is>
      </c>
      <c r="F974" t="inlineStr">
        <is>
          <t>SCA</t>
        </is>
      </c>
      <c r="G974" t="n">
        <v>9.4</v>
      </c>
      <c r="H974" t="n">
        <v>0</v>
      </c>
      <c r="I974" t="n">
        <v>0</v>
      </c>
      <c r="J974" t="n">
        <v>0</v>
      </c>
      <c r="K974" t="n">
        <v>0</v>
      </c>
      <c r="L974" t="n">
        <v>0</v>
      </c>
      <c r="M974" t="n">
        <v>0</v>
      </c>
      <c r="N974" t="n">
        <v>0</v>
      </c>
      <c r="O974" t="n">
        <v>0</v>
      </c>
      <c r="P974" t="n">
        <v>0</v>
      </c>
      <c r="Q974" t="n">
        <v>0</v>
      </c>
      <c r="R974" s="2" t="inlineStr"/>
    </row>
    <row r="975" ht="15" customHeight="1">
      <c r="A975" t="inlineStr">
        <is>
          <t>A 26131-2021</t>
        </is>
      </c>
      <c r="B975" s="1" t="n">
        <v>44346</v>
      </c>
      <c r="C975" s="1" t="n">
        <v>45579</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26142-2021</t>
        </is>
      </c>
      <c r="B976" s="1" t="n">
        <v>44346</v>
      </c>
      <c r="C976" s="1" t="n">
        <v>45579</v>
      </c>
      <c r="D976" t="inlineStr">
        <is>
          <t>JÄMTLANDS LÄN</t>
        </is>
      </c>
      <c r="E976" t="inlineStr">
        <is>
          <t>STRÖMSUND</t>
        </is>
      </c>
      <c r="G976" t="n">
        <v>2.1</v>
      </c>
      <c r="H976" t="n">
        <v>0</v>
      </c>
      <c r="I976" t="n">
        <v>0</v>
      </c>
      <c r="J976" t="n">
        <v>0</v>
      </c>
      <c r="K976" t="n">
        <v>0</v>
      </c>
      <c r="L976" t="n">
        <v>0</v>
      </c>
      <c r="M976" t="n">
        <v>0</v>
      </c>
      <c r="N976" t="n">
        <v>0</v>
      </c>
      <c r="O976" t="n">
        <v>0</v>
      </c>
      <c r="P976" t="n">
        <v>0</v>
      </c>
      <c r="Q976" t="n">
        <v>0</v>
      </c>
      <c r="R976" s="2" t="inlineStr"/>
    </row>
    <row r="977" ht="15" customHeight="1">
      <c r="A977" t="inlineStr">
        <is>
          <t>A 26660-2021</t>
        </is>
      </c>
      <c r="B977" s="1" t="n">
        <v>44349</v>
      </c>
      <c r="C977" s="1" t="n">
        <v>45579</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26961-2021</t>
        </is>
      </c>
      <c r="B978" s="1" t="n">
        <v>44350</v>
      </c>
      <c r="C978" s="1" t="n">
        <v>45579</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27148-2021</t>
        </is>
      </c>
      <c r="B979" s="1" t="n">
        <v>44350</v>
      </c>
      <c r="C979" s="1" t="n">
        <v>45579</v>
      </c>
      <c r="D979" t="inlineStr">
        <is>
          <t>JÄMTLANDS LÄN</t>
        </is>
      </c>
      <c r="E979" t="inlineStr">
        <is>
          <t>STRÖMSUND</t>
        </is>
      </c>
      <c r="G979" t="n">
        <v>10.9</v>
      </c>
      <c r="H979" t="n">
        <v>0</v>
      </c>
      <c r="I979" t="n">
        <v>0</v>
      </c>
      <c r="J979" t="n">
        <v>0</v>
      </c>
      <c r="K979" t="n">
        <v>0</v>
      </c>
      <c r="L979" t="n">
        <v>0</v>
      </c>
      <c r="M979" t="n">
        <v>0</v>
      </c>
      <c r="N979" t="n">
        <v>0</v>
      </c>
      <c r="O979" t="n">
        <v>0</v>
      </c>
      <c r="P979" t="n">
        <v>0</v>
      </c>
      <c r="Q979" t="n">
        <v>0</v>
      </c>
      <c r="R979" s="2" t="inlineStr"/>
    </row>
    <row r="980" ht="15" customHeight="1">
      <c r="A980" t="inlineStr">
        <is>
          <t>A 27160-2021</t>
        </is>
      </c>
      <c r="B980" s="1" t="n">
        <v>44350</v>
      </c>
      <c r="C980" s="1" t="n">
        <v>45579</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27231-2021</t>
        </is>
      </c>
      <c r="B981" s="1" t="n">
        <v>44350</v>
      </c>
      <c r="C981" s="1" t="n">
        <v>45579</v>
      </c>
      <c r="D981" t="inlineStr">
        <is>
          <t>JÄMTLANDS LÄN</t>
        </is>
      </c>
      <c r="E981" t="inlineStr">
        <is>
          <t>STRÖMSUND</t>
        </is>
      </c>
      <c r="G981" t="n">
        <v>4.2</v>
      </c>
      <c r="H981" t="n">
        <v>0</v>
      </c>
      <c r="I981" t="n">
        <v>0</v>
      </c>
      <c r="J981" t="n">
        <v>0</v>
      </c>
      <c r="K981" t="n">
        <v>0</v>
      </c>
      <c r="L981" t="n">
        <v>0</v>
      </c>
      <c r="M981" t="n">
        <v>0</v>
      </c>
      <c r="N981" t="n">
        <v>0</v>
      </c>
      <c r="O981" t="n">
        <v>0</v>
      </c>
      <c r="P981" t="n">
        <v>0</v>
      </c>
      <c r="Q981" t="n">
        <v>0</v>
      </c>
      <c r="R981" s="2" t="inlineStr"/>
    </row>
    <row r="982" ht="15" customHeight="1">
      <c r="A982" t="inlineStr">
        <is>
          <t>A 27233-2021</t>
        </is>
      </c>
      <c r="B982" s="1" t="n">
        <v>44350</v>
      </c>
      <c r="C982" s="1" t="n">
        <v>45579</v>
      </c>
      <c r="D982" t="inlineStr">
        <is>
          <t>JÄMTLANDS LÄN</t>
        </is>
      </c>
      <c r="E982" t="inlineStr">
        <is>
          <t>STRÖMSUND</t>
        </is>
      </c>
      <c r="G982" t="n">
        <v>3.2</v>
      </c>
      <c r="H982" t="n">
        <v>0</v>
      </c>
      <c r="I982" t="n">
        <v>0</v>
      </c>
      <c r="J982" t="n">
        <v>0</v>
      </c>
      <c r="K982" t="n">
        <v>0</v>
      </c>
      <c r="L982" t="n">
        <v>0</v>
      </c>
      <c r="M982" t="n">
        <v>0</v>
      </c>
      <c r="N982" t="n">
        <v>0</v>
      </c>
      <c r="O982" t="n">
        <v>0</v>
      </c>
      <c r="P982" t="n">
        <v>0</v>
      </c>
      <c r="Q982" t="n">
        <v>0</v>
      </c>
      <c r="R982" s="2" t="inlineStr"/>
    </row>
    <row r="983" ht="15" customHeight="1">
      <c r="A983" t="inlineStr">
        <is>
          <t>A 27232-2021</t>
        </is>
      </c>
      <c r="B983" s="1" t="n">
        <v>44350</v>
      </c>
      <c r="C983" s="1" t="n">
        <v>45579</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27559-2021</t>
        </is>
      </c>
      <c r="B984" s="1" t="n">
        <v>44352</v>
      </c>
      <c r="C984" s="1" t="n">
        <v>45579</v>
      </c>
      <c r="D984" t="inlineStr">
        <is>
          <t>JÄMTLANDS LÄN</t>
        </is>
      </c>
      <c r="E984" t="inlineStr">
        <is>
          <t>STRÖMSUND</t>
        </is>
      </c>
      <c r="G984" t="n">
        <v>14.7</v>
      </c>
      <c r="H984" t="n">
        <v>0</v>
      </c>
      <c r="I984" t="n">
        <v>0</v>
      </c>
      <c r="J984" t="n">
        <v>0</v>
      </c>
      <c r="K984" t="n">
        <v>0</v>
      </c>
      <c r="L984" t="n">
        <v>0</v>
      </c>
      <c r="M984" t="n">
        <v>0</v>
      </c>
      <c r="N984" t="n">
        <v>0</v>
      </c>
      <c r="O984" t="n">
        <v>0</v>
      </c>
      <c r="P984" t="n">
        <v>0</v>
      </c>
      <c r="Q984" t="n">
        <v>0</v>
      </c>
      <c r="R984" s="2" t="inlineStr"/>
    </row>
    <row r="985" ht="15" customHeight="1">
      <c r="A985" t="inlineStr">
        <is>
          <t>A 27979-2021</t>
        </is>
      </c>
      <c r="B985" s="1" t="n">
        <v>44354</v>
      </c>
      <c r="C985" s="1" t="n">
        <v>45579</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27978-2021</t>
        </is>
      </c>
      <c r="B986" s="1" t="n">
        <v>44354</v>
      </c>
      <c r="C986" s="1" t="n">
        <v>45579</v>
      </c>
      <c r="D986" t="inlineStr">
        <is>
          <t>JÄMTLANDS LÄN</t>
        </is>
      </c>
      <c r="E986" t="inlineStr">
        <is>
          <t>STRÖMSUND</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27980-2021</t>
        </is>
      </c>
      <c r="B987" s="1" t="n">
        <v>44354</v>
      </c>
      <c r="C987" s="1" t="n">
        <v>45579</v>
      </c>
      <c r="D987" t="inlineStr">
        <is>
          <t>JÄMTLANDS LÄN</t>
        </is>
      </c>
      <c r="E987" t="inlineStr">
        <is>
          <t>STRÖMSUND</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29552-2021</t>
        </is>
      </c>
      <c r="B988" s="1" t="n">
        <v>44361</v>
      </c>
      <c r="C988" s="1" t="n">
        <v>45579</v>
      </c>
      <c r="D988" t="inlineStr">
        <is>
          <t>JÄMTLANDS LÄN</t>
        </is>
      </c>
      <c r="E988" t="inlineStr">
        <is>
          <t>STRÖMSUND</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29628-2021</t>
        </is>
      </c>
      <c r="B989" s="1" t="n">
        <v>44361</v>
      </c>
      <c r="C989" s="1" t="n">
        <v>45579</v>
      </c>
      <c r="D989" t="inlineStr">
        <is>
          <t>JÄMTLANDS LÄN</t>
        </is>
      </c>
      <c r="E989" t="inlineStr">
        <is>
          <t>STRÖMSUND</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29594-2021</t>
        </is>
      </c>
      <c r="B990" s="1" t="n">
        <v>44361</v>
      </c>
      <c r="C990" s="1" t="n">
        <v>45579</v>
      </c>
      <c r="D990" t="inlineStr">
        <is>
          <t>JÄMTLANDS LÄN</t>
        </is>
      </c>
      <c r="E990" t="inlineStr">
        <is>
          <t>STRÖMSUND</t>
        </is>
      </c>
      <c r="G990" t="n">
        <v>10.8</v>
      </c>
      <c r="H990" t="n">
        <v>0</v>
      </c>
      <c r="I990" t="n">
        <v>0</v>
      </c>
      <c r="J990" t="n">
        <v>0</v>
      </c>
      <c r="K990" t="n">
        <v>0</v>
      </c>
      <c r="L990" t="n">
        <v>0</v>
      </c>
      <c r="M990" t="n">
        <v>0</v>
      </c>
      <c r="N990" t="n">
        <v>0</v>
      </c>
      <c r="O990" t="n">
        <v>0</v>
      </c>
      <c r="P990" t="n">
        <v>0</v>
      </c>
      <c r="Q990" t="n">
        <v>0</v>
      </c>
      <c r="R990" s="2" t="inlineStr"/>
    </row>
    <row r="991" ht="15" customHeight="1">
      <c r="A991" t="inlineStr">
        <is>
          <t>A 29601-2021</t>
        </is>
      </c>
      <c r="B991" s="1" t="n">
        <v>44362</v>
      </c>
      <c r="C991" s="1" t="n">
        <v>45579</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29625-2021</t>
        </is>
      </c>
      <c r="B992" s="1" t="n">
        <v>44362</v>
      </c>
      <c r="C992" s="1" t="n">
        <v>45579</v>
      </c>
      <c r="D992" t="inlineStr">
        <is>
          <t>JÄMTLANDS LÄN</t>
        </is>
      </c>
      <c r="E992" t="inlineStr">
        <is>
          <t>STRÖMSUND</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29624-2021</t>
        </is>
      </c>
      <c r="B993" s="1" t="n">
        <v>44362</v>
      </c>
      <c r="C993" s="1" t="n">
        <v>45579</v>
      </c>
      <c r="D993" t="inlineStr">
        <is>
          <t>JÄMTLANDS LÄN</t>
        </is>
      </c>
      <c r="E993" t="inlineStr">
        <is>
          <t>STRÖMSUND</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29637-2021</t>
        </is>
      </c>
      <c r="B994" s="1" t="n">
        <v>44362</v>
      </c>
      <c r="C994" s="1" t="n">
        <v>45579</v>
      </c>
      <c r="D994" t="inlineStr">
        <is>
          <t>JÄMTLANDS LÄN</t>
        </is>
      </c>
      <c r="E994" t="inlineStr">
        <is>
          <t>STRÖMSUND</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29841-2021</t>
        </is>
      </c>
      <c r="B995" s="1" t="n">
        <v>44362</v>
      </c>
      <c r="C995" s="1" t="n">
        <v>45579</v>
      </c>
      <c r="D995" t="inlineStr">
        <is>
          <t>JÄMTLANDS LÄN</t>
        </is>
      </c>
      <c r="E995" t="inlineStr">
        <is>
          <t>STRÖMSUND</t>
        </is>
      </c>
      <c r="G995" t="n">
        <v>2.3</v>
      </c>
      <c r="H995" t="n">
        <v>0</v>
      </c>
      <c r="I995" t="n">
        <v>0</v>
      </c>
      <c r="J995" t="n">
        <v>0</v>
      </c>
      <c r="K995" t="n">
        <v>0</v>
      </c>
      <c r="L995" t="n">
        <v>0</v>
      </c>
      <c r="M995" t="n">
        <v>0</v>
      </c>
      <c r="N995" t="n">
        <v>0</v>
      </c>
      <c r="O995" t="n">
        <v>0</v>
      </c>
      <c r="P995" t="n">
        <v>0</v>
      </c>
      <c r="Q995" t="n">
        <v>0</v>
      </c>
      <c r="R995" s="2" t="inlineStr"/>
    </row>
    <row r="996" ht="15" customHeight="1">
      <c r="A996" t="inlineStr">
        <is>
          <t>A 29903-2021</t>
        </is>
      </c>
      <c r="B996" s="1" t="n">
        <v>44363</v>
      </c>
      <c r="C996" s="1" t="n">
        <v>45579</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29916-2021</t>
        </is>
      </c>
      <c r="B997" s="1" t="n">
        <v>44363</v>
      </c>
      <c r="C997" s="1" t="n">
        <v>45579</v>
      </c>
      <c r="D997" t="inlineStr">
        <is>
          <t>JÄMTLANDS LÄN</t>
        </is>
      </c>
      <c r="E997" t="inlineStr">
        <is>
          <t>STRÖMSUND</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29905-2021</t>
        </is>
      </c>
      <c r="B998" s="1" t="n">
        <v>44363</v>
      </c>
      <c r="C998" s="1" t="n">
        <v>45579</v>
      </c>
      <c r="D998" t="inlineStr">
        <is>
          <t>JÄMTLANDS LÄN</t>
        </is>
      </c>
      <c r="E998" t="inlineStr">
        <is>
          <t>STRÖMSUND</t>
        </is>
      </c>
      <c r="G998" t="n">
        <v>2.8</v>
      </c>
      <c r="H998" t="n">
        <v>0</v>
      </c>
      <c r="I998" t="n">
        <v>0</v>
      </c>
      <c r="J998" t="n">
        <v>0</v>
      </c>
      <c r="K998" t="n">
        <v>0</v>
      </c>
      <c r="L998" t="n">
        <v>0</v>
      </c>
      <c r="M998" t="n">
        <v>0</v>
      </c>
      <c r="N998" t="n">
        <v>0</v>
      </c>
      <c r="O998" t="n">
        <v>0</v>
      </c>
      <c r="P998" t="n">
        <v>0</v>
      </c>
      <c r="Q998" t="n">
        <v>0</v>
      </c>
      <c r="R998" s="2" t="inlineStr"/>
    </row>
    <row r="999" ht="15" customHeight="1">
      <c r="A999" t="inlineStr">
        <is>
          <t>A 30580-2021</t>
        </is>
      </c>
      <c r="B999" s="1" t="n">
        <v>44365</v>
      </c>
      <c r="C999" s="1" t="n">
        <v>45579</v>
      </c>
      <c r="D999" t="inlineStr">
        <is>
          <t>JÄMTLANDS LÄN</t>
        </is>
      </c>
      <c r="E999" t="inlineStr">
        <is>
          <t>STRÖMSUND</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30985-2021</t>
        </is>
      </c>
      <c r="B1000" s="1" t="n">
        <v>44366</v>
      </c>
      <c r="C1000" s="1" t="n">
        <v>45579</v>
      </c>
      <c r="D1000" t="inlineStr">
        <is>
          <t>JÄMTLANDS LÄN</t>
        </is>
      </c>
      <c r="E1000" t="inlineStr">
        <is>
          <t>STRÖMSUND</t>
        </is>
      </c>
      <c r="F1000" t="inlineStr">
        <is>
          <t>SCA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31077-2021</t>
        </is>
      </c>
      <c r="B1001" s="1" t="n">
        <v>44365</v>
      </c>
      <c r="C1001" s="1" t="n">
        <v>45579</v>
      </c>
      <c r="D1001" t="inlineStr">
        <is>
          <t>JÄMTLANDS LÄN</t>
        </is>
      </c>
      <c r="E1001" t="inlineStr">
        <is>
          <t>STRÖMSUND</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31089-2021</t>
        </is>
      </c>
      <c r="B1002" s="1" t="n">
        <v>44368</v>
      </c>
      <c r="C1002" s="1" t="n">
        <v>45579</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33787-2021</t>
        </is>
      </c>
      <c r="B1003" s="1" t="n">
        <v>44368</v>
      </c>
      <c r="C1003" s="1" t="n">
        <v>45579</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31739-2021</t>
        </is>
      </c>
      <c r="B1004" s="1" t="n">
        <v>44369</v>
      </c>
      <c r="C1004" s="1" t="n">
        <v>45579</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31740-2021</t>
        </is>
      </c>
      <c r="B1005" s="1" t="n">
        <v>44370</v>
      </c>
      <c r="C1005" s="1" t="n">
        <v>45579</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32359-2021</t>
        </is>
      </c>
      <c r="B1006" s="1" t="n">
        <v>44371</v>
      </c>
      <c r="C1006" s="1" t="n">
        <v>45579</v>
      </c>
      <c r="D1006" t="inlineStr">
        <is>
          <t>JÄMTLANDS LÄN</t>
        </is>
      </c>
      <c r="E1006" t="inlineStr">
        <is>
          <t>STRÖMSUND</t>
        </is>
      </c>
      <c r="F1006" t="inlineStr">
        <is>
          <t>SCA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32259-2021</t>
        </is>
      </c>
      <c r="B1007" s="1" t="n">
        <v>44371</v>
      </c>
      <c r="C1007" s="1" t="n">
        <v>45579</v>
      </c>
      <c r="D1007" t="inlineStr">
        <is>
          <t>JÄMTLANDS LÄN</t>
        </is>
      </c>
      <c r="E1007" t="inlineStr">
        <is>
          <t>STRÖMSUND</t>
        </is>
      </c>
      <c r="F1007" t="inlineStr">
        <is>
          <t>SCA</t>
        </is>
      </c>
      <c r="G1007" t="n">
        <v>22.4</v>
      </c>
      <c r="H1007" t="n">
        <v>0</v>
      </c>
      <c r="I1007" t="n">
        <v>0</v>
      </c>
      <c r="J1007" t="n">
        <v>0</v>
      </c>
      <c r="K1007" t="n">
        <v>0</v>
      </c>
      <c r="L1007" t="n">
        <v>0</v>
      </c>
      <c r="M1007" t="n">
        <v>0</v>
      </c>
      <c r="N1007" t="n">
        <v>0</v>
      </c>
      <c r="O1007" t="n">
        <v>0</v>
      </c>
      <c r="P1007" t="n">
        <v>0</v>
      </c>
      <c r="Q1007" t="n">
        <v>0</v>
      </c>
      <c r="R1007" s="2" t="inlineStr"/>
    </row>
    <row r="1008" ht="15" customHeight="1">
      <c r="A1008" t="inlineStr">
        <is>
          <t>A 32460-2021</t>
        </is>
      </c>
      <c r="B1008" s="1" t="n">
        <v>44371</v>
      </c>
      <c r="C1008" s="1" t="n">
        <v>45579</v>
      </c>
      <c r="D1008" t="inlineStr">
        <is>
          <t>JÄMTLANDS LÄN</t>
        </is>
      </c>
      <c r="E1008" t="inlineStr">
        <is>
          <t>STRÖMSUND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32465-2021</t>
        </is>
      </c>
      <c r="B1009" s="1" t="n">
        <v>44371</v>
      </c>
      <c r="C1009" s="1" t="n">
        <v>45579</v>
      </c>
      <c r="D1009" t="inlineStr">
        <is>
          <t>JÄMTLANDS LÄN</t>
        </is>
      </c>
      <c r="E1009" t="inlineStr">
        <is>
          <t>STRÖMSUND</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32536-2021</t>
        </is>
      </c>
      <c r="B1010" s="1" t="n">
        <v>44374</v>
      </c>
      <c r="C1010" s="1" t="n">
        <v>45579</v>
      </c>
      <c r="D1010" t="inlineStr">
        <is>
          <t>JÄMTLANDS LÄN</t>
        </is>
      </c>
      <c r="E1010" t="inlineStr">
        <is>
          <t>STRÖMSUND</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32531-2021</t>
        </is>
      </c>
      <c r="B1011" s="1" t="n">
        <v>44375</v>
      </c>
      <c r="C1011" s="1" t="n">
        <v>45579</v>
      </c>
      <c r="D1011" t="inlineStr">
        <is>
          <t>JÄMTLANDS LÄN</t>
        </is>
      </c>
      <c r="E1011" t="inlineStr">
        <is>
          <t>STRÖMSUND</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32539-2021</t>
        </is>
      </c>
      <c r="B1012" s="1" t="n">
        <v>44375</v>
      </c>
      <c r="C1012" s="1" t="n">
        <v>45579</v>
      </c>
      <c r="D1012" t="inlineStr">
        <is>
          <t>JÄMTLANDS LÄN</t>
        </is>
      </c>
      <c r="E1012" t="inlineStr">
        <is>
          <t>STRÖMSUND</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32533-2021</t>
        </is>
      </c>
      <c r="B1013" s="1" t="n">
        <v>44375</v>
      </c>
      <c r="C1013" s="1" t="n">
        <v>45579</v>
      </c>
      <c r="D1013" t="inlineStr">
        <is>
          <t>JÄMTLANDS LÄN</t>
        </is>
      </c>
      <c r="E1013" t="inlineStr">
        <is>
          <t>STRÖMSUND</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32538-2021</t>
        </is>
      </c>
      <c r="B1014" s="1" t="n">
        <v>44374</v>
      </c>
      <c r="C1014" s="1" t="n">
        <v>45579</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33104-2021</t>
        </is>
      </c>
      <c r="B1015" s="1" t="n">
        <v>44376</v>
      </c>
      <c r="C1015" s="1" t="n">
        <v>45579</v>
      </c>
      <c r="D1015" t="inlineStr">
        <is>
          <t>JÄMTLANDS LÄN</t>
        </is>
      </c>
      <c r="E1015" t="inlineStr">
        <is>
          <t>STRÖMSUND</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33223-2021</t>
        </is>
      </c>
      <c r="B1016" s="1" t="n">
        <v>44377</v>
      </c>
      <c r="C1016" s="1" t="n">
        <v>45579</v>
      </c>
      <c r="D1016" t="inlineStr">
        <is>
          <t>JÄMTLANDS LÄN</t>
        </is>
      </c>
      <c r="E1016" t="inlineStr">
        <is>
          <t>STRÖMSUND</t>
        </is>
      </c>
      <c r="F1016" t="inlineStr">
        <is>
          <t>SCA</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33225-2021</t>
        </is>
      </c>
      <c r="B1017" s="1" t="n">
        <v>44376</v>
      </c>
      <c r="C1017" s="1" t="n">
        <v>45579</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33216-2021</t>
        </is>
      </c>
      <c r="B1018" s="1" t="n">
        <v>44376</v>
      </c>
      <c r="C1018" s="1" t="n">
        <v>45579</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33549-2021</t>
        </is>
      </c>
      <c r="B1019" s="1" t="n">
        <v>44377</v>
      </c>
      <c r="C1019" s="1" t="n">
        <v>45579</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33562-2021</t>
        </is>
      </c>
      <c r="B1020" s="1" t="n">
        <v>44377</v>
      </c>
      <c r="C1020" s="1" t="n">
        <v>45579</v>
      </c>
      <c r="D1020" t="inlineStr">
        <is>
          <t>JÄMTLANDS LÄN</t>
        </is>
      </c>
      <c r="E1020" t="inlineStr">
        <is>
          <t>STRÖMSUND</t>
        </is>
      </c>
      <c r="F1020" t="inlineStr">
        <is>
          <t>SCA</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33554-2021</t>
        </is>
      </c>
      <c r="B1021" s="1" t="n">
        <v>44377</v>
      </c>
      <c r="C1021" s="1" t="n">
        <v>45579</v>
      </c>
      <c r="D1021" t="inlineStr">
        <is>
          <t>JÄMTLANDS LÄN</t>
        </is>
      </c>
      <c r="E1021" t="inlineStr">
        <is>
          <t>STRÖMSUND</t>
        </is>
      </c>
      <c r="F1021" t="inlineStr">
        <is>
          <t>SCA</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35061-2021</t>
        </is>
      </c>
      <c r="B1022" s="1" t="n">
        <v>44383</v>
      </c>
      <c r="C1022" s="1" t="n">
        <v>45579</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35044-2021</t>
        </is>
      </c>
      <c r="B1023" s="1" t="n">
        <v>44384</v>
      </c>
      <c r="C1023" s="1" t="n">
        <v>45579</v>
      </c>
      <c r="D1023" t="inlineStr">
        <is>
          <t>JÄMTLANDS LÄN</t>
        </is>
      </c>
      <c r="E1023" t="inlineStr">
        <is>
          <t>STRÖMSUND</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35064-2021</t>
        </is>
      </c>
      <c r="B1024" s="1" t="n">
        <v>44383</v>
      </c>
      <c r="C1024" s="1" t="n">
        <v>45579</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35342-2021</t>
        </is>
      </c>
      <c r="B1025" s="1" t="n">
        <v>44385</v>
      </c>
      <c r="C1025" s="1" t="n">
        <v>45579</v>
      </c>
      <c r="D1025" t="inlineStr">
        <is>
          <t>JÄMTLANDS LÄN</t>
        </is>
      </c>
      <c r="E1025" t="inlineStr">
        <is>
          <t>STRÖMSUND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35352-2021</t>
        </is>
      </c>
      <c r="B1026" s="1" t="n">
        <v>44384</v>
      </c>
      <c r="C1026" s="1" t="n">
        <v>45579</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35565-2021</t>
        </is>
      </c>
      <c r="B1027" s="1" t="n">
        <v>44386</v>
      </c>
      <c r="C1027" s="1" t="n">
        <v>45579</v>
      </c>
      <c r="D1027" t="inlineStr">
        <is>
          <t>JÄMTLANDS LÄN</t>
        </is>
      </c>
      <c r="E1027" t="inlineStr">
        <is>
          <t>STRÖMSUND</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35522-2021</t>
        </is>
      </c>
      <c r="B1028" s="1" t="n">
        <v>44385</v>
      </c>
      <c r="C1028" s="1" t="n">
        <v>45579</v>
      </c>
      <c r="D1028" t="inlineStr">
        <is>
          <t>JÄMTLANDS LÄN</t>
        </is>
      </c>
      <c r="E1028" t="inlineStr">
        <is>
          <t>STRÖMSUND</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35916-2021</t>
        </is>
      </c>
      <c r="B1029" s="1" t="n">
        <v>44388</v>
      </c>
      <c r="C1029" s="1" t="n">
        <v>45579</v>
      </c>
      <c r="D1029" t="inlineStr">
        <is>
          <t>JÄMTLANDS LÄN</t>
        </is>
      </c>
      <c r="E1029" t="inlineStr">
        <is>
          <t>STRÖMSUND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35915-2021</t>
        </is>
      </c>
      <c r="B1030" s="1" t="n">
        <v>44388</v>
      </c>
      <c r="C1030" s="1" t="n">
        <v>45579</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35914-2021</t>
        </is>
      </c>
      <c r="B1031" s="1" t="n">
        <v>44388</v>
      </c>
      <c r="C1031" s="1" t="n">
        <v>45579</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35918-2021</t>
        </is>
      </c>
      <c r="B1032" s="1" t="n">
        <v>44388</v>
      </c>
      <c r="C1032" s="1" t="n">
        <v>45579</v>
      </c>
      <c r="D1032" t="inlineStr">
        <is>
          <t>JÄMTLANDS LÄN</t>
        </is>
      </c>
      <c r="E1032" t="inlineStr">
        <is>
          <t>STRÖMSUND</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36176-2021</t>
        </is>
      </c>
      <c r="B1033" s="1" t="n">
        <v>44389</v>
      </c>
      <c r="C1033" s="1" t="n">
        <v>45579</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36453-2021</t>
        </is>
      </c>
      <c r="B1034" s="1" t="n">
        <v>44391</v>
      </c>
      <c r="C1034" s="1" t="n">
        <v>45579</v>
      </c>
      <c r="D1034" t="inlineStr">
        <is>
          <t>JÄMTLANDS LÄN</t>
        </is>
      </c>
      <c r="E1034" t="inlineStr">
        <is>
          <t>STRÖMSUND</t>
        </is>
      </c>
      <c r="F1034" t="inlineStr">
        <is>
          <t>SCA</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36706-2021</t>
        </is>
      </c>
      <c r="B1035" s="1" t="n">
        <v>44392</v>
      </c>
      <c r="C1035" s="1" t="n">
        <v>45579</v>
      </c>
      <c r="D1035" t="inlineStr">
        <is>
          <t>JÄMTLANDS LÄN</t>
        </is>
      </c>
      <c r="E1035" t="inlineStr">
        <is>
          <t>STRÖMSUND</t>
        </is>
      </c>
      <c r="F1035" t="inlineStr">
        <is>
          <t>Holmen skog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37047-2021</t>
        </is>
      </c>
      <c r="B1036" s="1" t="n">
        <v>44393</v>
      </c>
      <c r="C1036" s="1" t="n">
        <v>45579</v>
      </c>
      <c r="D1036" t="inlineStr">
        <is>
          <t>JÄMTLANDS LÄN</t>
        </is>
      </c>
      <c r="E1036" t="inlineStr">
        <is>
          <t>STRÖMSUND</t>
        </is>
      </c>
      <c r="F1036" t="inlineStr">
        <is>
          <t>SCA</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37229-2021</t>
        </is>
      </c>
      <c r="B1037" s="1" t="n">
        <v>44397</v>
      </c>
      <c r="C1037" s="1" t="n">
        <v>45579</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37373-2021</t>
        </is>
      </c>
      <c r="B1038" s="1" t="n">
        <v>44398</v>
      </c>
      <c r="C1038" s="1" t="n">
        <v>45579</v>
      </c>
      <c r="D1038" t="inlineStr">
        <is>
          <t>JÄMTLANDS LÄN</t>
        </is>
      </c>
      <c r="E1038" t="inlineStr">
        <is>
          <t>STRÖMSUND</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37370-2021</t>
        </is>
      </c>
      <c r="B1039" s="1" t="n">
        <v>44397</v>
      </c>
      <c r="C1039" s="1" t="n">
        <v>45579</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37371-2021</t>
        </is>
      </c>
      <c r="B1040" s="1" t="n">
        <v>44398</v>
      </c>
      <c r="C1040" s="1" t="n">
        <v>45579</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38219-2021</t>
        </is>
      </c>
      <c r="B1041" s="1" t="n">
        <v>44405</v>
      </c>
      <c r="C1041" s="1" t="n">
        <v>45579</v>
      </c>
      <c r="D1041" t="inlineStr">
        <is>
          <t>JÄMTLANDS LÄN</t>
        </is>
      </c>
      <c r="E1041" t="inlineStr">
        <is>
          <t>STRÖMSUND</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38583-2021</t>
        </is>
      </c>
      <c r="B1042" s="1" t="n">
        <v>44408</v>
      </c>
      <c r="C1042" s="1" t="n">
        <v>45579</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38578-2021</t>
        </is>
      </c>
      <c r="B1043" s="1" t="n">
        <v>44407</v>
      </c>
      <c r="C1043" s="1" t="n">
        <v>45579</v>
      </c>
      <c r="D1043" t="inlineStr">
        <is>
          <t>JÄMTLANDS LÄN</t>
        </is>
      </c>
      <c r="E1043" t="inlineStr">
        <is>
          <t>STRÖMSUND</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38587-2021</t>
        </is>
      </c>
      <c r="B1044" s="1" t="n">
        <v>44408</v>
      </c>
      <c r="C1044" s="1" t="n">
        <v>45579</v>
      </c>
      <c r="D1044" t="inlineStr">
        <is>
          <t>JÄMTLANDS LÄN</t>
        </is>
      </c>
      <c r="E1044" t="inlineStr">
        <is>
          <t>STRÖMSUND</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38586-2021</t>
        </is>
      </c>
      <c r="B1045" s="1" t="n">
        <v>44407</v>
      </c>
      <c r="C1045" s="1" t="n">
        <v>45579</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c r="U1045">
        <f>HYPERLINK("https://klasma.github.io/Logging_2313/knärot/A 38586-2021 karta knärot.png", "A 38586-2021")</f>
        <v/>
      </c>
      <c r="V1045">
        <f>HYPERLINK("https://klasma.github.io/Logging_2313/klagomål/A 38586-2021 FSC-klagomål.docx", "A 38586-2021")</f>
        <v/>
      </c>
      <c r="W1045">
        <f>HYPERLINK("https://klasma.github.io/Logging_2313/klagomålsmail/A 38586-2021 FSC-klagomål mail.docx", "A 38586-2021")</f>
        <v/>
      </c>
      <c r="X1045">
        <f>HYPERLINK("https://klasma.github.io/Logging_2313/tillsyn/A 38586-2021 tillsynsbegäran.docx", "A 38586-2021")</f>
        <v/>
      </c>
      <c r="Y1045">
        <f>HYPERLINK("https://klasma.github.io/Logging_2313/tillsynsmail/A 38586-2021 tillsynsbegäran mail.docx", "A 38586-2021")</f>
        <v/>
      </c>
    </row>
    <row r="1046" ht="15" customHeight="1">
      <c r="A1046" t="inlineStr">
        <is>
          <t>A 38629-2021</t>
        </is>
      </c>
      <c r="B1046" s="1" t="n">
        <v>44410</v>
      </c>
      <c r="C1046" s="1" t="n">
        <v>45579</v>
      </c>
      <c r="D1046" t="inlineStr">
        <is>
          <t>JÄMTLANDS LÄN</t>
        </is>
      </c>
      <c r="E1046" t="inlineStr">
        <is>
          <t>STRÖMSUND</t>
        </is>
      </c>
      <c r="F1046" t="inlineStr">
        <is>
          <t>SCA</t>
        </is>
      </c>
      <c r="G1046" t="n">
        <v>18.3</v>
      </c>
      <c r="H1046" t="n">
        <v>0</v>
      </c>
      <c r="I1046" t="n">
        <v>0</v>
      </c>
      <c r="J1046" t="n">
        <v>0</v>
      </c>
      <c r="K1046" t="n">
        <v>0</v>
      </c>
      <c r="L1046" t="n">
        <v>0</v>
      </c>
      <c r="M1046" t="n">
        <v>0</v>
      </c>
      <c r="N1046" t="n">
        <v>0</v>
      </c>
      <c r="O1046" t="n">
        <v>0</v>
      </c>
      <c r="P1046" t="n">
        <v>0</v>
      </c>
      <c r="Q1046" t="n">
        <v>0</v>
      </c>
      <c r="R1046" s="2" t="inlineStr"/>
    </row>
    <row r="1047" ht="15" customHeight="1">
      <c r="A1047" t="inlineStr">
        <is>
          <t>A 38763-2021</t>
        </is>
      </c>
      <c r="B1047" s="1" t="n">
        <v>44410</v>
      </c>
      <c r="C1047" s="1" t="n">
        <v>45579</v>
      </c>
      <c r="D1047" t="inlineStr">
        <is>
          <t>JÄMTLANDS LÄN</t>
        </is>
      </c>
      <c r="E1047" t="inlineStr">
        <is>
          <t>STRÖMSUND</t>
        </is>
      </c>
      <c r="F1047" t="inlineStr">
        <is>
          <t>Kyrkan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38786-2021</t>
        </is>
      </c>
      <c r="B1048" s="1" t="n">
        <v>44410</v>
      </c>
      <c r="C1048" s="1" t="n">
        <v>45579</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39331-2021</t>
        </is>
      </c>
      <c r="B1049" s="1" t="n">
        <v>44414</v>
      </c>
      <c r="C1049" s="1" t="n">
        <v>45579</v>
      </c>
      <c r="D1049" t="inlineStr">
        <is>
          <t>JÄMTLANDS LÄN</t>
        </is>
      </c>
      <c r="E1049" t="inlineStr">
        <is>
          <t>STRÖMSUND</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39332-2021</t>
        </is>
      </c>
      <c r="B1050" s="1" t="n">
        <v>44413</v>
      </c>
      <c r="C1050" s="1" t="n">
        <v>45579</v>
      </c>
      <c r="D1050" t="inlineStr">
        <is>
          <t>JÄMTLANDS LÄN</t>
        </is>
      </c>
      <c r="E1050" t="inlineStr">
        <is>
          <t>STRÖMSUND</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39511-2021</t>
        </is>
      </c>
      <c r="B1051" s="1" t="n">
        <v>44414</v>
      </c>
      <c r="C1051" s="1" t="n">
        <v>45579</v>
      </c>
      <c r="D1051" t="inlineStr">
        <is>
          <t>JÄMTLANDS LÄN</t>
        </is>
      </c>
      <c r="E1051" t="inlineStr">
        <is>
          <t>STRÖMSUND</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39510-2021</t>
        </is>
      </c>
      <c r="B1052" s="1" t="n">
        <v>44414</v>
      </c>
      <c r="C1052" s="1" t="n">
        <v>45579</v>
      </c>
      <c r="D1052" t="inlineStr">
        <is>
          <t>JÄMTLANDS LÄN</t>
        </is>
      </c>
      <c r="E1052" t="inlineStr">
        <is>
          <t>STRÖMSUND</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39945-2021</t>
        </is>
      </c>
      <c r="B1053" s="1" t="n">
        <v>44417</v>
      </c>
      <c r="C1053" s="1" t="n">
        <v>45579</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39944-2021</t>
        </is>
      </c>
      <c r="B1054" s="1" t="n">
        <v>44417</v>
      </c>
      <c r="C1054" s="1" t="n">
        <v>45579</v>
      </c>
      <c r="D1054" t="inlineStr">
        <is>
          <t>JÄMTLANDS LÄN</t>
        </is>
      </c>
      <c r="E1054" t="inlineStr">
        <is>
          <t>STRÖMSUND</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40354-2021</t>
        </is>
      </c>
      <c r="B1055" s="1" t="n">
        <v>44419</v>
      </c>
      <c r="C1055" s="1" t="n">
        <v>45579</v>
      </c>
      <c r="D1055" t="inlineStr">
        <is>
          <t>JÄMTLANDS LÄN</t>
        </is>
      </c>
      <c r="E1055" t="inlineStr">
        <is>
          <t>STRÖMSUND</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40657-2021</t>
        </is>
      </c>
      <c r="B1056" s="1" t="n">
        <v>44420</v>
      </c>
      <c r="C1056" s="1" t="n">
        <v>45579</v>
      </c>
      <c r="D1056" t="inlineStr">
        <is>
          <t>JÄMTLANDS LÄN</t>
        </is>
      </c>
      <c r="E1056" t="inlineStr">
        <is>
          <t>STRÖMSUND</t>
        </is>
      </c>
      <c r="F1056" t="inlineStr">
        <is>
          <t>Holmen skog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40827-2021</t>
        </is>
      </c>
      <c r="B1057" s="1" t="n">
        <v>44421</v>
      </c>
      <c r="C1057" s="1" t="n">
        <v>45579</v>
      </c>
      <c r="D1057" t="inlineStr">
        <is>
          <t>JÄMTLANDS LÄN</t>
        </is>
      </c>
      <c r="E1057" t="inlineStr">
        <is>
          <t>STRÖMSUND</t>
        </is>
      </c>
      <c r="F1057" t="inlineStr">
        <is>
          <t>Holmen skog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40857-2021</t>
        </is>
      </c>
      <c r="B1058" s="1" t="n">
        <v>44421</v>
      </c>
      <c r="C1058" s="1" t="n">
        <v>45579</v>
      </c>
      <c r="D1058" t="inlineStr">
        <is>
          <t>JÄMTLANDS LÄN</t>
        </is>
      </c>
      <c r="E1058" t="inlineStr">
        <is>
          <t>STRÖMSUND</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40806-2021</t>
        </is>
      </c>
      <c r="B1059" s="1" t="n">
        <v>44421</v>
      </c>
      <c r="C1059" s="1" t="n">
        <v>45579</v>
      </c>
      <c r="D1059" t="inlineStr">
        <is>
          <t>JÄMTLANDS LÄN</t>
        </is>
      </c>
      <c r="E1059" t="inlineStr">
        <is>
          <t>STRÖMSUND</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41059-2021</t>
        </is>
      </c>
      <c r="B1060" s="1" t="n">
        <v>44422</v>
      </c>
      <c r="C1060" s="1" t="n">
        <v>45579</v>
      </c>
      <c r="D1060" t="inlineStr">
        <is>
          <t>JÄMTLANDS LÄN</t>
        </is>
      </c>
      <c r="E1060" t="inlineStr">
        <is>
          <t>STRÖMSUND</t>
        </is>
      </c>
      <c r="F1060" t="inlineStr">
        <is>
          <t>SCA</t>
        </is>
      </c>
      <c r="G1060" t="n">
        <v>17.6</v>
      </c>
      <c r="H1060" t="n">
        <v>0</v>
      </c>
      <c r="I1060" t="n">
        <v>0</v>
      </c>
      <c r="J1060" t="n">
        <v>0</v>
      </c>
      <c r="K1060" t="n">
        <v>0</v>
      </c>
      <c r="L1060" t="n">
        <v>0</v>
      </c>
      <c r="M1060" t="n">
        <v>0</v>
      </c>
      <c r="N1060" t="n">
        <v>0</v>
      </c>
      <c r="O1060" t="n">
        <v>0</v>
      </c>
      <c r="P1060" t="n">
        <v>0</v>
      </c>
      <c r="Q1060" t="n">
        <v>0</v>
      </c>
      <c r="R1060" s="2" t="inlineStr"/>
    </row>
    <row r="1061" ht="15" customHeight="1">
      <c r="A1061" t="inlineStr">
        <is>
          <t>A 41491-2021</t>
        </is>
      </c>
      <c r="B1061" s="1" t="n">
        <v>44424</v>
      </c>
      <c r="C1061" s="1" t="n">
        <v>45579</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41490-2021</t>
        </is>
      </c>
      <c r="B1062" s="1" t="n">
        <v>44425</v>
      </c>
      <c r="C1062" s="1" t="n">
        <v>45579</v>
      </c>
      <c r="D1062" t="inlineStr">
        <is>
          <t>JÄMTLANDS LÄN</t>
        </is>
      </c>
      <c r="E1062" t="inlineStr">
        <is>
          <t>STRÖMSUND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41639-2021</t>
        </is>
      </c>
      <c r="B1063" s="1" t="n">
        <v>44425</v>
      </c>
      <c r="C1063" s="1" t="n">
        <v>45579</v>
      </c>
      <c r="D1063" t="inlineStr">
        <is>
          <t>JÄMTLANDS LÄN</t>
        </is>
      </c>
      <c r="E1063" t="inlineStr">
        <is>
          <t>STRÖMSUND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42247-2021</t>
        </is>
      </c>
      <c r="B1064" s="1" t="n">
        <v>44426</v>
      </c>
      <c r="C1064" s="1" t="n">
        <v>45579</v>
      </c>
      <c r="D1064" t="inlineStr">
        <is>
          <t>JÄMTLANDS LÄN</t>
        </is>
      </c>
      <c r="E1064" t="inlineStr">
        <is>
          <t>STRÖMSUND</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42549-2021</t>
        </is>
      </c>
      <c r="B1065" s="1" t="n">
        <v>44427</v>
      </c>
      <c r="C1065" s="1" t="n">
        <v>45579</v>
      </c>
      <c r="D1065" t="inlineStr">
        <is>
          <t>JÄMTLANDS LÄN</t>
        </is>
      </c>
      <c r="E1065" t="inlineStr">
        <is>
          <t>STRÖMSUND</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42545-2021</t>
        </is>
      </c>
      <c r="B1066" s="1" t="n">
        <v>44428</v>
      </c>
      <c r="C1066" s="1" t="n">
        <v>45579</v>
      </c>
      <c r="D1066" t="inlineStr">
        <is>
          <t>JÄMTLANDS LÄN</t>
        </is>
      </c>
      <c r="E1066" t="inlineStr">
        <is>
          <t>STRÖMSUND</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42551-2021</t>
        </is>
      </c>
      <c r="B1067" s="1" t="n">
        <v>44427</v>
      </c>
      <c r="C1067" s="1" t="n">
        <v>45579</v>
      </c>
      <c r="D1067" t="inlineStr">
        <is>
          <t>JÄMTLANDS LÄN</t>
        </is>
      </c>
      <c r="E1067" t="inlineStr">
        <is>
          <t>STRÖMSUND</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42794-2021</t>
        </is>
      </c>
      <c r="B1068" s="1" t="n">
        <v>44429</v>
      </c>
      <c r="C1068" s="1" t="n">
        <v>45579</v>
      </c>
      <c r="D1068" t="inlineStr">
        <is>
          <t>JÄMTLANDS LÄN</t>
        </is>
      </c>
      <c r="E1068" t="inlineStr">
        <is>
          <t>STRÖMSUND</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43072-2021</t>
        </is>
      </c>
      <c r="B1069" s="1" t="n">
        <v>44431</v>
      </c>
      <c r="C1069" s="1" t="n">
        <v>45579</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43839-2021</t>
        </is>
      </c>
      <c r="B1070" s="1" t="n">
        <v>44434</v>
      </c>
      <c r="C1070" s="1" t="n">
        <v>45579</v>
      </c>
      <c r="D1070" t="inlineStr">
        <is>
          <t>JÄMTLANDS LÄN</t>
        </is>
      </c>
      <c r="E1070" t="inlineStr">
        <is>
          <t>STRÖMSUND</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43754-2021</t>
        </is>
      </c>
      <c r="B1071" s="1" t="n">
        <v>44433</v>
      </c>
      <c r="C1071" s="1" t="n">
        <v>45579</v>
      </c>
      <c r="D1071" t="inlineStr">
        <is>
          <t>JÄMTLANDS LÄN</t>
        </is>
      </c>
      <c r="E1071" t="inlineStr">
        <is>
          <t>STRÖMSUND</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43752-2021</t>
        </is>
      </c>
      <c r="B1072" s="1" t="n">
        <v>44433</v>
      </c>
      <c r="C1072" s="1" t="n">
        <v>45579</v>
      </c>
      <c r="D1072" t="inlineStr">
        <is>
          <t>JÄMTLANDS LÄN</t>
        </is>
      </c>
      <c r="E1072" t="inlineStr">
        <is>
          <t>STRÖMSUND</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43842-2021</t>
        </is>
      </c>
      <c r="B1073" s="1" t="n">
        <v>44433</v>
      </c>
      <c r="C1073" s="1" t="n">
        <v>45579</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43846-2021</t>
        </is>
      </c>
      <c r="B1074" s="1" t="n">
        <v>44434</v>
      </c>
      <c r="C1074" s="1" t="n">
        <v>45579</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43844-2021</t>
        </is>
      </c>
      <c r="B1075" s="1" t="n">
        <v>44433</v>
      </c>
      <c r="C1075" s="1" t="n">
        <v>45579</v>
      </c>
      <c r="D1075" t="inlineStr">
        <is>
          <t>JÄMTLANDS LÄN</t>
        </is>
      </c>
      <c r="E1075" t="inlineStr">
        <is>
          <t>STRÖMSUND</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44025-2021</t>
        </is>
      </c>
      <c r="B1076" s="1" t="n">
        <v>44434</v>
      </c>
      <c r="C1076" s="1" t="n">
        <v>45579</v>
      </c>
      <c r="D1076" t="inlineStr">
        <is>
          <t>JÄMTLANDS LÄN</t>
        </is>
      </c>
      <c r="E1076" t="inlineStr">
        <is>
          <t>STRÖMSUND</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44104-2021</t>
        </is>
      </c>
      <c r="B1077" s="1" t="n">
        <v>44434</v>
      </c>
      <c r="C1077" s="1" t="n">
        <v>45579</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44229-2021</t>
        </is>
      </c>
      <c r="B1078" s="1" t="n">
        <v>44434</v>
      </c>
      <c r="C1078" s="1" t="n">
        <v>45579</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44410-2021</t>
        </is>
      </c>
      <c r="B1079" s="1" t="n">
        <v>44435</v>
      </c>
      <c r="C1079" s="1" t="n">
        <v>45579</v>
      </c>
      <c r="D1079" t="inlineStr">
        <is>
          <t>JÄMTLANDS LÄN</t>
        </is>
      </c>
      <c r="E1079" t="inlineStr">
        <is>
          <t>STRÖMSUND</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44436-2021</t>
        </is>
      </c>
      <c r="B1080" s="1" t="n">
        <v>44435</v>
      </c>
      <c r="C1080" s="1" t="n">
        <v>45579</v>
      </c>
      <c r="D1080" t="inlineStr">
        <is>
          <t>JÄMTLANDS LÄN</t>
        </is>
      </c>
      <c r="E1080" t="inlineStr">
        <is>
          <t>STRÖMSUND</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44602-2021</t>
        </is>
      </c>
      <c r="B1081" s="1" t="n">
        <v>44436</v>
      </c>
      <c r="C1081" s="1" t="n">
        <v>45579</v>
      </c>
      <c r="D1081" t="inlineStr">
        <is>
          <t>JÄMTLANDS LÄN</t>
        </is>
      </c>
      <c r="E1081" t="inlineStr">
        <is>
          <t>STRÖMSUND</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44600-2021</t>
        </is>
      </c>
      <c r="B1082" s="1" t="n">
        <v>44436</v>
      </c>
      <c r="C1082" s="1" t="n">
        <v>45579</v>
      </c>
      <c r="D1082" t="inlineStr">
        <is>
          <t>JÄMTLANDS LÄN</t>
        </is>
      </c>
      <c r="E1082" t="inlineStr">
        <is>
          <t>STRÖMSUND</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44605-2021</t>
        </is>
      </c>
      <c r="B1083" s="1" t="n">
        <v>44436</v>
      </c>
      <c r="C1083" s="1" t="n">
        <v>45579</v>
      </c>
      <c r="D1083" t="inlineStr">
        <is>
          <t>JÄMTLANDS LÄN</t>
        </is>
      </c>
      <c r="E1083" t="inlineStr">
        <is>
          <t>STRÖMSUND</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44606-2021</t>
        </is>
      </c>
      <c r="B1084" s="1" t="n">
        <v>44436</v>
      </c>
      <c r="C1084" s="1" t="n">
        <v>45579</v>
      </c>
      <c r="D1084" t="inlineStr">
        <is>
          <t>JÄMTLANDS LÄN</t>
        </is>
      </c>
      <c r="E1084" t="inlineStr">
        <is>
          <t>STRÖMSUND</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45011-2021</t>
        </is>
      </c>
      <c r="B1085" s="1" t="n">
        <v>44439</v>
      </c>
      <c r="C1085" s="1" t="n">
        <v>45579</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45230-2021</t>
        </is>
      </c>
      <c r="B1086" s="1" t="n">
        <v>44439</v>
      </c>
      <c r="C1086" s="1" t="n">
        <v>45579</v>
      </c>
      <c r="D1086" t="inlineStr">
        <is>
          <t>JÄMTLANDS LÄN</t>
        </is>
      </c>
      <c r="E1086" t="inlineStr">
        <is>
          <t>STRÖMSUND</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45351-2021</t>
        </is>
      </c>
      <c r="B1087" s="1" t="n">
        <v>44440</v>
      </c>
      <c r="C1087" s="1" t="n">
        <v>45579</v>
      </c>
      <c r="D1087" t="inlineStr">
        <is>
          <t>JÄMTLANDS LÄN</t>
        </is>
      </c>
      <c r="E1087" t="inlineStr">
        <is>
          <t>STRÖMSUND</t>
        </is>
      </c>
      <c r="F1087" t="inlineStr">
        <is>
          <t>SCA</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45333-2021</t>
        </is>
      </c>
      <c r="B1088" s="1" t="n">
        <v>44439</v>
      </c>
      <c r="C1088" s="1" t="n">
        <v>45579</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45340-2021</t>
        </is>
      </c>
      <c r="B1089" s="1" t="n">
        <v>44440</v>
      </c>
      <c r="C1089" s="1" t="n">
        <v>45579</v>
      </c>
      <c r="D1089" t="inlineStr">
        <is>
          <t>JÄMTLANDS LÄN</t>
        </is>
      </c>
      <c r="E1089" t="inlineStr">
        <is>
          <t>STRÖMSUND</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45622-2021</t>
        </is>
      </c>
      <c r="B1090" s="1" t="n">
        <v>44441</v>
      </c>
      <c r="C1090" s="1" t="n">
        <v>45579</v>
      </c>
      <c r="D1090" t="inlineStr">
        <is>
          <t>JÄMTLANDS LÄN</t>
        </is>
      </c>
      <c r="E1090" t="inlineStr">
        <is>
          <t>STRÖMSUND</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45640-2021</t>
        </is>
      </c>
      <c r="B1091" s="1" t="n">
        <v>44440</v>
      </c>
      <c r="C1091" s="1" t="n">
        <v>45579</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45628-2021</t>
        </is>
      </c>
      <c r="B1092" s="1" t="n">
        <v>44441</v>
      </c>
      <c r="C1092" s="1" t="n">
        <v>45579</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45635-2021</t>
        </is>
      </c>
      <c r="B1093" s="1" t="n">
        <v>44440</v>
      </c>
      <c r="C1093" s="1" t="n">
        <v>45579</v>
      </c>
      <c r="D1093" t="inlineStr">
        <is>
          <t>JÄMTLANDS LÄN</t>
        </is>
      </c>
      <c r="E1093" t="inlineStr">
        <is>
          <t>STRÖMSUND</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45641-2021</t>
        </is>
      </c>
      <c r="B1094" s="1" t="n">
        <v>44440</v>
      </c>
      <c r="C1094" s="1" t="n">
        <v>45579</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45630-2021</t>
        </is>
      </c>
      <c r="B1095" s="1" t="n">
        <v>44440</v>
      </c>
      <c r="C1095" s="1" t="n">
        <v>45579</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45638-2021</t>
        </is>
      </c>
      <c r="B1096" s="1" t="n">
        <v>44440</v>
      </c>
      <c r="C1096" s="1" t="n">
        <v>45579</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45627-2021</t>
        </is>
      </c>
      <c r="B1097" s="1" t="n">
        <v>44441</v>
      </c>
      <c r="C1097" s="1" t="n">
        <v>45579</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45626-2021</t>
        </is>
      </c>
      <c r="B1098" s="1" t="n">
        <v>44441</v>
      </c>
      <c r="C1098" s="1" t="n">
        <v>45579</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45639-2021</t>
        </is>
      </c>
      <c r="B1099" s="1" t="n">
        <v>44440</v>
      </c>
      <c r="C1099" s="1" t="n">
        <v>45579</v>
      </c>
      <c r="D1099" t="inlineStr">
        <is>
          <t>JÄMTLANDS LÄN</t>
        </is>
      </c>
      <c r="E1099" t="inlineStr">
        <is>
          <t>STRÖMSUND</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46969-2021</t>
        </is>
      </c>
      <c r="B1100" s="1" t="n">
        <v>44446</v>
      </c>
      <c r="C1100" s="1" t="n">
        <v>45579</v>
      </c>
      <c r="D1100" t="inlineStr">
        <is>
          <t>JÄMTLANDS LÄN</t>
        </is>
      </c>
      <c r="E1100" t="inlineStr">
        <is>
          <t>STRÖMSUND</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47261-2021</t>
        </is>
      </c>
      <c r="B1101" s="1" t="n">
        <v>44447</v>
      </c>
      <c r="C1101" s="1" t="n">
        <v>45579</v>
      </c>
      <c r="D1101" t="inlineStr">
        <is>
          <t>JÄMTLANDS LÄN</t>
        </is>
      </c>
      <c r="E1101" t="inlineStr">
        <is>
          <t>STRÖMSUND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47607-2021</t>
        </is>
      </c>
      <c r="B1102" s="1" t="n">
        <v>44447</v>
      </c>
      <c r="C1102" s="1" t="n">
        <v>45579</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47847-2021</t>
        </is>
      </c>
      <c r="B1103" s="1" t="n">
        <v>44448</v>
      </c>
      <c r="C1103" s="1" t="n">
        <v>45579</v>
      </c>
      <c r="D1103" t="inlineStr">
        <is>
          <t>JÄMTLANDS LÄN</t>
        </is>
      </c>
      <c r="E1103" t="inlineStr">
        <is>
          <t>STRÖMSUND</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47938-2021</t>
        </is>
      </c>
      <c r="B1104" s="1" t="n">
        <v>44449</v>
      </c>
      <c r="C1104" s="1" t="n">
        <v>45579</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47936-2021</t>
        </is>
      </c>
      <c r="B1105" s="1" t="n">
        <v>44448</v>
      </c>
      <c r="C1105" s="1" t="n">
        <v>45579</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47941-2021</t>
        </is>
      </c>
      <c r="B1106" s="1" t="n">
        <v>44449</v>
      </c>
      <c r="C1106" s="1" t="n">
        <v>45579</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47943-2021</t>
        </is>
      </c>
      <c r="B1107" s="1" t="n">
        <v>44448</v>
      </c>
      <c r="C1107" s="1" t="n">
        <v>45579</v>
      </c>
      <c r="D1107" t="inlineStr">
        <is>
          <t>JÄMTLANDS LÄN</t>
        </is>
      </c>
      <c r="E1107" t="inlineStr">
        <is>
          <t>STRÖMSUND</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47934-2021</t>
        </is>
      </c>
      <c r="B1108" s="1" t="n">
        <v>44448</v>
      </c>
      <c r="C1108" s="1" t="n">
        <v>45579</v>
      </c>
      <c r="D1108" t="inlineStr">
        <is>
          <t>JÄMTLANDS LÄN</t>
        </is>
      </c>
      <c r="E1108" t="inlineStr">
        <is>
          <t>STRÖMSUND</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47940-2021</t>
        </is>
      </c>
      <c r="B1109" s="1" t="n">
        <v>44449</v>
      </c>
      <c r="C1109" s="1" t="n">
        <v>45579</v>
      </c>
      <c r="D1109" t="inlineStr">
        <is>
          <t>JÄMTLANDS LÄN</t>
        </is>
      </c>
      <c r="E1109" t="inlineStr">
        <is>
          <t>STRÖMSUND</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48508-2021</t>
        </is>
      </c>
      <c r="B1110" s="1" t="n">
        <v>44451</v>
      </c>
      <c r="C1110" s="1" t="n">
        <v>45579</v>
      </c>
      <c r="D1110" t="inlineStr">
        <is>
          <t>JÄMTLANDS LÄN</t>
        </is>
      </c>
      <c r="E1110" t="inlineStr">
        <is>
          <t>STRÖMSUND</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48863-2021</t>
        </is>
      </c>
      <c r="B1111" s="1" t="n">
        <v>44453</v>
      </c>
      <c r="C1111" s="1" t="n">
        <v>45579</v>
      </c>
      <c r="D1111" t="inlineStr">
        <is>
          <t>JÄMTLANDS LÄN</t>
        </is>
      </c>
      <c r="E1111" t="inlineStr">
        <is>
          <t>STRÖMSUND</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49166-2021</t>
        </is>
      </c>
      <c r="B1112" s="1" t="n">
        <v>44454</v>
      </c>
      <c r="C1112" s="1" t="n">
        <v>45579</v>
      </c>
      <c r="D1112" t="inlineStr">
        <is>
          <t>JÄMTLANDS LÄN</t>
        </is>
      </c>
      <c r="E1112" t="inlineStr">
        <is>
          <t>STRÖMSUND</t>
        </is>
      </c>
      <c r="F1112" t="inlineStr">
        <is>
          <t>SCA</t>
        </is>
      </c>
      <c r="G1112" t="n">
        <v>3.3</v>
      </c>
      <c r="H1112" t="n">
        <v>0</v>
      </c>
      <c r="I1112" t="n">
        <v>0</v>
      </c>
      <c r="J1112" t="n">
        <v>0</v>
      </c>
      <c r="K1112" t="n">
        <v>0</v>
      </c>
      <c r="L1112" t="n">
        <v>0</v>
      </c>
      <c r="M1112" t="n">
        <v>0</v>
      </c>
      <c r="N1112" t="n">
        <v>0</v>
      </c>
      <c r="O1112" t="n">
        <v>0</v>
      </c>
      <c r="P1112" t="n">
        <v>0</v>
      </c>
      <c r="Q1112" t="n">
        <v>0</v>
      </c>
      <c r="R1112" s="2" t="inlineStr"/>
      <c r="U1112">
        <f>HYPERLINK("https://klasma.github.io/Logging_2313/knärot/A 49166-2021 karta knärot.png", "A 49166-2021")</f>
        <v/>
      </c>
      <c r="V1112">
        <f>HYPERLINK("https://klasma.github.io/Logging_2313/klagomål/A 49166-2021 FSC-klagomål.docx", "A 49166-2021")</f>
        <v/>
      </c>
      <c r="W1112">
        <f>HYPERLINK("https://klasma.github.io/Logging_2313/klagomålsmail/A 49166-2021 FSC-klagomål mail.docx", "A 49166-2021")</f>
        <v/>
      </c>
      <c r="X1112">
        <f>HYPERLINK("https://klasma.github.io/Logging_2313/tillsyn/A 49166-2021 tillsynsbegäran.docx", "A 49166-2021")</f>
        <v/>
      </c>
      <c r="Y1112">
        <f>HYPERLINK("https://klasma.github.io/Logging_2313/tillsynsmail/A 49166-2021 tillsynsbegäran mail.docx", "A 49166-2021")</f>
        <v/>
      </c>
    </row>
    <row r="1113" ht="15" customHeight="1">
      <c r="A1113" t="inlineStr">
        <is>
          <t>A 49204-2021</t>
        </is>
      </c>
      <c r="B1113" s="1" t="n">
        <v>44454</v>
      </c>
      <c r="C1113" s="1" t="n">
        <v>45579</v>
      </c>
      <c r="D1113" t="inlineStr">
        <is>
          <t>JÄMTLANDS LÄN</t>
        </is>
      </c>
      <c r="E1113" t="inlineStr">
        <is>
          <t>STRÖMSUND</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49210-2021</t>
        </is>
      </c>
      <c r="B1114" s="1" t="n">
        <v>44454</v>
      </c>
      <c r="C1114" s="1" t="n">
        <v>45579</v>
      </c>
      <c r="D1114" t="inlineStr">
        <is>
          <t>JÄMTLANDS LÄN</t>
        </is>
      </c>
      <c r="E1114" t="inlineStr">
        <is>
          <t>STRÖMSUND</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49208-2021</t>
        </is>
      </c>
      <c r="B1115" s="1" t="n">
        <v>44454</v>
      </c>
      <c r="C1115" s="1" t="n">
        <v>45579</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49212-2021</t>
        </is>
      </c>
      <c r="B1116" s="1" t="n">
        <v>44454</v>
      </c>
      <c r="C1116" s="1" t="n">
        <v>45579</v>
      </c>
      <c r="D1116" t="inlineStr">
        <is>
          <t>JÄMTLANDS LÄN</t>
        </is>
      </c>
      <c r="E1116" t="inlineStr">
        <is>
          <t>STRÖMSUND</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49206-2021</t>
        </is>
      </c>
      <c r="B1117" s="1" t="n">
        <v>44454</v>
      </c>
      <c r="C1117" s="1" t="n">
        <v>45579</v>
      </c>
      <c r="D1117" t="inlineStr">
        <is>
          <t>JÄMTLANDS LÄN</t>
        </is>
      </c>
      <c r="E1117" t="inlineStr">
        <is>
          <t>STRÖMSUND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49620-2021</t>
        </is>
      </c>
      <c r="B1118" s="1" t="n">
        <v>44455</v>
      </c>
      <c r="C1118" s="1" t="n">
        <v>45579</v>
      </c>
      <c r="D1118" t="inlineStr">
        <is>
          <t>JÄMTLANDS LÄN</t>
        </is>
      </c>
      <c r="E1118" t="inlineStr">
        <is>
          <t>STRÖMSUND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49929-2021</t>
        </is>
      </c>
      <c r="B1119" s="1" t="n">
        <v>44456</v>
      </c>
      <c r="C1119" s="1" t="n">
        <v>45579</v>
      </c>
      <c r="D1119" t="inlineStr">
        <is>
          <t>JÄMTLANDS LÄN</t>
        </is>
      </c>
      <c r="E1119" t="inlineStr">
        <is>
          <t>STRÖMSUND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50020-2021</t>
        </is>
      </c>
      <c r="B1120" s="1" t="n">
        <v>44456</v>
      </c>
      <c r="C1120" s="1" t="n">
        <v>45579</v>
      </c>
      <c r="D1120" t="inlineStr">
        <is>
          <t>JÄMTLANDS LÄN</t>
        </is>
      </c>
      <c r="E1120" t="inlineStr">
        <is>
          <t>STRÖMSUND</t>
        </is>
      </c>
      <c r="F1120" t="inlineStr">
        <is>
          <t>Sveaskog</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50025-2021</t>
        </is>
      </c>
      <c r="B1121" s="1" t="n">
        <v>44456</v>
      </c>
      <c r="C1121" s="1" t="n">
        <v>45579</v>
      </c>
      <c r="D1121" t="inlineStr">
        <is>
          <t>JÄMTLANDS LÄN</t>
        </is>
      </c>
      <c r="E1121" t="inlineStr">
        <is>
          <t>STRÖMSUND</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50034-2021</t>
        </is>
      </c>
      <c r="B1122" s="1" t="n">
        <v>44456</v>
      </c>
      <c r="C1122" s="1" t="n">
        <v>45579</v>
      </c>
      <c r="D1122" t="inlineStr">
        <is>
          <t>JÄMTLANDS LÄN</t>
        </is>
      </c>
      <c r="E1122" t="inlineStr">
        <is>
          <t>STRÖMSUND</t>
        </is>
      </c>
      <c r="F1122" t="inlineStr">
        <is>
          <t>Sveaskog</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50029-2021</t>
        </is>
      </c>
      <c r="B1123" s="1" t="n">
        <v>44456</v>
      </c>
      <c r="C1123" s="1" t="n">
        <v>45579</v>
      </c>
      <c r="D1123" t="inlineStr">
        <is>
          <t>JÄMTLANDS LÄN</t>
        </is>
      </c>
      <c r="E1123" t="inlineStr">
        <is>
          <t>STRÖMSUND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50037-2021</t>
        </is>
      </c>
      <c r="B1124" s="1" t="n">
        <v>44456</v>
      </c>
      <c r="C1124" s="1" t="n">
        <v>45579</v>
      </c>
      <c r="D1124" t="inlineStr">
        <is>
          <t>JÄMTLANDS LÄN</t>
        </is>
      </c>
      <c r="E1124" t="inlineStr">
        <is>
          <t>STRÖMSUND</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50022-2021</t>
        </is>
      </c>
      <c r="B1125" s="1" t="n">
        <v>44456</v>
      </c>
      <c r="C1125" s="1" t="n">
        <v>45579</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50028-2021</t>
        </is>
      </c>
      <c r="B1126" s="1" t="n">
        <v>44456</v>
      </c>
      <c r="C1126" s="1" t="n">
        <v>45579</v>
      </c>
      <c r="D1126" t="inlineStr">
        <is>
          <t>JÄMTLANDS LÄN</t>
        </is>
      </c>
      <c r="E1126" t="inlineStr">
        <is>
          <t>STRÖMSUND</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50176-2021</t>
        </is>
      </c>
      <c r="B1127" s="1" t="n">
        <v>44457</v>
      </c>
      <c r="C1127" s="1" t="n">
        <v>45579</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50179-2021</t>
        </is>
      </c>
      <c r="B1128" s="1" t="n">
        <v>44456</v>
      </c>
      <c r="C1128" s="1" t="n">
        <v>45579</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50180-2021</t>
        </is>
      </c>
      <c r="B1129" s="1" t="n">
        <v>44456</v>
      </c>
      <c r="C1129" s="1" t="n">
        <v>45579</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50023-2021</t>
        </is>
      </c>
      <c r="B1130" s="1" t="n">
        <v>44456</v>
      </c>
      <c r="C1130" s="1" t="n">
        <v>45579</v>
      </c>
      <c r="D1130" t="inlineStr">
        <is>
          <t>JÄMTLANDS LÄN</t>
        </is>
      </c>
      <c r="E1130" t="inlineStr">
        <is>
          <t>STRÖMSUND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50890-2021</t>
        </is>
      </c>
      <c r="B1131" s="1" t="n">
        <v>44460</v>
      </c>
      <c r="C1131" s="1" t="n">
        <v>45579</v>
      </c>
      <c r="D1131" t="inlineStr">
        <is>
          <t>JÄMTLANDS LÄN</t>
        </is>
      </c>
      <c r="E1131" t="inlineStr">
        <is>
          <t>STRÖMSUND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51446-2021</t>
        </is>
      </c>
      <c r="B1132" s="1" t="n">
        <v>44461</v>
      </c>
      <c r="C1132" s="1" t="n">
        <v>45579</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51954-2021</t>
        </is>
      </c>
      <c r="B1133" s="1" t="n">
        <v>44463</v>
      </c>
      <c r="C1133" s="1" t="n">
        <v>45579</v>
      </c>
      <c r="D1133" t="inlineStr">
        <is>
          <t>JÄMTLANDS LÄN</t>
        </is>
      </c>
      <c r="E1133" t="inlineStr">
        <is>
          <t>STRÖMSUND</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51953-2021</t>
        </is>
      </c>
      <c r="B1134" s="1" t="n">
        <v>44463</v>
      </c>
      <c r="C1134" s="1" t="n">
        <v>45579</v>
      </c>
      <c r="D1134" t="inlineStr">
        <is>
          <t>JÄMTLANDS LÄN</t>
        </is>
      </c>
      <c r="E1134" t="inlineStr">
        <is>
          <t>STRÖMSUND</t>
        </is>
      </c>
      <c r="F1134" t="inlineStr">
        <is>
          <t>SCA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52327-2021</t>
        </is>
      </c>
      <c r="B1135" s="1" t="n">
        <v>44463</v>
      </c>
      <c r="C1135" s="1" t="n">
        <v>45579</v>
      </c>
      <c r="D1135" t="inlineStr">
        <is>
          <t>JÄMTLANDS LÄN</t>
        </is>
      </c>
      <c r="E1135" t="inlineStr">
        <is>
          <t>STRÖMSUND</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52397-2021</t>
        </is>
      </c>
      <c r="B1136" s="1" t="n">
        <v>44463</v>
      </c>
      <c r="C1136" s="1" t="n">
        <v>45579</v>
      </c>
      <c r="D1136" t="inlineStr">
        <is>
          <t>JÄMTLANDS LÄN</t>
        </is>
      </c>
      <c r="E1136" t="inlineStr">
        <is>
          <t>STRÖMSUND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52332-2021</t>
        </is>
      </c>
      <c r="B1137" s="1" t="n">
        <v>44463</v>
      </c>
      <c r="C1137" s="1" t="n">
        <v>45579</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52399-2021</t>
        </is>
      </c>
      <c r="B1138" s="1" t="n">
        <v>44466</v>
      </c>
      <c r="C1138" s="1" t="n">
        <v>45579</v>
      </c>
      <c r="D1138" t="inlineStr">
        <is>
          <t>JÄMTLANDS LÄN</t>
        </is>
      </c>
      <c r="E1138" t="inlineStr">
        <is>
          <t>STRÖMSUND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52718-2021</t>
        </is>
      </c>
      <c r="B1139" s="1" t="n">
        <v>44467</v>
      </c>
      <c r="C1139" s="1" t="n">
        <v>45579</v>
      </c>
      <c r="D1139" t="inlineStr">
        <is>
          <t>JÄMTLANDS LÄN</t>
        </is>
      </c>
      <c r="E1139" t="inlineStr">
        <is>
          <t>STRÖMSUND</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52707-2021</t>
        </is>
      </c>
      <c r="B1140" s="1" t="n">
        <v>44467</v>
      </c>
      <c r="C1140" s="1" t="n">
        <v>45579</v>
      </c>
      <c r="D1140" t="inlineStr">
        <is>
          <t>JÄMTLANDS LÄN</t>
        </is>
      </c>
      <c r="E1140" t="inlineStr">
        <is>
          <t>STRÖMSUND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52969-2021</t>
        </is>
      </c>
      <c r="B1141" s="1" t="n">
        <v>44466</v>
      </c>
      <c r="C1141" s="1" t="n">
        <v>45579</v>
      </c>
      <c r="D1141" t="inlineStr">
        <is>
          <t>JÄMTLANDS LÄN</t>
        </is>
      </c>
      <c r="E1141" t="inlineStr">
        <is>
          <t>STRÖMSUND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53420-2021</t>
        </is>
      </c>
      <c r="B1142" s="1" t="n">
        <v>44468</v>
      </c>
      <c r="C1142" s="1" t="n">
        <v>45579</v>
      </c>
      <c r="D1142" t="inlineStr">
        <is>
          <t>JÄMTLANDS LÄN</t>
        </is>
      </c>
      <c r="E1142" t="inlineStr">
        <is>
          <t>STRÖMSUND</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53518-2021</t>
        </is>
      </c>
      <c r="B1143" s="1" t="n">
        <v>44468</v>
      </c>
      <c r="C1143" s="1" t="n">
        <v>45579</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53513-2021</t>
        </is>
      </c>
      <c r="B1144" s="1" t="n">
        <v>44468</v>
      </c>
      <c r="C1144" s="1" t="n">
        <v>45579</v>
      </c>
      <c r="D1144" t="inlineStr">
        <is>
          <t>JÄMTLANDS LÄN</t>
        </is>
      </c>
      <c r="E1144" t="inlineStr">
        <is>
          <t>STRÖMSUND</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54050-2021</t>
        </is>
      </c>
      <c r="B1145" s="1" t="n">
        <v>44470</v>
      </c>
      <c r="C1145" s="1" t="n">
        <v>45579</v>
      </c>
      <c r="D1145" t="inlineStr">
        <is>
          <t>JÄMTLANDS LÄN</t>
        </is>
      </c>
      <c r="E1145" t="inlineStr">
        <is>
          <t>STRÖMSUND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54117-2021</t>
        </is>
      </c>
      <c r="B1146" s="1" t="n">
        <v>44470</v>
      </c>
      <c r="C1146" s="1" t="n">
        <v>45579</v>
      </c>
      <c r="D1146" t="inlineStr">
        <is>
          <t>JÄMTLANDS LÄN</t>
        </is>
      </c>
      <c r="E1146" t="inlineStr">
        <is>
          <t>STRÖMSUND</t>
        </is>
      </c>
      <c r="F1146" t="inlineStr">
        <is>
          <t>Holmen skog AB</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55608-2021</t>
        </is>
      </c>
      <c r="B1147" s="1" t="n">
        <v>44475</v>
      </c>
      <c r="C1147" s="1" t="n">
        <v>45579</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55918-2021</t>
        </is>
      </c>
      <c r="B1148" s="1" t="n">
        <v>44476</v>
      </c>
      <c r="C1148" s="1" t="n">
        <v>45579</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55920-2021</t>
        </is>
      </c>
      <c r="B1149" s="1" t="n">
        <v>44476</v>
      </c>
      <c r="C1149" s="1" t="n">
        <v>45579</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55927-2021</t>
        </is>
      </c>
      <c r="B1150" s="1" t="n">
        <v>44476</v>
      </c>
      <c r="C1150" s="1" t="n">
        <v>45579</v>
      </c>
      <c r="D1150" t="inlineStr">
        <is>
          <t>JÄMTLANDS LÄN</t>
        </is>
      </c>
      <c r="E1150" t="inlineStr">
        <is>
          <t>STRÖMSUND</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55919-2021</t>
        </is>
      </c>
      <c r="B1151" s="1" t="n">
        <v>44477</v>
      </c>
      <c r="C1151" s="1" t="n">
        <v>45579</v>
      </c>
      <c r="D1151" t="inlineStr">
        <is>
          <t>JÄMTLANDS LÄN</t>
        </is>
      </c>
      <c r="E1151" t="inlineStr">
        <is>
          <t>STRÖMSUND</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55939-2021</t>
        </is>
      </c>
      <c r="B1152" s="1" t="n">
        <v>44476</v>
      </c>
      <c r="C1152" s="1" t="n">
        <v>45579</v>
      </c>
      <c r="D1152" t="inlineStr">
        <is>
          <t>JÄMTLANDS LÄN</t>
        </is>
      </c>
      <c r="E1152" t="inlineStr">
        <is>
          <t>STRÖMSUND</t>
        </is>
      </c>
      <c r="F1152" t="inlineStr">
        <is>
          <t>SCA</t>
        </is>
      </c>
      <c r="G1152" t="n">
        <v>19.3</v>
      </c>
      <c r="H1152" t="n">
        <v>0</v>
      </c>
      <c r="I1152" t="n">
        <v>0</v>
      </c>
      <c r="J1152" t="n">
        <v>0</v>
      </c>
      <c r="K1152" t="n">
        <v>0</v>
      </c>
      <c r="L1152" t="n">
        <v>0</v>
      </c>
      <c r="M1152" t="n">
        <v>0</v>
      </c>
      <c r="N1152" t="n">
        <v>0</v>
      </c>
      <c r="O1152" t="n">
        <v>0</v>
      </c>
      <c r="P1152" t="n">
        <v>0</v>
      </c>
      <c r="Q1152" t="n">
        <v>0</v>
      </c>
      <c r="R1152" s="2" t="inlineStr"/>
    </row>
    <row r="1153" ht="15" customHeight="1">
      <c r="A1153" t="inlineStr">
        <is>
          <t>A 56213-2021</t>
        </is>
      </c>
      <c r="B1153" s="1" t="n">
        <v>44478</v>
      </c>
      <c r="C1153" s="1" t="n">
        <v>45579</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56208-2021</t>
        </is>
      </c>
      <c r="B1154" s="1" t="n">
        <v>44477</v>
      </c>
      <c r="C1154" s="1" t="n">
        <v>45579</v>
      </c>
      <c r="D1154" t="inlineStr">
        <is>
          <t>JÄMTLANDS LÄN</t>
        </is>
      </c>
      <c r="E1154" t="inlineStr">
        <is>
          <t>STRÖMSUND</t>
        </is>
      </c>
      <c r="F1154" t="inlineStr">
        <is>
          <t>SCA</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56655-2021</t>
        </is>
      </c>
      <c r="B1155" s="1" t="n">
        <v>44480</v>
      </c>
      <c r="C1155" s="1" t="n">
        <v>45579</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56654-2021</t>
        </is>
      </c>
      <c r="B1156" s="1" t="n">
        <v>44480</v>
      </c>
      <c r="C1156" s="1" t="n">
        <v>45579</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57433-2021</t>
        </is>
      </c>
      <c r="B1157" s="1" t="n">
        <v>44483</v>
      </c>
      <c r="C1157" s="1" t="n">
        <v>45579</v>
      </c>
      <c r="D1157" t="inlineStr">
        <is>
          <t>JÄMTLANDS LÄN</t>
        </is>
      </c>
      <c r="E1157" t="inlineStr">
        <is>
          <t>STRÖMSUND</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57547-2021</t>
        </is>
      </c>
      <c r="B1158" s="1" t="n">
        <v>44484</v>
      </c>
      <c r="C1158" s="1" t="n">
        <v>45579</v>
      </c>
      <c r="D1158" t="inlineStr">
        <is>
          <t>JÄMTLANDS LÄN</t>
        </is>
      </c>
      <c r="E1158" t="inlineStr">
        <is>
          <t>STRÖMSUND</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57560-2021</t>
        </is>
      </c>
      <c r="B1159" s="1" t="n">
        <v>44483</v>
      </c>
      <c r="C1159" s="1" t="n">
        <v>45579</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58260-2021</t>
        </is>
      </c>
      <c r="B1160" s="1" t="n">
        <v>44487</v>
      </c>
      <c r="C1160" s="1" t="n">
        <v>45579</v>
      </c>
      <c r="D1160" t="inlineStr">
        <is>
          <t>JÄMTLANDS LÄN</t>
        </is>
      </c>
      <c r="E1160" t="inlineStr">
        <is>
          <t>STRÖMSUND</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58022-2021</t>
        </is>
      </c>
      <c r="B1161" s="1" t="n">
        <v>44487</v>
      </c>
      <c r="C1161" s="1" t="n">
        <v>45579</v>
      </c>
      <c r="D1161" t="inlineStr">
        <is>
          <t>JÄMTLANDS LÄN</t>
        </is>
      </c>
      <c r="E1161" t="inlineStr">
        <is>
          <t>STRÖMSUND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59126-2021</t>
        </is>
      </c>
      <c r="B1162" s="1" t="n">
        <v>44487</v>
      </c>
      <c r="C1162" s="1" t="n">
        <v>45579</v>
      </c>
      <c r="D1162" t="inlineStr">
        <is>
          <t>JÄMTLANDS LÄN</t>
        </is>
      </c>
      <c r="E1162" t="inlineStr">
        <is>
          <t>STRÖMSUND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58972-2021</t>
        </is>
      </c>
      <c r="B1163" s="1" t="n">
        <v>44490</v>
      </c>
      <c r="C1163" s="1" t="n">
        <v>45579</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58973-2021</t>
        </is>
      </c>
      <c r="B1164" s="1" t="n">
        <v>44489</v>
      </c>
      <c r="C1164" s="1" t="n">
        <v>45579</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58971-2021</t>
        </is>
      </c>
      <c r="B1165" s="1" t="n">
        <v>44490</v>
      </c>
      <c r="C1165" s="1" t="n">
        <v>45579</v>
      </c>
      <c r="D1165" t="inlineStr">
        <is>
          <t>JÄMTLANDS LÄN</t>
        </is>
      </c>
      <c r="E1165" t="inlineStr">
        <is>
          <t>STRÖMSUND</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59139-2021</t>
        </is>
      </c>
      <c r="B1166" s="1" t="n">
        <v>44490</v>
      </c>
      <c r="C1166" s="1" t="n">
        <v>45579</v>
      </c>
      <c r="D1166" t="inlineStr">
        <is>
          <t>JÄMTLANDS LÄN</t>
        </is>
      </c>
      <c r="E1166" t="inlineStr">
        <is>
          <t>STRÖMSUND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59313-2021</t>
        </is>
      </c>
      <c r="B1167" s="1" t="n">
        <v>44491</v>
      </c>
      <c r="C1167" s="1" t="n">
        <v>45579</v>
      </c>
      <c r="D1167" t="inlineStr">
        <is>
          <t>JÄMTLANDS LÄN</t>
        </is>
      </c>
      <c r="E1167" t="inlineStr">
        <is>
          <t>STRÖMSUND</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59969-2021</t>
        </is>
      </c>
      <c r="B1168" s="1" t="n">
        <v>44495</v>
      </c>
      <c r="C1168" s="1" t="n">
        <v>45579</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60011-2021</t>
        </is>
      </c>
      <c r="B1169" s="1" t="n">
        <v>44495</v>
      </c>
      <c r="C1169" s="1" t="n">
        <v>45579</v>
      </c>
      <c r="D1169" t="inlineStr">
        <is>
          <t>JÄMTLANDS LÄN</t>
        </is>
      </c>
      <c r="E1169" t="inlineStr">
        <is>
          <t>STRÖMSUND</t>
        </is>
      </c>
      <c r="F1169" t="inlineStr">
        <is>
          <t>SCA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60319-2021</t>
        </is>
      </c>
      <c r="B1170" s="1" t="n">
        <v>44495</v>
      </c>
      <c r="C1170" s="1" t="n">
        <v>45579</v>
      </c>
      <c r="D1170" t="inlineStr">
        <is>
          <t>JÄMTLANDS LÄN</t>
        </is>
      </c>
      <c r="E1170" t="inlineStr">
        <is>
          <t>STRÖMSUND</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60939-2021</t>
        </is>
      </c>
      <c r="B1171" s="1" t="n">
        <v>44496</v>
      </c>
      <c r="C1171" s="1" t="n">
        <v>45579</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60775-2021</t>
        </is>
      </c>
      <c r="B1172" s="1" t="n">
        <v>44496</v>
      </c>
      <c r="C1172" s="1" t="n">
        <v>45579</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60789-2021</t>
        </is>
      </c>
      <c r="B1173" s="1" t="n">
        <v>44496</v>
      </c>
      <c r="C1173" s="1" t="n">
        <v>45579</v>
      </c>
      <c r="D1173" t="inlineStr">
        <is>
          <t>JÄMTLANDS LÄN</t>
        </is>
      </c>
      <c r="E1173" t="inlineStr">
        <is>
          <t>STRÖMSUND</t>
        </is>
      </c>
      <c r="F1173" t="inlineStr">
        <is>
          <t>SCA</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60801-2021</t>
        </is>
      </c>
      <c r="B1174" s="1" t="n">
        <v>44497</v>
      </c>
      <c r="C1174" s="1" t="n">
        <v>45579</v>
      </c>
      <c r="D1174" t="inlineStr">
        <is>
          <t>JÄMTLANDS LÄN</t>
        </is>
      </c>
      <c r="E1174" t="inlineStr">
        <is>
          <t>STRÖMSUND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61612-2021</t>
        </is>
      </c>
      <c r="B1175" s="1" t="n">
        <v>44498</v>
      </c>
      <c r="C1175" s="1" t="n">
        <v>45579</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61439-2021</t>
        </is>
      </c>
      <c r="B1176" s="1" t="n">
        <v>44500</v>
      </c>
      <c r="C1176" s="1" t="n">
        <v>45579</v>
      </c>
      <c r="D1176" t="inlineStr">
        <is>
          <t>JÄMTLANDS LÄN</t>
        </is>
      </c>
      <c r="E1176" t="inlineStr">
        <is>
          <t>STRÖMSUND</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61449-2021</t>
        </is>
      </c>
      <c r="B1177" s="1" t="n">
        <v>44500</v>
      </c>
      <c r="C1177" s="1" t="n">
        <v>45579</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61420-2021</t>
        </is>
      </c>
      <c r="B1178" s="1" t="n">
        <v>44500</v>
      </c>
      <c r="C1178" s="1" t="n">
        <v>45579</v>
      </c>
      <c r="D1178" t="inlineStr">
        <is>
          <t>JÄMTLANDS LÄN</t>
        </is>
      </c>
      <c r="E1178" t="inlineStr">
        <is>
          <t>STRÖMSUND</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61434-2021</t>
        </is>
      </c>
      <c r="B1179" s="1" t="n">
        <v>44500</v>
      </c>
      <c r="C1179" s="1" t="n">
        <v>45579</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61455-2021</t>
        </is>
      </c>
      <c r="B1180" s="1" t="n">
        <v>44500</v>
      </c>
      <c r="C1180" s="1" t="n">
        <v>45579</v>
      </c>
      <c r="D1180" t="inlineStr">
        <is>
          <t>JÄMTLANDS LÄN</t>
        </is>
      </c>
      <c r="E1180" t="inlineStr">
        <is>
          <t>STRÖMSUND</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61422-2021</t>
        </is>
      </c>
      <c r="B1181" s="1" t="n">
        <v>44500</v>
      </c>
      <c r="C1181" s="1" t="n">
        <v>45579</v>
      </c>
      <c r="D1181" t="inlineStr">
        <is>
          <t>JÄMTLANDS LÄN</t>
        </is>
      </c>
      <c r="E1181" t="inlineStr">
        <is>
          <t>STRÖMSUND</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61419-2021</t>
        </is>
      </c>
      <c r="B1182" s="1" t="n">
        <v>44500</v>
      </c>
      <c r="C1182" s="1" t="n">
        <v>45579</v>
      </c>
      <c r="D1182" t="inlineStr">
        <is>
          <t>JÄMTLANDS LÄN</t>
        </is>
      </c>
      <c r="E1182" t="inlineStr">
        <is>
          <t>STRÖMSUND</t>
        </is>
      </c>
      <c r="F1182" t="inlineStr">
        <is>
          <t>SCA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61433-2021</t>
        </is>
      </c>
      <c r="B1183" s="1" t="n">
        <v>44500</v>
      </c>
      <c r="C1183" s="1" t="n">
        <v>45579</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61450-2021</t>
        </is>
      </c>
      <c r="B1184" s="1" t="n">
        <v>44500</v>
      </c>
      <c r="C1184" s="1" t="n">
        <v>45579</v>
      </c>
      <c r="D1184" t="inlineStr">
        <is>
          <t>JÄMTLANDS LÄN</t>
        </is>
      </c>
      <c r="E1184" t="inlineStr">
        <is>
          <t>STRÖMSUND</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61731-2021</t>
        </is>
      </c>
      <c r="B1185" s="1" t="n">
        <v>44501</v>
      </c>
      <c r="C1185" s="1" t="n">
        <v>45579</v>
      </c>
      <c r="D1185" t="inlineStr">
        <is>
          <t>JÄMTLANDS LÄN</t>
        </is>
      </c>
      <c r="E1185" t="inlineStr">
        <is>
          <t>STRÖMSUND</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62203-2021</t>
        </is>
      </c>
      <c r="B1186" s="1" t="n">
        <v>44502</v>
      </c>
      <c r="C1186" s="1" t="n">
        <v>45579</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62194-2021</t>
        </is>
      </c>
      <c r="B1187" s="1" t="n">
        <v>44502</v>
      </c>
      <c r="C1187" s="1" t="n">
        <v>45579</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62234-2021</t>
        </is>
      </c>
      <c r="B1188" s="1" t="n">
        <v>44503</v>
      </c>
      <c r="C1188" s="1" t="n">
        <v>45579</v>
      </c>
      <c r="D1188" t="inlineStr">
        <is>
          <t>JÄMTLANDS LÄN</t>
        </is>
      </c>
      <c r="E1188" t="inlineStr">
        <is>
          <t>STRÖMSUND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62431-2021</t>
        </is>
      </c>
      <c r="B1189" s="1" t="n">
        <v>44503</v>
      </c>
      <c r="C1189" s="1" t="n">
        <v>45579</v>
      </c>
      <c r="D1189" t="inlineStr">
        <is>
          <t>JÄMTLANDS LÄN</t>
        </is>
      </c>
      <c r="E1189" t="inlineStr">
        <is>
          <t>STRÖMSUND</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62667-2021</t>
        </is>
      </c>
      <c r="B1190" s="1" t="n">
        <v>44503</v>
      </c>
      <c r="C1190" s="1" t="n">
        <v>45579</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62666-2021</t>
        </is>
      </c>
      <c r="B1191" s="1" t="n">
        <v>44503</v>
      </c>
      <c r="C1191" s="1" t="n">
        <v>45579</v>
      </c>
      <c r="D1191" t="inlineStr">
        <is>
          <t>JÄMTLANDS LÄN</t>
        </is>
      </c>
      <c r="E1191" t="inlineStr">
        <is>
          <t>STRÖMSUND</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62669-2021</t>
        </is>
      </c>
      <c r="B1192" s="1" t="n">
        <v>44503</v>
      </c>
      <c r="C1192" s="1" t="n">
        <v>45579</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62668-2021</t>
        </is>
      </c>
      <c r="B1193" s="1" t="n">
        <v>44503</v>
      </c>
      <c r="C1193" s="1" t="n">
        <v>45579</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64744-2021</t>
        </is>
      </c>
      <c r="B1194" s="1" t="n">
        <v>44503</v>
      </c>
      <c r="C1194" s="1" t="n">
        <v>45579</v>
      </c>
      <c r="D1194" t="inlineStr">
        <is>
          <t>JÄMTLANDS LÄN</t>
        </is>
      </c>
      <c r="E1194" t="inlineStr">
        <is>
          <t>STRÖMSUND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64760-2021</t>
        </is>
      </c>
      <c r="B1195" s="1" t="n">
        <v>44503</v>
      </c>
      <c r="C1195" s="1" t="n">
        <v>45579</v>
      </c>
      <c r="D1195" t="inlineStr">
        <is>
          <t>JÄMTLANDS LÄN</t>
        </is>
      </c>
      <c r="E1195" t="inlineStr">
        <is>
          <t>STRÖMSUND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63070-2021</t>
        </is>
      </c>
      <c r="B1196" s="1" t="n">
        <v>44505</v>
      </c>
      <c r="C1196" s="1" t="n">
        <v>45579</v>
      </c>
      <c r="D1196" t="inlineStr">
        <is>
          <t>JÄMTLANDS LÄN</t>
        </is>
      </c>
      <c r="E1196" t="inlineStr">
        <is>
          <t>STRÖMSUND</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63498-2021</t>
        </is>
      </c>
      <c r="B1197" s="1" t="n">
        <v>44508</v>
      </c>
      <c r="C1197" s="1" t="n">
        <v>45579</v>
      </c>
      <c r="D1197" t="inlineStr">
        <is>
          <t>JÄMTLANDS LÄN</t>
        </is>
      </c>
      <c r="E1197" t="inlineStr">
        <is>
          <t>STRÖMSUND</t>
        </is>
      </c>
      <c r="F1197" t="inlineStr">
        <is>
          <t>Holmen skog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63875-2021</t>
        </is>
      </c>
      <c r="B1198" s="1" t="n">
        <v>44509</v>
      </c>
      <c r="C1198" s="1" t="n">
        <v>45579</v>
      </c>
      <c r="D1198" t="inlineStr">
        <is>
          <t>JÄMTLANDS LÄN</t>
        </is>
      </c>
      <c r="E1198" t="inlineStr">
        <is>
          <t>STRÖMSUND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64000-2021</t>
        </is>
      </c>
      <c r="B1199" s="1" t="n">
        <v>44510</v>
      </c>
      <c r="C1199" s="1" t="n">
        <v>45579</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63999-2021</t>
        </is>
      </c>
      <c r="B1200" s="1" t="n">
        <v>44510</v>
      </c>
      <c r="C1200" s="1" t="n">
        <v>45579</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63988-2021</t>
        </is>
      </c>
      <c r="B1201" s="1" t="n">
        <v>44509</v>
      </c>
      <c r="C1201" s="1" t="n">
        <v>45579</v>
      </c>
      <c r="D1201" t="inlineStr">
        <is>
          <t>JÄMTLANDS LÄN</t>
        </is>
      </c>
      <c r="E1201" t="inlineStr">
        <is>
          <t>STRÖMSUND</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64001-2021</t>
        </is>
      </c>
      <c r="B1202" s="1" t="n">
        <v>44509</v>
      </c>
      <c r="C1202" s="1" t="n">
        <v>45579</v>
      </c>
      <c r="D1202" t="inlineStr">
        <is>
          <t>JÄMTLANDS LÄN</t>
        </is>
      </c>
      <c r="E1202" t="inlineStr">
        <is>
          <t>STRÖMSUND</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64200-2021</t>
        </is>
      </c>
      <c r="B1203" s="1" t="n">
        <v>44510</v>
      </c>
      <c r="C1203" s="1" t="n">
        <v>45579</v>
      </c>
      <c r="D1203" t="inlineStr">
        <is>
          <t>JÄMTLANDS LÄN</t>
        </is>
      </c>
      <c r="E1203" t="inlineStr">
        <is>
          <t>STRÖMSUND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64186-2021</t>
        </is>
      </c>
      <c r="B1204" s="1" t="n">
        <v>44510</v>
      </c>
      <c r="C1204" s="1" t="n">
        <v>45579</v>
      </c>
      <c r="D1204" t="inlineStr">
        <is>
          <t>JÄMTLANDS LÄN</t>
        </is>
      </c>
      <c r="E1204" t="inlineStr">
        <is>
          <t>STRÖMSUND</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64291-2021</t>
        </is>
      </c>
      <c r="B1205" s="1" t="n">
        <v>44510</v>
      </c>
      <c r="C1205" s="1" t="n">
        <v>45579</v>
      </c>
      <c r="D1205" t="inlineStr">
        <is>
          <t>JÄMTLANDS LÄN</t>
        </is>
      </c>
      <c r="E1205" t="inlineStr">
        <is>
          <t>STRÖMSUND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64310-2021</t>
        </is>
      </c>
      <c r="B1206" s="1" t="n">
        <v>44510</v>
      </c>
      <c r="C1206" s="1" t="n">
        <v>45579</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64309-2021</t>
        </is>
      </c>
      <c r="B1207" s="1" t="n">
        <v>44510</v>
      </c>
      <c r="C1207" s="1" t="n">
        <v>45579</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64505-2021</t>
        </is>
      </c>
      <c r="B1208" s="1" t="n">
        <v>44511</v>
      </c>
      <c r="C1208" s="1" t="n">
        <v>45579</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64655-2021</t>
        </is>
      </c>
      <c r="B1209" s="1" t="n">
        <v>44511</v>
      </c>
      <c r="C1209" s="1" t="n">
        <v>45579</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64656-2021</t>
        </is>
      </c>
      <c r="B1210" s="1" t="n">
        <v>44511</v>
      </c>
      <c r="C1210" s="1" t="n">
        <v>45579</v>
      </c>
      <c r="D1210" t="inlineStr">
        <is>
          <t>JÄMTLANDS LÄN</t>
        </is>
      </c>
      <c r="E1210" t="inlineStr">
        <is>
          <t>STRÖMSUND</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64660-2021</t>
        </is>
      </c>
      <c r="B1211" s="1" t="n">
        <v>44511</v>
      </c>
      <c r="C1211" s="1" t="n">
        <v>45579</v>
      </c>
      <c r="D1211" t="inlineStr">
        <is>
          <t>JÄMTLANDS LÄN</t>
        </is>
      </c>
      <c r="E1211" t="inlineStr">
        <is>
          <t>STRÖMSUND</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64657-2021</t>
        </is>
      </c>
      <c r="B1212" s="1" t="n">
        <v>44511</v>
      </c>
      <c r="C1212" s="1" t="n">
        <v>45579</v>
      </c>
      <c r="D1212" t="inlineStr">
        <is>
          <t>JÄMTLANDS LÄN</t>
        </is>
      </c>
      <c r="E1212" t="inlineStr">
        <is>
          <t>STRÖMSUND</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64723-2021</t>
        </is>
      </c>
      <c r="B1213" s="1" t="n">
        <v>44512</v>
      </c>
      <c r="C1213" s="1" t="n">
        <v>45579</v>
      </c>
      <c r="D1213" t="inlineStr">
        <is>
          <t>JÄMTLANDS LÄN</t>
        </is>
      </c>
      <c r="E1213" t="inlineStr">
        <is>
          <t>STRÖMSUND</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64913-2021</t>
        </is>
      </c>
      <c r="B1214" s="1" t="n">
        <v>44512</v>
      </c>
      <c r="C1214" s="1" t="n">
        <v>45579</v>
      </c>
      <c r="D1214" t="inlineStr">
        <is>
          <t>JÄMTLANDS LÄN</t>
        </is>
      </c>
      <c r="E1214" t="inlineStr">
        <is>
          <t>STRÖMSUND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64955-2021</t>
        </is>
      </c>
      <c r="B1215" s="1" t="n">
        <v>44512</v>
      </c>
      <c r="C1215" s="1" t="n">
        <v>45579</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65412-2021</t>
        </is>
      </c>
      <c r="B1216" s="1" t="n">
        <v>44515</v>
      </c>
      <c r="C1216" s="1" t="n">
        <v>45579</v>
      </c>
      <c r="D1216" t="inlineStr">
        <is>
          <t>JÄMTLANDS LÄN</t>
        </is>
      </c>
      <c r="E1216" t="inlineStr">
        <is>
          <t>STRÖMSUND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65430-2021</t>
        </is>
      </c>
      <c r="B1217" s="1" t="n">
        <v>44515</v>
      </c>
      <c r="C1217" s="1" t="n">
        <v>45579</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65442-2021</t>
        </is>
      </c>
      <c r="B1218" s="1" t="n">
        <v>44515</v>
      </c>
      <c r="C1218" s="1" t="n">
        <v>45579</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65776-2021</t>
        </is>
      </c>
      <c r="B1219" s="1" t="n">
        <v>44516</v>
      </c>
      <c r="C1219" s="1" t="n">
        <v>45579</v>
      </c>
      <c r="D1219" t="inlineStr">
        <is>
          <t>JÄMTLANDS LÄN</t>
        </is>
      </c>
      <c r="E1219" t="inlineStr">
        <is>
          <t>STRÖMSUND</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65787-2021</t>
        </is>
      </c>
      <c r="B1220" s="1" t="n">
        <v>44516</v>
      </c>
      <c r="C1220" s="1" t="n">
        <v>45579</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66088-2021</t>
        </is>
      </c>
      <c r="B1221" s="1" t="n">
        <v>44517</v>
      </c>
      <c r="C1221" s="1" t="n">
        <v>45579</v>
      </c>
      <c r="D1221" t="inlineStr">
        <is>
          <t>JÄMTLANDS LÄN</t>
        </is>
      </c>
      <c r="E1221" t="inlineStr">
        <is>
          <t>STRÖMSUND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66166-2021</t>
        </is>
      </c>
      <c r="B1222" s="1" t="n">
        <v>44517</v>
      </c>
      <c r="C1222" s="1" t="n">
        <v>45579</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66475-2021</t>
        </is>
      </c>
      <c r="B1223" s="1" t="n">
        <v>44518</v>
      </c>
      <c r="C1223" s="1" t="n">
        <v>45579</v>
      </c>
      <c r="D1223" t="inlineStr">
        <is>
          <t>JÄMTLANDS LÄN</t>
        </is>
      </c>
      <c r="E1223" t="inlineStr">
        <is>
          <t>STRÖMSUND</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66485-2021</t>
        </is>
      </c>
      <c r="B1224" s="1" t="n">
        <v>44518</v>
      </c>
      <c r="C1224" s="1" t="n">
        <v>45579</v>
      </c>
      <c r="D1224" t="inlineStr">
        <is>
          <t>JÄMTLANDS LÄN</t>
        </is>
      </c>
      <c r="E1224" t="inlineStr">
        <is>
          <t>STRÖMSUND</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66488-2021</t>
        </is>
      </c>
      <c r="B1225" s="1" t="n">
        <v>44518</v>
      </c>
      <c r="C1225" s="1" t="n">
        <v>45579</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66486-2021</t>
        </is>
      </c>
      <c r="B1226" s="1" t="n">
        <v>44518</v>
      </c>
      <c r="C1226" s="1" t="n">
        <v>45579</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66487-2021</t>
        </is>
      </c>
      <c r="B1227" s="1" t="n">
        <v>44518</v>
      </c>
      <c r="C1227" s="1" t="n">
        <v>45579</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66784-2021</t>
        </is>
      </c>
      <c r="B1228" s="1" t="n">
        <v>44519</v>
      </c>
      <c r="C1228" s="1" t="n">
        <v>45579</v>
      </c>
      <c r="D1228" t="inlineStr">
        <is>
          <t>JÄMTLANDS LÄN</t>
        </is>
      </c>
      <c r="E1228" t="inlineStr">
        <is>
          <t>STRÖMSUND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66742-2021</t>
        </is>
      </c>
      <c r="B1229" s="1" t="n">
        <v>44520</v>
      </c>
      <c r="C1229" s="1" t="n">
        <v>45579</v>
      </c>
      <c r="D1229" t="inlineStr">
        <is>
          <t>JÄMTLANDS LÄN</t>
        </is>
      </c>
      <c r="E1229" t="inlineStr">
        <is>
          <t>STRÖMSUND</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67096-2021</t>
        </is>
      </c>
      <c r="B1230" s="1" t="n">
        <v>44522</v>
      </c>
      <c r="C1230" s="1" t="n">
        <v>45579</v>
      </c>
      <c r="D1230" t="inlineStr">
        <is>
          <t>JÄMTLANDS LÄN</t>
        </is>
      </c>
      <c r="E1230" t="inlineStr">
        <is>
          <t>STRÖMSUND</t>
        </is>
      </c>
      <c r="F1230" t="inlineStr">
        <is>
          <t>SCA</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67099-2021</t>
        </is>
      </c>
      <c r="B1231" s="1" t="n">
        <v>44522</v>
      </c>
      <c r="C1231" s="1" t="n">
        <v>45579</v>
      </c>
      <c r="D1231" t="inlineStr">
        <is>
          <t>JÄMTLANDS LÄN</t>
        </is>
      </c>
      <c r="E1231" t="inlineStr">
        <is>
          <t>STRÖMSUND</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67097-2021</t>
        </is>
      </c>
      <c r="B1232" s="1" t="n">
        <v>44522</v>
      </c>
      <c r="C1232" s="1" t="n">
        <v>45579</v>
      </c>
      <c r="D1232" t="inlineStr">
        <is>
          <t>JÄMTLANDS LÄN</t>
        </is>
      </c>
      <c r="E1232" t="inlineStr">
        <is>
          <t>STRÖMSUND</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67114-2021</t>
        </is>
      </c>
      <c r="B1233" s="1" t="n">
        <v>44523</v>
      </c>
      <c r="C1233" s="1" t="n">
        <v>45579</v>
      </c>
      <c r="D1233" t="inlineStr">
        <is>
          <t>JÄMTLANDS LÄN</t>
        </is>
      </c>
      <c r="E1233" t="inlineStr">
        <is>
          <t>STRÖMSUND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67696-2021</t>
        </is>
      </c>
      <c r="B1234" s="1" t="n">
        <v>44524</v>
      </c>
      <c r="C1234" s="1" t="n">
        <v>45579</v>
      </c>
      <c r="D1234" t="inlineStr">
        <is>
          <t>JÄMTLANDS LÄN</t>
        </is>
      </c>
      <c r="E1234" t="inlineStr">
        <is>
          <t>STRÖMSUND</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67903-2021</t>
        </is>
      </c>
      <c r="B1235" s="1" t="n">
        <v>44525</v>
      </c>
      <c r="C1235" s="1" t="n">
        <v>45579</v>
      </c>
      <c r="D1235" t="inlineStr">
        <is>
          <t>JÄMTLANDS LÄN</t>
        </is>
      </c>
      <c r="E1235" t="inlineStr">
        <is>
          <t>STRÖMSUND</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67906-2021</t>
        </is>
      </c>
      <c r="B1236" s="1" t="n">
        <v>44525</v>
      </c>
      <c r="C1236" s="1" t="n">
        <v>45579</v>
      </c>
      <c r="D1236" t="inlineStr">
        <is>
          <t>JÄMTLANDS LÄN</t>
        </is>
      </c>
      <c r="E1236" t="inlineStr">
        <is>
          <t>STRÖMSUND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68646-2021</t>
        </is>
      </c>
      <c r="B1237" s="1" t="n">
        <v>44529</v>
      </c>
      <c r="C1237" s="1" t="n">
        <v>45579</v>
      </c>
      <c r="D1237" t="inlineStr">
        <is>
          <t>JÄMTLANDS LÄN</t>
        </is>
      </c>
      <c r="E1237" t="inlineStr">
        <is>
          <t>STRÖMSUND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68675-2021</t>
        </is>
      </c>
      <c r="B1238" s="1" t="n">
        <v>44529</v>
      </c>
      <c r="C1238" s="1" t="n">
        <v>45579</v>
      </c>
      <c r="D1238" t="inlineStr">
        <is>
          <t>JÄMTLANDS LÄN</t>
        </is>
      </c>
      <c r="E1238" t="inlineStr">
        <is>
          <t>STRÖMSUND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68424-2021</t>
        </is>
      </c>
      <c r="B1239" s="1" t="n">
        <v>44529</v>
      </c>
      <c r="C1239" s="1" t="n">
        <v>45579</v>
      </c>
      <c r="D1239" t="inlineStr">
        <is>
          <t>JÄMTLANDS LÄN</t>
        </is>
      </c>
      <c r="E1239" t="inlineStr">
        <is>
          <t>STRÖMSUND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68442-2021</t>
        </is>
      </c>
      <c r="B1240" s="1" t="n">
        <v>44529</v>
      </c>
      <c r="C1240" s="1" t="n">
        <v>45579</v>
      </c>
      <c r="D1240" t="inlineStr">
        <is>
          <t>JÄMTLANDS LÄN</t>
        </is>
      </c>
      <c r="E1240" t="inlineStr">
        <is>
          <t>STRÖMSUND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68776-2021</t>
        </is>
      </c>
      <c r="B1241" s="1" t="n">
        <v>44529</v>
      </c>
      <c r="C1241" s="1" t="n">
        <v>45579</v>
      </c>
      <c r="D1241" t="inlineStr">
        <is>
          <t>JÄMTLANDS LÄN</t>
        </is>
      </c>
      <c r="E1241" t="inlineStr">
        <is>
          <t>STRÖMSUND</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68777-2021</t>
        </is>
      </c>
      <c r="B1242" s="1" t="n">
        <v>44529</v>
      </c>
      <c r="C1242" s="1" t="n">
        <v>45579</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69139-2021</t>
        </is>
      </c>
      <c r="B1243" s="1" t="n">
        <v>44530</v>
      </c>
      <c r="C1243" s="1" t="n">
        <v>45579</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69132-2021</t>
        </is>
      </c>
      <c r="B1244" s="1" t="n">
        <v>44530</v>
      </c>
      <c r="C1244" s="1" t="n">
        <v>45579</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69144-2021</t>
        </is>
      </c>
      <c r="B1245" s="1" t="n">
        <v>44530</v>
      </c>
      <c r="C1245" s="1" t="n">
        <v>45579</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69143-2021</t>
        </is>
      </c>
      <c r="B1246" s="1" t="n">
        <v>44530</v>
      </c>
      <c r="C1246" s="1" t="n">
        <v>45579</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70079-2021</t>
        </is>
      </c>
      <c r="B1247" s="1" t="n">
        <v>44533</v>
      </c>
      <c r="C1247" s="1" t="n">
        <v>45579</v>
      </c>
      <c r="D1247" t="inlineStr">
        <is>
          <t>JÄMTLANDS LÄN</t>
        </is>
      </c>
      <c r="E1247" t="inlineStr">
        <is>
          <t>STRÖMSUND</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70530-2021</t>
        </is>
      </c>
      <c r="B1248" s="1" t="n">
        <v>44536</v>
      </c>
      <c r="C1248" s="1" t="n">
        <v>45579</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70531-2021</t>
        </is>
      </c>
      <c r="B1249" s="1" t="n">
        <v>44536</v>
      </c>
      <c r="C1249" s="1" t="n">
        <v>45579</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70511-2021</t>
        </is>
      </c>
      <c r="B1250" s="1" t="n">
        <v>44536</v>
      </c>
      <c r="C1250" s="1" t="n">
        <v>45579</v>
      </c>
      <c r="D1250" t="inlineStr">
        <is>
          <t>JÄMTLANDS LÄN</t>
        </is>
      </c>
      <c r="E1250" t="inlineStr">
        <is>
          <t>STRÖMSUND</t>
        </is>
      </c>
      <c r="F1250" t="inlineStr">
        <is>
          <t>SCA</t>
        </is>
      </c>
      <c r="G1250" t="n">
        <v>401.6</v>
      </c>
      <c r="H1250" t="n">
        <v>0</v>
      </c>
      <c r="I1250" t="n">
        <v>0</v>
      </c>
      <c r="J1250" t="n">
        <v>0</v>
      </c>
      <c r="K1250" t="n">
        <v>0</v>
      </c>
      <c r="L1250" t="n">
        <v>0</v>
      </c>
      <c r="M1250" t="n">
        <v>0</v>
      </c>
      <c r="N1250" t="n">
        <v>0</v>
      </c>
      <c r="O1250" t="n">
        <v>0</v>
      </c>
      <c r="P1250" t="n">
        <v>0</v>
      </c>
      <c r="Q1250" t="n">
        <v>0</v>
      </c>
      <c r="R1250" s="2" t="inlineStr"/>
    </row>
    <row r="1251" ht="15" customHeight="1">
      <c r="A1251" t="inlineStr">
        <is>
          <t>A 70529-2021</t>
        </is>
      </c>
      <c r="B1251" s="1" t="n">
        <v>44536</v>
      </c>
      <c r="C1251" s="1" t="n">
        <v>45579</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71352-2021</t>
        </is>
      </c>
      <c r="B1252" s="1" t="n">
        <v>44539</v>
      </c>
      <c r="C1252" s="1" t="n">
        <v>45579</v>
      </c>
      <c r="D1252" t="inlineStr">
        <is>
          <t>JÄMTLANDS LÄN</t>
        </is>
      </c>
      <c r="E1252" t="inlineStr">
        <is>
          <t>STRÖMSUND</t>
        </is>
      </c>
      <c r="G1252" t="n">
        <v>0.2</v>
      </c>
      <c r="H1252" t="n">
        <v>0</v>
      </c>
      <c r="I1252" t="n">
        <v>0</v>
      </c>
      <c r="J1252" t="n">
        <v>0</v>
      </c>
      <c r="K1252" t="n">
        <v>0</v>
      </c>
      <c r="L1252" t="n">
        <v>0</v>
      </c>
      <c r="M1252" t="n">
        <v>0</v>
      </c>
      <c r="N1252" t="n">
        <v>0</v>
      </c>
      <c r="O1252" t="n">
        <v>0</v>
      </c>
      <c r="P1252" t="n">
        <v>0</v>
      </c>
      <c r="Q1252" t="n">
        <v>0</v>
      </c>
      <c r="R1252" s="2" t="inlineStr"/>
      <c r="U1252">
        <f>HYPERLINK("https://klasma.github.io/Logging_2313/knärot/A 71352-2021 karta knärot.png", "A 71352-2021")</f>
        <v/>
      </c>
      <c r="V1252">
        <f>HYPERLINK("https://klasma.github.io/Logging_2313/klagomål/A 71352-2021 FSC-klagomål.docx", "A 71352-2021")</f>
        <v/>
      </c>
      <c r="W1252">
        <f>HYPERLINK("https://klasma.github.io/Logging_2313/klagomålsmail/A 71352-2021 FSC-klagomål mail.docx", "A 71352-2021")</f>
        <v/>
      </c>
      <c r="X1252">
        <f>HYPERLINK("https://klasma.github.io/Logging_2313/tillsyn/A 71352-2021 tillsynsbegäran.docx", "A 71352-2021")</f>
        <v/>
      </c>
      <c r="Y1252">
        <f>HYPERLINK("https://klasma.github.io/Logging_2313/tillsynsmail/A 71352-2021 tillsynsbegäran mail.docx", "A 71352-2021")</f>
        <v/>
      </c>
    </row>
    <row r="1253" ht="15" customHeight="1">
      <c r="A1253" t="inlineStr">
        <is>
          <t>A 71353-2021</t>
        </is>
      </c>
      <c r="B1253" s="1" t="n">
        <v>44539</v>
      </c>
      <c r="C1253" s="1" t="n">
        <v>45579</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71376-2021</t>
        </is>
      </c>
      <c r="B1254" s="1" t="n">
        <v>44539</v>
      </c>
      <c r="C1254" s="1" t="n">
        <v>45579</v>
      </c>
      <c r="D1254" t="inlineStr">
        <is>
          <t>JÄMTLANDS LÄN</t>
        </is>
      </c>
      <c r="E1254" t="inlineStr">
        <is>
          <t>STRÖMSUND</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71377-2021</t>
        </is>
      </c>
      <c r="B1255" s="1" t="n">
        <v>44539</v>
      </c>
      <c r="C1255" s="1" t="n">
        <v>45579</v>
      </c>
      <c r="D1255" t="inlineStr">
        <is>
          <t>JÄMTLANDS LÄN</t>
        </is>
      </c>
      <c r="E1255" t="inlineStr">
        <is>
          <t>STRÖMSUND</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71912-2021</t>
        </is>
      </c>
      <c r="B1256" s="1" t="n">
        <v>44543</v>
      </c>
      <c r="C1256" s="1" t="n">
        <v>45579</v>
      </c>
      <c r="D1256" t="inlineStr">
        <is>
          <t>JÄMTLANDS LÄN</t>
        </is>
      </c>
      <c r="E1256" t="inlineStr">
        <is>
          <t>STRÖMSUND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71911-2021</t>
        </is>
      </c>
      <c r="B1257" s="1" t="n">
        <v>44543</v>
      </c>
      <c r="C1257" s="1" t="n">
        <v>45579</v>
      </c>
      <c r="D1257" t="inlineStr">
        <is>
          <t>JÄMTLANDS LÄN</t>
        </is>
      </c>
      <c r="E1257" t="inlineStr">
        <is>
          <t>STRÖMSUND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72629-2021</t>
        </is>
      </c>
      <c r="B1258" s="1" t="n">
        <v>44545</v>
      </c>
      <c r="C1258" s="1" t="n">
        <v>45579</v>
      </c>
      <c r="D1258" t="inlineStr">
        <is>
          <t>JÄMTLANDS LÄN</t>
        </is>
      </c>
      <c r="E1258" t="inlineStr">
        <is>
          <t>STRÖMSUND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72497-2021</t>
        </is>
      </c>
      <c r="B1259" s="1" t="n">
        <v>44545</v>
      </c>
      <c r="C1259" s="1" t="n">
        <v>45579</v>
      </c>
      <c r="D1259" t="inlineStr">
        <is>
          <t>JÄMTLANDS LÄN</t>
        </is>
      </c>
      <c r="E1259" t="inlineStr">
        <is>
          <t>STRÖMSUND</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72543-2021</t>
        </is>
      </c>
      <c r="B1260" s="1" t="n">
        <v>44546</v>
      </c>
      <c r="C1260" s="1" t="n">
        <v>45579</v>
      </c>
      <c r="D1260" t="inlineStr">
        <is>
          <t>JÄMTLANDS LÄN</t>
        </is>
      </c>
      <c r="E1260" t="inlineStr">
        <is>
          <t>STRÖMSUND</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72749-2021</t>
        </is>
      </c>
      <c r="B1261" s="1" t="n">
        <v>44546</v>
      </c>
      <c r="C1261" s="1" t="n">
        <v>45579</v>
      </c>
      <c r="D1261" t="inlineStr">
        <is>
          <t>JÄMTLANDS LÄN</t>
        </is>
      </c>
      <c r="E1261" t="inlineStr">
        <is>
          <t>STRÖMSUND</t>
        </is>
      </c>
      <c r="G1261" t="n">
        <v>35.6</v>
      </c>
      <c r="H1261" t="n">
        <v>0</v>
      </c>
      <c r="I1261" t="n">
        <v>0</v>
      </c>
      <c r="J1261" t="n">
        <v>0</v>
      </c>
      <c r="K1261" t="n">
        <v>0</v>
      </c>
      <c r="L1261" t="n">
        <v>0</v>
      </c>
      <c r="M1261" t="n">
        <v>0</v>
      </c>
      <c r="N1261" t="n">
        <v>0</v>
      </c>
      <c r="O1261" t="n">
        <v>0</v>
      </c>
      <c r="P1261" t="n">
        <v>0</v>
      </c>
      <c r="Q1261" t="n">
        <v>0</v>
      </c>
      <c r="R1261" s="2" t="inlineStr"/>
    </row>
    <row r="1262" ht="15" customHeight="1">
      <c r="A1262" t="inlineStr">
        <is>
          <t>A 72753-2021</t>
        </is>
      </c>
      <c r="B1262" s="1" t="n">
        <v>44546</v>
      </c>
      <c r="C1262" s="1" t="n">
        <v>45579</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72827-2021</t>
        </is>
      </c>
      <c r="B1263" s="1" t="n">
        <v>44547</v>
      </c>
      <c r="C1263" s="1" t="n">
        <v>45579</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72957-2021</t>
        </is>
      </c>
      <c r="B1264" s="1" t="n">
        <v>44547</v>
      </c>
      <c r="C1264" s="1" t="n">
        <v>45579</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72956-2021</t>
        </is>
      </c>
      <c r="B1265" s="1" t="n">
        <v>44547</v>
      </c>
      <c r="C1265" s="1" t="n">
        <v>45579</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73288-2021</t>
        </is>
      </c>
      <c r="B1266" s="1" t="n">
        <v>44550</v>
      </c>
      <c r="C1266" s="1" t="n">
        <v>45579</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73291-2021</t>
        </is>
      </c>
      <c r="B1267" s="1" t="n">
        <v>44550</v>
      </c>
      <c r="C1267" s="1" t="n">
        <v>45579</v>
      </c>
      <c r="D1267" t="inlineStr">
        <is>
          <t>JÄMTLANDS LÄN</t>
        </is>
      </c>
      <c r="E1267" t="inlineStr">
        <is>
          <t>STRÖMSUND</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73289-2021</t>
        </is>
      </c>
      <c r="B1268" s="1" t="n">
        <v>44550</v>
      </c>
      <c r="C1268" s="1" t="n">
        <v>45579</v>
      </c>
      <c r="D1268" t="inlineStr">
        <is>
          <t>JÄMTLANDS LÄN</t>
        </is>
      </c>
      <c r="E1268" t="inlineStr">
        <is>
          <t>STRÖMSUND</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364-2022</t>
        </is>
      </c>
      <c r="B1269" s="1" t="n">
        <v>44565</v>
      </c>
      <c r="C1269" s="1" t="n">
        <v>45579</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585-2022</t>
        </is>
      </c>
      <c r="B1270" s="1" t="n">
        <v>44566</v>
      </c>
      <c r="C1270" s="1" t="n">
        <v>45579</v>
      </c>
      <c r="D1270" t="inlineStr">
        <is>
          <t>JÄMTLANDS LÄN</t>
        </is>
      </c>
      <c r="E1270" t="inlineStr">
        <is>
          <t>STRÖMSUND</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583-2022</t>
        </is>
      </c>
      <c r="B1271" s="1" t="n">
        <v>44566</v>
      </c>
      <c r="C1271" s="1" t="n">
        <v>45579</v>
      </c>
      <c r="D1271" t="inlineStr">
        <is>
          <t>JÄMTLANDS LÄN</t>
        </is>
      </c>
      <c r="E1271" t="inlineStr">
        <is>
          <t>STRÖMSUND</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829-2022</t>
        </is>
      </c>
      <c r="B1272" s="1" t="n">
        <v>44568</v>
      </c>
      <c r="C1272" s="1" t="n">
        <v>45579</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1083-2022</t>
        </is>
      </c>
      <c r="B1273" s="1" t="n">
        <v>44571</v>
      </c>
      <c r="C1273" s="1" t="n">
        <v>45579</v>
      </c>
      <c r="D1273" t="inlineStr">
        <is>
          <t>JÄMTLANDS LÄN</t>
        </is>
      </c>
      <c r="E1273" t="inlineStr">
        <is>
          <t>STRÖMSUND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1107-2022</t>
        </is>
      </c>
      <c r="B1274" s="1" t="n">
        <v>44571</v>
      </c>
      <c r="C1274" s="1" t="n">
        <v>45579</v>
      </c>
      <c r="D1274" t="inlineStr">
        <is>
          <t>JÄMTLANDS LÄN</t>
        </is>
      </c>
      <c r="E1274" t="inlineStr">
        <is>
          <t>STRÖMSUND</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1339-2022</t>
        </is>
      </c>
      <c r="B1275" s="1" t="n">
        <v>44572</v>
      </c>
      <c r="C1275" s="1" t="n">
        <v>45579</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2485-2022</t>
        </is>
      </c>
      <c r="B1276" s="1" t="n">
        <v>44579</v>
      </c>
      <c r="C1276" s="1" t="n">
        <v>45579</v>
      </c>
      <c r="D1276" t="inlineStr">
        <is>
          <t>JÄMTLANDS LÄN</t>
        </is>
      </c>
      <c r="E1276" t="inlineStr">
        <is>
          <t>STRÖMSUND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2760-2022</t>
        </is>
      </c>
      <c r="B1277" s="1" t="n">
        <v>44580</v>
      </c>
      <c r="C1277" s="1" t="n">
        <v>45579</v>
      </c>
      <c r="D1277" t="inlineStr">
        <is>
          <t>JÄMTLANDS LÄN</t>
        </is>
      </c>
      <c r="E1277" t="inlineStr">
        <is>
          <t>STRÖMSUND</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2759-2022</t>
        </is>
      </c>
      <c r="B1278" s="1" t="n">
        <v>44580</v>
      </c>
      <c r="C1278" s="1" t="n">
        <v>45579</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3114-2022</t>
        </is>
      </c>
      <c r="B1279" s="1" t="n">
        <v>44582</v>
      </c>
      <c r="C1279" s="1" t="n">
        <v>45579</v>
      </c>
      <c r="D1279" t="inlineStr">
        <is>
          <t>JÄMTLANDS LÄN</t>
        </is>
      </c>
      <c r="E1279" t="inlineStr">
        <is>
          <t>STRÖMSUND</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3165-2022</t>
        </is>
      </c>
      <c r="B1280" s="1" t="n">
        <v>44582</v>
      </c>
      <c r="C1280" s="1" t="n">
        <v>45579</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3230-2022</t>
        </is>
      </c>
      <c r="B1281" s="1" t="n">
        <v>44582</v>
      </c>
      <c r="C1281" s="1" t="n">
        <v>45579</v>
      </c>
      <c r="D1281" t="inlineStr">
        <is>
          <t>JÄMTLANDS LÄN</t>
        </is>
      </c>
      <c r="E1281" t="inlineStr">
        <is>
          <t>STRÖMSUND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3269-2022</t>
        </is>
      </c>
      <c r="B1282" s="1" t="n">
        <v>44583</v>
      </c>
      <c r="C1282" s="1" t="n">
        <v>45579</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3538-2022</t>
        </is>
      </c>
      <c r="B1283" s="1" t="n">
        <v>44585</v>
      </c>
      <c r="C1283" s="1" t="n">
        <v>45579</v>
      </c>
      <c r="D1283" t="inlineStr">
        <is>
          <t>JÄMTLANDS LÄN</t>
        </is>
      </c>
      <c r="E1283" t="inlineStr">
        <is>
          <t>STRÖMSUND</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3539-2022</t>
        </is>
      </c>
      <c r="B1284" s="1" t="n">
        <v>44585</v>
      </c>
      <c r="C1284" s="1" t="n">
        <v>45579</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3719-2022</t>
        </is>
      </c>
      <c r="B1285" s="1" t="n">
        <v>44586</v>
      </c>
      <c r="C1285" s="1" t="n">
        <v>45579</v>
      </c>
      <c r="D1285" t="inlineStr">
        <is>
          <t>JÄMTLANDS LÄN</t>
        </is>
      </c>
      <c r="E1285" t="inlineStr">
        <is>
          <t>STRÖMSUND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3721-2022</t>
        </is>
      </c>
      <c r="B1286" s="1" t="n">
        <v>44586</v>
      </c>
      <c r="C1286" s="1" t="n">
        <v>45579</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3875-2022</t>
        </is>
      </c>
      <c r="B1287" s="1" t="n">
        <v>44587</v>
      </c>
      <c r="C1287" s="1" t="n">
        <v>45579</v>
      </c>
      <c r="D1287" t="inlineStr">
        <is>
          <t>JÄMTLANDS LÄN</t>
        </is>
      </c>
      <c r="E1287" t="inlineStr">
        <is>
          <t>STRÖMSUND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4024-2022</t>
        </is>
      </c>
      <c r="B1288" s="1" t="n">
        <v>44587</v>
      </c>
      <c r="C1288" s="1" t="n">
        <v>45579</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4460-2022</t>
        </is>
      </c>
      <c r="B1289" s="1" t="n">
        <v>44589</v>
      </c>
      <c r="C1289" s="1" t="n">
        <v>45579</v>
      </c>
      <c r="D1289" t="inlineStr">
        <is>
          <t>JÄMTLANDS LÄN</t>
        </is>
      </c>
      <c r="E1289" t="inlineStr">
        <is>
          <t>STRÖMSUND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4455-2022</t>
        </is>
      </c>
      <c r="B1290" s="1" t="n">
        <v>44589</v>
      </c>
      <c r="C1290" s="1" t="n">
        <v>45579</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45579</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4602-2022</t>
        </is>
      </c>
      <c r="B1292" s="1" t="n">
        <v>44589</v>
      </c>
      <c r="C1292" s="1" t="n">
        <v>45579</v>
      </c>
      <c r="D1292" t="inlineStr">
        <is>
          <t>JÄMTLANDS LÄN</t>
        </is>
      </c>
      <c r="E1292" t="inlineStr">
        <is>
          <t>STRÖMSUND</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4858-2022</t>
        </is>
      </c>
      <c r="B1293" s="1" t="n">
        <v>44592</v>
      </c>
      <c r="C1293" s="1" t="n">
        <v>45579</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4931-2022</t>
        </is>
      </c>
      <c r="B1294" s="1" t="n">
        <v>44593</v>
      </c>
      <c r="C1294" s="1" t="n">
        <v>45579</v>
      </c>
      <c r="D1294" t="inlineStr">
        <is>
          <t>JÄMTLANDS LÄN</t>
        </is>
      </c>
      <c r="E1294" t="inlineStr">
        <is>
          <t>STRÖMSUND</t>
        </is>
      </c>
      <c r="G1294" t="n">
        <v>41.9</v>
      </c>
      <c r="H1294" t="n">
        <v>0</v>
      </c>
      <c r="I1294" t="n">
        <v>0</v>
      </c>
      <c r="J1294" t="n">
        <v>0</v>
      </c>
      <c r="K1294" t="n">
        <v>0</v>
      </c>
      <c r="L1294" t="n">
        <v>0</v>
      </c>
      <c r="M1294" t="n">
        <v>0</v>
      </c>
      <c r="N1294" t="n">
        <v>0</v>
      </c>
      <c r="O1294" t="n">
        <v>0</v>
      </c>
      <c r="P1294" t="n">
        <v>0</v>
      </c>
      <c r="Q1294" t="n">
        <v>0</v>
      </c>
      <c r="R1294" s="2" t="inlineStr"/>
    </row>
    <row r="1295" ht="15" customHeight="1">
      <c r="A1295" t="inlineStr">
        <is>
          <t>A 5117-2022</t>
        </is>
      </c>
      <c r="B1295" s="1" t="n">
        <v>44593</v>
      </c>
      <c r="C1295" s="1" t="n">
        <v>45579</v>
      </c>
      <c r="D1295" t="inlineStr">
        <is>
          <t>JÄMTLANDS LÄN</t>
        </is>
      </c>
      <c r="E1295" t="inlineStr">
        <is>
          <t>STRÖMSUND</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5116-2022</t>
        </is>
      </c>
      <c r="B1296" s="1" t="n">
        <v>44593</v>
      </c>
      <c r="C1296" s="1" t="n">
        <v>45579</v>
      </c>
      <c r="D1296" t="inlineStr">
        <is>
          <t>JÄMTLANDS LÄN</t>
        </is>
      </c>
      <c r="E1296" t="inlineStr">
        <is>
          <t>STRÖMSUND</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5416-2022</t>
        </is>
      </c>
      <c r="B1297" s="1" t="n">
        <v>44595</v>
      </c>
      <c r="C1297" s="1" t="n">
        <v>45579</v>
      </c>
      <c r="D1297" t="inlineStr">
        <is>
          <t>JÄMTLANDS LÄN</t>
        </is>
      </c>
      <c r="E1297" t="inlineStr">
        <is>
          <t>STRÖMSUND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5642-2022</t>
        </is>
      </c>
      <c r="B1298" s="1" t="n">
        <v>44595</v>
      </c>
      <c r="C1298" s="1" t="n">
        <v>45579</v>
      </c>
      <c r="D1298" t="inlineStr">
        <is>
          <t>JÄMTLANDS LÄN</t>
        </is>
      </c>
      <c r="E1298" t="inlineStr">
        <is>
          <t>STRÖMSUND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6055-2022</t>
        </is>
      </c>
      <c r="B1299" s="1" t="n">
        <v>44599</v>
      </c>
      <c r="C1299" s="1" t="n">
        <v>45579</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6150-2022</t>
        </is>
      </c>
      <c r="B1300" s="1" t="n">
        <v>44599</v>
      </c>
      <c r="C1300" s="1" t="n">
        <v>45579</v>
      </c>
      <c r="D1300" t="inlineStr">
        <is>
          <t>JÄMTLANDS LÄN</t>
        </is>
      </c>
      <c r="E1300" t="inlineStr">
        <is>
          <t>STRÖMSUND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6202-2022</t>
        </is>
      </c>
      <c r="B1301" s="1" t="n">
        <v>44600</v>
      </c>
      <c r="C1301" s="1" t="n">
        <v>45579</v>
      </c>
      <c r="D1301" t="inlineStr">
        <is>
          <t>JÄMTLANDS LÄN</t>
        </is>
      </c>
      <c r="E1301" t="inlineStr">
        <is>
          <t>STRÖMSUND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7023-2022</t>
        </is>
      </c>
      <c r="B1302" s="1" t="n">
        <v>44603</v>
      </c>
      <c r="C1302" s="1" t="n">
        <v>45579</v>
      </c>
      <c r="D1302" t="inlineStr">
        <is>
          <t>JÄMTLANDS LÄN</t>
        </is>
      </c>
      <c r="E1302" t="inlineStr">
        <is>
          <t>STRÖMSUND</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7157-2022</t>
        </is>
      </c>
      <c r="B1303" s="1" t="n">
        <v>44604</v>
      </c>
      <c r="C1303" s="1" t="n">
        <v>45579</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7260-2022</t>
        </is>
      </c>
      <c r="B1304" s="1" t="n">
        <v>44606</v>
      </c>
      <c r="C1304" s="1" t="n">
        <v>45579</v>
      </c>
      <c r="D1304" t="inlineStr">
        <is>
          <t>JÄMTLANDS LÄN</t>
        </is>
      </c>
      <c r="E1304" t="inlineStr">
        <is>
          <t>STRÖMSUND</t>
        </is>
      </c>
      <c r="F1304" t="inlineStr">
        <is>
          <t>SCA</t>
        </is>
      </c>
      <c r="G1304" t="n">
        <v>76.40000000000001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8066-2022</t>
        </is>
      </c>
      <c r="B1305" s="1" t="n">
        <v>44609</v>
      </c>
      <c r="C1305" s="1" t="n">
        <v>45579</v>
      </c>
      <c r="D1305" t="inlineStr">
        <is>
          <t>JÄMTLANDS LÄN</t>
        </is>
      </c>
      <c r="E1305" t="inlineStr">
        <is>
          <t>STRÖMSUND</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8239-2022</t>
        </is>
      </c>
      <c r="B1306" s="1" t="n">
        <v>44609</v>
      </c>
      <c r="C1306" s="1" t="n">
        <v>45579</v>
      </c>
      <c r="D1306" t="inlineStr">
        <is>
          <t>JÄMTLANDS LÄN</t>
        </is>
      </c>
      <c r="E1306" t="inlineStr">
        <is>
          <t>STRÖMSUND</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8421-2022</t>
        </is>
      </c>
      <c r="B1307" s="1" t="n">
        <v>44610</v>
      </c>
      <c r="C1307" s="1" t="n">
        <v>45579</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9370-2022</t>
        </is>
      </c>
      <c r="B1308" s="1" t="n">
        <v>44616</v>
      </c>
      <c r="C1308" s="1" t="n">
        <v>45579</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9379-2022</t>
        </is>
      </c>
      <c r="B1309" s="1" t="n">
        <v>44616</v>
      </c>
      <c r="C1309" s="1" t="n">
        <v>45579</v>
      </c>
      <c r="D1309" t="inlineStr">
        <is>
          <t>JÄMTLANDS LÄN</t>
        </is>
      </c>
      <c r="E1309" t="inlineStr">
        <is>
          <t>STRÖMSUND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9934-2022</t>
        </is>
      </c>
      <c r="B1310" s="1" t="n">
        <v>44620</v>
      </c>
      <c r="C1310" s="1" t="n">
        <v>45579</v>
      </c>
      <c r="D1310" t="inlineStr">
        <is>
          <t>JÄMTLANDS LÄN</t>
        </is>
      </c>
      <c r="E1310" t="inlineStr">
        <is>
          <t>STRÖMSUND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9957-2022</t>
        </is>
      </c>
      <c r="B1311" s="1" t="n">
        <v>44620</v>
      </c>
      <c r="C1311" s="1" t="n">
        <v>45579</v>
      </c>
      <c r="D1311" t="inlineStr">
        <is>
          <t>JÄMTLANDS LÄN</t>
        </is>
      </c>
      <c r="E1311" t="inlineStr">
        <is>
          <t>STRÖMSUND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10077-2022</t>
        </is>
      </c>
      <c r="B1312" s="1" t="n">
        <v>44621</v>
      </c>
      <c r="C1312" s="1" t="n">
        <v>45579</v>
      </c>
      <c r="D1312" t="inlineStr">
        <is>
          <t>JÄMTLANDS LÄN</t>
        </is>
      </c>
      <c r="E1312" t="inlineStr">
        <is>
          <t>STRÖMSUND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10144-2022</t>
        </is>
      </c>
      <c r="B1313" s="1" t="n">
        <v>44621</v>
      </c>
      <c r="C1313" s="1" t="n">
        <v>45579</v>
      </c>
      <c r="D1313" t="inlineStr">
        <is>
          <t>JÄMTLANDS LÄN</t>
        </is>
      </c>
      <c r="E1313" t="inlineStr">
        <is>
          <t>STRÖMSUND</t>
        </is>
      </c>
      <c r="F1313" t="inlineStr">
        <is>
          <t>SCA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10136-2022</t>
        </is>
      </c>
      <c r="B1314" s="1" t="n">
        <v>44621</v>
      </c>
      <c r="C1314" s="1" t="n">
        <v>45579</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10249-2022</t>
        </is>
      </c>
      <c r="B1315" s="1" t="n">
        <v>44622</v>
      </c>
      <c r="C1315" s="1" t="n">
        <v>45579</v>
      </c>
      <c r="D1315" t="inlineStr">
        <is>
          <t>JÄMTLANDS LÄN</t>
        </is>
      </c>
      <c r="E1315" t="inlineStr">
        <is>
          <t>STRÖMSUND</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10322-2022</t>
        </is>
      </c>
      <c r="B1316" s="1" t="n">
        <v>44622</v>
      </c>
      <c r="C1316" s="1" t="n">
        <v>45579</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10323-2022</t>
        </is>
      </c>
      <c r="B1317" s="1" t="n">
        <v>44622</v>
      </c>
      <c r="C1317" s="1" t="n">
        <v>45579</v>
      </c>
      <c r="D1317" t="inlineStr">
        <is>
          <t>JÄMTLANDS LÄN</t>
        </is>
      </c>
      <c r="E1317" t="inlineStr">
        <is>
          <t>STRÖMSUND</t>
        </is>
      </c>
      <c r="F1317" t="inlineStr">
        <is>
          <t>SCA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10319-2022</t>
        </is>
      </c>
      <c r="B1318" s="1" t="n">
        <v>44622</v>
      </c>
      <c r="C1318" s="1" t="n">
        <v>45579</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10527-2022</t>
        </is>
      </c>
      <c r="B1319" s="1" t="n">
        <v>44623</v>
      </c>
      <c r="C1319" s="1" t="n">
        <v>45579</v>
      </c>
      <c r="D1319" t="inlineStr">
        <is>
          <t>JÄMTLANDS LÄN</t>
        </is>
      </c>
      <c r="E1319" t="inlineStr">
        <is>
          <t>STRÖMSUND</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10647-2022</t>
        </is>
      </c>
      <c r="B1320" s="1" t="n">
        <v>44624</v>
      </c>
      <c r="C1320" s="1" t="n">
        <v>45579</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10656-2022</t>
        </is>
      </c>
      <c r="B1321" s="1" t="n">
        <v>44624</v>
      </c>
      <c r="C1321" s="1" t="n">
        <v>45579</v>
      </c>
      <c r="D1321" t="inlineStr">
        <is>
          <t>JÄMTLANDS LÄN</t>
        </is>
      </c>
      <c r="E1321" t="inlineStr">
        <is>
          <t>STRÖMSUND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10698-2022</t>
        </is>
      </c>
      <c r="B1322" s="1" t="n">
        <v>44624</v>
      </c>
      <c r="C1322" s="1" t="n">
        <v>45579</v>
      </c>
      <c r="D1322" t="inlineStr">
        <is>
          <t>JÄMTLANDS LÄN</t>
        </is>
      </c>
      <c r="E1322" t="inlineStr">
        <is>
          <t>STRÖMSUND</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10904-2022</t>
        </is>
      </c>
      <c r="B1323" s="1" t="n">
        <v>44627</v>
      </c>
      <c r="C1323" s="1" t="n">
        <v>45579</v>
      </c>
      <c r="D1323" t="inlineStr">
        <is>
          <t>JÄMTLANDS LÄN</t>
        </is>
      </c>
      <c r="E1323" t="inlineStr">
        <is>
          <t>STRÖMSUND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11158-2022</t>
        </is>
      </c>
      <c r="B1324" s="1" t="n">
        <v>44629</v>
      </c>
      <c r="C1324" s="1" t="n">
        <v>45579</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11578-2022</t>
        </is>
      </c>
      <c r="B1325" s="1" t="n">
        <v>44631</v>
      </c>
      <c r="C1325" s="1" t="n">
        <v>45579</v>
      </c>
      <c r="D1325" t="inlineStr">
        <is>
          <t>JÄMTLANDS LÄN</t>
        </is>
      </c>
      <c r="E1325" t="inlineStr">
        <is>
          <t>STRÖMSUND</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11856-2022</t>
        </is>
      </c>
      <c r="B1326" s="1" t="n">
        <v>44635</v>
      </c>
      <c r="C1326" s="1" t="n">
        <v>45579</v>
      </c>
      <c r="D1326" t="inlineStr">
        <is>
          <t>JÄMTLANDS LÄN</t>
        </is>
      </c>
      <c r="E1326" t="inlineStr">
        <is>
          <t>STRÖMSUND</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12018-2022</t>
        </is>
      </c>
      <c r="B1327" s="1" t="n">
        <v>44635</v>
      </c>
      <c r="C1327" s="1" t="n">
        <v>45579</v>
      </c>
      <c r="D1327" t="inlineStr">
        <is>
          <t>JÄMTLANDS LÄN</t>
        </is>
      </c>
      <c r="E1327" t="inlineStr">
        <is>
          <t>STRÖMSUND</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12198-2022</t>
        </is>
      </c>
      <c r="B1328" s="1" t="n">
        <v>44636</v>
      </c>
      <c r="C1328" s="1" t="n">
        <v>45579</v>
      </c>
      <c r="D1328" t="inlineStr">
        <is>
          <t>JÄMTLANDS LÄN</t>
        </is>
      </c>
      <c r="E1328" t="inlineStr">
        <is>
          <t>STRÖMSUND</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12405-2022</t>
        </is>
      </c>
      <c r="B1329" s="1" t="n">
        <v>44637</v>
      </c>
      <c r="C1329" s="1" t="n">
        <v>45579</v>
      </c>
      <c r="D1329" t="inlineStr">
        <is>
          <t>JÄMTLANDS LÄN</t>
        </is>
      </c>
      <c r="E1329" t="inlineStr">
        <is>
          <t>STRÖMSUND</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12404-2022</t>
        </is>
      </c>
      <c r="B1330" s="1" t="n">
        <v>44637</v>
      </c>
      <c r="C1330" s="1" t="n">
        <v>45579</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12762-2022</t>
        </is>
      </c>
      <c r="B1331" s="1" t="n">
        <v>44641</v>
      </c>
      <c r="C1331" s="1" t="n">
        <v>45579</v>
      </c>
      <c r="D1331" t="inlineStr">
        <is>
          <t>JÄMTLANDS LÄN</t>
        </is>
      </c>
      <c r="E1331" t="inlineStr">
        <is>
          <t>STRÖMSUND</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12822-2022</t>
        </is>
      </c>
      <c r="B1332" s="1" t="n">
        <v>44642</v>
      </c>
      <c r="C1332" s="1" t="n">
        <v>45579</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13098-2022</t>
        </is>
      </c>
      <c r="B1333" s="1" t="n">
        <v>44643</v>
      </c>
      <c r="C1333" s="1" t="n">
        <v>45579</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13099-2022</t>
        </is>
      </c>
      <c r="B1334" s="1" t="n">
        <v>44643</v>
      </c>
      <c r="C1334" s="1" t="n">
        <v>45579</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13513-2022</t>
        </is>
      </c>
      <c r="B1335" s="1" t="n">
        <v>44648</v>
      </c>
      <c r="C1335" s="1" t="n">
        <v>45579</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14043-2022</t>
        </is>
      </c>
      <c r="B1336" s="1" t="n">
        <v>44650</v>
      </c>
      <c r="C1336" s="1" t="n">
        <v>45579</v>
      </c>
      <c r="D1336" t="inlineStr">
        <is>
          <t>JÄMTLANDS LÄN</t>
        </is>
      </c>
      <c r="E1336" t="inlineStr">
        <is>
          <t>STRÖMSUND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14283-2022</t>
        </is>
      </c>
      <c r="B1337" s="1" t="n">
        <v>44651</v>
      </c>
      <c r="C1337" s="1" t="n">
        <v>45579</v>
      </c>
      <c r="D1337" t="inlineStr">
        <is>
          <t>JÄMTLANDS LÄN</t>
        </is>
      </c>
      <c r="E1337" t="inlineStr">
        <is>
          <t>STRÖMSUND</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14288-2022</t>
        </is>
      </c>
      <c r="B1338" s="1" t="n">
        <v>44651</v>
      </c>
      <c r="C1338" s="1" t="n">
        <v>45579</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14292-2022</t>
        </is>
      </c>
      <c r="B1339" s="1" t="n">
        <v>44651</v>
      </c>
      <c r="C1339" s="1" t="n">
        <v>45579</v>
      </c>
      <c r="D1339" t="inlineStr">
        <is>
          <t>JÄMTLANDS LÄN</t>
        </is>
      </c>
      <c r="E1339" t="inlineStr">
        <is>
          <t>STRÖMSUND</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14294-2022</t>
        </is>
      </c>
      <c r="B1340" s="1" t="n">
        <v>44652</v>
      </c>
      <c r="C1340" s="1" t="n">
        <v>45579</v>
      </c>
      <c r="D1340" t="inlineStr">
        <is>
          <t>JÄMTLANDS LÄN</t>
        </is>
      </c>
      <c r="E1340" t="inlineStr">
        <is>
          <t>STRÖMSUND</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14281-2022</t>
        </is>
      </c>
      <c r="B1341" s="1" t="n">
        <v>44651</v>
      </c>
      <c r="C1341" s="1" t="n">
        <v>45579</v>
      </c>
      <c r="D1341" t="inlineStr">
        <is>
          <t>JÄMTLANDS LÄN</t>
        </is>
      </c>
      <c r="E1341" t="inlineStr">
        <is>
          <t>STRÖMSUND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14289-2022</t>
        </is>
      </c>
      <c r="B1342" s="1" t="n">
        <v>44651</v>
      </c>
      <c r="C1342" s="1" t="n">
        <v>45579</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14441-2022</t>
        </is>
      </c>
      <c r="B1343" s="1" t="n">
        <v>44652</v>
      </c>
      <c r="C1343" s="1" t="n">
        <v>45579</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14443-2022</t>
        </is>
      </c>
      <c r="B1344" s="1" t="n">
        <v>44653</v>
      </c>
      <c r="C1344" s="1" t="n">
        <v>45579</v>
      </c>
      <c r="D1344" t="inlineStr">
        <is>
          <t>JÄMTLANDS LÄN</t>
        </is>
      </c>
      <c r="E1344" t="inlineStr">
        <is>
          <t>STRÖMSUND</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14445-2022</t>
        </is>
      </c>
      <c r="B1345" s="1" t="n">
        <v>44653</v>
      </c>
      <c r="C1345" s="1" t="n">
        <v>45579</v>
      </c>
      <c r="D1345" t="inlineStr">
        <is>
          <t>JÄMTLANDS LÄN</t>
        </is>
      </c>
      <c r="E1345" t="inlineStr">
        <is>
          <t>STRÖMSUND</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14442-2022</t>
        </is>
      </c>
      <c r="B1346" s="1" t="n">
        <v>44653</v>
      </c>
      <c r="C1346" s="1" t="n">
        <v>45579</v>
      </c>
      <c r="D1346" t="inlineStr">
        <is>
          <t>JÄMTLANDS LÄN</t>
        </is>
      </c>
      <c r="E1346" t="inlineStr">
        <is>
          <t>STRÖMSUND</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14460-2022</t>
        </is>
      </c>
      <c r="B1347" s="1" t="n">
        <v>44654</v>
      </c>
      <c r="C1347" s="1" t="n">
        <v>45579</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14550-2022</t>
        </is>
      </c>
      <c r="B1348" s="1" t="n">
        <v>44655</v>
      </c>
      <c r="C1348" s="1" t="n">
        <v>45579</v>
      </c>
      <c r="D1348" t="inlineStr">
        <is>
          <t>JÄMTLANDS LÄN</t>
        </is>
      </c>
      <c r="E1348" t="inlineStr">
        <is>
          <t>STRÖMSUND</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14557-2022</t>
        </is>
      </c>
      <c r="B1349" s="1" t="n">
        <v>44655</v>
      </c>
      <c r="C1349" s="1" t="n">
        <v>45579</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14703-2022</t>
        </is>
      </c>
      <c r="B1350" s="1" t="n">
        <v>44655</v>
      </c>
      <c r="C1350" s="1" t="n">
        <v>45579</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14894-2022</t>
        </is>
      </c>
      <c r="B1351" s="1" t="n">
        <v>44657</v>
      </c>
      <c r="C1351" s="1" t="n">
        <v>45579</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15238-2022</t>
        </is>
      </c>
      <c r="B1352" s="1" t="n">
        <v>44659</v>
      </c>
      <c r="C1352" s="1" t="n">
        <v>45579</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15141-2022</t>
        </is>
      </c>
      <c r="B1353" s="1" t="n">
        <v>44658</v>
      </c>
      <c r="C1353" s="1" t="n">
        <v>45579</v>
      </c>
      <c r="D1353" t="inlineStr">
        <is>
          <t>JÄMTLANDS LÄN</t>
        </is>
      </c>
      <c r="E1353" t="inlineStr">
        <is>
          <t>STRÖMSUND</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15239-2022</t>
        </is>
      </c>
      <c r="B1354" s="1" t="n">
        <v>44659</v>
      </c>
      <c r="C1354" s="1" t="n">
        <v>45579</v>
      </c>
      <c r="D1354" t="inlineStr">
        <is>
          <t>JÄMTLANDS LÄN</t>
        </is>
      </c>
      <c r="E1354" t="inlineStr">
        <is>
          <t>STRÖMSUND</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15259-2022</t>
        </is>
      </c>
      <c r="B1355" s="1" t="n">
        <v>44659</v>
      </c>
      <c r="C1355" s="1" t="n">
        <v>45579</v>
      </c>
      <c r="D1355" t="inlineStr">
        <is>
          <t>JÄMTLANDS LÄN</t>
        </is>
      </c>
      <c r="E1355" t="inlineStr">
        <is>
          <t>STRÖMSUND</t>
        </is>
      </c>
      <c r="G1355" t="n">
        <v>52.4</v>
      </c>
      <c r="H1355" t="n">
        <v>0</v>
      </c>
      <c r="I1355" t="n">
        <v>0</v>
      </c>
      <c r="J1355" t="n">
        <v>0</v>
      </c>
      <c r="K1355" t="n">
        <v>0</v>
      </c>
      <c r="L1355" t="n">
        <v>0</v>
      </c>
      <c r="M1355" t="n">
        <v>0</v>
      </c>
      <c r="N1355" t="n">
        <v>0</v>
      </c>
      <c r="O1355" t="n">
        <v>0</v>
      </c>
      <c r="P1355" t="n">
        <v>0</v>
      </c>
      <c r="Q1355" t="n">
        <v>0</v>
      </c>
      <c r="R1355" s="2" t="inlineStr"/>
    </row>
    <row r="1356" ht="15" customHeight="1">
      <c r="A1356" t="inlineStr">
        <is>
          <t>A 15546-2022</t>
        </is>
      </c>
      <c r="B1356" s="1" t="n">
        <v>44662</v>
      </c>
      <c r="C1356" s="1" t="n">
        <v>45579</v>
      </c>
      <c r="D1356" t="inlineStr">
        <is>
          <t>JÄMTLANDS LÄN</t>
        </is>
      </c>
      <c r="E1356" t="inlineStr">
        <is>
          <t>STRÖMSUND</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15522-2022</t>
        </is>
      </c>
      <c r="B1357" s="1" t="n">
        <v>44662</v>
      </c>
      <c r="C1357" s="1" t="n">
        <v>45579</v>
      </c>
      <c r="D1357" t="inlineStr">
        <is>
          <t>JÄMTLANDS LÄN</t>
        </is>
      </c>
      <c r="E1357" t="inlineStr">
        <is>
          <t>STRÖMSUND</t>
        </is>
      </c>
      <c r="G1357" t="n">
        <v>41.8</v>
      </c>
      <c r="H1357" t="n">
        <v>0</v>
      </c>
      <c r="I1357" t="n">
        <v>0</v>
      </c>
      <c r="J1357" t="n">
        <v>0</v>
      </c>
      <c r="K1357" t="n">
        <v>0</v>
      </c>
      <c r="L1357" t="n">
        <v>0</v>
      </c>
      <c r="M1357" t="n">
        <v>0</v>
      </c>
      <c r="N1357" t="n">
        <v>0</v>
      </c>
      <c r="O1357" t="n">
        <v>0</v>
      </c>
      <c r="P1357" t="n">
        <v>0</v>
      </c>
      <c r="Q1357" t="n">
        <v>0</v>
      </c>
      <c r="R1357" s="2" t="inlineStr"/>
    </row>
    <row r="1358" ht="15" customHeight="1">
      <c r="A1358" t="inlineStr">
        <is>
          <t>A 15407-2022</t>
        </is>
      </c>
      <c r="B1358" s="1" t="n">
        <v>44662</v>
      </c>
      <c r="C1358" s="1" t="n">
        <v>45579</v>
      </c>
      <c r="D1358" t="inlineStr">
        <is>
          <t>JÄMTLANDS LÄN</t>
        </is>
      </c>
      <c r="E1358" t="inlineStr">
        <is>
          <t>STRÖMSUND</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15668-2022</t>
        </is>
      </c>
      <c r="B1359" s="1" t="n">
        <v>44663</v>
      </c>
      <c r="C1359" s="1" t="n">
        <v>45579</v>
      </c>
      <c r="D1359" t="inlineStr">
        <is>
          <t>JÄMTLANDS LÄN</t>
        </is>
      </c>
      <c r="E1359" t="inlineStr">
        <is>
          <t>STRÖMSUND</t>
        </is>
      </c>
      <c r="F1359" t="inlineStr">
        <is>
          <t>SCA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15865-2022</t>
        </is>
      </c>
      <c r="B1360" s="1" t="n">
        <v>44664</v>
      </c>
      <c r="C1360" s="1" t="n">
        <v>45579</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15971-2022</t>
        </is>
      </c>
      <c r="B1361" s="1" t="n">
        <v>44664</v>
      </c>
      <c r="C1361" s="1" t="n">
        <v>45579</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16311-2022</t>
        </is>
      </c>
      <c r="B1362" s="1" t="n">
        <v>44670</v>
      </c>
      <c r="C1362" s="1" t="n">
        <v>45579</v>
      </c>
      <c r="D1362" t="inlineStr">
        <is>
          <t>JÄMTLANDS LÄN</t>
        </is>
      </c>
      <c r="E1362" t="inlineStr">
        <is>
          <t>STRÖMSUND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16317-2022</t>
        </is>
      </c>
      <c r="B1363" s="1" t="n">
        <v>44670</v>
      </c>
      <c r="C1363" s="1" t="n">
        <v>45579</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16359-2022</t>
        </is>
      </c>
      <c r="B1364" s="1" t="n">
        <v>44671</v>
      </c>
      <c r="C1364" s="1" t="n">
        <v>45579</v>
      </c>
      <c r="D1364" t="inlineStr">
        <is>
          <t>JÄMTLANDS LÄN</t>
        </is>
      </c>
      <c r="E1364" t="inlineStr">
        <is>
          <t>STRÖMSUND</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16358-2022</t>
        </is>
      </c>
      <c r="B1365" s="1" t="n">
        <v>44671</v>
      </c>
      <c r="C1365" s="1" t="n">
        <v>45579</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16518-2022</t>
        </is>
      </c>
      <c r="B1366" s="1" t="n">
        <v>44672</v>
      </c>
      <c r="C1366" s="1" t="n">
        <v>45579</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16516-2022</t>
        </is>
      </c>
      <c r="B1367" s="1" t="n">
        <v>44672</v>
      </c>
      <c r="C1367" s="1" t="n">
        <v>45579</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16848-2022</t>
        </is>
      </c>
      <c r="B1368" s="1" t="n">
        <v>44674</v>
      </c>
      <c r="C1368" s="1" t="n">
        <v>45579</v>
      </c>
      <c r="D1368" t="inlineStr">
        <is>
          <t>JÄMTLANDS LÄN</t>
        </is>
      </c>
      <c r="E1368" t="inlineStr">
        <is>
          <t>STRÖMSUND</t>
        </is>
      </c>
      <c r="F1368" t="inlineStr">
        <is>
          <t>SCA</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21844-2022</t>
        </is>
      </c>
      <c r="B1369" s="1" t="n">
        <v>44678</v>
      </c>
      <c r="C1369" s="1" t="n">
        <v>45579</v>
      </c>
      <c r="D1369" t="inlineStr">
        <is>
          <t>JÄMTLANDS LÄN</t>
        </is>
      </c>
      <c r="E1369" t="inlineStr">
        <is>
          <t>STRÖMSUND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17753-2022</t>
        </is>
      </c>
      <c r="B1370" s="1" t="n">
        <v>44681</v>
      </c>
      <c r="C1370" s="1" t="n">
        <v>45579</v>
      </c>
      <c r="D1370" t="inlineStr">
        <is>
          <t>JÄMTLANDS LÄN</t>
        </is>
      </c>
      <c r="E1370" t="inlineStr">
        <is>
          <t>STRÖMSUND</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17754-2022</t>
        </is>
      </c>
      <c r="B1371" s="1" t="n">
        <v>44680</v>
      </c>
      <c r="C1371" s="1" t="n">
        <v>45579</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17752-2022</t>
        </is>
      </c>
      <c r="B1372" s="1" t="n">
        <v>44680</v>
      </c>
      <c r="C1372" s="1" t="n">
        <v>45579</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18205-2022</t>
        </is>
      </c>
      <c r="B1373" s="1" t="n">
        <v>44684</v>
      </c>
      <c r="C1373" s="1" t="n">
        <v>45579</v>
      </c>
      <c r="D1373" t="inlineStr">
        <is>
          <t>JÄMTLANDS LÄN</t>
        </is>
      </c>
      <c r="E1373" t="inlineStr">
        <is>
          <t>STRÖMSUND</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18553-2022</t>
        </is>
      </c>
      <c r="B1374" s="1" t="n">
        <v>44687</v>
      </c>
      <c r="C1374" s="1" t="n">
        <v>45579</v>
      </c>
      <c r="D1374" t="inlineStr">
        <is>
          <t>JÄMTLANDS LÄN</t>
        </is>
      </c>
      <c r="E1374" t="inlineStr">
        <is>
          <t>STRÖMSUND</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18573-2022</t>
        </is>
      </c>
      <c r="B1375" s="1" t="n">
        <v>44687</v>
      </c>
      <c r="C1375" s="1" t="n">
        <v>45579</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18572-2022</t>
        </is>
      </c>
      <c r="B1376" s="1" t="n">
        <v>44686</v>
      </c>
      <c r="C1376" s="1" t="n">
        <v>45579</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18750-2022</t>
        </is>
      </c>
      <c r="B1377" s="1" t="n">
        <v>44688</v>
      </c>
      <c r="C1377" s="1" t="n">
        <v>45579</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18749-2022</t>
        </is>
      </c>
      <c r="B1378" s="1" t="n">
        <v>44688</v>
      </c>
      <c r="C1378" s="1" t="n">
        <v>45579</v>
      </c>
      <c r="D1378" t="inlineStr">
        <is>
          <t>JÄMTLANDS LÄN</t>
        </is>
      </c>
      <c r="E1378" t="inlineStr">
        <is>
          <t>STRÖMSUND</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18751-2022</t>
        </is>
      </c>
      <c r="B1379" s="1" t="n">
        <v>44688</v>
      </c>
      <c r="C1379" s="1" t="n">
        <v>45579</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18994-2022</t>
        </is>
      </c>
      <c r="B1380" s="1" t="n">
        <v>44691</v>
      </c>
      <c r="C1380" s="1" t="n">
        <v>45579</v>
      </c>
      <c r="D1380" t="inlineStr">
        <is>
          <t>JÄMTLANDS LÄN</t>
        </is>
      </c>
      <c r="E1380" t="inlineStr">
        <is>
          <t>STRÖMSUND</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19209-2022</t>
        </is>
      </c>
      <c r="B1381" s="1" t="n">
        <v>44691</v>
      </c>
      <c r="C1381" s="1" t="n">
        <v>45579</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19602-2022</t>
        </is>
      </c>
      <c r="B1382" s="1" t="n">
        <v>44694</v>
      </c>
      <c r="C1382" s="1" t="n">
        <v>45579</v>
      </c>
      <c r="D1382" t="inlineStr">
        <is>
          <t>JÄMTLANDS LÄN</t>
        </is>
      </c>
      <c r="E1382" t="inlineStr">
        <is>
          <t>STRÖMSUND</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20058-2022</t>
        </is>
      </c>
      <c r="B1383" s="1" t="n">
        <v>44698</v>
      </c>
      <c r="C1383" s="1" t="n">
        <v>45579</v>
      </c>
      <c r="D1383" t="inlineStr">
        <is>
          <t>JÄMTLANDS LÄN</t>
        </is>
      </c>
      <c r="E1383" t="inlineStr">
        <is>
          <t>STRÖMSUND</t>
        </is>
      </c>
      <c r="G1383" t="n">
        <v>29.5</v>
      </c>
      <c r="H1383" t="n">
        <v>0</v>
      </c>
      <c r="I1383" t="n">
        <v>0</v>
      </c>
      <c r="J1383" t="n">
        <v>0</v>
      </c>
      <c r="K1383" t="n">
        <v>0</v>
      </c>
      <c r="L1383" t="n">
        <v>0</v>
      </c>
      <c r="M1383" t="n">
        <v>0</v>
      </c>
      <c r="N1383" t="n">
        <v>0</v>
      </c>
      <c r="O1383" t="n">
        <v>0</v>
      </c>
      <c r="P1383" t="n">
        <v>0</v>
      </c>
      <c r="Q1383" t="n">
        <v>0</v>
      </c>
      <c r="R1383" s="2" t="inlineStr"/>
    </row>
    <row r="1384" ht="15" customHeight="1">
      <c r="A1384" t="inlineStr">
        <is>
          <t>A 20072-2022</t>
        </is>
      </c>
      <c r="B1384" s="1" t="n">
        <v>44697</v>
      </c>
      <c r="C1384" s="1" t="n">
        <v>45579</v>
      </c>
      <c r="D1384" t="inlineStr">
        <is>
          <t>JÄMTLANDS LÄN</t>
        </is>
      </c>
      <c r="E1384" t="inlineStr">
        <is>
          <t>STRÖMSUND</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20073-2022</t>
        </is>
      </c>
      <c r="B1385" s="1" t="n">
        <v>44697</v>
      </c>
      <c r="C1385" s="1" t="n">
        <v>45579</v>
      </c>
      <c r="D1385" t="inlineStr">
        <is>
          <t>JÄMTLANDS LÄN</t>
        </is>
      </c>
      <c r="E1385" t="inlineStr">
        <is>
          <t>STRÖMSUND</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20071-2022</t>
        </is>
      </c>
      <c r="B1386" s="1" t="n">
        <v>44698</v>
      </c>
      <c r="C1386" s="1" t="n">
        <v>45579</v>
      </c>
      <c r="D1386" t="inlineStr">
        <is>
          <t>JÄMTLANDS LÄN</t>
        </is>
      </c>
      <c r="E1386" t="inlineStr">
        <is>
          <t>STRÖMSUND</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19964-2022</t>
        </is>
      </c>
      <c r="B1387" s="1" t="n">
        <v>44697</v>
      </c>
      <c r="C1387" s="1" t="n">
        <v>45579</v>
      </c>
      <c r="D1387" t="inlineStr">
        <is>
          <t>JÄMTLANDS LÄN</t>
        </is>
      </c>
      <c r="E1387" t="inlineStr">
        <is>
          <t>STRÖMSUND</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20266-2022</t>
        </is>
      </c>
      <c r="B1388" s="1" t="n">
        <v>44698</v>
      </c>
      <c r="C1388" s="1" t="n">
        <v>45579</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20334-2022</t>
        </is>
      </c>
      <c r="B1389" s="1" t="n">
        <v>44699</v>
      </c>
      <c r="C1389" s="1" t="n">
        <v>45579</v>
      </c>
      <c r="D1389" t="inlineStr">
        <is>
          <t>JÄMTLANDS LÄN</t>
        </is>
      </c>
      <c r="E1389" t="inlineStr">
        <is>
          <t>STRÖMSUND</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20339-2022</t>
        </is>
      </c>
      <c r="B1390" s="1" t="n">
        <v>44699</v>
      </c>
      <c r="C1390" s="1" t="n">
        <v>45579</v>
      </c>
      <c r="D1390" t="inlineStr">
        <is>
          <t>JÄMTLANDS LÄN</t>
        </is>
      </c>
      <c r="E1390" t="inlineStr">
        <is>
          <t>STRÖMSUND</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20432-2022</t>
        </is>
      </c>
      <c r="B1391" s="1" t="n">
        <v>44699</v>
      </c>
      <c r="C1391" s="1" t="n">
        <v>45579</v>
      </c>
      <c r="D1391" t="inlineStr">
        <is>
          <t>JÄMTLANDS LÄN</t>
        </is>
      </c>
      <c r="E1391" t="inlineStr">
        <is>
          <t>STRÖMSUND</t>
        </is>
      </c>
      <c r="F1391" t="inlineStr">
        <is>
          <t>SCA</t>
        </is>
      </c>
      <c r="G1391" t="n">
        <v>99.59999999999999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20331-2022</t>
        </is>
      </c>
      <c r="B1392" s="1" t="n">
        <v>44699</v>
      </c>
      <c r="C1392" s="1" t="n">
        <v>45579</v>
      </c>
      <c r="D1392" t="inlineStr">
        <is>
          <t>JÄMTLANDS LÄN</t>
        </is>
      </c>
      <c r="E1392" t="inlineStr">
        <is>
          <t>STRÖMSUND</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20707-2022</t>
        </is>
      </c>
      <c r="B1393" s="1" t="n">
        <v>44701</v>
      </c>
      <c r="C1393" s="1" t="n">
        <v>45579</v>
      </c>
      <c r="D1393" t="inlineStr">
        <is>
          <t>JÄMTLANDS LÄN</t>
        </is>
      </c>
      <c r="E1393" t="inlineStr">
        <is>
          <t>STRÖMSUND</t>
        </is>
      </c>
      <c r="F1393" t="inlineStr">
        <is>
          <t>SCA</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20706-2022</t>
        </is>
      </c>
      <c r="B1394" s="1" t="n">
        <v>44701</v>
      </c>
      <c r="C1394" s="1" t="n">
        <v>45579</v>
      </c>
      <c r="D1394" t="inlineStr">
        <is>
          <t>JÄMTLANDS LÄN</t>
        </is>
      </c>
      <c r="E1394" t="inlineStr">
        <is>
          <t>STRÖMSUND</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20708-2022</t>
        </is>
      </c>
      <c r="B1395" s="1" t="n">
        <v>44700</v>
      </c>
      <c r="C1395" s="1" t="n">
        <v>45579</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20865-2022</t>
        </is>
      </c>
      <c r="B1396" s="1" t="n">
        <v>44701</v>
      </c>
      <c r="C1396" s="1" t="n">
        <v>45579</v>
      </c>
      <c r="D1396" t="inlineStr">
        <is>
          <t>JÄMTLANDS LÄN</t>
        </is>
      </c>
      <c r="E1396" t="inlineStr">
        <is>
          <t>STRÖMSUND</t>
        </is>
      </c>
      <c r="F1396" t="inlineStr">
        <is>
          <t>Holmen skog AB</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20965-2022</t>
        </is>
      </c>
      <c r="B1397" s="1" t="n">
        <v>44701</v>
      </c>
      <c r="C1397" s="1" t="n">
        <v>45579</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20966-2022</t>
        </is>
      </c>
      <c r="B1398" s="1" t="n">
        <v>44702</v>
      </c>
      <c r="C1398" s="1" t="n">
        <v>45579</v>
      </c>
      <c r="D1398" t="inlineStr">
        <is>
          <t>JÄMTLANDS LÄN</t>
        </is>
      </c>
      <c r="E1398" t="inlineStr">
        <is>
          <t>STRÖMSUND</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21192-2022</t>
        </is>
      </c>
      <c r="B1399" s="1" t="n">
        <v>44705</v>
      </c>
      <c r="C1399" s="1" t="n">
        <v>45579</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21399-2022</t>
        </is>
      </c>
      <c r="B1400" s="1" t="n">
        <v>44706</v>
      </c>
      <c r="C1400" s="1" t="n">
        <v>45579</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21410-2022</t>
        </is>
      </c>
      <c r="B1401" s="1" t="n">
        <v>44706</v>
      </c>
      <c r="C1401" s="1" t="n">
        <v>45579</v>
      </c>
      <c r="D1401" t="inlineStr">
        <is>
          <t>JÄMTLANDS LÄN</t>
        </is>
      </c>
      <c r="E1401" t="inlineStr">
        <is>
          <t>STRÖMSUND</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21646-2022</t>
        </is>
      </c>
      <c r="B1402" s="1" t="n">
        <v>44707</v>
      </c>
      <c r="C1402" s="1" t="n">
        <v>45579</v>
      </c>
      <c r="D1402" t="inlineStr">
        <is>
          <t>JÄMTLANDS LÄN</t>
        </is>
      </c>
      <c r="E1402" t="inlineStr">
        <is>
          <t>STRÖMSUND</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21647-2022</t>
        </is>
      </c>
      <c r="B1403" s="1" t="n">
        <v>44707</v>
      </c>
      <c r="C1403" s="1" t="n">
        <v>45579</v>
      </c>
      <c r="D1403" t="inlineStr">
        <is>
          <t>JÄMTLANDS LÄN</t>
        </is>
      </c>
      <c r="E1403" t="inlineStr">
        <is>
          <t>STRÖMSUND</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21650-2022</t>
        </is>
      </c>
      <c r="B1404" s="1" t="n">
        <v>44706</v>
      </c>
      <c r="C1404" s="1" t="n">
        <v>45579</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21649-2022</t>
        </is>
      </c>
      <c r="B1405" s="1" t="n">
        <v>44707</v>
      </c>
      <c r="C1405" s="1" t="n">
        <v>45579</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21702-2022</t>
        </is>
      </c>
      <c r="B1406" s="1" t="n">
        <v>44708</v>
      </c>
      <c r="C1406" s="1" t="n">
        <v>45579</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21700-2022</t>
        </is>
      </c>
      <c r="B1407" s="1" t="n">
        <v>44708</v>
      </c>
      <c r="C1407" s="1" t="n">
        <v>45579</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21701-2022</t>
        </is>
      </c>
      <c r="B1408" s="1" t="n">
        <v>44708</v>
      </c>
      <c r="C1408" s="1" t="n">
        <v>45579</v>
      </c>
      <c r="D1408" t="inlineStr">
        <is>
          <t>JÄMTLANDS LÄN</t>
        </is>
      </c>
      <c r="E1408" t="inlineStr">
        <is>
          <t>STRÖMSUND</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21771-2022</t>
        </is>
      </c>
      <c r="B1409" s="1" t="n">
        <v>44708</v>
      </c>
      <c r="C1409" s="1" t="n">
        <v>45579</v>
      </c>
      <c r="D1409" t="inlineStr">
        <is>
          <t>JÄMTLANDS LÄN</t>
        </is>
      </c>
      <c r="E1409" t="inlineStr">
        <is>
          <t>STRÖMSUND</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21812-2022</t>
        </is>
      </c>
      <c r="B1410" s="1" t="n">
        <v>44708</v>
      </c>
      <c r="C1410" s="1" t="n">
        <v>45579</v>
      </c>
      <c r="D1410" t="inlineStr">
        <is>
          <t>JÄMTLANDS LÄN</t>
        </is>
      </c>
      <c r="E1410" t="inlineStr">
        <is>
          <t>STRÖMSUND</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22026-2022</t>
        </is>
      </c>
      <c r="B1411" s="1" t="n">
        <v>44711</v>
      </c>
      <c r="C1411" s="1" t="n">
        <v>45579</v>
      </c>
      <c r="D1411" t="inlineStr">
        <is>
          <t>JÄMTLANDS LÄN</t>
        </is>
      </c>
      <c r="E1411" t="inlineStr">
        <is>
          <t>STRÖMSUND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22096-2022</t>
        </is>
      </c>
      <c r="B1412" s="1" t="n">
        <v>44712</v>
      </c>
      <c r="C1412" s="1" t="n">
        <v>45579</v>
      </c>
      <c r="D1412" t="inlineStr">
        <is>
          <t>JÄMTLANDS LÄN</t>
        </is>
      </c>
      <c r="E1412" t="inlineStr">
        <is>
          <t>STRÖMSUND</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22338-2022</t>
        </is>
      </c>
      <c r="B1413" s="1" t="n">
        <v>44712</v>
      </c>
      <c r="C1413" s="1" t="n">
        <v>45579</v>
      </c>
      <c r="D1413" t="inlineStr">
        <is>
          <t>JÄMTLANDS LÄN</t>
        </is>
      </c>
      <c r="E1413" t="inlineStr">
        <is>
          <t>STRÖMSUND</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22337-2022</t>
        </is>
      </c>
      <c r="B1414" s="1" t="n">
        <v>44713</v>
      </c>
      <c r="C1414" s="1" t="n">
        <v>45579</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22560-2022</t>
        </is>
      </c>
      <c r="B1415" s="1" t="n">
        <v>44714</v>
      </c>
      <c r="C1415" s="1" t="n">
        <v>45579</v>
      </c>
      <c r="D1415" t="inlineStr">
        <is>
          <t>JÄMTLANDS LÄN</t>
        </is>
      </c>
      <c r="E1415" t="inlineStr">
        <is>
          <t>STRÖMSUND</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22564-2022</t>
        </is>
      </c>
      <c r="B1416" s="1" t="n">
        <v>44713</v>
      </c>
      <c r="C1416" s="1" t="n">
        <v>45579</v>
      </c>
      <c r="D1416" t="inlineStr">
        <is>
          <t>JÄMTLANDS LÄN</t>
        </is>
      </c>
      <c r="E1416" t="inlineStr">
        <is>
          <t>STRÖMSUND</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22558-2022</t>
        </is>
      </c>
      <c r="B1417" s="1" t="n">
        <v>44713</v>
      </c>
      <c r="C1417" s="1" t="n">
        <v>45579</v>
      </c>
      <c r="D1417" t="inlineStr">
        <is>
          <t>JÄMTLANDS LÄN</t>
        </is>
      </c>
      <c r="E1417" t="inlineStr">
        <is>
          <t>STRÖMSUND</t>
        </is>
      </c>
      <c r="F1417" t="inlineStr">
        <is>
          <t>SCA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22561-2022</t>
        </is>
      </c>
      <c r="B1418" s="1" t="n">
        <v>44714</v>
      </c>
      <c r="C1418" s="1" t="n">
        <v>45579</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22559-2022</t>
        </is>
      </c>
      <c r="B1419" s="1" t="n">
        <v>44714</v>
      </c>
      <c r="C1419" s="1" t="n">
        <v>45579</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22568-2022</t>
        </is>
      </c>
      <c r="B1420" s="1" t="n">
        <v>44714</v>
      </c>
      <c r="C1420" s="1" t="n">
        <v>45579</v>
      </c>
      <c r="D1420" t="inlineStr">
        <is>
          <t>JÄMTLANDS LÄN</t>
        </is>
      </c>
      <c r="E1420" t="inlineStr">
        <is>
          <t>STRÖMSUND</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22659-2022</t>
        </is>
      </c>
      <c r="B1421" s="1" t="n">
        <v>44714</v>
      </c>
      <c r="C1421" s="1" t="n">
        <v>45579</v>
      </c>
      <c r="D1421" t="inlineStr">
        <is>
          <t>JÄMTLANDS LÄN</t>
        </is>
      </c>
      <c r="E1421" t="inlineStr">
        <is>
          <t>STRÖMSUND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22616-2022</t>
        </is>
      </c>
      <c r="B1422" s="1" t="n">
        <v>44714</v>
      </c>
      <c r="C1422" s="1" t="n">
        <v>45579</v>
      </c>
      <c r="D1422" t="inlineStr">
        <is>
          <t>JÄMTLANDS LÄN</t>
        </is>
      </c>
      <c r="E1422" t="inlineStr">
        <is>
          <t>STRÖMSUND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22966-2022</t>
        </is>
      </c>
      <c r="B1423" s="1" t="n">
        <v>44716</v>
      </c>
      <c r="C1423" s="1" t="n">
        <v>45579</v>
      </c>
      <c r="D1423" t="inlineStr">
        <is>
          <t>JÄMTLANDS LÄN</t>
        </is>
      </c>
      <c r="E1423" t="inlineStr">
        <is>
          <t>STRÖMSUND</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22814-2022</t>
        </is>
      </c>
      <c r="B1424" s="1" t="n">
        <v>44715</v>
      </c>
      <c r="C1424" s="1" t="n">
        <v>45579</v>
      </c>
      <c r="D1424" t="inlineStr">
        <is>
          <t>JÄMTLANDS LÄN</t>
        </is>
      </c>
      <c r="E1424" t="inlineStr">
        <is>
          <t>STRÖMSUND</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22960-2022</t>
        </is>
      </c>
      <c r="B1425" s="1" t="n">
        <v>44716</v>
      </c>
      <c r="C1425" s="1" t="n">
        <v>45579</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22961-2022</t>
        </is>
      </c>
      <c r="B1426" s="1" t="n">
        <v>44715</v>
      </c>
      <c r="C1426" s="1" t="n">
        <v>45579</v>
      </c>
      <c r="D1426" t="inlineStr">
        <is>
          <t>JÄMTLANDS LÄN</t>
        </is>
      </c>
      <c r="E1426" t="inlineStr">
        <is>
          <t>STRÖMSUND</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23128-2022</t>
        </is>
      </c>
      <c r="B1427" s="1" t="n">
        <v>44719</v>
      </c>
      <c r="C1427" s="1" t="n">
        <v>45579</v>
      </c>
      <c r="D1427" t="inlineStr">
        <is>
          <t>JÄMTLANDS LÄN</t>
        </is>
      </c>
      <c r="E1427" t="inlineStr">
        <is>
          <t>STRÖMSUND</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23209-2022</t>
        </is>
      </c>
      <c r="B1428" s="1" t="n">
        <v>44719</v>
      </c>
      <c r="C1428" s="1" t="n">
        <v>45579</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23217-2022</t>
        </is>
      </c>
      <c r="B1429" s="1" t="n">
        <v>44720</v>
      </c>
      <c r="C1429" s="1" t="n">
        <v>45579</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23208-2022</t>
        </is>
      </c>
      <c r="B1430" s="1" t="n">
        <v>44719</v>
      </c>
      <c r="C1430" s="1" t="n">
        <v>45579</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23214-2022</t>
        </is>
      </c>
      <c r="B1431" s="1" t="n">
        <v>44720</v>
      </c>
      <c r="C1431" s="1" t="n">
        <v>45579</v>
      </c>
      <c r="D1431" t="inlineStr">
        <is>
          <t>JÄMTLANDS LÄN</t>
        </is>
      </c>
      <c r="E1431" t="inlineStr">
        <is>
          <t>STRÖMSUND</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23206-2022</t>
        </is>
      </c>
      <c r="B1432" s="1" t="n">
        <v>44719</v>
      </c>
      <c r="C1432" s="1" t="n">
        <v>45579</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23453-2022</t>
        </is>
      </c>
      <c r="B1433" s="1" t="n">
        <v>44721</v>
      </c>
      <c r="C1433" s="1" t="n">
        <v>45579</v>
      </c>
      <c r="D1433" t="inlineStr">
        <is>
          <t>JÄMTLANDS LÄN</t>
        </is>
      </c>
      <c r="E1433" t="inlineStr">
        <is>
          <t>STRÖMSUND</t>
        </is>
      </c>
      <c r="F1433" t="inlineStr">
        <is>
          <t>SCA</t>
        </is>
      </c>
      <c r="G1433" t="n">
        <v>48.2</v>
      </c>
      <c r="H1433" t="n">
        <v>0</v>
      </c>
      <c r="I1433" t="n">
        <v>0</v>
      </c>
      <c r="J1433" t="n">
        <v>0</v>
      </c>
      <c r="K1433" t="n">
        <v>0</v>
      </c>
      <c r="L1433" t="n">
        <v>0</v>
      </c>
      <c r="M1433" t="n">
        <v>0</v>
      </c>
      <c r="N1433" t="n">
        <v>0</v>
      </c>
      <c r="O1433" t="n">
        <v>0</v>
      </c>
      <c r="P1433" t="n">
        <v>0</v>
      </c>
      <c r="Q1433" t="n">
        <v>0</v>
      </c>
      <c r="R1433" s="2" t="inlineStr"/>
    </row>
    <row r="1434" ht="15" customHeight="1">
      <c r="A1434" t="inlineStr">
        <is>
          <t>A 23675-2022</t>
        </is>
      </c>
      <c r="B1434" s="1" t="n">
        <v>44722</v>
      </c>
      <c r="C1434" s="1" t="n">
        <v>45579</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24006-2022</t>
        </is>
      </c>
      <c r="B1435" s="1" t="n">
        <v>44723</v>
      </c>
      <c r="C1435" s="1" t="n">
        <v>45579</v>
      </c>
      <c r="D1435" t="inlineStr">
        <is>
          <t>JÄMTLANDS LÄN</t>
        </is>
      </c>
      <c r="E1435" t="inlineStr">
        <is>
          <t>STRÖMSUND</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24020-2022</t>
        </is>
      </c>
      <c r="B1436" s="1" t="n">
        <v>44723</v>
      </c>
      <c r="C1436" s="1" t="n">
        <v>45579</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24021-2022</t>
        </is>
      </c>
      <c r="B1437" s="1" t="n">
        <v>44723</v>
      </c>
      <c r="C1437" s="1" t="n">
        <v>45579</v>
      </c>
      <c r="D1437" t="inlineStr">
        <is>
          <t>JÄMTLANDS LÄN</t>
        </is>
      </c>
      <c r="E1437" t="inlineStr">
        <is>
          <t>STRÖMSUND</t>
        </is>
      </c>
      <c r="F1437" t="inlineStr">
        <is>
          <t>SCA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24023-2022</t>
        </is>
      </c>
      <c r="B1438" s="1" t="n">
        <v>44723</v>
      </c>
      <c r="C1438" s="1" t="n">
        <v>45579</v>
      </c>
      <c r="D1438" t="inlineStr">
        <is>
          <t>JÄMTLANDS LÄN</t>
        </is>
      </c>
      <c r="E1438" t="inlineStr">
        <is>
          <t>STRÖMSUND</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24303-2022</t>
        </is>
      </c>
      <c r="B1439" s="1" t="n">
        <v>44726</v>
      </c>
      <c r="C1439" s="1" t="n">
        <v>45579</v>
      </c>
      <c r="D1439" t="inlineStr">
        <is>
          <t>JÄMTLANDS LÄN</t>
        </is>
      </c>
      <c r="E1439" t="inlineStr">
        <is>
          <t>STRÖMSUND</t>
        </is>
      </c>
      <c r="F1439" t="inlineStr">
        <is>
          <t>SCA</t>
        </is>
      </c>
      <c r="G1439" t="n">
        <v>20.2</v>
      </c>
      <c r="H1439" t="n">
        <v>0</v>
      </c>
      <c r="I1439" t="n">
        <v>0</v>
      </c>
      <c r="J1439" t="n">
        <v>0</v>
      </c>
      <c r="K1439" t="n">
        <v>0</v>
      </c>
      <c r="L1439" t="n">
        <v>0</v>
      </c>
      <c r="M1439" t="n">
        <v>0</v>
      </c>
      <c r="N1439" t="n">
        <v>0</v>
      </c>
      <c r="O1439" t="n">
        <v>0</v>
      </c>
      <c r="P1439" t="n">
        <v>0</v>
      </c>
      <c r="Q1439" t="n">
        <v>0</v>
      </c>
      <c r="R1439" s="2" t="inlineStr"/>
    </row>
    <row r="1440" ht="15" customHeight="1">
      <c r="A1440" t="inlineStr">
        <is>
          <t>A 24302-2022</t>
        </is>
      </c>
      <c r="B1440" s="1" t="n">
        <v>44726</v>
      </c>
      <c r="C1440" s="1" t="n">
        <v>45579</v>
      </c>
      <c r="D1440" t="inlineStr">
        <is>
          <t>JÄMTLANDS LÄN</t>
        </is>
      </c>
      <c r="E1440" t="inlineStr">
        <is>
          <t>STRÖMSUND</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24319-2022</t>
        </is>
      </c>
      <c r="B1441" s="1" t="n">
        <v>44726</v>
      </c>
      <c r="C1441" s="1" t="n">
        <v>45579</v>
      </c>
      <c r="D1441" t="inlineStr">
        <is>
          <t>JÄMTLANDS LÄN</t>
        </is>
      </c>
      <c r="E1441" t="inlineStr">
        <is>
          <t>STRÖMSUND</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24487-2022</t>
        </is>
      </c>
      <c r="B1442" s="1" t="n">
        <v>44726</v>
      </c>
      <c r="C1442" s="1" t="n">
        <v>45579</v>
      </c>
      <c r="D1442" t="inlineStr">
        <is>
          <t>JÄMTLANDS LÄN</t>
        </is>
      </c>
      <c r="E1442" t="inlineStr">
        <is>
          <t>STRÖMSUND</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24488-2022</t>
        </is>
      </c>
      <c r="B1443" s="1" t="n">
        <v>44726</v>
      </c>
      <c r="C1443" s="1" t="n">
        <v>45579</v>
      </c>
      <c r="D1443" t="inlineStr">
        <is>
          <t>JÄMTLANDS LÄN</t>
        </is>
      </c>
      <c r="E1443" t="inlineStr">
        <is>
          <t>STRÖMSUND</t>
        </is>
      </c>
      <c r="G1443" t="n">
        <v>19.1</v>
      </c>
      <c r="H1443" t="n">
        <v>0</v>
      </c>
      <c r="I1443" t="n">
        <v>0</v>
      </c>
      <c r="J1443" t="n">
        <v>0</v>
      </c>
      <c r="K1443" t="n">
        <v>0</v>
      </c>
      <c r="L1443" t="n">
        <v>0</v>
      </c>
      <c r="M1443" t="n">
        <v>0</v>
      </c>
      <c r="N1443" t="n">
        <v>0</v>
      </c>
      <c r="O1443" t="n">
        <v>0</v>
      </c>
      <c r="P1443" t="n">
        <v>0</v>
      </c>
      <c r="Q1443" t="n">
        <v>0</v>
      </c>
      <c r="R1443" s="2" t="inlineStr"/>
    </row>
    <row r="1444" ht="15" customHeight="1">
      <c r="A1444" t="inlineStr">
        <is>
          <t>A 24509-2022</t>
        </is>
      </c>
      <c r="B1444" s="1" t="n">
        <v>44726</v>
      </c>
      <c r="C1444" s="1" t="n">
        <v>45579</v>
      </c>
      <c r="D1444" t="inlineStr">
        <is>
          <t>JÄMTLANDS LÄN</t>
        </is>
      </c>
      <c r="E1444" t="inlineStr">
        <is>
          <t>STRÖMSUND</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24508-2022</t>
        </is>
      </c>
      <c r="B1445" s="1" t="n">
        <v>44726</v>
      </c>
      <c r="C1445" s="1" t="n">
        <v>45579</v>
      </c>
      <c r="D1445" t="inlineStr">
        <is>
          <t>JÄMTLANDS LÄN</t>
        </is>
      </c>
      <c r="E1445" t="inlineStr">
        <is>
          <t>STRÖMSUND</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24728-2022</t>
        </is>
      </c>
      <c r="B1446" s="1" t="n">
        <v>44727</v>
      </c>
      <c r="C1446" s="1" t="n">
        <v>45579</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24918-2022</t>
        </is>
      </c>
      <c r="B1447" s="1" t="n">
        <v>44728</v>
      </c>
      <c r="C1447" s="1" t="n">
        <v>45579</v>
      </c>
      <c r="D1447" t="inlineStr">
        <is>
          <t>JÄMTLANDS LÄN</t>
        </is>
      </c>
      <c r="E1447" t="inlineStr">
        <is>
          <t>STRÖMSUND</t>
        </is>
      </c>
      <c r="F1447" t="inlineStr">
        <is>
          <t>Kyrkan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24912-2022</t>
        </is>
      </c>
      <c r="B1448" s="1" t="n">
        <v>44728</v>
      </c>
      <c r="C1448" s="1" t="n">
        <v>45579</v>
      </c>
      <c r="D1448" t="inlineStr">
        <is>
          <t>JÄMTLANDS LÄN</t>
        </is>
      </c>
      <c r="E1448" t="inlineStr">
        <is>
          <t>STRÖMSUND</t>
        </is>
      </c>
      <c r="F1448" t="inlineStr">
        <is>
          <t>Kyrkan</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24965-2022</t>
        </is>
      </c>
      <c r="B1449" s="1" t="n">
        <v>44728</v>
      </c>
      <c r="C1449" s="1" t="n">
        <v>45579</v>
      </c>
      <c r="D1449" t="inlineStr">
        <is>
          <t>JÄMTLANDS LÄN</t>
        </is>
      </c>
      <c r="E1449" t="inlineStr">
        <is>
          <t>STRÖMSUND</t>
        </is>
      </c>
      <c r="G1449" t="n">
        <v>20.5</v>
      </c>
      <c r="H1449" t="n">
        <v>0</v>
      </c>
      <c r="I1449" t="n">
        <v>0</v>
      </c>
      <c r="J1449" t="n">
        <v>0</v>
      </c>
      <c r="K1449" t="n">
        <v>0</v>
      </c>
      <c r="L1449" t="n">
        <v>0</v>
      </c>
      <c r="M1449" t="n">
        <v>0</v>
      </c>
      <c r="N1449" t="n">
        <v>0</v>
      </c>
      <c r="O1449" t="n">
        <v>0</v>
      </c>
      <c r="P1449" t="n">
        <v>0</v>
      </c>
      <c r="Q1449" t="n">
        <v>0</v>
      </c>
      <c r="R1449" s="2" t="inlineStr"/>
    </row>
    <row r="1450" ht="15" customHeight="1">
      <c r="A1450" t="inlineStr">
        <is>
          <t>A 25018-2022</t>
        </is>
      </c>
      <c r="B1450" s="1" t="n">
        <v>44728</v>
      </c>
      <c r="C1450" s="1" t="n">
        <v>45579</v>
      </c>
      <c r="D1450" t="inlineStr">
        <is>
          <t>JÄMTLANDS LÄN</t>
        </is>
      </c>
      <c r="E1450" t="inlineStr">
        <is>
          <t>STRÖMSUND</t>
        </is>
      </c>
      <c r="F1450" t="inlineStr">
        <is>
          <t>SCA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25021-2022</t>
        </is>
      </c>
      <c r="B1451" s="1" t="n">
        <v>44728</v>
      </c>
      <c r="C1451" s="1" t="n">
        <v>45579</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25016-2022</t>
        </is>
      </c>
      <c r="B1452" s="1" t="n">
        <v>44729</v>
      </c>
      <c r="C1452" s="1" t="n">
        <v>45579</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25085-2022</t>
        </is>
      </c>
      <c r="B1453" s="1" t="n">
        <v>44729</v>
      </c>
      <c r="C1453" s="1" t="n">
        <v>45579</v>
      </c>
      <c r="D1453" t="inlineStr">
        <is>
          <t>JÄMTLANDS LÄN</t>
        </is>
      </c>
      <c r="E1453" t="inlineStr">
        <is>
          <t>STRÖMSUND</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25662-2022</t>
        </is>
      </c>
      <c r="B1454" s="1" t="n">
        <v>44732</v>
      </c>
      <c r="C1454" s="1" t="n">
        <v>45579</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25847-2022</t>
        </is>
      </c>
      <c r="B1455" s="1" t="n">
        <v>44733</v>
      </c>
      <c r="C1455" s="1" t="n">
        <v>45579</v>
      </c>
      <c r="D1455" t="inlineStr">
        <is>
          <t>JÄMTLANDS LÄN</t>
        </is>
      </c>
      <c r="E1455" t="inlineStr">
        <is>
          <t>STRÖMSUND</t>
        </is>
      </c>
      <c r="F1455" t="inlineStr">
        <is>
          <t>Kyrkan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25843-2022</t>
        </is>
      </c>
      <c r="B1456" s="1" t="n">
        <v>44733</v>
      </c>
      <c r="C1456" s="1" t="n">
        <v>45579</v>
      </c>
      <c r="D1456" t="inlineStr">
        <is>
          <t>JÄMTLANDS LÄN</t>
        </is>
      </c>
      <c r="E1456" t="inlineStr">
        <is>
          <t>STRÖMSUND</t>
        </is>
      </c>
      <c r="F1456" t="inlineStr">
        <is>
          <t>Kyrkan</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26117-2022</t>
        </is>
      </c>
      <c r="B1457" s="1" t="n">
        <v>44735</v>
      </c>
      <c r="C1457" s="1" t="n">
        <v>45579</v>
      </c>
      <c r="D1457" t="inlineStr">
        <is>
          <t>JÄMTLANDS LÄN</t>
        </is>
      </c>
      <c r="E1457" t="inlineStr">
        <is>
          <t>STRÖMSUND</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26116-2022</t>
        </is>
      </c>
      <c r="B1458" s="1" t="n">
        <v>44734</v>
      </c>
      <c r="C1458" s="1" t="n">
        <v>45579</v>
      </c>
      <c r="D1458" t="inlineStr">
        <is>
          <t>JÄMTLANDS LÄN</t>
        </is>
      </c>
      <c r="E1458" t="inlineStr">
        <is>
          <t>STRÖMSUND</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26130-2022</t>
        </is>
      </c>
      <c r="B1459" s="1" t="n">
        <v>44735</v>
      </c>
      <c r="C1459" s="1" t="n">
        <v>45579</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26133-2022</t>
        </is>
      </c>
      <c r="B1460" s="1" t="n">
        <v>44735</v>
      </c>
      <c r="C1460" s="1" t="n">
        <v>45579</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26126-2022</t>
        </is>
      </c>
      <c r="B1461" s="1" t="n">
        <v>44735</v>
      </c>
      <c r="C1461" s="1" t="n">
        <v>45579</v>
      </c>
      <c r="D1461" t="inlineStr">
        <is>
          <t>JÄMTLANDS LÄN</t>
        </is>
      </c>
      <c r="E1461" t="inlineStr">
        <is>
          <t>STRÖMSUND</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26132-2022</t>
        </is>
      </c>
      <c r="B1462" s="1" t="n">
        <v>44734</v>
      </c>
      <c r="C1462" s="1" t="n">
        <v>45579</v>
      </c>
      <c r="D1462" t="inlineStr">
        <is>
          <t>JÄMTLANDS LÄN</t>
        </is>
      </c>
      <c r="E1462" t="inlineStr">
        <is>
          <t>STRÖMSUND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26421-2022</t>
        </is>
      </c>
      <c r="B1463" s="1" t="n">
        <v>44736</v>
      </c>
      <c r="C1463" s="1" t="n">
        <v>45579</v>
      </c>
      <c r="D1463" t="inlineStr">
        <is>
          <t>JÄMTLANDS LÄN</t>
        </is>
      </c>
      <c r="E1463" t="inlineStr">
        <is>
          <t>STRÖMSUND</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26734-2022</t>
        </is>
      </c>
      <c r="B1464" s="1" t="n">
        <v>44740</v>
      </c>
      <c r="C1464" s="1" t="n">
        <v>45579</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26943-2022</t>
        </is>
      </c>
      <c r="B1465" s="1" t="n">
        <v>44740</v>
      </c>
      <c r="C1465" s="1" t="n">
        <v>45579</v>
      </c>
      <c r="D1465" t="inlineStr">
        <is>
          <t>JÄMTLANDS LÄN</t>
        </is>
      </c>
      <c r="E1465" t="inlineStr">
        <is>
          <t>STRÖMSUND</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27035-2022</t>
        </is>
      </c>
      <c r="B1466" s="1" t="n">
        <v>44741</v>
      </c>
      <c r="C1466" s="1" t="n">
        <v>45579</v>
      </c>
      <c r="D1466" t="inlineStr">
        <is>
          <t>JÄMTLANDS LÄN</t>
        </is>
      </c>
      <c r="E1466" t="inlineStr">
        <is>
          <t>STRÖMSUND</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27034-2022</t>
        </is>
      </c>
      <c r="B1467" s="1" t="n">
        <v>44741</v>
      </c>
      <c r="C1467" s="1" t="n">
        <v>45579</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27032-2022</t>
        </is>
      </c>
      <c r="B1468" s="1" t="n">
        <v>44740</v>
      </c>
      <c r="C1468" s="1" t="n">
        <v>45579</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27031-2022</t>
        </is>
      </c>
      <c r="B1469" s="1" t="n">
        <v>44741</v>
      </c>
      <c r="C1469" s="1" t="n">
        <v>45579</v>
      </c>
      <c r="D1469" t="inlineStr">
        <is>
          <t>JÄMTLANDS LÄN</t>
        </is>
      </c>
      <c r="E1469" t="inlineStr">
        <is>
          <t>STRÖMSUND</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27036-2022</t>
        </is>
      </c>
      <c r="B1470" s="1" t="n">
        <v>44741</v>
      </c>
      <c r="C1470" s="1" t="n">
        <v>45579</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27037-2022</t>
        </is>
      </c>
      <c r="B1471" s="1" t="n">
        <v>44741</v>
      </c>
      <c r="C1471" s="1" t="n">
        <v>45579</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27295-2022</t>
        </is>
      </c>
      <c r="B1472" s="1" t="n">
        <v>44742</v>
      </c>
      <c r="C1472" s="1" t="n">
        <v>45579</v>
      </c>
      <c r="D1472" t="inlineStr">
        <is>
          <t>JÄMTLANDS LÄN</t>
        </is>
      </c>
      <c r="E1472" t="inlineStr">
        <is>
          <t>STRÖMSUND</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27290-2022</t>
        </is>
      </c>
      <c r="B1473" s="1" t="n">
        <v>44741</v>
      </c>
      <c r="C1473" s="1" t="n">
        <v>45579</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27285-2022</t>
        </is>
      </c>
      <c r="B1474" s="1" t="n">
        <v>44742</v>
      </c>
      <c r="C1474" s="1" t="n">
        <v>45579</v>
      </c>
      <c r="D1474" t="inlineStr">
        <is>
          <t>JÄMTLANDS LÄN</t>
        </is>
      </c>
      <c r="E1474" t="inlineStr">
        <is>
          <t>STRÖMSUND</t>
        </is>
      </c>
      <c r="F1474" t="inlineStr">
        <is>
          <t>SCA</t>
        </is>
      </c>
      <c r="G1474" t="n">
        <v>43.8</v>
      </c>
      <c r="H1474" t="n">
        <v>0</v>
      </c>
      <c r="I1474" t="n">
        <v>0</v>
      </c>
      <c r="J1474" t="n">
        <v>0</v>
      </c>
      <c r="K1474" t="n">
        <v>0</v>
      </c>
      <c r="L1474" t="n">
        <v>0</v>
      </c>
      <c r="M1474" t="n">
        <v>0</v>
      </c>
      <c r="N1474" t="n">
        <v>0</v>
      </c>
      <c r="O1474" t="n">
        <v>0</v>
      </c>
      <c r="P1474" t="n">
        <v>0</v>
      </c>
      <c r="Q1474" t="n">
        <v>0</v>
      </c>
      <c r="R1474" s="2" t="inlineStr"/>
    </row>
    <row r="1475" ht="15" customHeight="1">
      <c r="A1475" t="inlineStr">
        <is>
          <t>A 27574-2022</t>
        </is>
      </c>
      <c r="B1475" s="1" t="n">
        <v>44743</v>
      </c>
      <c r="C1475" s="1" t="n">
        <v>45579</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27586-2022</t>
        </is>
      </c>
      <c r="B1476" s="1" t="n">
        <v>44743</v>
      </c>
      <c r="C1476" s="1" t="n">
        <v>45579</v>
      </c>
      <c r="D1476" t="inlineStr">
        <is>
          <t>JÄMTLANDS LÄN</t>
        </is>
      </c>
      <c r="E1476" t="inlineStr">
        <is>
          <t>STRÖMSUND</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27585-2022</t>
        </is>
      </c>
      <c r="B1477" s="1" t="n">
        <v>44742</v>
      </c>
      <c r="C1477" s="1" t="n">
        <v>45579</v>
      </c>
      <c r="D1477" t="inlineStr">
        <is>
          <t>JÄMTLANDS LÄN</t>
        </is>
      </c>
      <c r="E1477" t="inlineStr">
        <is>
          <t>STRÖMSUND</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27568-2022</t>
        </is>
      </c>
      <c r="B1478" s="1" t="n">
        <v>44743</v>
      </c>
      <c r="C1478" s="1" t="n">
        <v>45579</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27584-2022</t>
        </is>
      </c>
      <c r="B1479" s="1" t="n">
        <v>44742</v>
      </c>
      <c r="C1479" s="1" t="n">
        <v>45579</v>
      </c>
      <c r="D1479" t="inlineStr">
        <is>
          <t>JÄMTLANDS LÄN</t>
        </is>
      </c>
      <c r="E1479" t="inlineStr">
        <is>
          <t>STRÖMSUND</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27594-2022</t>
        </is>
      </c>
      <c r="B1480" s="1" t="n">
        <v>44743</v>
      </c>
      <c r="C1480" s="1" t="n">
        <v>45579</v>
      </c>
      <c r="D1480" t="inlineStr">
        <is>
          <t>JÄMTLANDS LÄN</t>
        </is>
      </c>
      <c r="E1480" t="inlineStr">
        <is>
          <t>STRÖMSUND</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27600-2022</t>
        </is>
      </c>
      <c r="B1481" s="1" t="n">
        <v>44743</v>
      </c>
      <c r="C1481" s="1" t="n">
        <v>45579</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27601-2022</t>
        </is>
      </c>
      <c r="B1482" s="1" t="n">
        <v>44743</v>
      </c>
      <c r="C1482" s="1" t="n">
        <v>45579</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27596-2022</t>
        </is>
      </c>
      <c r="B1483" s="1" t="n">
        <v>44742</v>
      </c>
      <c r="C1483" s="1" t="n">
        <v>45579</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27923-2022</t>
        </is>
      </c>
      <c r="B1484" s="1" t="n">
        <v>44744</v>
      </c>
      <c r="C1484" s="1" t="n">
        <v>45579</v>
      </c>
      <c r="D1484" t="inlineStr">
        <is>
          <t>JÄMTLANDS LÄN</t>
        </is>
      </c>
      <c r="E1484" t="inlineStr">
        <is>
          <t>STRÖMSUND</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27927-2022</t>
        </is>
      </c>
      <c r="B1485" s="1" t="n">
        <v>44744</v>
      </c>
      <c r="C1485" s="1" t="n">
        <v>45579</v>
      </c>
      <c r="D1485" t="inlineStr">
        <is>
          <t>JÄMTLANDS LÄN</t>
        </is>
      </c>
      <c r="E1485" t="inlineStr">
        <is>
          <t>STRÖMSUND</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27942-2022</t>
        </is>
      </c>
      <c r="B1486" s="1" t="n">
        <v>44744</v>
      </c>
      <c r="C1486" s="1" t="n">
        <v>45579</v>
      </c>
      <c r="D1486" t="inlineStr">
        <is>
          <t>JÄMTLANDS LÄN</t>
        </is>
      </c>
      <c r="E1486" t="inlineStr">
        <is>
          <t>STRÖMSUND</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27917-2022</t>
        </is>
      </c>
      <c r="B1487" s="1" t="n">
        <v>44744</v>
      </c>
      <c r="C1487" s="1" t="n">
        <v>45579</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27930-2022</t>
        </is>
      </c>
      <c r="B1488" s="1" t="n">
        <v>44743</v>
      </c>
      <c r="C1488" s="1" t="n">
        <v>45579</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27941-2022</t>
        </is>
      </c>
      <c r="B1489" s="1" t="n">
        <v>44744</v>
      </c>
      <c r="C1489" s="1" t="n">
        <v>45579</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27946-2022</t>
        </is>
      </c>
      <c r="B1490" s="1" t="n">
        <v>44744</v>
      </c>
      <c r="C1490" s="1" t="n">
        <v>45579</v>
      </c>
      <c r="D1490" t="inlineStr">
        <is>
          <t>JÄMTLANDS LÄN</t>
        </is>
      </c>
      <c r="E1490" t="inlineStr">
        <is>
          <t>STRÖMSUND</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27929-2022</t>
        </is>
      </c>
      <c r="B1491" s="1" t="n">
        <v>44744</v>
      </c>
      <c r="C1491" s="1" t="n">
        <v>45579</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27940-2022</t>
        </is>
      </c>
      <c r="B1492" s="1" t="n">
        <v>44744</v>
      </c>
      <c r="C1492" s="1" t="n">
        <v>45579</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27928-2022</t>
        </is>
      </c>
      <c r="B1493" s="1" t="n">
        <v>44744</v>
      </c>
      <c r="C1493" s="1" t="n">
        <v>45579</v>
      </c>
      <c r="D1493" t="inlineStr">
        <is>
          <t>JÄMTLANDS LÄN</t>
        </is>
      </c>
      <c r="E1493" t="inlineStr">
        <is>
          <t>STRÖMSUND</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28289-2022</t>
        </is>
      </c>
      <c r="B1494" s="1" t="n">
        <v>44747</v>
      </c>
      <c r="C1494" s="1" t="n">
        <v>45579</v>
      </c>
      <c r="D1494" t="inlineStr">
        <is>
          <t>JÄMTLANDS LÄN</t>
        </is>
      </c>
      <c r="E1494" t="inlineStr">
        <is>
          <t>STRÖMSUND</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28294-2022</t>
        </is>
      </c>
      <c r="B1495" s="1" t="n">
        <v>44747</v>
      </c>
      <c r="C1495" s="1" t="n">
        <v>45579</v>
      </c>
      <c r="D1495" t="inlineStr">
        <is>
          <t>JÄMTLANDS LÄN</t>
        </is>
      </c>
      <c r="E1495" t="inlineStr">
        <is>
          <t>STRÖMSUND</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28286-2022</t>
        </is>
      </c>
      <c r="B1496" s="1" t="n">
        <v>44746</v>
      </c>
      <c r="C1496" s="1" t="n">
        <v>45579</v>
      </c>
      <c r="D1496" t="inlineStr">
        <is>
          <t>JÄMTLANDS LÄN</t>
        </is>
      </c>
      <c r="E1496" t="inlineStr">
        <is>
          <t>STRÖMSUND</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28290-2022</t>
        </is>
      </c>
      <c r="B1497" s="1" t="n">
        <v>44747</v>
      </c>
      <c r="C1497" s="1" t="n">
        <v>45579</v>
      </c>
      <c r="D1497" t="inlineStr">
        <is>
          <t>JÄMTLANDS LÄN</t>
        </is>
      </c>
      <c r="E1497" t="inlineStr">
        <is>
          <t>STRÖMSUND</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28207-2022</t>
        </is>
      </c>
      <c r="B1498" s="1" t="n">
        <v>44746</v>
      </c>
      <c r="C1498" s="1" t="n">
        <v>45579</v>
      </c>
      <c r="D1498" t="inlineStr">
        <is>
          <t>JÄMTLANDS LÄN</t>
        </is>
      </c>
      <c r="E1498" t="inlineStr">
        <is>
          <t>STRÖMSUND</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28483-2022</t>
        </is>
      </c>
      <c r="B1499" s="1" t="n">
        <v>44747</v>
      </c>
      <c r="C1499" s="1" t="n">
        <v>45579</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28494-2022</t>
        </is>
      </c>
      <c r="B1500" s="1" t="n">
        <v>44748</v>
      </c>
      <c r="C1500" s="1" t="n">
        <v>45579</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28493-2022</t>
        </is>
      </c>
      <c r="B1501" s="1" t="n">
        <v>44747</v>
      </c>
      <c r="C1501" s="1" t="n">
        <v>45579</v>
      </c>
      <c r="D1501" t="inlineStr">
        <is>
          <t>JÄMTLANDS LÄN</t>
        </is>
      </c>
      <c r="E1501" t="inlineStr">
        <is>
          <t>STRÖMSUND</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28498-2022</t>
        </is>
      </c>
      <c r="B1502" s="1" t="n">
        <v>44748</v>
      </c>
      <c r="C1502" s="1" t="n">
        <v>45579</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28496-2022</t>
        </is>
      </c>
      <c r="B1503" s="1" t="n">
        <v>44748</v>
      </c>
      <c r="C1503" s="1" t="n">
        <v>45579</v>
      </c>
      <c r="D1503" t="inlineStr">
        <is>
          <t>JÄMTLANDS LÄN</t>
        </is>
      </c>
      <c r="E1503" t="inlineStr">
        <is>
          <t>STRÖMSUND</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28520-2022</t>
        </is>
      </c>
      <c r="B1504" s="1" t="n">
        <v>44748</v>
      </c>
      <c r="C1504" s="1" t="n">
        <v>45579</v>
      </c>
      <c r="D1504" t="inlineStr">
        <is>
          <t>JÄMTLANDS LÄN</t>
        </is>
      </c>
      <c r="E1504" t="inlineStr">
        <is>
          <t>STRÖMSUND</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28533-2022</t>
        </is>
      </c>
      <c r="B1505" s="1" t="n">
        <v>44748</v>
      </c>
      <c r="C1505" s="1" t="n">
        <v>45579</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28705-2022</t>
        </is>
      </c>
      <c r="B1506" s="1" t="n">
        <v>44748</v>
      </c>
      <c r="C1506" s="1" t="n">
        <v>45579</v>
      </c>
      <c r="D1506" t="inlineStr">
        <is>
          <t>JÄMTLANDS LÄN</t>
        </is>
      </c>
      <c r="E1506" t="inlineStr">
        <is>
          <t>STRÖMSUND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28734-2022</t>
        </is>
      </c>
      <c r="B1507" s="1" t="n">
        <v>44748</v>
      </c>
      <c r="C1507" s="1" t="n">
        <v>45579</v>
      </c>
      <c r="D1507" t="inlineStr">
        <is>
          <t>JÄMTLANDS LÄN</t>
        </is>
      </c>
      <c r="E1507" t="inlineStr">
        <is>
          <t>STRÖMSUND</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28732-2022</t>
        </is>
      </c>
      <c r="B1508" s="1" t="n">
        <v>44749</v>
      </c>
      <c r="C1508" s="1" t="n">
        <v>45579</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28948-2022</t>
        </is>
      </c>
      <c r="B1509" s="1" t="n">
        <v>44749</v>
      </c>
      <c r="C1509" s="1" t="n">
        <v>45579</v>
      </c>
      <c r="D1509" t="inlineStr">
        <is>
          <t>JÄMTLANDS LÄN</t>
        </is>
      </c>
      <c r="E1509" t="inlineStr">
        <is>
          <t>STRÖMSUND</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29042-2022</t>
        </is>
      </c>
      <c r="B1510" s="1" t="n">
        <v>44749</v>
      </c>
      <c r="C1510" s="1" t="n">
        <v>45579</v>
      </c>
      <c r="D1510" t="inlineStr">
        <is>
          <t>JÄMTLANDS LÄN</t>
        </is>
      </c>
      <c r="E1510" t="inlineStr">
        <is>
          <t>STRÖMSUND</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29045-2022</t>
        </is>
      </c>
      <c r="B1511" s="1" t="n">
        <v>44750</v>
      </c>
      <c r="C1511" s="1" t="n">
        <v>45579</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28869-2022</t>
        </is>
      </c>
      <c r="B1512" s="1" t="n">
        <v>44749</v>
      </c>
      <c r="C1512" s="1" t="n">
        <v>45579</v>
      </c>
      <c r="D1512" t="inlineStr">
        <is>
          <t>JÄMTLANDS LÄN</t>
        </is>
      </c>
      <c r="E1512" t="inlineStr">
        <is>
          <t>STRÖMSUND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29033-2022</t>
        </is>
      </c>
      <c r="B1513" s="1" t="n">
        <v>44750</v>
      </c>
      <c r="C1513" s="1" t="n">
        <v>45579</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29043-2022</t>
        </is>
      </c>
      <c r="B1514" s="1" t="n">
        <v>44749</v>
      </c>
      <c r="C1514" s="1" t="n">
        <v>45579</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29295-2022</t>
        </is>
      </c>
      <c r="B1515" s="1" t="n">
        <v>44751</v>
      </c>
      <c r="C1515" s="1" t="n">
        <v>45579</v>
      </c>
      <c r="D1515" t="inlineStr">
        <is>
          <t>JÄMTLANDS LÄN</t>
        </is>
      </c>
      <c r="E1515" t="inlineStr">
        <is>
          <t>STRÖMSUND</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29276-2022</t>
        </is>
      </c>
      <c r="B1516" s="1" t="n">
        <v>44750</v>
      </c>
      <c r="C1516" s="1" t="n">
        <v>45579</v>
      </c>
      <c r="D1516" t="inlineStr">
        <is>
          <t>JÄMTLANDS LÄN</t>
        </is>
      </c>
      <c r="E1516" t="inlineStr">
        <is>
          <t>STRÖMSUND</t>
        </is>
      </c>
      <c r="G1516" t="n">
        <v>18.8</v>
      </c>
      <c r="H1516" t="n">
        <v>0</v>
      </c>
      <c r="I1516" t="n">
        <v>0</v>
      </c>
      <c r="J1516" t="n">
        <v>0</v>
      </c>
      <c r="K1516" t="n">
        <v>0</v>
      </c>
      <c r="L1516" t="n">
        <v>0</v>
      </c>
      <c r="M1516" t="n">
        <v>0</v>
      </c>
      <c r="N1516" t="n">
        <v>0</v>
      </c>
      <c r="O1516" t="n">
        <v>0</v>
      </c>
      <c r="P1516" t="n">
        <v>0</v>
      </c>
      <c r="Q1516" t="n">
        <v>0</v>
      </c>
      <c r="R1516" s="2" t="inlineStr"/>
    </row>
    <row r="1517" ht="15" customHeight="1">
      <c r="A1517" t="inlineStr">
        <is>
          <t>A 29353-2022</t>
        </is>
      </c>
      <c r="B1517" s="1" t="n">
        <v>44750</v>
      </c>
      <c r="C1517" s="1" t="n">
        <v>45579</v>
      </c>
      <c r="D1517" t="inlineStr">
        <is>
          <t>JÄMTLANDS LÄN</t>
        </is>
      </c>
      <c r="E1517" t="inlineStr">
        <is>
          <t>STRÖMSUND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29296-2022</t>
        </is>
      </c>
      <c r="B1518" s="1" t="n">
        <v>44751</v>
      </c>
      <c r="C1518" s="1" t="n">
        <v>45579</v>
      </c>
      <c r="D1518" t="inlineStr">
        <is>
          <t>JÄMTLANDS LÄN</t>
        </is>
      </c>
      <c r="E1518" t="inlineStr">
        <is>
          <t>STRÖMSUND</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29545-2022</t>
        </is>
      </c>
      <c r="B1519" s="1" t="n">
        <v>44753</v>
      </c>
      <c r="C1519" s="1" t="n">
        <v>45579</v>
      </c>
      <c r="D1519" t="inlineStr">
        <is>
          <t>JÄMTLANDS LÄN</t>
        </is>
      </c>
      <c r="E1519" t="inlineStr">
        <is>
          <t>STRÖMSUND</t>
        </is>
      </c>
      <c r="F1519" t="inlineStr">
        <is>
          <t>SCA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29541-2022</t>
        </is>
      </c>
      <c r="B1520" s="1" t="n">
        <v>44754</v>
      </c>
      <c r="C1520" s="1" t="n">
        <v>45579</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29540-2022</t>
        </is>
      </c>
      <c r="B1521" s="1" t="n">
        <v>44754</v>
      </c>
      <c r="C1521" s="1" t="n">
        <v>45579</v>
      </c>
      <c r="D1521" t="inlineStr">
        <is>
          <t>JÄMTLANDS LÄN</t>
        </is>
      </c>
      <c r="E1521" t="inlineStr">
        <is>
          <t>STRÖMSUND</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29550-2022</t>
        </is>
      </c>
      <c r="B1522" s="1" t="n">
        <v>44754</v>
      </c>
      <c r="C1522" s="1" t="n">
        <v>45579</v>
      </c>
      <c r="D1522" t="inlineStr">
        <is>
          <t>JÄMTLANDS LÄN</t>
        </is>
      </c>
      <c r="E1522" t="inlineStr">
        <is>
          <t>STRÖMSUND</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29830-2022</t>
        </is>
      </c>
      <c r="B1523" s="1" t="n">
        <v>44755</v>
      </c>
      <c r="C1523" s="1" t="n">
        <v>45579</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29875-2022</t>
        </is>
      </c>
      <c r="B1524" s="1" t="n">
        <v>44756</v>
      </c>
      <c r="C1524" s="1" t="n">
        <v>45579</v>
      </c>
      <c r="D1524" t="inlineStr">
        <is>
          <t>JÄMTLANDS LÄN</t>
        </is>
      </c>
      <c r="E1524" t="inlineStr">
        <is>
          <t>STRÖMSUND</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30021-2022</t>
        </is>
      </c>
      <c r="B1525" s="1" t="n">
        <v>44757</v>
      </c>
      <c r="C1525" s="1" t="n">
        <v>45579</v>
      </c>
      <c r="D1525" t="inlineStr">
        <is>
          <t>JÄMTLANDS LÄN</t>
        </is>
      </c>
      <c r="E1525" t="inlineStr">
        <is>
          <t>STRÖMSUND</t>
        </is>
      </c>
      <c r="F1525" t="inlineStr">
        <is>
          <t>SCA</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30036-2022</t>
        </is>
      </c>
      <c r="B1526" s="1" t="n">
        <v>44756</v>
      </c>
      <c r="C1526" s="1" t="n">
        <v>45579</v>
      </c>
      <c r="D1526" t="inlineStr">
        <is>
          <t>JÄMTLANDS LÄN</t>
        </is>
      </c>
      <c r="E1526" t="inlineStr">
        <is>
          <t>STRÖMSUND</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30024-2022</t>
        </is>
      </c>
      <c r="B1527" s="1" t="n">
        <v>44757</v>
      </c>
      <c r="C1527" s="1" t="n">
        <v>45579</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30031-2022</t>
        </is>
      </c>
      <c r="B1528" s="1" t="n">
        <v>44757</v>
      </c>
      <c r="C1528" s="1" t="n">
        <v>45579</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30023-2022</t>
        </is>
      </c>
      <c r="B1529" s="1" t="n">
        <v>44757</v>
      </c>
      <c r="C1529" s="1" t="n">
        <v>45579</v>
      </c>
      <c r="D1529" t="inlineStr">
        <is>
          <t>JÄMTLANDS LÄN</t>
        </is>
      </c>
      <c r="E1529" t="inlineStr">
        <is>
          <t>STRÖMSUND</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30030-2022</t>
        </is>
      </c>
      <c r="B1530" s="1" t="n">
        <v>44757</v>
      </c>
      <c r="C1530" s="1" t="n">
        <v>45579</v>
      </c>
      <c r="D1530" t="inlineStr">
        <is>
          <t>JÄMTLANDS LÄN</t>
        </is>
      </c>
      <c r="E1530" t="inlineStr">
        <is>
          <t>STRÖMSUND</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30022-2022</t>
        </is>
      </c>
      <c r="B1531" s="1" t="n">
        <v>44756</v>
      </c>
      <c r="C1531" s="1" t="n">
        <v>45579</v>
      </c>
      <c r="D1531" t="inlineStr">
        <is>
          <t>JÄMTLANDS LÄN</t>
        </is>
      </c>
      <c r="E1531" t="inlineStr">
        <is>
          <t>STRÖMSUND</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30037-2022</t>
        </is>
      </c>
      <c r="B1532" s="1" t="n">
        <v>44757</v>
      </c>
      <c r="C1532" s="1" t="n">
        <v>45579</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30042-2022</t>
        </is>
      </c>
      <c r="B1533" s="1" t="n">
        <v>44757</v>
      </c>
      <c r="C1533" s="1" t="n">
        <v>45579</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30046-2022</t>
        </is>
      </c>
      <c r="B1534" s="1" t="n">
        <v>44757</v>
      </c>
      <c r="C1534" s="1" t="n">
        <v>45579</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30044-2022</t>
        </is>
      </c>
      <c r="B1535" s="1" t="n">
        <v>44756</v>
      </c>
      <c r="C1535" s="1" t="n">
        <v>45579</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30086-2022</t>
        </is>
      </c>
      <c r="B1536" s="1" t="n">
        <v>44757</v>
      </c>
      <c r="C1536" s="1" t="n">
        <v>45579</v>
      </c>
      <c r="D1536" t="inlineStr">
        <is>
          <t>JÄMTLANDS LÄN</t>
        </is>
      </c>
      <c r="E1536" t="inlineStr">
        <is>
          <t>STRÖMSUND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30219-2022</t>
        </is>
      </c>
      <c r="B1537" s="1" t="n">
        <v>44758</v>
      </c>
      <c r="C1537" s="1" t="n">
        <v>45579</v>
      </c>
      <c r="D1537" t="inlineStr">
        <is>
          <t>JÄMTLANDS LÄN</t>
        </is>
      </c>
      <c r="E1537" t="inlineStr">
        <is>
          <t>STRÖMSUND</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30220-2022</t>
        </is>
      </c>
      <c r="B1538" s="1" t="n">
        <v>44758</v>
      </c>
      <c r="C1538" s="1" t="n">
        <v>45579</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30225-2022</t>
        </is>
      </c>
      <c r="B1539" s="1" t="n">
        <v>44758</v>
      </c>
      <c r="C1539" s="1" t="n">
        <v>45579</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30229-2022</t>
        </is>
      </c>
      <c r="B1540" s="1" t="n">
        <v>44758</v>
      </c>
      <c r="C1540" s="1" t="n">
        <v>45579</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30223-2022</t>
        </is>
      </c>
      <c r="B1541" s="1" t="n">
        <v>44758</v>
      </c>
      <c r="C1541" s="1" t="n">
        <v>45579</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30227-2022</t>
        </is>
      </c>
      <c r="B1542" s="1" t="n">
        <v>44758</v>
      </c>
      <c r="C1542" s="1" t="n">
        <v>45579</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30232-2022</t>
        </is>
      </c>
      <c r="B1543" s="1" t="n">
        <v>44758</v>
      </c>
      <c r="C1543" s="1" t="n">
        <v>45579</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30226-2022</t>
        </is>
      </c>
      <c r="B1544" s="1" t="n">
        <v>44757</v>
      </c>
      <c r="C1544" s="1" t="n">
        <v>45579</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30230-2022</t>
        </is>
      </c>
      <c r="B1545" s="1" t="n">
        <v>44757</v>
      </c>
      <c r="C1545" s="1" t="n">
        <v>45579</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30496-2022</t>
        </is>
      </c>
      <c r="B1546" s="1" t="n">
        <v>44762</v>
      </c>
      <c r="C1546" s="1" t="n">
        <v>45579</v>
      </c>
      <c r="D1546" t="inlineStr">
        <is>
          <t>JÄMTLANDS LÄN</t>
        </is>
      </c>
      <c r="E1546" t="inlineStr">
        <is>
          <t>STRÖMSUND</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31443-2022</t>
        </is>
      </c>
      <c r="B1547" s="1" t="n">
        <v>44775</v>
      </c>
      <c r="C1547" s="1" t="n">
        <v>45579</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31447-2022</t>
        </is>
      </c>
      <c r="B1548" s="1" t="n">
        <v>44775</v>
      </c>
      <c r="C1548" s="1" t="n">
        <v>45579</v>
      </c>
      <c r="D1548" t="inlineStr">
        <is>
          <t>JÄMTLANDS LÄN</t>
        </is>
      </c>
      <c r="E1548" t="inlineStr">
        <is>
          <t>STRÖMSUND</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31448-2022</t>
        </is>
      </c>
      <c r="B1549" s="1" t="n">
        <v>44775</v>
      </c>
      <c r="C1549" s="1" t="n">
        <v>45579</v>
      </c>
      <c r="D1549" t="inlineStr">
        <is>
          <t>JÄMTLANDS LÄN</t>
        </is>
      </c>
      <c r="E1549" t="inlineStr">
        <is>
          <t>STRÖMSUND</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31445-2022</t>
        </is>
      </c>
      <c r="B1550" s="1" t="n">
        <v>44775</v>
      </c>
      <c r="C1550" s="1" t="n">
        <v>45579</v>
      </c>
      <c r="D1550" t="inlineStr">
        <is>
          <t>JÄMTLANDS LÄN</t>
        </is>
      </c>
      <c r="E1550" t="inlineStr">
        <is>
          <t>STRÖMSUND</t>
        </is>
      </c>
      <c r="F1550" t="inlineStr">
        <is>
          <t>SCA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31449-2022</t>
        </is>
      </c>
      <c r="B1551" s="1" t="n">
        <v>44775</v>
      </c>
      <c r="C1551" s="1" t="n">
        <v>45579</v>
      </c>
      <c r="D1551" t="inlineStr">
        <is>
          <t>JÄMTLANDS LÄN</t>
        </is>
      </c>
      <c r="E1551" t="inlineStr">
        <is>
          <t>STRÖMSUND</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31485-2022</t>
        </is>
      </c>
      <c r="B1552" s="1" t="n">
        <v>44775</v>
      </c>
      <c r="C1552" s="1" t="n">
        <v>45579</v>
      </c>
      <c r="D1552" t="inlineStr">
        <is>
          <t>JÄMTLANDS LÄN</t>
        </is>
      </c>
      <c r="E1552" t="inlineStr">
        <is>
          <t>STRÖMSUND</t>
        </is>
      </c>
      <c r="F1552" t="inlineStr">
        <is>
          <t>SCA</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31501-2022</t>
        </is>
      </c>
      <c r="B1553" s="1" t="n">
        <v>44775</v>
      </c>
      <c r="C1553" s="1" t="n">
        <v>45579</v>
      </c>
      <c r="D1553" t="inlineStr">
        <is>
          <t>JÄMTLANDS LÄN</t>
        </is>
      </c>
      <c r="E1553" t="inlineStr">
        <is>
          <t>STRÖMSUND</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31505-2022</t>
        </is>
      </c>
      <c r="B1554" s="1" t="n">
        <v>44775</v>
      </c>
      <c r="C1554" s="1" t="n">
        <v>45579</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31509-2022</t>
        </is>
      </c>
      <c r="B1555" s="1" t="n">
        <v>44775</v>
      </c>
      <c r="C1555" s="1" t="n">
        <v>45579</v>
      </c>
      <c r="D1555" t="inlineStr">
        <is>
          <t>JÄMTLANDS LÄN</t>
        </is>
      </c>
      <c r="E1555" t="inlineStr">
        <is>
          <t>STRÖMSUND</t>
        </is>
      </c>
      <c r="F1555" t="inlineStr">
        <is>
          <t>SCA</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31442-2022</t>
        </is>
      </c>
      <c r="B1556" s="1" t="n">
        <v>44774</v>
      </c>
      <c r="C1556" s="1" t="n">
        <v>45579</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31446-2022</t>
        </is>
      </c>
      <c r="B1557" s="1" t="n">
        <v>44775</v>
      </c>
      <c r="C1557" s="1" t="n">
        <v>45579</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31503-2022</t>
        </is>
      </c>
      <c r="B1558" s="1" t="n">
        <v>44775</v>
      </c>
      <c r="C1558" s="1" t="n">
        <v>45579</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31499-2022</t>
        </is>
      </c>
      <c r="B1559" s="1" t="n">
        <v>44775</v>
      </c>
      <c r="C1559" s="1" t="n">
        <v>45579</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31504-2022</t>
        </is>
      </c>
      <c r="B1560" s="1" t="n">
        <v>44775</v>
      </c>
      <c r="C1560" s="1" t="n">
        <v>45579</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31508-2022</t>
        </is>
      </c>
      <c r="B1561" s="1" t="n">
        <v>44775</v>
      </c>
      <c r="C1561" s="1" t="n">
        <v>45579</v>
      </c>
      <c r="D1561" t="inlineStr">
        <is>
          <t>JÄMTLANDS LÄN</t>
        </is>
      </c>
      <c r="E1561" t="inlineStr">
        <is>
          <t>STRÖMSUND</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31502-2022</t>
        </is>
      </c>
      <c r="B1562" s="1" t="n">
        <v>44775</v>
      </c>
      <c r="C1562" s="1" t="n">
        <v>45579</v>
      </c>
      <c r="D1562" t="inlineStr">
        <is>
          <t>JÄMTLANDS LÄN</t>
        </is>
      </c>
      <c r="E1562" t="inlineStr">
        <is>
          <t>STRÖMSUND</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31506-2022</t>
        </is>
      </c>
      <c r="B1563" s="1" t="n">
        <v>44774</v>
      </c>
      <c r="C1563" s="1" t="n">
        <v>45579</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31507-2022</t>
        </is>
      </c>
      <c r="B1564" s="1" t="n">
        <v>44774</v>
      </c>
      <c r="C1564" s="1" t="n">
        <v>45579</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31519-2022</t>
        </is>
      </c>
      <c r="B1565" s="1" t="n">
        <v>44775</v>
      </c>
      <c r="C1565" s="1" t="n">
        <v>45579</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31657-2022</t>
        </is>
      </c>
      <c r="B1566" s="1" t="n">
        <v>44776</v>
      </c>
      <c r="C1566" s="1" t="n">
        <v>45579</v>
      </c>
      <c r="D1566" t="inlineStr">
        <is>
          <t>JÄMTLANDS LÄN</t>
        </is>
      </c>
      <c r="E1566" t="inlineStr">
        <is>
          <t>STRÖMSUND</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31849-2022</t>
        </is>
      </c>
      <c r="B1567" s="1" t="n">
        <v>44777</v>
      </c>
      <c r="C1567" s="1" t="n">
        <v>45579</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31852-2022</t>
        </is>
      </c>
      <c r="B1568" s="1" t="n">
        <v>44776</v>
      </c>
      <c r="C1568" s="1" t="n">
        <v>45579</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31846-2022</t>
        </is>
      </c>
      <c r="B1569" s="1" t="n">
        <v>44777</v>
      </c>
      <c r="C1569" s="1" t="n">
        <v>45579</v>
      </c>
      <c r="D1569" t="inlineStr">
        <is>
          <t>JÄMTLANDS LÄN</t>
        </is>
      </c>
      <c r="E1569" t="inlineStr">
        <is>
          <t>STRÖMSUND</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32128-2022</t>
        </is>
      </c>
      <c r="B1570" s="1" t="n">
        <v>44779</v>
      </c>
      <c r="C1570" s="1" t="n">
        <v>45579</v>
      </c>
      <c r="D1570" t="inlineStr">
        <is>
          <t>JÄMTLANDS LÄN</t>
        </is>
      </c>
      <c r="E1570" t="inlineStr">
        <is>
          <t>STRÖMSUND</t>
        </is>
      </c>
      <c r="F1570" t="inlineStr">
        <is>
          <t>SCA</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32125-2022</t>
        </is>
      </c>
      <c r="B1571" s="1" t="n">
        <v>44778</v>
      </c>
      <c r="C1571" s="1" t="n">
        <v>45579</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32349-2022</t>
        </is>
      </c>
      <c r="B1572" s="1" t="n">
        <v>44782</v>
      </c>
      <c r="C1572" s="1" t="n">
        <v>45579</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32357-2022</t>
        </is>
      </c>
      <c r="B1573" s="1" t="n">
        <v>44782</v>
      </c>
      <c r="C1573" s="1" t="n">
        <v>45579</v>
      </c>
      <c r="D1573" t="inlineStr">
        <is>
          <t>JÄMTLANDS LÄN</t>
        </is>
      </c>
      <c r="E1573" t="inlineStr">
        <is>
          <t>STRÖMSUND</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32360-2022</t>
        </is>
      </c>
      <c r="B1574" s="1" t="n">
        <v>44782</v>
      </c>
      <c r="C1574" s="1" t="n">
        <v>45579</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32153-2022</t>
        </is>
      </c>
      <c r="B1575" s="1" t="n">
        <v>44781</v>
      </c>
      <c r="C1575" s="1" t="n">
        <v>45579</v>
      </c>
      <c r="D1575" t="inlineStr">
        <is>
          <t>JÄMTLANDS LÄN</t>
        </is>
      </c>
      <c r="E1575" t="inlineStr">
        <is>
          <t>STRÖMSUND</t>
        </is>
      </c>
      <c r="G1575" t="n">
        <v>27.4</v>
      </c>
      <c r="H1575" t="n">
        <v>0</v>
      </c>
      <c r="I1575" t="n">
        <v>0</v>
      </c>
      <c r="J1575" t="n">
        <v>0</v>
      </c>
      <c r="K1575" t="n">
        <v>0</v>
      </c>
      <c r="L1575" t="n">
        <v>0</v>
      </c>
      <c r="M1575" t="n">
        <v>0</v>
      </c>
      <c r="N1575" t="n">
        <v>0</v>
      </c>
      <c r="O1575" t="n">
        <v>0</v>
      </c>
      <c r="P1575" t="n">
        <v>0</v>
      </c>
      <c r="Q1575" t="n">
        <v>0</v>
      </c>
      <c r="R1575" s="2" t="inlineStr"/>
    </row>
    <row r="1576" ht="15" customHeight="1">
      <c r="A1576" t="inlineStr">
        <is>
          <t>A 32362-2022</t>
        </is>
      </c>
      <c r="B1576" s="1" t="n">
        <v>44782</v>
      </c>
      <c r="C1576" s="1" t="n">
        <v>45579</v>
      </c>
      <c r="D1576" t="inlineStr">
        <is>
          <t>JÄMTLANDS LÄN</t>
        </is>
      </c>
      <c r="E1576" t="inlineStr">
        <is>
          <t>STRÖMSUND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32528-2022</t>
        </is>
      </c>
      <c r="B1577" s="1" t="n">
        <v>44783</v>
      </c>
      <c r="C1577" s="1" t="n">
        <v>45579</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32865-2022</t>
        </is>
      </c>
      <c r="B1578" s="1" t="n">
        <v>44784</v>
      </c>
      <c r="C1578" s="1" t="n">
        <v>45579</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32932-2022</t>
        </is>
      </c>
      <c r="B1579" s="1" t="n">
        <v>44784</v>
      </c>
      <c r="C1579" s="1" t="n">
        <v>45579</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32883-2022</t>
        </is>
      </c>
      <c r="B1580" s="1" t="n">
        <v>44784</v>
      </c>
      <c r="C1580" s="1" t="n">
        <v>45579</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32978-2022</t>
        </is>
      </c>
      <c r="B1581" s="1" t="n">
        <v>44785</v>
      </c>
      <c r="C1581" s="1" t="n">
        <v>45579</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32996-2022</t>
        </is>
      </c>
      <c r="B1582" s="1" t="n">
        <v>44784</v>
      </c>
      <c r="C1582" s="1" t="n">
        <v>45579</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32997-2022</t>
        </is>
      </c>
      <c r="B1583" s="1" t="n">
        <v>44785</v>
      </c>
      <c r="C1583" s="1" t="n">
        <v>45579</v>
      </c>
      <c r="D1583" t="inlineStr">
        <is>
          <t>JÄMTLANDS LÄN</t>
        </is>
      </c>
      <c r="E1583" t="inlineStr">
        <is>
          <t>STRÖMSUND</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33054-2022</t>
        </is>
      </c>
      <c r="B1584" s="1" t="n">
        <v>44785</v>
      </c>
      <c r="C1584" s="1" t="n">
        <v>45579</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33223-2022</t>
        </is>
      </c>
      <c r="B1585" s="1" t="n">
        <v>44785</v>
      </c>
      <c r="C1585" s="1" t="n">
        <v>45579</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33219-2022</t>
        </is>
      </c>
      <c r="B1586" s="1" t="n">
        <v>44786</v>
      </c>
      <c r="C1586" s="1" t="n">
        <v>45579</v>
      </c>
      <c r="D1586" t="inlineStr">
        <is>
          <t>JÄMTLANDS LÄN</t>
        </is>
      </c>
      <c r="E1586" t="inlineStr">
        <is>
          <t>STRÖMSUND</t>
        </is>
      </c>
      <c r="F1586" t="inlineStr">
        <is>
          <t>SCA</t>
        </is>
      </c>
      <c r="G1586" t="n">
        <v>15.8</v>
      </c>
      <c r="H1586" t="n">
        <v>0</v>
      </c>
      <c r="I1586" t="n">
        <v>0</v>
      </c>
      <c r="J1586" t="n">
        <v>0</v>
      </c>
      <c r="K1586" t="n">
        <v>0</v>
      </c>
      <c r="L1586" t="n">
        <v>0</v>
      </c>
      <c r="M1586" t="n">
        <v>0</v>
      </c>
      <c r="N1586" t="n">
        <v>0</v>
      </c>
      <c r="O1586" t="n">
        <v>0</v>
      </c>
      <c r="P1586" t="n">
        <v>0</v>
      </c>
      <c r="Q1586" t="n">
        <v>0</v>
      </c>
      <c r="R1586" s="2" t="inlineStr"/>
    </row>
    <row r="1587" ht="15" customHeight="1">
      <c r="A1587" t="inlineStr">
        <is>
          <t>A 33225-2022</t>
        </is>
      </c>
      <c r="B1587" s="1" t="n">
        <v>44786</v>
      </c>
      <c r="C1587" s="1" t="n">
        <v>45579</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33231-2022</t>
        </is>
      </c>
      <c r="B1588" s="1" t="n">
        <v>44786</v>
      </c>
      <c r="C1588" s="1" t="n">
        <v>45579</v>
      </c>
      <c r="D1588" t="inlineStr">
        <is>
          <t>JÄMTLANDS LÄN</t>
        </is>
      </c>
      <c r="E1588" t="inlineStr">
        <is>
          <t>STRÖMSUND</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33224-2022</t>
        </is>
      </c>
      <c r="B1589" s="1" t="n">
        <v>44785</v>
      </c>
      <c r="C1589" s="1" t="n">
        <v>45579</v>
      </c>
      <c r="D1589" t="inlineStr">
        <is>
          <t>JÄMTLANDS LÄN</t>
        </is>
      </c>
      <c r="E1589" t="inlineStr">
        <is>
          <t>STRÖMSUND</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33230-2022</t>
        </is>
      </c>
      <c r="B1590" s="1" t="n">
        <v>44786</v>
      </c>
      <c r="C1590" s="1" t="n">
        <v>45579</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33501-2022</t>
        </is>
      </c>
      <c r="B1591" s="1" t="n">
        <v>44788</v>
      </c>
      <c r="C1591" s="1" t="n">
        <v>45579</v>
      </c>
      <c r="D1591" t="inlineStr">
        <is>
          <t>JÄMTLANDS LÄN</t>
        </is>
      </c>
      <c r="E1591" t="inlineStr">
        <is>
          <t>STRÖMSUND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33502-2022</t>
        </is>
      </c>
      <c r="B1592" s="1" t="n">
        <v>44789</v>
      </c>
      <c r="C1592" s="1" t="n">
        <v>45579</v>
      </c>
      <c r="D1592" t="inlineStr">
        <is>
          <t>JÄMTLANDS LÄN</t>
        </is>
      </c>
      <c r="E1592" t="inlineStr">
        <is>
          <t>STRÖMSUND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33520-2022</t>
        </is>
      </c>
      <c r="B1593" s="1" t="n">
        <v>44789</v>
      </c>
      <c r="C1593" s="1" t="n">
        <v>45579</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33732-2022</t>
        </is>
      </c>
      <c r="B1594" s="1" t="n">
        <v>44790</v>
      </c>
      <c r="C1594" s="1" t="n">
        <v>45579</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33728-2022</t>
        </is>
      </c>
      <c r="B1595" s="1" t="n">
        <v>44790</v>
      </c>
      <c r="C1595" s="1" t="n">
        <v>45579</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33730-2022</t>
        </is>
      </c>
      <c r="B1596" s="1" t="n">
        <v>44790</v>
      </c>
      <c r="C1596" s="1" t="n">
        <v>45579</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33876-2022</t>
        </is>
      </c>
      <c r="B1597" s="1" t="n">
        <v>44790</v>
      </c>
      <c r="C1597" s="1" t="n">
        <v>45579</v>
      </c>
      <c r="D1597" t="inlineStr">
        <is>
          <t>JÄMTLANDS LÄN</t>
        </is>
      </c>
      <c r="E1597" t="inlineStr">
        <is>
          <t>STRÖMSUND</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33987-2022</t>
        </is>
      </c>
      <c r="B1598" s="1" t="n">
        <v>44790</v>
      </c>
      <c r="C1598" s="1" t="n">
        <v>45579</v>
      </c>
      <c r="D1598" t="inlineStr">
        <is>
          <t>JÄMTLANDS LÄN</t>
        </is>
      </c>
      <c r="E1598" t="inlineStr">
        <is>
          <t>STRÖMSUND</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34008-2022</t>
        </is>
      </c>
      <c r="B1599" s="1" t="n">
        <v>44791</v>
      </c>
      <c r="C1599" s="1" t="n">
        <v>45579</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33988-2022</t>
        </is>
      </c>
      <c r="B1600" s="1" t="n">
        <v>44790</v>
      </c>
      <c r="C1600" s="1" t="n">
        <v>45579</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34004-2022</t>
        </is>
      </c>
      <c r="B1601" s="1" t="n">
        <v>44791</v>
      </c>
      <c r="C1601" s="1" t="n">
        <v>45579</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33985-2022</t>
        </is>
      </c>
      <c r="B1602" s="1" t="n">
        <v>44790</v>
      </c>
      <c r="C1602" s="1" t="n">
        <v>45579</v>
      </c>
      <c r="D1602" t="inlineStr">
        <is>
          <t>JÄMTLANDS LÄN</t>
        </is>
      </c>
      <c r="E1602" t="inlineStr">
        <is>
          <t>STRÖMSUND</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34023-2022</t>
        </is>
      </c>
      <c r="B1603" s="1" t="n">
        <v>44790</v>
      </c>
      <c r="C1603" s="1" t="n">
        <v>45579</v>
      </c>
      <c r="D1603" t="inlineStr">
        <is>
          <t>JÄMTLANDS LÄN</t>
        </is>
      </c>
      <c r="E1603" t="inlineStr">
        <is>
          <t>STRÖMSUND</t>
        </is>
      </c>
      <c r="G1603" t="n">
        <v>34.5</v>
      </c>
      <c r="H1603" t="n">
        <v>0</v>
      </c>
      <c r="I1603" t="n">
        <v>0</v>
      </c>
      <c r="J1603" t="n">
        <v>0</v>
      </c>
      <c r="K1603" t="n">
        <v>0</v>
      </c>
      <c r="L1603" t="n">
        <v>0</v>
      </c>
      <c r="M1603" t="n">
        <v>0</v>
      </c>
      <c r="N1603" t="n">
        <v>0</v>
      </c>
      <c r="O1603" t="n">
        <v>0</v>
      </c>
      <c r="P1603" t="n">
        <v>0</v>
      </c>
      <c r="Q1603" t="n">
        <v>0</v>
      </c>
      <c r="R1603" s="2" t="inlineStr"/>
    </row>
    <row r="1604" ht="15" customHeight="1">
      <c r="A1604" t="inlineStr">
        <is>
          <t>A 34005-2022</t>
        </is>
      </c>
      <c r="B1604" s="1" t="n">
        <v>44791</v>
      </c>
      <c r="C1604" s="1" t="n">
        <v>45579</v>
      </c>
      <c r="D1604" t="inlineStr">
        <is>
          <t>JÄMTLANDS LÄN</t>
        </is>
      </c>
      <c r="E1604" t="inlineStr">
        <is>
          <t>STRÖMSUND</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34011-2022</t>
        </is>
      </c>
      <c r="B1605" s="1" t="n">
        <v>44790</v>
      </c>
      <c r="C1605" s="1" t="n">
        <v>45579</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34245-2022</t>
        </is>
      </c>
      <c r="B1606" s="1" t="n">
        <v>44792</v>
      </c>
      <c r="C1606" s="1" t="n">
        <v>45579</v>
      </c>
      <c r="D1606" t="inlineStr">
        <is>
          <t>JÄMTLANDS LÄN</t>
        </is>
      </c>
      <c r="E1606" t="inlineStr">
        <is>
          <t>STRÖMSUND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34243-2022</t>
        </is>
      </c>
      <c r="B1607" s="1" t="n">
        <v>44792</v>
      </c>
      <c r="C1607" s="1" t="n">
        <v>45579</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34247-2022</t>
        </is>
      </c>
      <c r="B1608" s="1" t="n">
        <v>44792</v>
      </c>
      <c r="C1608" s="1" t="n">
        <v>45579</v>
      </c>
      <c r="D1608" t="inlineStr">
        <is>
          <t>JÄMTLANDS LÄN</t>
        </is>
      </c>
      <c r="E1608" t="inlineStr">
        <is>
          <t>STRÖMSUND</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34251-2022</t>
        </is>
      </c>
      <c r="B1609" s="1" t="n">
        <v>44792</v>
      </c>
      <c r="C1609" s="1" t="n">
        <v>45579</v>
      </c>
      <c r="D1609" t="inlineStr">
        <is>
          <t>JÄMTLANDS LÄN</t>
        </is>
      </c>
      <c r="E1609" t="inlineStr">
        <is>
          <t>STRÖMSUND</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34244-2022</t>
        </is>
      </c>
      <c r="B1610" s="1" t="n">
        <v>44791</v>
      </c>
      <c r="C1610" s="1" t="n">
        <v>45579</v>
      </c>
      <c r="D1610" t="inlineStr">
        <is>
          <t>JÄMTLANDS LÄN</t>
        </is>
      </c>
      <c r="E1610" t="inlineStr">
        <is>
          <t>STRÖMSUND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34264-2022</t>
        </is>
      </c>
      <c r="B1611" s="1" t="n">
        <v>44791</v>
      </c>
      <c r="C1611" s="1" t="n">
        <v>45579</v>
      </c>
      <c r="D1611" t="inlineStr">
        <is>
          <t>JÄMTLANDS LÄN</t>
        </is>
      </c>
      <c r="E1611" t="inlineStr">
        <is>
          <t>STRÖMSUND</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34294-2022</t>
        </is>
      </c>
      <c r="B1612" s="1" t="n">
        <v>44792</v>
      </c>
      <c r="C1612" s="1" t="n">
        <v>45579</v>
      </c>
      <c r="D1612" t="inlineStr">
        <is>
          <t>JÄMTLANDS LÄN</t>
        </is>
      </c>
      <c r="E1612" t="inlineStr">
        <is>
          <t>STRÖMSUND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34293-2022</t>
        </is>
      </c>
      <c r="B1613" s="1" t="n">
        <v>44792</v>
      </c>
      <c r="C1613" s="1" t="n">
        <v>45579</v>
      </c>
      <c r="D1613" t="inlineStr">
        <is>
          <t>JÄMTLANDS LÄN</t>
        </is>
      </c>
      <c r="E1613" t="inlineStr">
        <is>
          <t>STRÖMSUND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34512-2022</t>
        </is>
      </c>
      <c r="B1614" s="1" t="n">
        <v>44793</v>
      </c>
      <c r="C1614" s="1" t="n">
        <v>45579</v>
      </c>
      <c r="D1614" t="inlineStr">
        <is>
          <t>JÄMTLANDS LÄN</t>
        </is>
      </c>
      <c r="E1614" t="inlineStr">
        <is>
          <t>STRÖMSUND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34522-2022</t>
        </is>
      </c>
      <c r="B1615" s="1" t="n">
        <v>44793</v>
      </c>
      <c r="C1615" s="1" t="n">
        <v>45579</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34523-2022</t>
        </is>
      </c>
      <c r="B1616" s="1" t="n">
        <v>44793</v>
      </c>
      <c r="C1616" s="1" t="n">
        <v>45579</v>
      </c>
      <c r="D1616" t="inlineStr">
        <is>
          <t>JÄMTLANDS LÄN</t>
        </is>
      </c>
      <c r="E1616" t="inlineStr">
        <is>
          <t>STRÖMSUND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34524-2022</t>
        </is>
      </c>
      <c r="B1617" s="1" t="n">
        <v>44793</v>
      </c>
      <c r="C1617" s="1" t="n">
        <v>45579</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34521-2022</t>
        </is>
      </c>
      <c r="B1618" s="1" t="n">
        <v>44793</v>
      </c>
      <c r="C1618" s="1" t="n">
        <v>45579</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34525-2022</t>
        </is>
      </c>
      <c r="B1619" s="1" t="n">
        <v>44793</v>
      </c>
      <c r="C1619" s="1" t="n">
        <v>45579</v>
      </c>
      <c r="D1619" t="inlineStr">
        <is>
          <t>JÄMTLANDS LÄN</t>
        </is>
      </c>
      <c r="E1619" t="inlineStr">
        <is>
          <t>STRÖMSUND</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34550-2022</t>
        </is>
      </c>
      <c r="B1620" s="1" t="n">
        <v>44793</v>
      </c>
      <c r="C1620" s="1" t="n">
        <v>45579</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34805-2022</t>
        </is>
      </c>
      <c r="B1621" s="1" t="n">
        <v>44796</v>
      </c>
      <c r="C1621" s="1" t="n">
        <v>45579</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34890-2022</t>
        </is>
      </c>
      <c r="B1622" s="1" t="n">
        <v>44796</v>
      </c>
      <c r="C1622" s="1" t="n">
        <v>45579</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34920-2022</t>
        </is>
      </c>
      <c r="B1623" s="1" t="n">
        <v>44796</v>
      </c>
      <c r="C1623" s="1" t="n">
        <v>45579</v>
      </c>
      <c r="D1623" t="inlineStr">
        <is>
          <t>JÄMTLANDS LÄN</t>
        </is>
      </c>
      <c r="E1623" t="inlineStr">
        <is>
          <t>STRÖMSUND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35015-2022</t>
        </is>
      </c>
      <c r="B1624" s="1" t="n">
        <v>44797</v>
      </c>
      <c r="C1624" s="1" t="n">
        <v>45579</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35221-2022</t>
        </is>
      </c>
      <c r="B1625" s="1" t="n">
        <v>44798</v>
      </c>
      <c r="C1625" s="1" t="n">
        <v>45579</v>
      </c>
      <c r="D1625" t="inlineStr">
        <is>
          <t>JÄMTLANDS LÄN</t>
        </is>
      </c>
      <c r="E1625" t="inlineStr">
        <is>
          <t>STRÖMSUND</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35233-2022</t>
        </is>
      </c>
      <c r="B1626" s="1" t="n">
        <v>44797</v>
      </c>
      <c r="C1626" s="1" t="n">
        <v>45579</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35240-2022</t>
        </is>
      </c>
      <c r="B1627" s="1" t="n">
        <v>44797</v>
      </c>
      <c r="C1627" s="1" t="n">
        <v>45579</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35241-2022</t>
        </is>
      </c>
      <c r="B1628" s="1" t="n">
        <v>44797</v>
      </c>
      <c r="C1628" s="1" t="n">
        <v>45579</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35308-2022</t>
        </is>
      </c>
      <c r="B1629" s="1" t="n">
        <v>44798</v>
      </c>
      <c r="C1629" s="1" t="n">
        <v>45579</v>
      </c>
      <c r="D1629" t="inlineStr">
        <is>
          <t>JÄMTLANDS LÄN</t>
        </is>
      </c>
      <c r="E1629" t="inlineStr">
        <is>
          <t>STRÖMSUND</t>
        </is>
      </c>
      <c r="F1629" t="inlineStr">
        <is>
          <t>Kommuner</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35295-2022</t>
        </is>
      </c>
      <c r="B1630" s="1" t="n">
        <v>44798</v>
      </c>
      <c r="C1630" s="1" t="n">
        <v>45579</v>
      </c>
      <c r="D1630" t="inlineStr">
        <is>
          <t>JÄMTLANDS LÄN</t>
        </is>
      </c>
      <c r="E1630" t="inlineStr">
        <is>
          <t>STRÖMSUND</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35321-2022</t>
        </is>
      </c>
      <c r="B1631" s="1" t="n">
        <v>44798</v>
      </c>
      <c r="C1631" s="1" t="n">
        <v>45579</v>
      </c>
      <c r="D1631" t="inlineStr">
        <is>
          <t>JÄMTLANDS LÄN</t>
        </is>
      </c>
      <c r="E1631" t="inlineStr">
        <is>
          <t>STRÖMSUND</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35329-2022</t>
        </is>
      </c>
      <c r="B1632" s="1" t="n">
        <v>44798</v>
      </c>
      <c r="C1632" s="1" t="n">
        <v>45579</v>
      </c>
      <c r="D1632" t="inlineStr">
        <is>
          <t>JÄMTLANDS LÄN</t>
        </is>
      </c>
      <c r="E1632" t="inlineStr">
        <is>
          <t>STRÖMSUND</t>
        </is>
      </c>
      <c r="F1632" t="inlineStr">
        <is>
          <t>Kommuner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35377-2022</t>
        </is>
      </c>
      <c r="B1633" s="1" t="n">
        <v>44798</v>
      </c>
      <c r="C1633" s="1" t="n">
        <v>45579</v>
      </c>
      <c r="D1633" t="inlineStr">
        <is>
          <t>JÄMTLANDS LÄN</t>
        </is>
      </c>
      <c r="E1633" t="inlineStr">
        <is>
          <t>STRÖMSUND</t>
        </is>
      </c>
      <c r="F1633" t="inlineStr">
        <is>
          <t>Kommuner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35375-2022</t>
        </is>
      </c>
      <c r="B1634" s="1" t="n">
        <v>44798</v>
      </c>
      <c r="C1634" s="1" t="n">
        <v>45579</v>
      </c>
      <c r="D1634" t="inlineStr">
        <is>
          <t>JÄMTLANDS LÄN</t>
        </is>
      </c>
      <c r="E1634" t="inlineStr">
        <is>
          <t>STRÖMSUND</t>
        </is>
      </c>
      <c r="F1634" t="inlineStr">
        <is>
          <t>Kommuner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35694-2022</t>
        </is>
      </c>
      <c r="B1635" s="1" t="n">
        <v>44799</v>
      </c>
      <c r="C1635" s="1" t="n">
        <v>45579</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35743-2022</t>
        </is>
      </c>
      <c r="B1636" s="1" t="n">
        <v>44800</v>
      </c>
      <c r="C1636" s="1" t="n">
        <v>45579</v>
      </c>
      <c r="D1636" t="inlineStr">
        <is>
          <t>JÄMTLANDS LÄN</t>
        </is>
      </c>
      <c r="E1636" t="inlineStr">
        <is>
          <t>STRÖMSUND</t>
        </is>
      </c>
      <c r="F1636" t="inlineStr">
        <is>
          <t>SCA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35989-2022</t>
        </is>
      </c>
      <c r="B1637" s="1" t="n">
        <v>44802</v>
      </c>
      <c r="C1637" s="1" t="n">
        <v>45579</v>
      </c>
      <c r="D1637" t="inlineStr">
        <is>
          <t>JÄMTLANDS LÄN</t>
        </is>
      </c>
      <c r="E1637" t="inlineStr">
        <is>
          <t>STRÖMSUND</t>
        </is>
      </c>
      <c r="F1637" t="inlineStr">
        <is>
          <t>Sveaskog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35853-2022</t>
        </is>
      </c>
      <c r="B1638" s="1" t="n">
        <v>44802</v>
      </c>
      <c r="C1638" s="1" t="n">
        <v>45579</v>
      </c>
      <c r="D1638" t="inlineStr">
        <is>
          <t>JÄMTLANDS LÄN</t>
        </is>
      </c>
      <c r="E1638" t="inlineStr">
        <is>
          <t>STRÖMSUND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35850-2022</t>
        </is>
      </c>
      <c r="B1639" s="1" t="n">
        <v>44802</v>
      </c>
      <c r="C1639" s="1" t="n">
        <v>45579</v>
      </c>
      <c r="D1639" t="inlineStr">
        <is>
          <t>JÄMTLANDS LÄN</t>
        </is>
      </c>
      <c r="E1639" t="inlineStr">
        <is>
          <t>STRÖMSUND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35972-2022</t>
        </is>
      </c>
      <c r="B1640" s="1" t="n">
        <v>44802</v>
      </c>
      <c r="C1640" s="1" t="n">
        <v>45579</v>
      </c>
      <c r="D1640" t="inlineStr">
        <is>
          <t>JÄMTLANDS LÄN</t>
        </is>
      </c>
      <c r="E1640" t="inlineStr">
        <is>
          <t>STRÖMSUND</t>
        </is>
      </c>
      <c r="F1640" t="inlineStr">
        <is>
          <t>Sveaskog</t>
        </is>
      </c>
      <c r="G1640" t="n">
        <v>22.9</v>
      </c>
      <c r="H1640" t="n">
        <v>0</v>
      </c>
      <c r="I1640" t="n">
        <v>0</v>
      </c>
      <c r="J1640" t="n">
        <v>0</v>
      </c>
      <c r="K1640" t="n">
        <v>0</v>
      </c>
      <c r="L1640" t="n">
        <v>0</v>
      </c>
      <c r="M1640" t="n">
        <v>0</v>
      </c>
      <c r="N1640" t="n">
        <v>0</v>
      </c>
      <c r="O1640" t="n">
        <v>0</v>
      </c>
      <c r="P1640" t="n">
        <v>0</v>
      </c>
      <c r="Q1640" t="n">
        <v>0</v>
      </c>
      <c r="R1640" s="2" t="inlineStr"/>
    </row>
    <row r="1641" ht="15" customHeight="1">
      <c r="A1641" t="inlineStr">
        <is>
          <t>A 36079-2022</t>
        </is>
      </c>
      <c r="B1641" s="1" t="n">
        <v>44803</v>
      </c>
      <c r="C1641" s="1" t="n">
        <v>45579</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35971-2022</t>
        </is>
      </c>
      <c r="B1642" s="1" t="n">
        <v>44802</v>
      </c>
      <c r="C1642" s="1" t="n">
        <v>45579</v>
      </c>
      <c r="D1642" t="inlineStr">
        <is>
          <t>JÄMTLANDS LÄN</t>
        </is>
      </c>
      <c r="E1642" t="inlineStr">
        <is>
          <t>STRÖMSUND</t>
        </is>
      </c>
      <c r="F1642" t="inlineStr">
        <is>
          <t>Sveaskog</t>
        </is>
      </c>
      <c r="G1642" t="n">
        <v>17.2</v>
      </c>
      <c r="H1642" t="n">
        <v>0</v>
      </c>
      <c r="I1642" t="n">
        <v>0</v>
      </c>
      <c r="J1642" t="n">
        <v>0</v>
      </c>
      <c r="K1642" t="n">
        <v>0</v>
      </c>
      <c r="L1642" t="n">
        <v>0</v>
      </c>
      <c r="M1642" t="n">
        <v>0</v>
      </c>
      <c r="N1642" t="n">
        <v>0</v>
      </c>
      <c r="O1642" t="n">
        <v>0</v>
      </c>
      <c r="P1642" t="n">
        <v>0</v>
      </c>
      <c r="Q1642" t="n">
        <v>0</v>
      </c>
      <c r="R1642" s="2" t="inlineStr"/>
    </row>
    <row r="1643" ht="15" customHeight="1">
      <c r="A1643" t="inlineStr">
        <is>
          <t>A 36096-2022</t>
        </is>
      </c>
      <c r="B1643" s="1" t="n">
        <v>44803</v>
      </c>
      <c r="C1643" s="1" t="n">
        <v>45579</v>
      </c>
      <c r="D1643" t="inlineStr">
        <is>
          <t>JÄMTLANDS LÄN</t>
        </is>
      </c>
      <c r="E1643" t="inlineStr">
        <is>
          <t>STRÖMSUND</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36369-2022</t>
        </is>
      </c>
      <c r="B1644" s="1" t="n">
        <v>44804</v>
      </c>
      <c r="C1644" s="1" t="n">
        <v>45579</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36374-2022</t>
        </is>
      </c>
      <c r="B1645" s="1" t="n">
        <v>44804</v>
      </c>
      <c r="C1645" s="1" t="n">
        <v>45579</v>
      </c>
      <c r="D1645" t="inlineStr">
        <is>
          <t>JÄMTLANDS LÄN</t>
        </is>
      </c>
      <c r="E1645" t="inlineStr">
        <is>
          <t>STRÖMSUND</t>
        </is>
      </c>
      <c r="F1645" t="inlineStr">
        <is>
          <t>SCA</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36275-2022</t>
        </is>
      </c>
      <c r="B1646" s="1" t="n">
        <v>44803</v>
      </c>
      <c r="C1646" s="1" t="n">
        <v>45579</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36383-2022</t>
        </is>
      </c>
      <c r="B1647" s="1" t="n">
        <v>44804</v>
      </c>
      <c r="C1647" s="1" t="n">
        <v>45579</v>
      </c>
      <c r="D1647" t="inlineStr">
        <is>
          <t>JÄMTLANDS LÄN</t>
        </is>
      </c>
      <c r="E1647" t="inlineStr">
        <is>
          <t>STRÖMSUND</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36390-2022</t>
        </is>
      </c>
      <c r="B1648" s="1" t="n">
        <v>44804</v>
      </c>
      <c r="C1648" s="1" t="n">
        <v>45579</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36384-2022</t>
        </is>
      </c>
      <c r="B1649" s="1" t="n">
        <v>44804</v>
      </c>
      <c r="C1649" s="1" t="n">
        <v>45579</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36372-2022</t>
        </is>
      </c>
      <c r="B1650" s="1" t="n">
        <v>44804</v>
      </c>
      <c r="C1650" s="1" t="n">
        <v>45579</v>
      </c>
      <c r="D1650" t="inlineStr">
        <is>
          <t>JÄMTLANDS LÄN</t>
        </is>
      </c>
      <c r="E1650" t="inlineStr">
        <is>
          <t>STRÖMSUND</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36382-2022</t>
        </is>
      </c>
      <c r="B1651" s="1" t="n">
        <v>44803</v>
      </c>
      <c r="C1651" s="1" t="n">
        <v>45579</v>
      </c>
      <c r="D1651" t="inlineStr">
        <is>
          <t>JÄMTLANDS LÄN</t>
        </is>
      </c>
      <c r="E1651" t="inlineStr">
        <is>
          <t>STRÖMSUND</t>
        </is>
      </c>
      <c r="F1651" t="inlineStr">
        <is>
          <t>SCA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36581-2022</t>
        </is>
      </c>
      <c r="B1652" s="1" t="n">
        <v>44804</v>
      </c>
      <c r="C1652" s="1" t="n">
        <v>45579</v>
      </c>
      <c r="D1652" t="inlineStr">
        <is>
          <t>JÄMTLANDS LÄN</t>
        </is>
      </c>
      <c r="E1652" t="inlineStr">
        <is>
          <t>STRÖMSUND</t>
        </is>
      </c>
      <c r="F1652" t="inlineStr">
        <is>
          <t>Holmen skog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36559-2022</t>
        </is>
      </c>
      <c r="B1653" s="1" t="n">
        <v>44804</v>
      </c>
      <c r="C1653" s="1" t="n">
        <v>45579</v>
      </c>
      <c r="D1653" t="inlineStr">
        <is>
          <t>JÄMTLANDS LÄN</t>
        </is>
      </c>
      <c r="E1653" t="inlineStr">
        <is>
          <t>STRÖMSUND</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36690-2022</t>
        </is>
      </c>
      <c r="B1654" s="1" t="n">
        <v>44805</v>
      </c>
      <c r="C1654" s="1" t="n">
        <v>45579</v>
      </c>
      <c r="D1654" t="inlineStr">
        <is>
          <t>JÄMTLANDS LÄN</t>
        </is>
      </c>
      <c r="E1654" t="inlineStr">
        <is>
          <t>STRÖMSUND</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36698-2022</t>
        </is>
      </c>
      <c r="B1655" s="1" t="n">
        <v>44805</v>
      </c>
      <c r="C1655" s="1" t="n">
        <v>45579</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36689-2022</t>
        </is>
      </c>
      <c r="B1656" s="1" t="n">
        <v>44804</v>
      </c>
      <c r="C1656" s="1" t="n">
        <v>45579</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36699-2022</t>
        </is>
      </c>
      <c r="B1657" s="1" t="n">
        <v>44805</v>
      </c>
      <c r="C1657" s="1" t="n">
        <v>45579</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37090-2022</t>
        </is>
      </c>
      <c r="B1658" s="1" t="n">
        <v>44806</v>
      </c>
      <c r="C1658" s="1" t="n">
        <v>45579</v>
      </c>
      <c r="D1658" t="inlineStr">
        <is>
          <t>JÄMTLANDS LÄN</t>
        </is>
      </c>
      <c r="E1658" t="inlineStr">
        <is>
          <t>STRÖMSUND</t>
        </is>
      </c>
      <c r="F1658" t="inlineStr">
        <is>
          <t>Kommuner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37100-2022</t>
        </is>
      </c>
      <c r="B1659" s="1" t="n">
        <v>44806</v>
      </c>
      <c r="C1659" s="1" t="n">
        <v>45579</v>
      </c>
      <c r="D1659" t="inlineStr">
        <is>
          <t>JÄMTLANDS LÄN</t>
        </is>
      </c>
      <c r="E1659" t="inlineStr">
        <is>
          <t>STRÖMSUND</t>
        </is>
      </c>
      <c r="F1659" t="inlineStr">
        <is>
          <t>Kommuner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37107-2022</t>
        </is>
      </c>
      <c r="B1660" s="1" t="n">
        <v>44806</v>
      </c>
      <c r="C1660" s="1" t="n">
        <v>45579</v>
      </c>
      <c r="D1660" t="inlineStr">
        <is>
          <t>JÄMTLANDS LÄN</t>
        </is>
      </c>
      <c r="E1660" t="inlineStr">
        <is>
          <t>STRÖMSUND</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37084-2022</t>
        </is>
      </c>
      <c r="B1661" s="1" t="n">
        <v>44806</v>
      </c>
      <c r="C1661" s="1" t="n">
        <v>45579</v>
      </c>
      <c r="D1661" t="inlineStr">
        <is>
          <t>JÄMTLANDS LÄN</t>
        </is>
      </c>
      <c r="E1661" t="inlineStr">
        <is>
          <t>STRÖMSUND</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37093-2022</t>
        </is>
      </c>
      <c r="B1662" s="1" t="n">
        <v>44806</v>
      </c>
      <c r="C1662" s="1" t="n">
        <v>45579</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37097-2022</t>
        </is>
      </c>
      <c r="B1663" s="1" t="n">
        <v>44806</v>
      </c>
      <c r="C1663" s="1" t="n">
        <v>45579</v>
      </c>
      <c r="D1663" t="inlineStr">
        <is>
          <t>JÄMTLANDS LÄN</t>
        </is>
      </c>
      <c r="E1663" t="inlineStr">
        <is>
          <t>STRÖMSUND</t>
        </is>
      </c>
      <c r="F1663" t="inlineStr">
        <is>
          <t>Kommuner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37102-2022</t>
        </is>
      </c>
      <c r="B1664" s="1" t="n">
        <v>44806</v>
      </c>
      <c r="C1664" s="1" t="n">
        <v>45579</v>
      </c>
      <c r="D1664" t="inlineStr">
        <is>
          <t>JÄMTLANDS LÄN</t>
        </is>
      </c>
      <c r="E1664" t="inlineStr">
        <is>
          <t>STRÖMSUND</t>
        </is>
      </c>
      <c r="F1664" t="inlineStr">
        <is>
          <t>Kommuner</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37078-2022</t>
        </is>
      </c>
      <c r="B1665" s="1" t="n">
        <v>44806</v>
      </c>
      <c r="C1665" s="1" t="n">
        <v>45579</v>
      </c>
      <c r="D1665" t="inlineStr">
        <is>
          <t>JÄMTLANDS LÄN</t>
        </is>
      </c>
      <c r="E1665" t="inlineStr">
        <is>
          <t>STRÖMSUND</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37104-2022</t>
        </is>
      </c>
      <c r="B1666" s="1" t="n">
        <v>44806</v>
      </c>
      <c r="C1666" s="1" t="n">
        <v>45579</v>
      </c>
      <c r="D1666" t="inlineStr">
        <is>
          <t>JÄMTLANDS LÄN</t>
        </is>
      </c>
      <c r="E1666" t="inlineStr">
        <is>
          <t>STRÖMSUND</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37231-2022</t>
        </is>
      </c>
      <c r="B1667" s="1" t="n">
        <v>44806</v>
      </c>
      <c r="C1667" s="1" t="n">
        <v>45579</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37791-2022</t>
        </is>
      </c>
      <c r="B1668" s="1" t="n">
        <v>44810</v>
      </c>
      <c r="C1668" s="1" t="n">
        <v>45579</v>
      </c>
      <c r="D1668" t="inlineStr">
        <is>
          <t>JÄMTLANDS LÄN</t>
        </is>
      </c>
      <c r="E1668" t="inlineStr">
        <is>
          <t>STRÖMSUND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38415-2022</t>
        </is>
      </c>
      <c r="B1669" s="1" t="n">
        <v>44812</v>
      </c>
      <c r="C1669" s="1" t="n">
        <v>45579</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38414-2022</t>
        </is>
      </c>
      <c r="B1670" s="1" t="n">
        <v>44812</v>
      </c>
      <c r="C1670" s="1" t="n">
        <v>45579</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38413-2022</t>
        </is>
      </c>
      <c r="B1671" s="1" t="n">
        <v>44812</v>
      </c>
      <c r="C1671" s="1" t="n">
        <v>45579</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38661-2022</t>
        </is>
      </c>
      <c r="B1672" s="1" t="n">
        <v>44813</v>
      </c>
      <c r="C1672" s="1" t="n">
        <v>45579</v>
      </c>
      <c r="D1672" t="inlineStr">
        <is>
          <t>JÄMTLANDS LÄN</t>
        </is>
      </c>
      <c r="E1672" t="inlineStr">
        <is>
          <t>STRÖMSUND</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39000-2022</t>
        </is>
      </c>
      <c r="B1673" s="1" t="n">
        <v>44817</v>
      </c>
      <c r="C1673" s="1" t="n">
        <v>45579</v>
      </c>
      <c r="D1673" t="inlineStr">
        <is>
          <t>JÄMTLANDS LÄN</t>
        </is>
      </c>
      <c r="E1673" t="inlineStr">
        <is>
          <t>STRÖMSUND</t>
        </is>
      </c>
      <c r="F1673" t="inlineStr">
        <is>
          <t>SCA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39010-2022</t>
        </is>
      </c>
      <c r="B1674" s="1" t="n">
        <v>44816</v>
      </c>
      <c r="C1674" s="1" t="n">
        <v>45579</v>
      </c>
      <c r="D1674" t="inlineStr">
        <is>
          <t>JÄMTLANDS LÄN</t>
        </is>
      </c>
      <c r="E1674" t="inlineStr">
        <is>
          <t>STRÖMSUND</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39007-2022</t>
        </is>
      </c>
      <c r="B1675" s="1" t="n">
        <v>44817</v>
      </c>
      <c r="C1675" s="1" t="n">
        <v>45579</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39009-2022</t>
        </is>
      </c>
      <c r="B1676" s="1" t="n">
        <v>44817</v>
      </c>
      <c r="C1676" s="1" t="n">
        <v>45579</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39388-2022</t>
        </is>
      </c>
      <c r="B1677" s="1" t="n">
        <v>44817</v>
      </c>
      <c r="C1677" s="1" t="n">
        <v>45579</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39689-2022</t>
        </is>
      </c>
      <c r="B1678" s="1" t="n">
        <v>44818</v>
      </c>
      <c r="C1678" s="1" t="n">
        <v>45579</v>
      </c>
      <c r="D1678" t="inlineStr">
        <is>
          <t>JÄMTLANDS LÄN</t>
        </is>
      </c>
      <c r="E1678" t="inlineStr">
        <is>
          <t>STRÖMSUND</t>
        </is>
      </c>
      <c r="F1678" t="inlineStr">
        <is>
          <t>SCA</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39690-2022</t>
        </is>
      </c>
      <c r="B1679" s="1" t="n">
        <v>44819</v>
      </c>
      <c r="C1679" s="1" t="n">
        <v>45579</v>
      </c>
      <c r="D1679" t="inlineStr">
        <is>
          <t>JÄMTLANDS LÄN</t>
        </is>
      </c>
      <c r="E1679" t="inlineStr">
        <is>
          <t>STRÖMSUND</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39700-2022</t>
        </is>
      </c>
      <c r="B1680" s="1" t="n">
        <v>44819</v>
      </c>
      <c r="C1680" s="1" t="n">
        <v>45579</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39882-2022</t>
        </is>
      </c>
      <c r="B1681" s="1" t="n">
        <v>44819</v>
      </c>
      <c r="C1681" s="1" t="n">
        <v>45579</v>
      </c>
      <c r="D1681" t="inlineStr">
        <is>
          <t>JÄMTLANDS LÄN</t>
        </is>
      </c>
      <c r="E1681" t="inlineStr">
        <is>
          <t>STRÖMSUND</t>
        </is>
      </c>
      <c r="F1681" t="inlineStr">
        <is>
          <t>Sveaskog</t>
        </is>
      </c>
      <c r="G1681" t="n">
        <v>32.6</v>
      </c>
      <c r="H1681" t="n">
        <v>0</v>
      </c>
      <c r="I1681" t="n">
        <v>0</v>
      </c>
      <c r="J1681" t="n">
        <v>0</v>
      </c>
      <c r="K1681" t="n">
        <v>0</v>
      </c>
      <c r="L1681" t="n">
        <v>0</v>
      </c>
      <c r="M1681" t="n">
        <v>0</v>
      </c>
      <c r="N1681" t="n">
        <v>0</v>
      </c>
      <c r="O1681" t="n">
        <v>0</v>
      </c>
      <c r="P1681" t="n">
        <v>0</v>
      </c>
      <c r="Q1681" t="n">
        <v>0</v>
      </c>
      <c r="R1681" s="2" t="inlineStr"/>
    </row>
    <row r="1682" ht="15" customHeight="1">
      <c r="A1682" t="inlineStr">
        <is>
          <t>A 39890-2022</t>
        </is>
      </c>
      <c r="B1682" s="1" t="n">
        <v>44819</v>
      </c>
      <c r="C1682" s="1" t="n">
        <v>45579</v>
      </c>
      <c r="D1682" t="inlineStr">
        <is>
          <t>JÄMTLANDS LÄN</t>
        </is>
      </c>
      <c r="E1682" t="inlineStr">
        <is>
          <t>STRÖMSUND</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39889-2022</t>
        </is>
      </c>
      <c r="B1683" s="1" t="n">
        <v>44819</v>
      </c>
      <c r="C1683" s="1" t="n">
        <v>45579</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39892-2022</t>
        </is>
      </c>
      <c r="B1684" s="1" t="n">
        <v>44819</v>
      </c>
      <c r="C1684" s="1" t="n">
        <v>45579</v>
      </c>
      <c r="D1684" t="inlineStr">
        <is>
          <t>JÄMTLANDS LÄN</t>
        </is>
      </c>
      <c r="E1684" t="inlineStr">
        <is>
          <t>STRÖMSUND</t>
        </is>
      </c>
      <c r="F1684" t="inlineStr">
        <is>
          <t>Sveaskog</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39939-2022</t>
        </is>
      </c>
      <c r="B1685" s="1" t="n">
        <v>44820</v>
      </c>
      <c r="C1685" s="1" t="n">
        <v>45579</v>
      </c>
      <c r="D1685" t="inlineStr">
        <is>
          <t>JÄMTLANDS LÄN</t>
        </is>
      </c>
      <c r="E1685" t="inlineStr">
        <is>
          <t>STRÖMSUND</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39957-2022</t>
        </is>
      </c>
      <c r="B1686" s="1" t="n">
        <v>44820</v>
      </c>
      <c r="C1686" s="1" t="n">
        <v>45579</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40271-2022</t>
        </is>
      </c>
      <c r="B1687" s="1" t="n">
        <v>44821</v>
      </c>
      <c r="C1687" s="1" t="n">
        <v>45579</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40287-2022</t>
        </is>
      </c>
      <c r="B1688" s="1" t="n">
        <v>44821</v>
      </c>
      <c r="C1688" s="1" t="n">
        <v>45579</v>
      </c>
      <c r="D1688" t="inlineStr">
        <is>
          <t>JÄMTLANDS LÄN</t>
        </is>
      </c>
      <c r="E1688" t="inlineStr">
        <is>
          <t>STRÖMSUND</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40275-2022</t>
        </is>
      </c>
      <c r="B1689" s="1" t="n">
        <v>44820</v>
      </c>
      <c r="C1689" s="1" t="n">
        <v>45579</v>
      </c>
      <c r="D1689" t="inlineStr">
        <is>
          <t>JÄMTLANDS LÄN</t>
        </is>
      </c>
      <c r="E1689" t="inlineStr">
        <is>
          <t>STRÖMSUND</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40862-2022</t>
        </is>
      </c>
      <c r="B1690" s="1" t="n">
        <v>44820</v>
      </c>
      <c r="C1690" s="1" t="n">
        <v>45579</v>
      </c>
      <c r="D1690" t="inlineStr">
        <is>
          <t>JÄMTLANDS LÄN</t>
        </is>
      </c>
      <c r="E1690" t="inlineStr">
        <is>
          <t>STRÖMSUND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40272-2022</t>
        </is>
      </c>
      <c r="B1691" s="1" t="n">
        <v>44820</v>
      </c>
      <c r="C1691" s="1" t="n">
        <v>45579</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40290-2022</t>
        </is>
      </c>
      <c r="B1692" s="1" t="n">
        <v>44821</v>
      </c>
      <c r="C1692" s="1" t="n">
        <v>45579</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40602-2022</t>
        </is>
      </c>
      <c r="B1693" s="1" t="n">
        <v>44823</v>
      </c>
      <c r="C1693" s="1" t="n">
        <v>45579</v>
      </c>
      <c r="D1693" t="inlineStr">
        <is>
          <t>JÄMTLANDS LÄN</t>
        </is>
      </c>
      <c r="E1693" t="inlineStr">
        <is>
          <t>STRÖMSUND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40617-2022</t>
        </is>
      </c>
      <c r="B1694" s="1" t="n">
        <v>44823</v>
      </c>
      <c r="C1694" s="1" t="n">
        <v>45579</v>
      </c>
      <c r="D1694" t="inlineStr">
        <is>
          <t>JÄMTLANDS LÄN</t>
        </is>
      </c>
      <c r="E1694" t="inlineStr">
        <is>
          <t>STRÖMSUND</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40936-2022</t>
        </is>
      </c>
      <c r="B1695" s="1" t="n">
        <v>44823</v>
      </c>
      <c r="C1695" s="1" t="n">
        <v>45579</v>
      </c>
      <c r="D1695" t="inlineStr">
        <is>
          <t>JÄMTLANDS LÄN</t>
        </is>
      </c>
      <c r="E1695" t="inlineStr">
        <is>
          <t>STRÖMSUND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40840-2022</t>
        </is>
      </c>
      <c r="B1696" s="1" t="n">
        <v>44824</v>
      </c>
      <c r="C1696" s="1" t="n">
        <v>45579</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40841-2022</t>
        </is>
      </c>
      <c r="B1697" s="1" t="n">
        <v>44825</v>
      </c>
      <c r="C1697" s="1" t="n">
        <v>45579</v>
      </c>
      <c r="D1697" t="inlineStr">
        <is>
          <t>JÄMTLANDS LÄN</t>
        </is>
      </c>
      <c r="E1697" t="inlineStr">
        <is>
          <t>STRÖMSUND</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41171-2022</t>
        </is>
      </c>
      <c r="B1698" s="1" t="n">
        <v>44826</v>
      </c>
      <c r="C1698" s="1" t="n">
        <v>45579</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41194-2022</t>
        </is>
      </c>
      <c r="B1699" s="1" t="n">
        <v>44826</v>
      </c>
      <c r="C1699" s="1" t="n">
        <v>45579</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41818-2022</t>
        </is>
      </c>
      <c r="B1700" s="1" t="n">
        <v>44828</v>
      </c>
      <c r="C1700" s="1" t="n">
        <v>45579</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41820-2022</t>
        </is>
      </c>
      <c r="B1701" s="1" t="n">
        <v>44828</v>
      </c>
      <c r="C1701" s="1" t="n">
        <v>45579</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41822-2022</t>
        </is>
      </c>
      <c r="B1702" s="1" t="n">
        <v>44828</v>
      </c>
      <c r="C1702" s="1" t="n">
        <v>45579</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41828-2022</t>
        </is>
      </c>
      <c r="B1703" s="1" t="n">
        <v>44828</v>
      </c>
      <c r="C1703" s="1" t="n">
        <v>45579</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41829-2022</t>
        </is>
      </c>
      <c r="B1704" s="1" t="n">
        <v>44828</v>
      </c>
      <c r="C1704" s="1" t="n">
        <v>45579</v>
      </c>
      <c r="D1704" t="inlineStr">
        <is>
          <t>JÄMTLANDS LÄN</t>
        </is>
      </c>
      <c r="E1704" t="inlineStr">
        <is>
          <t>STRÖMSUND</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41821-2022</t>
        </is>
      </c>
      <c r="B1705" s="1" t="n">
        <v>44827</v>
      </c>
      <c r="C1705" s="1" t="n">
        <v>45579</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41827-2022</t>
        </is>
      </c>
      <c r="B1706" s="1" t="n">
        <v>44828</v>
      </c>
      <c r="C1706" s="1" t="n">
        <v>45579</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42155-2022</t>
        </is>
      </c>
      <c r="B1707" s="1" t="n">
        <v>44830</v>
      </c>
      <c r="C1707" s="1" t="n">
        <v>45579</v>
      </c>
      <c r="D1707" t="inlineStr">
        <is>
          <t>JÄMTLANDS LÄN</t>
        </is>
      </c>
      <c r="E1707" t="inlineStr">
        <is>
          <t>STRÖMSUND</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41972-2022</t>
        </is>
      </c>
      <c r="B1708" s="1" t="n">
        <v>44830</v>
      </c>
      <c r="C1708" s="1" t="n">
        <v>45579</v>
      </c>
      <c r="D1708" t="inlineStr">
        <is>
          <t>JÄMTLANDS LÄN</t>
        </is>
      </c>
      <c r="E1708" t="inlineStr">
        <is>
          <t>STRÖMSUND</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42237-2022</t>
        </is>
      </c>
      <c r="B1709" s="1" t="n">
        <v>44830</v>
      </c>
      <c r="C1709" s="1" t="n">
        <v>45579</v>
      </c>
      <c r="D1709" t="inlineStr">
        <is>
          <t>JÄMTLANDS LÄN</t>
        </is>
      </c>
      <c r="E1709" t="inlineStr">
        <is>
          <t>STRÖMSUND</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42280-2022</t>
        </is>
      </c>
      <c r="B1710" s="1" t="n">
        <v>44831</v>
      </c>
      <c r="C1710" s="1" t="n">
        <v>45579</v>
      </c>
      <c r="D1710" t="inlineStr">
        <is>
          <t>JÄMTLANDS LÄN</t>
        </is>
      </c>
      <c r="E1710" t="inlineStr">
        <is>
          <t>STRÖMSUND</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42294-2022</t>
        </is>
      </c>
      <c r="B1711" s="1" t="n">
        <v>44831</v>
      </c>
      <c r="C1711" s="1" t="n">
        <v>45579</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42660-2022</t>
        </is>
      </c>
      <c r="B1712" s="1" t="n">
        <v>44832</v>
      </c>
      <c r="C1712" s="1" t="n">
        <v>45579</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42770-2022</t>
        </is>
      </c>
      <c r="B1713" s="1" t="n">
        <v>44832</v>
      </c>
      <c r="C1713" s="1" t="n">
        <v>45579</v>
      </c>
      <c r="D1713" t="inlineStr">
        <is>
          <t>JÄMTLANDS LÄN</t>
        </is>
      </c>
      <c r="E1713" t="inlineStr">
        <is>
          <t>STRÖMSUND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42790-2022</t>
        </is>
      </c>
      <c r="B1714" s="1" t="n">
        <v>44832</v>
      </c>
      <c r="C1714" s="1" t="n">
        <v>45579</v>
      </c>
      <c r="D1714" t="inlineStr">
        <is>
          <t>JÄMTLANDS LÄN</t>
        </is>
      </c>
      <c r="E1714" t="inlineStr">
        <is>
          <t>STRÖMSUND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42760-2022</t>
        </is>
      </c>
      <c r="B1715" s="1" t="n">
        <v>44832</v>
      </c>
      <c r="C1715" s="1" t="n">
        <v>45579</v>
      </c>
      <c r="D1715" t="inlineStr">
        <is>
          <t>JÄMTLANDS LÄN</t>
        </is>
      </c>
      <c r="E1715" t="inlineStr">
        <is>
          <t>STRÖMSUND</t>
        </is>
      </c>
      <c r="F1715" t="inlineStr">
        <is>
          <t>Holmen skog AB</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42806-2022</t>
        </is>
      </c>
      <c r="B1716" s="1" t="n">
        <v>44832</v>
      </c>
      <c r="C1716" s="1" t="n">
        <v>45579</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42896-2022</t>
        </is>
      </c>
      <c r="B1717" s="1" t="n">
        <v>44832</v>
      </c>
      <c r="C1717" s="1" t="n">
        <v>45579</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42902-2022</t>
        </is>
      </c>
      <c r="B1718" s="1" t="n">
        <v>44832</v>
      </c>
      <c r="C1718" s="1" t="n">
        <v>45579</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43160-2022</t>
        </is>
      </c>
      <c r="B1719" s="1" t="n">
        <v>44834</v>
      </c>
      <c r="C1719" s="1" t="n">
        <v>45579</v>
      </c>
      <c r="D1719" t="inlineStr">
        <is>
          <t>JÄMTLANDS LÄN</t>
        </is>
      </c>
      <c r="E1719" t="inlineStr">
        <is>
          <t>STRÖMSUND</t>
        </is>
      </c>
      <c r="F1719" t="inlineStr">
        <is>
          <t>SCA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43140-2022</t>
        </is>
      </c>
      <c r="B1720" s="1" t="n">
        <v>44834</v>
      </c>
      <c r="C1720" s="1" t="n">
        <v>45579</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43146-2022</t>
        </is>
      </c>
      <c r="B1721" s="1" t="n">
        <v>44833</v>
      </c>
      <c r="C1721" s="1" t="n">
        <v>45579</v>
      </c>
      <c r="D1721" t="inlineStr">
        <is>
          <t>JÄMTLANDS LÄN</t>
        </is>
      </c>
      <c r="E1721" t="inlineStr">
        <is>
          <t>STRÖMSUND</t>
        </is>
      </c>
      <c r="F1721" t="inlineStr">
        <is>
          <t>SCA</t>
        </is>
      </c>
      <c r="G1721" t="n">
        <v>33.3</v>
      </c>
      <c r="H1721" t="n">
        <v>0</v>
      </c>
      <c r="I1721" t="n">
        <v>0</v>
      </c>
      <c r="J1721" t="n">
        <v>0</v>
      </c>
      <c r="K1721" t="n">
        <v>0</v>
      </c>
      <c r="L1721" t="n">
        <v>0</v>
      </c>
      <c r="M1721" t="n">
        <v>0</v>
      </c>
      <c r="N1721" t="n">
        <v>0</v>
      </c>
      <c r="O1721" t="n">
        <v>0</v>
      </c>
      <c r="P1721" t="n">
        <v>0</v>
      </c>
      <c r="Q1721" t="n">
        <v>0</v>
      </c>
      <c r="R1721" s="2" t="inlineStr"/>
    </row>
    <row r="1722" ht="15" customHeight="1">
      <c r="A1722" t="inlineStr">
        <is>
          <t>A 43165-2022</t>
        </is>
      </c>
      <c r="B1722" s="1" t="n">
        <v>44833</v>
      </c>
      <c r="C1722" s="1" t="n">
        <v>45579</v>
      </c>
      <c r="D1722" t="inlineStr">
        <is>
          <t>JÄMTLANDS LÄN</t>
        </is>
      </c>
      <c r="E1722" t="inlineStr">
        <is>
          <t>STRÖMSUND</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43432-2022</t>
        </is>
      </c>
      <c r="B1723" s="1" t="n">
        <v>44834</v>
      </c>
      <c r="C1723" s="1" t="n">
        <v>45579</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43607-2022</t>
        </is>
      </c>
      <c r="B1724" s="1" t="n">
        <v>44834</v>
      </c>
      <c r="C1724" s="1" t="n">
        <v>45579</v>
      </c>
      <c r="D1724" t="inlineStr">
        <is>
          <t>JÄMTLANDS LÄN</t>
        </is>
      </c>
      <c r="E1724" t="inlineStr">
        <is>
          <t>STRÖMSUND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45969-2022</t>
        </is>
      </c>
      <c r="B1725" s="1" t="n">
        <v>44834</v>
      </c>
      <c r="C1725" s="1" t="n">
        <v>45579</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43458-2022</t>
        </is>
      </c>
      <c r="B1726" s="1" t="n">
        <v>44836</v>
      </c>
      <c r="C1726" s="1" t="n">
        <v>45579</v>
      </c>
      <c r="D1726" t="inlineStr">
        <is>
          <t>JÄMTLANDS LÄN</t>
        </is>
      </c>
      <c r="E1726" t="inlineStr">
        <is>
          <t>STRÖMSUND</t>
        </is>
      </c>
      <c r="F1726" t="inlineStr">
        <is>
          <t>SCA</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43453-2022</t>
        </is>
      </c>
      <c r="B1727" s="1" t="n">
        <v>44835</v>
      </c>
      <c r="C1727" s="1" t="n">
        <v>45579</v>
      </c>
      <c r="D1727" t="inlineStr">
        <is>
          <t>JÄMTLANDS LÄN</t>
        </is>
      </c>
      <c r="E1727" t="inlineStr">
        <is>
          <t>STRÖMSUND</t>
        </is>
      </c>
      <c r="F1727" t="inlineStr">
        <is>
          <t>SCA</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43460-2022</t>
        </is>
      </c>
      <c r="B1728" s="1" t="n">
        <v>44836</v>
      </c>
      <c r="C1728" s="1" t="n">
        <v>45579</v>
      </c>
      <c r="D1728" t="inlineStr">
        <is>
          <t>JÄMTLANDS LÄN</t>
        </is>
      </c>
      <c r="E1728" t="inlineStr">
        <is>
          <t>STRÖMSUND</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43455-2022</t>
        </is>
      </c>
      <c r="B1729" s="1" t="n">
        <v>44836</v>
      </c>
      <c r="C1729" s="1" t="n">
        <v>45579</v>
      </c>
      <c r="D1729" t="inlineStr">
        <is>
          <t>JÄMTLANDS LÄN</t>
        </is>
      </c>
      <c r="E1729" t="inlineStr">
        <is>
          <t>STRÖMSUND</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43459-2022</t>
        </is>
      </c>
      <c r="B1730" s="1" t="n">
        <v>44836</v>
      </c>
      <c r="C1730" s="1" t="n">
        <v>45579</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43773-2022</t>
        </is>
      </c>
      <c r="B1731" s="1" t="n">
        <v>44838</v>
      </c>
      <c r="C1731" s="1" t="n">
        <v>45579</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43790-2022</t>
        </is>
      </c>
      <c r="B1732" s="1" t="n">
        <v>44837</v>
      </c>
      <c r="C1732" s="1" t="n">
        <v>45579</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44049-2022</t>
        </is>
      </c>
      <c r="B1733" s="1" t="n">
        <v>44839</v>
      </c>
      <c r="C1733" s="1" t="n">
        <v>45579</v>
      </c>
      <c r="D1733" t="inlineStr">
        <is>
          <t>JÄMTLANDS LÄN</t>
        </is>
      </c>
      <c r="E1733" t="inlineStr">
        <is>
          <t>STRÖMSUND</t>
        </is>
      </c>
      <c r="F1733" t="inlineStr">
        <is>
          <t>SCA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44453-2022</t>
        </is>
      </c>
      <c r="B1734" s="1" t="n">
        <v>44840</v>
      </c>
      <c r="C1734" s="1" t="n">
        <v>45579</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44096-2022</t>
        </is>
      </c>
      <c r="B1735" s="1" t="n">
        <v>44839</v>
      </c>
      <c r="C1735" s="1" t="n">
        <v>45579</v>
      </c>
      <c r="D1735" t="inlineStr">
        <is>
          <t>JÄMTLANDS LÄN</t>
        </is>
      </c>
      <c r="E1735" t="inlineStr">
        <is>
          <t>STRÖMSUND</t>
        </is>
      </c>
      <c r="F1735" t="inlineStr">
        <is>
          <t>Holmen skog AB</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44429-2022</t>
        </is>
      </c>
      <c r="B1736" s="1" t="n">
        <v>44839</v>
      </c>
      <c r="C1736" s="1" t="n">
        <v>45579</v>
      </c>
      <c r="D1736" t="inlineStr">
        <is>
          <t>JÄMTLANDS LÄN</t>
        </is>
      </c>
      <c r="E1736" t="inlineStr">
        <is>
          <t>STRÖMSUND</t>
        </is>
      </c>
      <c r="F1736" t="inlineStr">
        <is>
          <t>SCA</t>
        </is>
      </c>
      <c r="G1736" t="n">
        <v>52.1</v>
      </c>
      <c r="H1736" t="n">
        <v>0</v>
      </c>
      <c r="I1736" t="n">
        <v>0</v>
      </c>
      <c r="J1736" t="n">
        <v>0</v>
      </c>
      <c r="K1736" t="n">
        <v>0</v>
      </c>
      <c r="L1736" t="n">
        <v>0</v>
      </c>
      <c r="M1736" t="n">
        <v>0</v>
      </c>
      <c r="N1736" t="n">
        <v>0</v>
      </c>
      <c r="O1736" t="n">
        <v>0</v>
      </c>
      <c r="P1736" t="n">
        <v>0</v>
      </c>
      <c r="Q1736" t="n">
        <v>0</v>
      </c>
      <c r="R1736" s="2" t="inlineStr"/>
    </row>
    <row r="1737" ht="15" customHeight="1">
      <c r="A1737" t="inlineStr">
        <is>
          <t>A 44448-2022</t>
        </is>
      </c>
      <c r="B1737" s="1" t="n">
        <v>44840</v>
      </c>
      <c r="C1737" s="1" t="n">
        <v>45579</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44449-2022</t>
        </is>
      </c>
      <c r="B1738" s="1" t="n">
        <v>44839</v>
      </c>
      <c r="C1738" s="1" t="n">
        <v>45579</v>
      </c>
      <c r="D1738" t="inlineStr">
        <is>
          <t>JÄMTLANDS LÄN</t>
        </is>
      </c>
      <c r="E1738" t="inlineStr">
        <is>
          <t>STRÖMSUND</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44249-2022</t>
        </is>
      </c>
      <c r="B1739" s="1" t="n">
        <v>44839</v>
      </c>
      <c r="C1739" s="1" t="n">
        <v>45579</v>
      </c>
      <c r="D1739" t="inlineStr">
        <is>
          <t>JÄMTLANDS LÄN</t>
        </is>
      </c>
      <c r="E1739" t="inlineStr">
        <is>
          <t>STRÖMSUND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44451-2022</t>
        </is>
      </c>
      <c r="B1740" s="1" t="n">
        <v>44840</v>
      </c>
      <c r="C1740" s="1" t="n">
        <v>45579</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44641-2022</t>
        </is>
      </c>
      <c r="B1741" s="1" t="n">
        <v>44839</v>
      </c>
      <c r="C1741" s="1" t="n">
        <v>45579</v>
      </c>
      <c r="D1741" t="inlineStr">
        <is>
          <t>JÄMTLANDS LÄN</t>
        </is>
      </c>
      <c r="E1741" t="inlineStr">
        <is>
          <t>STRÖMSUND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45074-2022</t>
        </is>
      </c>
      <c r="B1742" s="1" t="n">
        <v>44842</v>
      </c>
      <c r="C1742" s="1" t="n">
        <v>45579</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45308-2022</t>
        </is>
      </c>
      <c r="B1743" s="1" t="n">
        <v>44841</v>
      </c>
      <c r="C1743" s="1" t="n">
        <v>45579</v>
      </c>
      <c r="D1743" t="inlineStr">
        <is>
          <t>JÄMTLANDS LÄN</t>
        </is>
      </c>
      <c r="E1743" t="inlineStr">
        <is>
          <t>STRÖMSUND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45076-2022</t>
        </is>
      </c>
      <c r="B1744" s="1" t="n">
        <v>44842</v>
      </c>
      <c r="C1744" s="1" t="n">
        <v>45579</v>
      </c>
      <c r="D1744" t="inlineStr">
        <is>
          <t>JÄMTLANDS LÄN</t>
        </is>
      </c>
      <c r="E1744" t="inlineStr">
        <is>
          <t>STRÖMSUND</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45398-2022</t>
        </is>
      </c>
      <c r="B1745" s="1" t="n">
        <v>44841</v>
      </c>
      <c r="C1745" s="1" t="n">
        <v>45579</v>
      </c>
      <c r="D1745" t="inlineStr">
        <is>
          <t>JÄMTLANDS LÄN</t>
        </is>
      </c>
      <c r="E1745" t="inlineStr">
        <is>
          <t>STRÖMSUND</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45326-2022</t>
        </is>
      </c>
      <c r="B1746" s="1" t="n">
        <v>44841</v>
      </c>
      <c r="C1746" s="1" t="n">
        <v>45579</v>
      </c>
      <c r="D1746" t="inlineStr">
        <is>
          <t>JÄMTLANDS LÄN</t>
        </is>
      </c>
      <c r="E1746" t="inlineStr">
        <is>
          <t>STRÖMSUND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45071-2022</t>
        </is>
      </c>
      <c r="B1747" s="1" t="n">
        <v>44842</v>
      </c>
      <c r="C1747" s="1" t="n">
        <v>45579</v>
      </c>
      <c r="D1747" t="inlineStr">
        <is>
          <t>JÄMTLANDS LÄN</t>
        </is>
      </c>
      <c r="E1747" t="inlineStr">
        <is>
          <t>STRÖMSUND</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45331-2022</t>
        </is>
      </c>
      <c r="B1748" s="1" t="n">
        <v>44841</v>
      </c>
      <c r="C1748" s="1" t="n">
        <v>45579</v>
      </c>
      <c r="D1748" t="inlineStr">
        <is>
          <t>JÄMTLANDS LÄN</t>
        </is>
      </c>
      <c r="E1748" t="inlineStr">
        <is>
          <t>STRÖMSUND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45421-2022</t>
        </is>
      </c>
      <c r="B1749" s="1" t="n">
        <v>44845</v>
      </c>
      <c r="C1749" s="1" t="n">
        <v>45579</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45435-2022</t>
        </is>
      </c>
      <c r="B1750" s="1" t="n">
        <v>44845</v>
      </c>
      <c r="C1750" s="1" t="n">
        <v>45579</v>
      </c>
      <c r="D1750" t="inlineStr">
        <is>
          <t>JÄMTLANDS LÄN</t>
        </is>
      </c>
      <c r="E1750" t="inlineStr">
        <is>
          <t>STRÖMSUND</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45706-2022</t>
        </is>
      </c>
      <c r="B1751" s="1" t="n">
        <v>44846</v>
      </c>
      <c r="C1751" s="1" t="n">
        <v>45579</v>
      </c>
      <c r="D1751" t="inlineStr">
        <is>
          <t>JÄMTLANDS LÄN</t>
        </is>
      </c>
      <c r="E1751" t="inlineStr">
        <is>
          <t>STRÖMSUND</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45720-2022</t>
        </is>
      </c>
      <c r="B1752" s="1" t="n">
        <v>44846</v>
      </c>
      <c r="C1752" s="1" t="n">
        <v>45579</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46054-2022</t>
        </is>
      </c>
      <c r="B1753" s="1" t="n">
        <v>44846</v>
      </c>
      <c r="C1753" s="1" t="n">
        <v>45579</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47320-2022</t>
        </is>
      </c>
      <c r="B1754" s="1" t="n">
        <v>44846</v>
      </c>
      <c r="C1754" s="1" t="n">
        <v>45579</v>
      </c>
      <c r="D1754" t="inlineStr">
        <is>
          <t>JÄMTLANDS LÄN</t>
        </is>
      </c>
      <c r="E1754" t="inlineStr">
        <is>
          <t>STRÖMSUND</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46042-2022</t>
        </is>
      </c>
      <c r="B1755" s="1" t="n">
        <v>44847</v>
      </c>
      <c r="C1755" s="1" t="n">
        <v>45579</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46058-2022</t>
        </is>
      </c>
      <c r="B1756" s="1" t="n">
        <v>44847</v>
      </c>
      <c r="C1756" s="1" t="n">
        <v>45579</v>
      </c>
      <c r="D1756" t="inlineStr">
        <is>
          <t>JÄMTLANDS LÄN</t>
        </is>
      </c>
      <c r="E1756" t="inlineStr">
        <is>
          <t>STRÖMSUND</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46057-2022</t>
        </is>
      </c>
      <c r="B1757" s="1" t="n">
        <v>44847</v>
      </c>
      <c r="C1757" s="1" t="n">
        <v>45579</v>
      </c>
      <c r="D1757" t="inlineStr">
        <is>
          <t>JÄMTLANDS LÄN</t>
        </is>
      </c>
      <c r="E1757" t="inlineStr">
        <is>
          <t>STRÖMSUND</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46056-2022</t>
        </is>
      </c>
      <c r="B1758" s="1" t="n">
        <v>44847</v>
      </c>
      <c r="C1758" s="1" t="n">
        <v>45579</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46321-2022</t>
        </is>
      </c>
      <c r="B1759" s="1" t="n">
        <v>44848</v>
      </c>
      <c r="C1759" s="1" t="n">
        <v>45579</v>
      </c>
      <c r="D1759" t="inlineStr">
        <is>
          <t>JÄMTLANDS LÄN</t>
        </is>
      </c>
      <c r="E1759" t="inlineStr">
        <is>
          <t>STRÖMSUND</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46327-2022</t>
        </is>
      </c>
      <c r="B1760" s="1" t="n">
        <v>44848</v>
      </c>
      <c r="C1760" s="1" t="n">
        <v>45579</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46338-2022</t>
        </is>
      </c>
      <c r="B1761" s="1" t="n">
        <v>44848</v>
      </c>
      <c r="C1761" s="1" t="n">
        <v>45579</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46342-2022</t>
        </is>
      </c>
      <c r="B1762" s="1" t="n">
        <v>44848</v>
      </c>
      <c r="C1762" s="1" t="n">
        <v>45579</v>
      </c>
      <c r="D1762" t="inlineStr">
        <is>
          <t>JÄMTLANDS LÄN</t>
        </is>
      </c>
      <c r="E1762" t="inlineStr">
        <is>
          <t>STRÖMSUND</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46326-2022</t>
        </is>
      </c>
      <c r="B1763" s="1" t="n">
        <v>44848</v>
      </c>
      <c r="C1763" s="1" t="n">
        <v>45579</v>
      </c>
      <c r="D1763" t="inlineStr">
        <is>
          <t>JÄMTLANDS LÄN</t>
        </is>
      </c>
      <c r="E1763" t="inlineStr">
        <is>
          <t>STRÖMSUND</t>
        </is>
      </c>
      <c r="F1763" t="inlineStr">
        <is>
          <t>SCA</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46332-2022</t>
        </is>
      </c>
      <c r="B1764" s="1" t="n">
        <v>44848</v>
      </c>
      <c r="C1764" s="1" t="n">
        <v>45579</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46337-2022</t>
        </is>
      </c>
      <c r="B1765" s="1" t="n">
        <v>44848</v>
      </c>
      <c r="C1765" s="1" t="n">
        <v>45579</v>
      </c>
      <c r="D1765" t="inlineStr">
        <is>
          <t>JÄMTLANDS LÄN</t>
        </is>
      </c>
      <c r="E1765" t="inlineStr">
        <is>
          <t>STRÖMSUND</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46346-2022</t>
        </is>
      </c>
      <c r="B1766" s="1" t="n">
        <v>44848</v>
      </c>
      <c r="C1766" s="1" t="n">
        <v>45579</v>
      </c>
      <c r="D1766" t="inlineStr">
        <is>
          <t>JÄMTLANDS LÄN</t>
        </is>
      </c>
      <c r="E1766" t="inlineStr">
        <is>
          <t>STRÖMSUND</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46336-2022</t>
        </is>
      </c>
      <c r="B1767" s="1" t="n">
        <v>44848</v>
      </c>
      <c r="C1767" s="1" t="n">
        <v>45579</v>
      </c>
      <c r="D1767" t="inlineStr">
        <is>
          <t>JÄMTLANDS LÄN</t>
        </is>
      </c>
      <c r="E1767" t="inlineStr">
        <is>
          <t>STRÖMSUND</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46345-2022</t>
        </is>
      </c>
      <c r="B1768" s="1" t="n">
        <v>44848</v>
      </c>
      <c r="C1768" s="1" t="n">
        <v>45579</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46322-2022</t>
        </is>
      </c>
      <c r="B1769" s="1" t="n">
        <v>44848</v>
      </c>
      <c r="C1769" s="1" t="n">
        <v>45579</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46335-2022</t>
        </is>
      </c>
      <c r="B1770" s="1" t="n">
        <v>44848</v>
      </c>
      <c r="C1770" s="1" t="n">
        <v>45579</v>
      </c>
      <c r="D1770" t="inlineStr">
        <is>
          <t>JÄMTLANDS LÄN</t>
        </is>
      </c>
      <c r="E1770" t="inlineStr">
        <is>
          <t>STRÖMSUND</t>
        </is>
      </c>
      <c r="F1770" t="inlineStr">
        <is>
          <t>SCA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46339-2022</t>
        </is>
      </c>
      <c r="B1771" s="1" t="n">
        <v>44848</v>
      </c>
      <c r="C1771" s="1" t="n">
        <v>45579</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46633-2022</t>
        </is>
      </c>
      <c r="B1772" s="1" t="n">
        <v>44849</v>
      </c>
      <c r="C1772" s="1" t="n">
        <v>45579</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46975-2022</t>
        </is>
      </c>
      <c r="B1773" s="1" t="n">
        <v>44851</v>
      </c>
      <c r="C1773" s="1" t="n">
        <v>45579</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46953-2022</t>
        </is>
      </c>
      <c r="B1774" s="1" t="n">
        <v>44852</v>
      </c>
      <c r="C1774" s="1" t="n">
        <v>45579</v>
      </c>
      <c r="D1774" t="inlineStr">
        <is>
          <t>JÄMTLANDS LÄN</t>
        </is>
      </c>
      <c r="E1774" t="inlineStr">
        <is>
          <t>STRÖMSUND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46959-2022</t>
        </is>
      </c>
      <c r="B1775" s="1" t="n">
        <v>44851</v>
      </c>
      <c r="C1775" s="1" t="n">
        <v>45579</v>
      </c>
      <c r="D1775" t="inlineStr">
        <is>
          <t>JÄMTLANDS LÄN</t>
        </is>
      </c>
      <c r="E1775" t="inlineStr">
        <is>
          <t>STRÖMSUND</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46950-2022</t>
        </is>
      </c>
      <c r="B1776" s="1" t="n">
        <v>44851</v>
      </c>
      <c r="C1776" s="1" t="n">
        <v>45579</v>
      </c>
      <c r="D1776" t="inlineStr">
        <is>
          <t>JÄMTLANDS LÄN</t>
        </is>
      </c>
      <c r="E1776" t="inlineStr">
        <is>
          <t>STRÖMSUND</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46976-2022</t>
        </is>
      </c>
      <c r="B1777" s="1" t="n">
        <v>44851</v>
      </c>
      <c r="C1777" s="1" t="n">
        <v>45579</v>
      </c>
      <c r="D1777" t="inlineStr">
        <is>
          <t>JÄMTLANDS LÄN</t>
        </is>
      </c>
      <c r="E1777" t="inlineStr">
        <is>
          <t>STRÖMSUND</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46987-2022</t>
        </is>
      </c>
      <c r="B1778" s="1" t="n">
        <v>44851</v>
      </c>
      <c r="C1778" s="1" t="n">
        <v>45579</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47156-2022</t>
        </is>
      </c>
      <c r="B1779" s="1" t="n">
        <v>44852</v>
      </c>
      <c r="C1779" s="1" t="n">
        <v>45579</v>
      </c>
      <c r="D1779" t="inlineStr">
        <is>
          <t>JÄMTLANDS LÄN</t>
        </is>
      </c>
      <c r="E1779" t="inlineStr">
        <is>
          <t>STRÖMSUND</t>
        </is>
      </c>
      <c r="F1779" t="inlineStr">
        <is>
          <t>Holmen skog AB</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47248-2022</t>
        </is>
      </c>
      <c r="B1780" s="1" t="n">
        <v>44853</v>
      </c>
      <c r="C1780" s="1" t="n">
        <v>45579</v>
      </c>
      <c r="D1780" t="inlineStr">
        <is>
          <t>JÄMTLANDS LÄN</t>
        </is>
      </c>
      <c r="E1780" t="inlineStr">
        <is>
          <t>STRÖMSUND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47276-2022</t>
        </is>
      </c>
      <c r="B1781" s="1" t="n">
        <v>44853</v>
      </c>
      <c r="C1781" s="1" t="n">
        <v>45579</v>
      </c>
      <c r="D1781" t="inlineStr">
        <is>
          <t>JÄMTLANDS LÄN</t>
        </is>
      </c>
      <c r="E1781" t="inlineStr">
        <is>
          <t>STRÖMSUND</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47291-2022</t>
        </is>
      </c>
      <c r="B1782" s="1" t="n">
        <v>44852</v>
      </c>
      <c r="C1782" s="1" t="n">
        <v>45579</v>
      </c>
      <c r="D1782" t="inlineStr">
        <is>
          <t>JÄMTLANDS LÄN</t>
        </is>
      </c>
      <c r="E1782" t="inlineStr">
        <is>
          <t>STRÖMSUND</t>
        </is>
      </c>
      <c r="F1782" t="inlineStr">
        <is>
          <t>SCA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47271-2022</t>
        </is>
      </c>
      <c r="B1783" s="1" t="n">
        <v>44852</v>
      </c>
      <c r="C1783" s="1" t="n">
        <v>45579</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47289-2022</t>
        </is>
      </c>
      <c r="B1784" s="1" t="n">
        <v>44853</v>
      </c>
      <c r="C1784" s="1" t="n">
        <v>45579</v>
      </c>
      <c r="D1784" t="inlineStr">
        <is>
          <t>JÄMTLANDS LÄN</t>
        </is>
      </c>
      <c r="E1784" t="inlineStr">
        <is>
          <t>STRÖMSUND</t>
        </is>
      </c>
      <c r="F1784" t="inlineStr">
        <is>
          <t>SCA</t>
        </is>
      </c>
      <c r="G1784" t="n">
        <v>44.2</v>
      </c>
      <c r="H1784" t="n">
        <v>0</v>
      </c>
      <c r="I1784" t="n">
        <v>0</v>
      </c>
      <c r="J1784" t="n">
        <v>0</v>
      </c>
      <c r="K1784" t="n">
        <v>0</v>
      </c>
      <c r="L1784" t="n">
        <v>0</v>
      </c>
      <c r="M1784" t="n">
        <v>0</v>
      </c>
      <c r="N1784" t="n">
        <v>0</v>
      </c>
      <c r="O1784" t="n">
        <v>0</v>
      </c>
      <c r="P1784" t="n">
        <v>0</v>
      </c>
      <c r="Q1784" t="n">
        <v>0</v>
      </c>
      <c r="R1784" s="2" t="inlineStr"/>
    </row>
    <row r="1785" ht="15" customHeight="1">
      <c r="A1785" t="inlineStr">
        <is>
          <t>A 47290-2022</t>
        </is>
      </c>
      <c r="B1785" s="1" t="n">
        <v>44852</v>
      </c>
      <c r="C1785" s="1" t="n">
        <v>45579</v>
      </c>
      <c r="D1785" t="inlineStr">
        <is>
          <t>JÄMTLANDS LÄN</t>
        </is>
      </c>
      <c r="E1785" t="inlineStr">
        <is>
          <t>STRÖMSUND</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47098-2022</t>
        </is>
      </c>
      <c r="B1786" s="1" t="n">
        <v>44852</v>
      </c>
      <c r="C1786" s="1" t="n">
        <v>45579</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47360-2022</t>
        </is>
      </c>
      <c r="B1787" s="1" t="n">
        <v>44853</v>
      </c>
      <c r="C1787" s="1" t="n">
        <v>45579</v>
      </c>
      <c r="D1787" t="inlineStr">
        <is>
          <t>JÄMTLANDS LÄN</t>
        </is>
      </c>
      <c r="E1787" t="inlineStr">
        <is>
          <t>STRÖMSUND</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47391-2022</t>
        </is>
      </c>
      <c r="B1788" s="1" t="n">
        <v>44853</v>
      </c>
      <c r="C1788" s="1" t="n">
        <v>45579</v>
      </c>
      <c r="D1788" t="inlineStr">
        <is>
          <t>JÄMTLANDS LÄN</t>
        </is>
      </c>
      <c r="E1788" t="inlineStr">
        <is>
          <t>STRÖMSUND</t>
        </is>
      </c>
      <c r="F1788" t="inlineStr">
        <is>
          <t>Holmen skog AB</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47577-2022</t>
        </is>
      </c>
      <c r="B1789" s="1" t="n">
        <v>44853</v>
      </c>
      <c r="C1789" s="1" t="n">
        <v>45579</v>
      </c>
      <c r="D1789" t="inlineStr">
        <is>
          <t>JÄMTLANDS LÄN</t>
        </is>
      </c>
      <c r="E1789" t="inlineStr">
        <is>
          <t>STRÖMSUND</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47566-2022</t>
        </is>
      </c>
      <c r="B1790" s="1" t="n">
        <v>44854</v>
      </c>
      <c r="C1790" s="1" t="n">
        <v>45579</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47578-2022</t>
        </is>
      </c>
      <c r="B1791" s="1" t="n">
        <v>44853</v>
      </c>
      <c r="C1791" s="1" t="n">
        <v>45579</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47579-2022</t>
        </is>
      </c>
      <c r="B1792" s="1" t="n">
        <v>44854</v>
      </c>
      <c r="C1792" s="1" t="n">
        <v>45579</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47810-2022</t>
        </is>
      </c>
      <c r="B1793" s="1" t="n">
        <v>44855</v>
      </c>
      <c r="C1793" s="1" t="n">
        <v>45579</v>
      </c>
      <c r="D1793" t="inlineStr">
        <is>
          <t>JÄMTLANDS LÄN</t>
        </is>
      </c>
      <c r="E1793" t="inlineStr">
        <is>
          <t>STRÖMSUND</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48564-2022</t>
        </is>
      </c>
      <c r="B1794" s="1" t="n">
        <v>44854</v>
      </c>
      <c r="C1794" s="1" t="n">
        <v>45579</v>
      </c>
      <c r="D1794" t="inlineStr">
        <is>
          <t>JÄMTLANDS LÄN</t>
        </is>
      </c>
      <c r="E1794" t="inlineStr">
        <is>
          <t>STRÖMSUND</t>
        </is>
      </c>
      <c r="G1794" t="n">
        <v>10.2</v>
      </c>
      <c r="H1794" t="n">
        <v>0</v>
      </c>
      <c r="I1794" t="n">
        <v>0</v>
      </c>
      <c r="J1794" t="n">
        <v>0</v>
      </c>
      <c r="K1794" t="n">
        <v>0</v>
      </c>
      <c r="L1794" t="n">
        <v>0</v>
      </c>
      <c r="M1794" t="n">
        <v>0</v>
      </c>
      <c r="N1794" t="n">
        <v>0</v>
      </c>
      <c r="O1794" t="n">
        <v>0</v>
      </c>
      <c r="P1794" t="n">
        <v>0</v>
      </c>
      <c r="Q1794" t="n">
        <v>0</v>
      </c>
      <c r="R1794" s="2" t="inlineStr"/>
    </row>
    <row r="1795" ht="15" customHeight="1">
      <c r="A1795" t="inlineStr">
        <is>
          <t>A 47811-2022</t>
        </is>
      </c>
      <c r="B1795" s="1" t="n">
        <v>44855</v>
      </c>
      <c r="C1795" s="1" t="n">
        <v>45579</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48050-2022</t>
        </is>
      </c>
      <c r="B1796" s="1" t="n">
        <v>44856</v>
      </c>
      <c r="C1796" s="1" t="n">
        <v>45579</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48049-2022</t>
        </is>
      </c>
      <c r="B1797" s="1" t="n">
        <v>44856</v>
      </c>
      <c r="C1797" s="1" t="n">
        <v>45579</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48531-2022</t>
        </is>
      </c>
      <c r="B1798" s="1" t="n">
        <v>44858</v>
      </c>
      <c r="C1798" s="1" t="n">
        <v>45579</v>
      </c>
      <c r="D1798" t="inlineStr">
        <is>
          <t>JÄMTLANDS LÄN</t>
        </is>
      </c>
      <c r="E1798" t="inlineStr">
        <is>
          <t>STRÖMSUND</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48543-2022</t>
        </is>
      </c>
      <c r="B1799" s="1" t="n">
        <v>44859</v>
      </c>
      <c r="C1799" s="1" t="n">
        <v>45579</v>
      </c>
      <c r="D1799" t="inlineStr">
        <is>
          <t>JÄMTLANDS LÄN</t>
        </is>
      </c>
      <c r="E1799" t="inlineStr">
        <is>
          <t>STRÖMSUND</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48547-2022</t>
        </is>
      </c>
      <c r="B1800" s="1" t="n">
        <v>44858</v>
      </c>
      <c r="C1800" s="1" t="n">
        <v>45579</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45579</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48333-2022</t>
        </is>
      </c>
      <c r="B1802" s="1" t="n">
        <v>44858</v>
      </c>
      <c r="C1802" s="1" t="n">
        <v>45579</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48528-2022</t>
        </is>
      </c>
      <c r="B1803" s="1" t="n">
        <v>44859</v>
      </c>
      <c r="C1803" s="1" t="n">
        <v>45579</v>
      </c>
      <c r="D1803" t="inlineStr">
        <is>
          <t>JÄMTLANDS LÄN</t>
        </is>
      </c>
      <c r="E1803" t="inlineStr">
        <is>
          <t>STRÖMSUND</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48545-2022</t>
        </is>
      </c>
      <c r="B1804" s="1" t="n">
        <v>44858</v>
      </c>
      <c r="C1804" s="1" t="n">
        <v>45579</v>
      </c>
      <c r="D1804" t="inlineStr">
        <is>
          <t>JÄMTLANDS LÄN</t>
        </is>
      </c>
      <c r="E1804" t="inlineStr">
        <is>
          <t>STRÖMSUND</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48542-2022</t>
        </is>
      </c>
      <c r="B1805" s="1" t="n">
        <v>44859</v>
      </c>
      <c r="C1805" s="1" t="n">
        <v>45579</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48546-2022</t>
        </is>
      </c>
      <c r="B1806" s="1" t="n">
        <v>44858</v>
      </c>
      <c r="C1806" s="1" t="n">
        <v>45579</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48926-2022</t>
        </is>
      </c>
      <c r="B1807" s="1" t="n">
        <v>44859</v>
      </c>
      <c r="C1807" s="1" t="n">
        <v>45579</v>
      </c>
      <c r="D1807" t="inlineStr">
        <is>
          <t>JÄMTLANDS LÄN</t>
        </is>
      </c>
      <c r="E1807" t="inlineStr">
        <is>
          <t>STRÖMSUND</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48894-2022</t>
        </is>
      </c>
      <c r="B1808" s="1" t="n">
        <v>44860</v>
      </c>
      <c r="C1808" s="1" t="n">
        <v>45579</v>
      </c>
      <c r="D1808" t="inlineStr">
        <is>
          <t>JÄMTLANDS LÄN</t>
        </is>
      </c>
      <c r="E1808" t="inlineStr">
        <is>
          <t>STRÖMSUND</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48933-2022</t>
        </is>
      </c>
      <c r="B1809" s="1" t="n">
        <v>44860</v>
      </c>
      <c r="C1809" s="1" t="n">
        <v>45579</v>
      </c>
      <c r="D1809" t="inlineStr">
        <is>
          <t>JÄMTLANDS LÄN</t>
        </is>
      </c>
      <c r="E1809" t="inlineStr">
        <is>
          <t>STRÖMSUND</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49752-2022</t>
        </is>
      </c>
      <c r="B1810" s="1" t="n">
        <v>44859</v>
      </c>
      <c r="C1810" s="1" t="n">
        <v>45579</v>
      </c>
      <c r="D1810" t="inlineStr">
        <is>
          <t>JÄMTLANDS LÄN</t>
        </is>
      </c>
      <c r="E1810" t="inlineStr">
        <is>
          <t>STRÖMSUND</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48963-2022</t>
        </is>
      </c>
      <c r="B1811" s="1" t="n">
        <v>44860</v>
      </c>
      <c r="C1811" s="1" t="n">
        <v>45579</v>
      </c>
      <c r="D1811" t="inlineStr">
        <is>
          <t>JÄMTLANDS LÄN</t>
        </is>
      </c>
      <c r="E1811" t="inlineStr">
        <is>
          <t>STRÖMSUND</t>
        </is>
      </c>
      <c r="F1811" t="inlineStr">
        <is>
          <t>Sveaskog</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49541-2022</t>
        </is>
      </c>
      <c r="B1812" s="1" t="n">
        <v>44862</v>
      </c>
      <c r="C1812" s="1" t="n">
        <v>45579</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50313-2022</t>
        </is>
      </c>
      <c r="B1813" s="1" t="n">
        <v>44865</v>
      </c>
      <c r="C1813" s="1" t="n">
        <v>45579</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50317-2022</t>
        </is>
      </c>
      <c r="B1814" s="1" t="n">
        <v>44865</v>
      </c>
      <c r="C1814" s="1" t="n">
        <v>45579</v>
      </c>
      <c r="D1814" t="inlineStr">
        <is>
          <t>JÄMTLANDS LÄN</t>
        </is>
      </c>
      <c r="E1814" t="inlineStr">
        <is>
          <t>STRÖMSUND</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50316-2022</t>
        </is>
      </c>
      <c r="B1815" s="1" t="n">
        <v>44865</v>
      </c>
      <c r="C1815" s="1" t="n">
        <v>45579</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50305-2022</t>
        </is>
      </c>
      <c r="B1816" s="1" t="n">
        <v>44865</v>
      </c>
      <c r="C1816" s="1" t="n">
        <v>45579</v>
      </c>
      <c r="D1816" t="inlineStr">
        <is>
          <t>JÄMTLANDS LÄN</t>
        </is>
      </c>
      <c r="E1816" t="inlineStr">
        <is>
          <t>STRÖMSUND</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50314-2022</t>
        </is>
      </c>
      <c r="B1817" s="1" t="n">
        <v>44865</v>
      </c>
      <c r="C1817" s="1" t="n">
        <v>45579</v>
      </c>
      <c r="D1817" t="inlineStr">
        <is>
          <t>JÄMTLANDS LÄN</t>
        </is>
      </c>
      <c r="E1817" t="inlineStr">
        <is>
          <t>STRÖMSUND</t>
        </is>
      </c>
      <c r="F1817" t="inlineStr">
        <is>
          <t>SCA</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50337-2022</t>
        </is>
      </c>
      <c r="B1818" s="1" t="n">
        <v>44865</v>
      </c>
      <c r="C1818" s="1" t="n">
        <v>45579</v>
      </c>
      <c r="D1818" t="inlineStr">
        <is>
          <t>JÄMTLANDS LÄN</t>
        </is>
      </c>
      <c r="E1818" t="inlineStr">
        <is>
          <t>STRÖMSUND</t>
        </is>
      </c>
      <c r="F1818" t="inlineStr">
        <is>
          <t>SCA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50315-2022</t>
        </is>
      </c>
      <c r="B1819" s="1" t="n">
        <v>44865</v>
      </c>
      <c r="C1819" s="1" t="n">
        <v>45579</v>
      </c>
      <c r="D1819" t="inlineStr">
        <is>
          <t>JÄMTLANDS LÄN</t>
        </is>
      </c>
      <c r="E1819" t="inlineStr">
        <is>
          <t>STRÖMSUND</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50320-2022</t>
        </is>
      </c>
      <c r="B1820" s="1" t="n">
        <v>44865</v>
      </c>
      <c r="C1820" s="1" t="n">
        <v>45579</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50335-2022</t>
        </is>
      </c>
      <c r="B1821" s="1" t="n">
        <v>44865</v>
      </c>
      <c r="C1821" s="1" t="n">
        <v>45579</v>
      </c>
      <c r="D1821" t="inlineStr">
        <is>
          <t>JÄMTLANDS LÄN</t>
        </is>
      </c>
      <c r="E1821" t="inlineStr">
        <is>
          <t>STRÖMSUND</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50450-2022</t>
        </is>
      </c>
      <c r="B1822" s="1" t="n">
        <v>44866</v>
      </c>
      <c r="C1822" s="1" t="n">
        <v>45579</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50645-2022</t>
        </is>
      </c>
      <c r="B1823" s="1" t="n">
        <v>44866</v>
      </c>
      <c r="C1823" s="1" t="n">
        <v>45579</v>
      </c>
      <c r="D1823" t="inlineStr">
        <is>
          <t>JÄMTLANDS LÄN</t>
        </is>
      </c>
      <c r="E1823" t="inlineStr">
        <is>
          <t>STRÖMSUND</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50646-2022</t>
        </is>
      </c>
      <c r="B1824" s="1" t="n">
        <v>44866</v>
      </c>
      <c r="C1824" s="1" t="n">
        <v>45579</v>
      </c>
      <c r="D1824" t="inlineStr">
        <is>
          <t>JÄMTLANDS LÄN</t>
        </is>
      </c>
      <c r="E1824" t="inlineStr">
        <is>
          <t>STRÖMSUND</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50657-2022</t>
        </is>
      </c>
      <c r="B1825" s="1" t="n">
        <v>44866</v>
      </c>
      <c r="C1825" s="1" t="n">
        <v>45579</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50661-2022</t>
        </is>
      </c>
      <c r="B1826" s="1" t="n">
        <v>44866</v>
      </c>
      <c r="C1826" s="1" t="n">
        <v>45579</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50659-2022</t>
        </is>
      </c>
      <c r="B1827" s="1" t="n">
        <v>44866</v>
      </c>
      <c r="C1827" s="1" t="n">
        <v>45579</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50663-2022</t>
        </is>
      </c>
      <c r="B1828" s="1" t="n">
        <v>44866</v>
      </c>
      <c r="C1828" s="1" t="n">
        <v>45579</v>
      </c>
      <c r="D1828" t="inlineStr">
        <is>
          <t>JÄMTLANDS LÄN</t>
        </is>
      </c>
      <c r="E1828" t="inlineStr">
        <is>
          <t>STRÖMSUND</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50664-2022</t>
        </is>
      </c>
      <c r="B1829" s="1" t="n">
        <v>44866</v>
      </c>
      <c r="C1829" s="1" t="n">
        <v>45579</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50680-2022</t>
        </is>
      </c>
      <c r="B1830" s="1" t="n">
        <v>44866</v>
      </c>
      <c r="C1830" s="1" t="n">
        <v>45579</v>
      </c>
      <c r="D1830" t="inlineStr">
        <is>
          <t>JÄMTLANDS LÄN</t>
        </is>
      </c>
      <c r="E1830" t="inlineStr">
        <is>
          <t>STRÖMSUND</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50647-2022</t>
        </is>
      </c>
      <c r="B1831" s="1" t="n">
        <v>44866</v>
      </c>
      <c r="C1831" s="1" t="n">
        <v>45579</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50658-2022</t>
        </is>
      </c>
      <c r="B1832" s="1" t="n">
        <v>44866</v>
      </c>
      <c r="C1832" s="1" t="n">
        <v>45579</v>
      </c>
      <c r="D1832" t="inlineStr">
        <is>
          <t>JÄMTLANDS LÄN</t>
        </is>
      </c>
      <c r="E1832" t="inlineStr">
        <is>
          <t>STRÖMSUND</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51344-2022</t>
        </is>
      </c>
      <c r="B1833" s="1" t="n">
        <v>44866</v>
      </c>
      <c r="C1833" s="1" t="n">
        <v>45579</v>
      </c>
      <c r="D1833" t="inlineStr">
        <is>
          <t>JÄMTLANDS LÄN</t>
        </is>
      </c>
      <c r="E1833" t="inlineStr">
        <is>
          <t>STRÖMSUND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50681-2022</t>
        </is>
      </c>
      <c r="B1834" s="1" t="n">
        <v>44866</v>
      </c>
      <c r="C1834" s="1" t="n">
        <v>45579</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50687-2022</t>
        </is>
      </c>
      <c r="B1835" s="1" t="n">
        <v>44866</v>
      </c>
      <c r="C1835" s="1" t="n">
        <v>45579</v>
      </c>
      <c r="D1835" t="inlineStr">
        <is>
          <t>JÄMTLANDS LÄN</t>
        </is>
      </c>
      <c r="E1835" t="inlineStr">
        <is>
          <t>STRÖMSUND</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50934-2022</t>
        </is>
      </c>
      <c r="B1836" s="1" t="n">
        <v>44867</v>
      </c>
      <c r="C1836" s="1" t="n">
        <v>45579</v>
      </c>
      <c r="D1836" t="inlineStr">
        <is>
          <t>JÄMTLANDS LÄN</t>
        </is>
      </c>
      <c r="E1836" t="inlineStr">
        <is>
          <t>STRÖMSUND</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51013-2022</t>
        </is>
      </c>
      <c r="B1837" s="1" t="n">
        <v>44867</v>
      </c>
      <c r="C1837" s="1" t="n">
        <v>45579</v>
      </c>
      <c r="D1837" t="inlineStr">
        <is>
          <t>JÄMTLANDS LÄN</t>
        </is>
      </c>
      <c r="E1837" t="inlineStr">
        <is>
          <t>STRÖMSUND</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51015-2022</t>
        </is>
      </c>
      <c r="B1838" s="1" t="n">
        <v>44867</v>
      </c>
      <c r="C1838" s="1" t="n">
        <v>45579</v>
      </c>
      <c r="D1838" t="inlineStr">
        <is>
          <t>JÄMTLANDS LÄN</t>
        </is>
      </c>
      <c r="E1838" t="inlineStr">
        <is>
          <t>STRÖMSUND</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51021-2022</t>
        </is>
      </c>
      <c r="B1839" s="1" t="n">
        <v>44867</v>
      </c>
      <c r="C1839" s="1" t="n">
        <v>45579</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51889-2022</t>
        </is>
      </c>
      <c r="B1840" s="1" t="n">
        <v>44867</v>
      </c>
      <c r="C1840" s="1" t="n">
        <v>45579</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51325-2022</t>
        </is>
      </c>
      <c r="B1841" s="1" t="n">
        <v>44868</v>
      </c>
      <c r="C1841" s="1" t="n">
        <v>45579</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51324-2022</t>
        </is>
      </c>
      <c r="B1842" s="1" t="n">
        <v>44868</v>
      </c>
      <c r="C1842" s="1" t="n">
        <v>45579</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52181-2022</t>
        </is>
      </c>
      <c r="B1843" s="1" t="n">
        <v>44868</v>
      </c>
      <c r="C1843" s="1" t="n">
        <v>45579</v>
      </c>
      <c r="D1843" t="inlineStr">
        <is>
          <t>JÄMTLANDS LÄN</t>
        </is>
      </c>
      <c r="E1843" t="inlineStr">
        <is>
          <t>STRÖMSUND</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51450-2022</t>
        </is>
      </c>
      <c r="B1844" s="1" t="n">
        <v>44869</v>
      </c>
      <c r="C1844" s="1" t="n">
        <v>45579</v>
      </c>
      <c r="D1844" t="inlineStr">
        <is>
          <t>JÄMTLANDS LÄN</t>
        </is>
      </c>
      <c r="E1844" t="inlineStr">
        <is>
          <t>STRÖMSUND</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51562-2022</t>
        </is>
      </c>
      <c r="B1845" s="1" t="n">
        <v>44869</v>
      </c>
      <c r="C1845" s="1" t="n">
        <v>45579</v>
      </c>
      <c r="D1845" t="inlineStr">
        <is>
          <t>JÄMTLANDS LÄN</t>
        </is>
      </c>
      <c r="E1845" t="inlineStr">
        <is>
          <t>STRÖMSUND</t>
        </is>
      </c>
      <c r="F1845" t="inlineStr">
        <is>
          <t>SCA</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51563-2022</t>
        </is>
      </c>
      <c r="B1846" s="1" t="n">
        <v>44869</v>
      </c>
      <c r="C1846" s="1" t="n">
        <v>45579</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52038-2022</t>
        </is>
      </c>
      <c r="B1847" s="1" t="n">
        <v>44872</v>
      </c>
      <c r="C1847" s="1" t="n">
        <v>45579</v>
      </c>
      <c r="D1847" t="inlineStr">
        <is>
          <t>JÄMTLANDS LÄN</t>
        </is>
      </c>
      <c r="E1847" t="inlineStr">
        <is>
          <t>STRÖMSUND</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52028-2022</t>
        </is>
      </c>
      <c r="B1848" s="1" t="n">
        <v>44872</v>
      </c>
      <c r="C1848" s="1" t="n">
        <v>45579</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52806-2022</t>
        </is>
      </c>
      <c r="B1849" s="1" t="n">
        <v>44872</v>
      </c>
      <c r="C1849" s="1" t="n">
        <v>45579</v>
      </c>
      <c r="D1849" t="inlineStr">
        <is>
          <t>JÄMTLANDS LÄN</t>
        </is>
      </c>
      <c r="E1849" t="inlineStr">
        <is>
          <t>STRÖMSUND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52345-2022</t>
        </is>
      </c>
      <c r="B1850" s="1" t="n">
        <v>44873</v>
      </c>
      <c r="C1850" s="1" t="n">
        <v>45579</v>
      </c>
      <c r="D1850" t="inlineStr">
        <is>
          <t>JÄMTLANDS LÄN</t>
        </is>
      </c>
      <c r="E1850" t="inlineStr">
        <is>
          <t>STRÖMSUND</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52352-2022</t>
        </is>
      </c>
      <c r="B1851" s="1" t="n">
        <v>44873</v>
      </c>
      <c r="C1851" s="1" t="n">
        <v>45579</v>
      </c>
      <c r="D1851" t="inlineStr">
        <is>
          <t>JÄMTLANDS LÄN</t>
        </is>
      </c>
      <c r="E1851" t="inlineStr">
        <is>
          <t>STRÖMSUND</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52344-2022</t>
        </is>
      </c>
      <c r="B1852" s="1" t="n">
        <v>44873</v>
      </c>
      <c r="C1852" s="1" t="n">
        <v>45579</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52715-2022</t>
        </is>
      </c>
      <c r="B1853" s="1" t="n">
        <v>44874</v>
      </c>
      <c r="C1853" s="1" t="n">
        <v>45579</v>
      </c>
      <c r="D1853" t="inlineStr">
        <is>
          <t>JÄMTLANDS LÄN</t>
        </is>
      </c>
      <c r="E1853" t="inlineStr">
        <is>
          <t>STRÖMSUND</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52521-2022</t>
        </is>
      </c>
      <c r="B1854" s="1" t="n">
        <v>44874</v>
      </c>
      <c r="C1854" s="1" t="n">
        <v>45579</v>
      </c>
      <c r="D1854" t="inlineStr">
        <is>
          <t>JÄMTLANDS LÄN</t>
        </is>
      </c>
      <c r="E1854" t="inlineStr">
        <is>
          <t>STRÖMSUND</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52728-2022</t>
        </is>
      </c>
      <c r="B1855" s="1" t="n">
        <v>44874</v>
      </c>
      <c r="C1855" s="1" t="n">
        <v>45579</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53019-2022</t>
        </is>
      </c>
      <c r="B1856" s="1" t="n">
        <v>44875</v>
      </c>
      <c r="C1856" s="1" t="n">
        <v>45579</v>
      </c>
      <c r="D1856" t="inlineStr">
        <is>
          <t>JÄMTLANDS LÄN</t>
        </is>
      </c>
      <c r="E1856" t="inlineStr">
        <is>
          <t>STRÖMSUND</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53020-2022</t>
        </is>
      </c>
      <c r="B1857" s="1" t="n">
        <v>44875</v>
      </c>
      <c r="C1857" s="1" t="n">
        <v>45579</v>
      </c>
      <c r="D1857" t="inlineStr">
        <is>
          <t>JÄMTLANDS LÄN</t>
        </is>
      </c>
      <c r="E1857" t="inlineStr">
        <is>
          <t>STRÖMSUND</t>
        </is>
      </c>
      <c r="F1857" t="inlineStr">
        <is>
          <t>SCA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53016-2022</t>
        </is>
      </c>
      <c r="B1858" s="1" t="n">
        <v>44875</v>
      </c>
      <c r="C1858" s="1" t="n">
        <v>45579</v>
      </c>
      <c r="D1858" t="inlineStr">
        <is>
          <t>JÄMTLANDS LÄN</t>
        </is>
      </c>
      <c r="E1858" t="inlineStr">
        <is>
          <t>STRÖMSUND</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53143-2022</t>
        </is>
      </c>
      <c r="B1859" s="1" t="n">
        <v>44876</v>
      </c>
      <c r="C1859" s="1" t="n">
        <v>45579</v>
      </c>
      <c r="D1859" t="inlineStr">
        <is>
          <t>JÄMTLANDS LÄN</t>
        </is>
      </c>
      <c r="E1859" t="inlineStr">
        <is>
          <t>STRÖMSUND</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53149-2022</t>
        </is>
      </c>
      <c r="B1860" s="1" t="n">
        <v>44876</v>
      </c>
      <c r="C1860" s="1" t="n">
        <v>45579</v>
      </c>
      <c r="D1860" t="inlineStr">
        <is>
          <t>JÄMTLANDS LÄN</t>
        </is>
      </c>
      <c r="E1860" t="inlineStr">
        <is>
          <t>STRÖMSUND</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53816-2022</t>
        </is>
      </c>
      <c r="B1861" s="1" t="n">
        <v>44876</v>
      </c>
      <c r="C1861" s="1" t="n">
        <v>45579</v>
      </c>
      <c r="D1861" t="inlineStr">
        <is>
          <t>JÄMTLANDS LÄN</t>
        </is>
      </c>
      <c r="E1861" t="inlineStr">
        <is>
          <t>STRÖMSUND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54050-2022</t>
        </is>
      </c>
      <c r="B1862" s="1" t="n">
        <v>44876</v>
      </c>
      <c r="C1862" s="1" t="n">
        <v>45579</v>
      </c>
      <c r="D1862" t="inlineStr">
        <is>
          <t>JÄMTLANDS LÄN</t>
        </is>
      </c>
      <c r="E1862" t="inlineStr">
        <is>
          <t>STRÖMSUND</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53318-2022</t>
        </is>
      </c>
      <c r="B1863" s="1" t="n">
        <v>44878</v>
      </c>
      <c r="C1863" s="1" t="n">
        <v>45579</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53338-2022</t>
        </is>
      </c>
      <c r="B1864" s="1" t="n">
        <v>44879</v>
      </c>
      <c r="C1864" s="1" t="n">
        <v>45579</v>
      </c>
      <c r="D1864" t="inlineStr">
        <is>
          <t>JÄMTLANDS LÄN</t>
        </is>
      </c>
      <c r="E1864" t="inlineStr">
        <is>
          <t>STRÖMSUND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53400-2022</t>
        </is>
      </c>
      <c r="B1865" s="1" t="n">
        <v>44879</v>
      </c>
      <c r="C1865" s="1" t="n">
        <v>45579</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53396-2022</t>
        </is>
      </c>
      <c r="B1866" s="1" t="n">
        <v>44879</v>
      </c>
      <c r="C1866" s="1" t="n">
        <v>45579</v>
      </c>
      <c r="D1866" t="inlineStr">
        <is>
          <t>JÄMTLANDS LÄN</t>
        </is>
      </c>
      <c r="E1866" t="inlineStr">
        <is>
          <t>STRÖMSUND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54577-2022</t>
        </is>
      </c>
      <c r="B1867" s="1" t="n">
        <v>44882</v>
      </c>
      <c r="C1867" s="1" t="n">
        <v>45579</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54581-2022</t>
        </is>
      </c>
      <c r="B1868" s="1" t="n">
        <v>44882</v>
      </c>
      <c r="C1868" s="1" t="n">
        <v>45579</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55459-2022</t>
        </is>
      </c>
      <c r="B1869" s="1" t="n">
        <v>44882</v>
      </c>
      <c r="C1869" s="1" t="n">
        <v>45579</v>
      </c>
      <c r="D1869" t="inlineStr">
        <is>
          <t>JÄMTLANDS LÄN</t>
        </is>
      </c>
      <c r="E1869" t="inlineStr">
        <is>
          <t>STRÖMSUND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55485-2022</t>
        </is>
      </c>
      <c r="B1870" s="1" t="n">
        <v>44882</v>
      </c>
      <c r="C1870" s="1" t="n">
        <v>45579</v>
      </c>
      <c r="D1870" t="inlineStr">
        <is>
          <t>JÄMTLANDS LÄN</t>
        </is>
      </c>
      <c r="E1870" t="inlineStr">
        <is>
          <t>STRÖMSUND</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54828-2022</t>
        </is>
      </c>
      <c r="B1871" s="1" t="n">
        <v>44883</v>
      </c>
      <c r="C1871" s="1" t="n">
        <v>45579</v>
      </c>
      <c r="D1871" t="inlineStr">
        <is>
          <t>JÄMTLANDS LÄN</t>
        </is>
      </c>
      <c r="E1871" t="inlineStr">
        <is>
          <t>STRÖMSUND</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54839-2022</t>
        </is>
      </c>
      <c r="B1872" s="1" t="n">
        <v>44883</v>
      </c>
      <c r="C1872" s="1" t="n">
        <v>45579</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54843-2022</t>
        </is>
      </c>
      <c r="B1873" s="1" t="n">
        <v>44883</v>
      </c>
      <c r="C1873" s="1" t="n">
        <v>45579</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54844-2022</t>
        </is>
      </c>
      <c r="B1874" s="1" t="n">
        <v>44883</v>
      </c>
      <c r="C1874" s="1" t="n">
        <v>45579</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55525-2022</t>
        </is>
      </c>
      <c r="B1875" s="1" t="n">
        <v>44887</v>
      </c>
      <c r="C1875" s="1" t="n">
        <v>45579</v>
      </c>
      <c r="D1875" t="inlineStr">
        <is>
          <t>JÄMTLANDS LÄN</t>
        </is>
      </c>
      <c r="E1875" t="inlineStr">
        <is>
          <t>STRÖMSUND</t>
        </is>
      </c>
      <c r="F1875" t="inlineStr">
        <is>
          <t>SCA</t>
        </is>
      </c>
      <c r="G1875" t="n">
        <v>14.3</v>
      </c>
      <c r="H1875" t="n">
        <v>0</v>
      </c>
      <c r="I1875" t="n">
        <v>0</v>
      </c>
      <c r="J1875" t="n">
        <v>0</v>
      </c>
      <c r="K1875" t="n">
        <v>0</v>
      </c>
      <c r="L1875" t="n">
        <v>0</v>
      </c>
      <c r="M1875" t="n">
        <v>0</v>
      </c>
      <c r="N1875" t="n">
        <v>0</v>
      </c>
      <c r="O1875" t="n">
        <v>0</v>
      </c>
      <c r="P1875" t="n">
        <v>0</v>
      </c>
      <c r="Q1875" t="n">
        <v>0</v>
      </c>
      <c r="R1875" s="2" t="inlineStr"/>
    </row>
    <row r="1876" ht="15" customHeight="1">
      <c r="A1876" t="inlineStr">
        <is>
          <t>A 55524-2022</t>
        </is>
      </c>
      <c r="B1876" s="1" t="n">
        <v>44887</v>
      </c>
      <c r="C1876" s="1" t="n">
        <v>45579</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55531-2022</t>
        </is>
      </c>
      <c r="B1877" s="1" t="n">
        <v>44887</v>
      </c>
      <c r="C1877" s="1" t="n">
        <v>45579</v>
      </c>
      <c r="D1877" t="inlineStr">
        <is>
          <t>JÄMTLANDS LÄN</t>
        </is>
      </c>
      <c r="E1877" t="inlineStr">
        <is>
          <t>STRÖMSUND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55901-2022</t>
        </is>
      </c>
      <c r="B1878" s="1" t="n">
        <v>44888</v>
      </c>
      <c r="C1878" s="1" t="n">
        <v>45579</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56091-2022</t>
        </is>
      </c>
      <c r="B1879" s="1" t="n">
        <v>44889</v>
      </c>
      <c r="C1879" s="1" t="n">
        <v>45579</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56171-2022</t>
        </is>
      </c>
      <c r="B1880" s="1" t="n">
        <v>44889</v>
      </c>
      <c r="C1880" s="1" t="n">
        <v>45579</v>
      </c>
      <c r="D1880" t="inlineStr">
        <is>
          <t>JÄMTLANDS LÄN</t>
        </is>
      </c>
      <c r="E1880" t="inlineStr">
        <is>
          <t>STRÖMSUND</t>
        </is>
      </c>
      <c r="F1880" t="inlineStr">
        <is>
          <t>SCA</t>
        </is>
      </c>
      <c r="G1880" t="n">
        <v>21.9</v>
      </c>
      <c r="H1880" t="n">
        <v>0</v>
      </c>
      <c r="I1880" t="n">
        <v>0</v>
      </c>
      <c r="J1880" t="n">
        <v>0</v>
      </c>
      <c r="K1880" t="n">
        <v>0</v>
      </c>
      <c r="L1880" t="n">
        <v>0</v>
      </c>
      <c r="M1880" t="n">
        <v>0</v>
      </c>
      <c r="N1880" t="n">
        <v>0</v>
      </c>
      <c r="O1880" t="n">
        <v>0</v>
      </c>
      <c r="P1880" t="n">
        <v>0</v>
      </c>
      <c r="Q1880" t="n">
        <v>0</v>
      </c>
      <c r="R1880" s="2" t="inlineStr"/>
    </row>
    <row r="1881" ht="15" customHeight="1">
      <c r="A1881" t="inlineStr">
        <is>
          <t>A 56196-2022</t>
        </is>
      </c>
      <c r="B1881" s="1" t="n">
        <v>44889</v>
      </c>
      <c r="C1881" s="1" t="n">
        <v>45579</v>
      </c>
      <c r="D1881" t="inlineStr">
        <is>
          <t>JÄMTLANDS LÄN</t>
        </is>
      </c>
      <c r="E1881" t="inlineStr">
        <is>
          <t>STRÖMSUND</t>
        </is>
      </c>
      <c r="F1881" t="inlineStr">
        <is>
          <t>SCA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56412-2022</t>
        </is>
      </c>
      <c r="B1882" s="1" t="n">
        <v>44890</v>
      </c>
      <c r="C1882" s="1" t="n">
        <v>45579</v>
      </c>
      <c r="D1882" t="inlineStr">
        <is>
          <t>JÄMTLANDS LÄN</t>
        </is>
      </c>
      <c r="E1882" t="inlineStr">
        <is>
          <t>STRÖMSUND</t>
        </is>
      </c>
      <c r="F1882" t="inlineStr">
        <is>
          <t>SCA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57740-2022</t>
        </is>
      </c>
      <c r="B1883" s="1" t="n">
        <v>44890</v>
      </c>
      <c r="C1883" s="1" t="n">
        <v>45579</v>
      </c>
      <c r="D1883" t="inlineStr">
        <is>
          <t>JÄMTLANDS LÄN</t>
        </is>
      </c>
      <c r="E1883" t="inlineStr">
        <is>
          <t>STRÖMSUND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57762-2022</t>
        </is>
      </c>
      <c r="B1884" s="1" t="n">
        <v>44890</v>
      </c>
      <c r="C1884" s="1" t="n">
        <v>45579</v>
      </c>
      <c r="D1884" t="inlineStr">
        <is>
          <t>JÄMTLANDS LÄN</t>
        </is>
      </c>
      <c r="E1884" t="inlineStr">
        <is>
          <t>STRÖMSUND</t>
        </is>
      </c>
      <c r="F1884" t="inlineStr">
        <is>
          <t>Kyrkan</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56413-2022</t>
        </is>
      </c>
      <c r="B1885" s="1" t="n">
        <v>44890</v>
      </c>
      <c r="C1885" s="1" t="n">
        <v>45579</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57754-2022</t>
        </is>
      </c>
      <c r="B1886" s="1" t="n">
        <v>44890</v>
      </c>
      <c r="C1886" s="1" t="n">
        <v>45579</v>
      </c>
      <c r="D1886" t="inlineStr">
        <is>
          <t>JÄMTLANDS LÄN</t>
        </is>
      </c>
      <c r="E1886" t="inlineStr">
        <is>
          <t>STRÖMSUND</t>
        </is>
      </c>
      <c r="F1886" t="inlineStr">
        <is>
          <t>Kyrkan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58031-2022</t>
        </is>
      </c>
      <c r="B1887" s="1" t="n">
        <v>44893</v>
      </c>
      <c r="C1887" s="1" t="n">
        <v>45579</v>
      </c>
      <c r="D1887" t="inlineStr">
        <is>
          <t>JÄMTLANDS LÄN</t>
        </is>
      </c>
      <c r="E1887" t="inlineStr">
        <is>
          <t>STRÖMSUND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58037-2022</t>
        </is>
      </c>
      <c r="B1888" s="1" t="n">
        <v>44893</v>
      </c>
      <c r="C1888" s="1" t="n">
        <v>45579</v>
      </c>
      <c r="D1888" t="inlineStr">
        <is>
          <t>JÄMTLANDS LÄN</t>
        </is>
      </c>
      <c r="E1888" t="inlineStr">
        <is>
          <t>STRÖMSUND</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58025-2022</t>
        </is>
      </c>
      <c r="B1889" s="1" t="n">
        <v>44893</v>
      </c>
      <c r="C1889" s="1" t="n">
        <v>45579</v>
      </c>
      <c r="D1889" t="inlineStr">
        <is>
          <t>JÄMTLANDS LÄN</t>
        </is>
      </c>
      <c r="E1889" t="inlineStr">
        <is>
          <t>STRÖMSUND</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57005-2022</t>
        </is>
      </c>
      <c r="B1890" s="1" t="n">
        <v>44894</v>
      </c>
      <c r="C1890" s="1" t="n">
        <v>45579</v>
      </c>
      <c r="D1890" t="inlineStr">
        <is>
          <t>JÄMTLANDS LÄN</t>
        </is>
      </c>
      <c r="E1890" t="inlineStr">
        <is>
          <t>STRÖMSUND</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56999-2022</t>
        </is>
      </c>
      <c r="B1891" s="1" t="n">
        <v>44894</v>
      </c>
      <c r="C1891" s="1" t="n">
        <v>45579</v>
      </c>
      <c r="D1891" t="inlineStr">
        <is>
          <t>JÄMTLANDS LÄN</t>
        </is>
      </c>
      <c r="E1891" t="inlineStr">
        <is>
          <t>STRÖMSUND</t>
        </is>
      </c>
      <c r="F1891" t="inlineStr">
        <is>
          <t>SCA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57012-2022</t>
        </is>
      </c>
      <c r="B1892" s="1" t="n">
        <v>44894</v>
      </c>
      <c r="C1892" s="1" t="n">
        <v>45579</v>
      </c>
      <c r="D1892" t="inlineStr">
        <is>
          <t>JÄMTLANDS LÄN</t>
        </is>
      </c>
      <c r="E1892" t="inlineStr">
        <is>
          <t>STRÖMSUND</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57017-2022</t>
        </is>
      </c>
      <c r="B1893" s="1" t="n">
        <v>44895</v>
      </c>
      <c r="C1893" s="1" t="n">
        <v>45579</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57021-2022</t>
        </is>
      </c>
      <c r="B1894" s="1" t="n">
        <v>44895</v>
      </c>
      <c r="C1894" s="1" t="n">
        <v>45579</v>
      </c>
      <c r="D1894" t="inlineStr">
        <is>
          <t>JÄMTLANDS LÄN</t>
        </is>
      </c>
      <c r="E1894" t="inlineStr">
        <is>
          <t>STRÖMSUND</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57018-2022</t>
        </is>
      </c>
      <c r="B1895" s="1" t="n">
        <v>44895</v>
      </c>
      <c r="C1895" s="1" t="n">
        <v>45579</v>
      </c>
      <c r="D1895" t="inlineStr">
        <is>
          <t>JÄMTLANDS LÄN</t>
        </is>
      </c>
      <c r="E1895" t="inlineStr">
        <is>
          <t>STRÖMSUND</t>
        </is>
      </c>
      <c r="F1895" t="inlineStr">
        <is>
          <t>SCA</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57022-2022</t>
        </is>
      </c>
      <c r="B1896" s="1" t="n">
        <v>44895</v>
      </c>
      <c r="C1896" s="1" t="n">
        <v>45579</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56931-2022</t>
        </is>
      </c>
      <c r="B1897" s="1" t="n">
        <v>44894</v>
      </c>
      <c r="C1897" s="1" t="n">
        <v>45579</v>
      </c>
      <c r="D1897" t="inlineStr">
        <is>
          <t>JÄMTLANDS LÄN</t>
        </is>
      </c>
      <c r="E1897" t="inlineStr">
        <is>
          <t>STRÖMSUND</t>
        </is>
      </c>
      <c r="F1897" t="inlineStr">
        <is>
          <t>Holmen skog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57002-2022</t>
        </is>
      </c>
      <c r="B1898" s="1" t="n">
        <v>44894</v>
      </c>
      <c r="C1898" s="1" t="n">
        <v>45579</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57014-2022</t>
        </is>
      </c>
      <c r="B1899" s="1" t="n">
        <v>44894</v>
      </c>
      <c r="C1899" s="1" t="n">
        <v>45579</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57016-2022</t>
        </is>
      </c>
      <c r="B1900" s="1" t="n">
        <v>44894</v>
      </c>
      <c r="C1900" s="1" t="n">
        <v>45579</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57272-2022</t>
        </is>
      </c>
      <c r="B1901" s="1" t="n">
        <v>44895</v>
      </c>
      <c r="C1901" s="1" t="n">
        <v>45579</v>
      </c>
      <c r="D1901" t="inlineStr">
        <is>
          <t>JÄMTLANDS LÄN</t>
        </is>
      </c>
      <c r="E1901" t="inlineStr">
        <is>
          <t>STRÖMSUND</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57278-2022</t>
        </is>
      </c>
      <c r="B1902" s="1" t="n">
        <v>44895</v>
      </c>
      <c r="C1902" s="1" t="n">
        <v>45579</v>
      </c>
      <c r="D1902" t="inlineStr">
        <is>
          <t>JÄMTLANDS LÄN</t>
        </is>
      </c>
      <c r="E1902" t="inlineStr">
        <is>
          <t>STRÖMSUND</t>
        </is>
      </c>
      <c r="F1902" t="inlineStr">
        <is>
          <t>SCA</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57274-2022</t>
        </is>
      </c>
      <c r="B1903" s="1" t="n">
        <v>44895</v>
      </c>
      <c r="C1903" s="1" t="n">
        <v>45579</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57280-2022</t>
        </is>
      </c>
      <c r="B1904" s="1" t="n">
        <v>44895</v>
      </c>
      <c r="C1904" s="1" t="n">
        <v>45579</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57277-2022</t>
        </is>
      </c>
      <c r="B1905" s="1" t="n">
        <v>44895</v>
      </c>
      <c r="C1905" s="1" t="n">
        <v>45579</v>
      </c>
      <c r="D1905" t="inlineStr">
        <is>
          <t>JÄMTLANDS LÄN</t>
        </is>
      </c>
      <c r="E1905" t="inlineStr">
        <is>
          <t>STRÖMSUND</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57297-2022</t>
        </is>
      </c>
      <c r="B1906" s="1" t="n">
        <v>44895</v>
      </c>
      <c r="C1906" s="1" t="n">
        <v>45579</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57626-2022</t>
        </is>
      </c>
      <c r="B1907" s="1" t="n">
        <v>44897</v>
      </c>
      <c r="C1907" s="1" t="n">
        <v>45579</v>
      </c>
      <c r="D1907" t="inlineStr">
        <is>
          <t>JÄMTLANDS LÄN</t>
        </is>
      </c>
      <c r="E1907" t="inlineStr">
        <is>
          <t>STRÖMSUND</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57829-2022</t>
        </is>
      </c>
      <c r="B1908" s="1" t="n">
        <v>44897</v>
      </c>
      <c r="C1908" s="1" t="n">
        <v>45579</v>
      </c>
      <c r="D1908" t="inlineStr">
        <is>
          <t>JÄMTLANDS LÄN</t>
        </is>
      </c>
      <c r="E1908" t="inlineStr">
        <is>
          <t>STRÖMSUND</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58179-2022</t>
        </is>
      </c>
      <c r="B1909" s="1" t="n">
        <v>44900</v>
      </c>
      <c r="C1909" s="1" t="n">
        <v>45579</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58170-2022</t>
        </is>
      </c>
      <c r="B1910" s="1" t="n">
        <v>44900</v>
      </c>
      <c r="C1910" s="1" t="n">
        <v>45579</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58183-2022</t>
        </is>
      </c>
      <c r="B1911" s="1" t="n">
        <v>44900</v>
      </c>
      <c r="C1911" s="1" t="n">
        <v>45579</v>
      </c>
      <c r="D1911" t="inlineStr">
        <is>
          <t>JÄMTLANDS LÄN</t>
        </is>
      </c>
      <c r="E1911" t="inlineStr">
        <is>
          <t>STRÖMSUND</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59725-2022</t>
        </is>
      </c>
      <c r="B1912" s="1" t="n">
        <v>44900</v>
      </c>
      <c r="C1912" s="1" t="n">
        <v>45579</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58449-2022</t>
        </is>
      </c>
      <c r="B1913" s="1" t="n">
        <v>44901</v>
      </c>
      <c r="C1913" s="1" t="n">
        <v>45579</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58744-2022</t>
        </is>
      </c>
      <c r="B1914" s="1" t="n">
        <v>44902</v>
      </c>
      <c r="C1914" s="1" t="n">
        <v>45579</v>
      </c>
      <c r="D1914" t="inlineStr">
        <is>
          <t>JÄMTLANDS LÄN</t>
        </is>
      </c>
      <c r="E1914" t="inlineStr">
        <is>
          <t>STRÖMSUND</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58729-2022</t>
        </is>
      </c>
      <c r="B1915" s="1" t="n">
        <v>44902</v>
      </c>
      <c r="C1915" s="1" t="n">
        <v>45579</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58743-2022</t>
        </is>
      </c>
      <c r="B1916" s="1" t="n">
        <v>44902</v>
      </c>
      <c r="C1916" s="1" t="n">
        <v>45579</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59003-2022</t>
        </is>
      </c>
      <c r="B1917" s="1" t="n">
        <v>44903</v>
      </c>
      <c r="C1917" s="1" t="n">
        <v>45579</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58973-2022</t>
        </is>
      </c>
      <c r="B1918" s="1" t="n">
        <v>44903</v>
      </c>
      <c r="C1918" s="1" t="n">
        <v>45579</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58905-2022</t>
        </is>
      </c>
      <c r="B1919" s="1" t="n">
        <v>44903</v>
      </c>
      <c r="C1919" s="1" t="n">
        <v>45579</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59035-2022</t>
        </is>
      </c>
      <c r="B1920" s="1" t="n">
        <v>44903</v>
      </c>
      <c r="C1920" s="1" t="n">
        <v>45579</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59367-2022</t>
        </is>
      </c>
      <c r="B1921" s="1" t="n">
        <v>44904</v>
      </c>
      <c r="C1921" s="1" t="n">
        <v>45579</v>
      </c>
      <c r="D1921" t="inlineStr">
        <is>
          <t>JÄMTLANDS LÄN</t>
        </is>
      </c>
      <c r="E1921" t="inlineStr">
        <is>
          <t>STRÖMSUND</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59372-2022</t>
        </is>
      </c>
      <c r="B1922" s="1" t="n">
        <v>44904</v>
      </c>
      <c r="C1922" s="1" t="n">
        <v>45579</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59376-2022</t>
        </is>
      </c>
      <c r="B1923" s="1" t="n">
        <v>44904</v>
      </c>
      <c r="C1923" s="1" t="n">
        <v>45579</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59461-2022</t>
        </is>
      </c>
      <c r="B1924" s="1" t="n">
        <v>44907</v>
      </c>
      <c r="C1924" s="1" t="n">
        <v>45579</v>
      </c>
      <c r="D1924" t="inlineStr">
        <is>
          <t>JÄMTLANDS LÄN</t>
        </is>
      </c>
      <c r="E1924" t="inlineStr">
        <is>
          <t>STRÖMSUND</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59637-2022</t>
        </is>
      </c>
      <c r="B1925" s="1" t="n">
        <v>44908</v>
      </c>
      <c r="C1925" s="1" t="n">
        <v>45579</v>
      </c>
      <c r="D1925" t="inlineStr">
        <is>
          <t>JÄMTLANDS LÄN</t>
        </is>
      </c>
      <c r="E1925" t="inlineStr">
        <is>
          <t>STRÖMSUND</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59645-2022</t>
        </is>
      </c>
      <c r="B1926" s="1" t="n">
        <v>44908</v>
      </c>
      <c r="C1926" s="1" t="n">
        <v>45579</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59646-2022</t>
        </is>
      </c>
      <c r="B1927" s="1" t="n">
        <v>44908</v>
      </c>
      <c r="C1927" s="1" t="n">
        <v>45579</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60639-2022</t>
        </is>
      </c>
      <c r="B1928" s="1" t="n">
        <v>44907</v>
      </c>
      <c r="C1928" s="1" t="n">
        <v>45579</v>
      </c>
      <c r="D1928" t="inlineStr">
        <is>
          <t>JÄMTLANDS LÄN</t>
        </is>
      </c>
      <c r="E1928" t="inlineStr">
        <is>
          <t>STRÖMSUND</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60775-2022</t>
        </is>
      </c>
      <c r="B1929" s="1" t="n">
        <v>44907</v>
      </c>
      <c r="C1929" s="1" t="n">
        <v>45579</v>
      </c>
      <c r="D1929" t="inlineStr">
        <is>
          <t>JÄMTLANDS LÄN</t>
        </is>
      </c>
      <c r="E1929" t="inlineStr">
        <is>
          <t>STRÖMSUND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60002-2022</t>
        </is>
      </c>
      <c r="B1930" s="1" t="n">
        <v>44909</v>
      </c>
      <c r="C1930" s="1" t="n">
        <v>45579</v>
      </c>
      <c r="D1930" t="inlineStr">
        <is>
          <t>JÄMTLANDS LÄN</t>
        </is>
      </c>
      <c r="E1930" t="inlineStr">
        <is>
          <t>STRÖMSUND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60667-2022</t>
        </is>
      </c>
      <c r="B1931" s="1" t="n">
        <v>44911</v>
      </c>
      <c r="C1931" s="1" t="n">
        <v>45579</v>
      </c>
      <c r="D1931" t="inlineStr">
        <is>
          <t>JÄMTLANDS LÄN</t>
        </is>
      </c>
      <c r="E1931" t="inlineStr">
        <is>
          <t>STRÖMSUND</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60741-2022</t>
        </is>
      </c>
      <c r="B1932" s="1" t="n">
        <v>44913</v>
      </c>
      <c r="C1932" s="1" t="n">
        <v>45579</v>
      </c>
      <c r="D1932" t="inlineStr">
        <is>
          <t>JÄMTLANDS LÄN</t>
        </is>
      </c>
      <c r="E1932" t="inlineStr">
        <is>
          <t>STRÖMSUND</t>
        </is>
      </c>
      <c r="F1932" t="inlineStr">
        <is>
          <t>SCA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60740-2022</t>
        </is>
      </c>
      <c r="B1933" s="1" t="n">
        <v>44913</v>
      </c>
      <c r="C1933" s="1" t="n">
        <v>45579</v>
      </c>
      <c r="D1933" t="inlineStr">
        <is>
          <t>JÄMTLANDS LÄN</t>
        </is>
      </c>
      <c r="E1933" t="inlineStr">
        <is>
          <t>STRÖMSUND</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60742-2022</t>
        </is>
      </c>
      <c r="B1934" s="1" t="n">
        <v>44913</v>
      </c>
      <c r="C1934" s="1" t="n">
        <v>45579</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60801-2022</t>
        </is>
      </c>
      <c r="B1935" s="1" t="n">
        <v>44914</v>
      </c>
      <c r="C1935" s="1" t="n">
        <v>45579</v>
      </c>
      <c r="D1935" t="inlineStr">
        <is>
          <t>JÄMTLANDS LÄN</t>
        </is>
      </c>
      <c r="E1935" t="inlineStr">
        <is>
          <t>STRÖMSUND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61038-2022</t>
        </is>
      </c>
      <c r="B1936" s="1" t="n">
        <v>44914</v>
      </c>
      <c r="C1936" s="1" t="n">
        <v>45579</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61374-2022</t>
        </is>
      </c>
      <c r="B1937" s="1" t="n">
        <v>44915</v>
      </c>
      <c r="C1937" s="1" t="n">
        <v>45579</v>
      </c>
      <c r="D1937" t="inlineStr">
        <is>
          <t>JÄMTLANDS LÄN</t>
        </is>
      </c>
      <c r="E1937" t="inlineStr">
        <is>
          <t>STRÖMSUND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61380-2022</t>
        </is>
      </c>
      <c r="B1938" s="1" t="n">
        <v>44915</v>
      </c>
      <c r="C1938" s="1" t="n">
        <v>45579</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61375-2022</t>
        </is>
      </c>
      <c r="B1939" s="1" t="n">
        <v>44915</v>
      </c>
      <c r="C1939" s="1" t="n">
        <v>45579</v>
      </c>
      <c r="D1939" t="inlineStr">
        <is>
          <t>JÄMTLANDS LÄN</t>
        </is>
      </c>
      <c r="E1939" t="inlineStr">
        <is>
          <t>STRÖMSUND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61382-2022</t>
        </is>
      </c>
      <c r="B1940" s="1" t="n">
        <v>44915</v>
      </c>
      <c r="C1940" s="1" t="n">
        <v>45579</v>
      </c>
      <c r="D1940" t="inlineStr">
        <is>
          <t>JÄMTLANDS LÄN</t>
        </is>
      </c>
      <c r="E1940" t="inlineStr">
        <is>
          <t>STRÖMSUND</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62211-2022</t>
        </is>
      </c>
      <c r="B1941" s="1" t="n">
        <v>44915</v>
      </c>
      <c r="C1941" s="1" t="n">
        <v>45579</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62229-2022</t>
        </is>
      </c>
      <c r="B1942" s="1" t="n">
        <v>44916</v>
      </c>
      <c r="C1942" s="1" t="n">
        <v>45579</v>
      </c>
      <c r="D1942" t="inlineStr">
        <is>
          <t>JÄMTLANDS LÄN</t>
        </is>
      </c>
      <c r="E1942" t="inlineStr">
        <is>
          <t>STRÖMSUND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61921-2022</t>
        </is>
      </c>
      <c r="B1943" s="1" t="n">
        <v>44917</v>
      </c>
      <c r="C1943" s="1" t="n">
        <v>45579</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31-2023</t>
        </is>
      </c>
      <c r="B1944" s="1" t="n">
        <v>44918</v>
      </c>
      <c r="C1944" s="1" t="n">
        <v>45579</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25-2023</t>
        </is>
      </c>
      <c r="B1945" s="1" t="n">
        <v>44928</v>
      </c>
      <c r="C1945" s="1" t="n">
        <v>45579</v>
      </c>
      <c r="D1945" t="inlineStr">
        <is>
          <t>JÄMTLANDS LÄN</t>
        </is>
      </c>
      <c r="E1945" t="inlineStr">
        <is>
          <t>STRÖMSUND</t>
        </is>
      </c>
      <c r="F1945" t="inlineStr">
        <is>
          <t>Sveaskog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286-2023</t>
        </is>
      </c>
      <c r="B1946" s="1" t="n">
        <v>44928</v>
      </c>
      <c r="C1946" s="1" t="n">
        <v>45579</v>
      </c>
      <c r="D1946" t="inlineStr">
        <is>
          <t>JÄMTLANDS LÄN</t>
        </is>
      </c>
      <c r="E1946" t="inlineStr">
        <is>
          <t>STRÖMSUND</t>
        </is>
      </c>
      <c r="F1946" t="inlineStr">
        <is>
          <t>SCA</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536-2023</t>
        </is>
      </c>
      <c r="B1947" s="1" t="n">
        <v>44930</v>
      </c>
      <c r="C1947" s="1" t="n">
        <v>45579</v>
      </c>
      <c r="D1947" t="inlineStr">
        <is>
          <t>JÄMTLANDS LÄN</t>
        </is>
      </c>
      <c r="E1947" t="inlineStr">
        <is>
          <t>STRÖMSUND</t>
        </is>
      </c>
      <c r="G1947" t="n">
        <v>35.4</v>
      </c>
      <c r="H1947" t="n">
        <v>0</v>
      </c>
      <c r="I1947" t="n">
        <v>0</v>
      </c>
      <c r="J1947" t="n">
        <v>0</v>
      </c>
      <c r="K1947" t="n">
        <v>0</v>
      </c>
      <c r="L1947" t="n">
        <v>0</v>
      </c>
      <c r="M1947" t="n">
        <v>0</v>
      </c>
      <c r="N1947" t="n">
        <v>0</v>
      </c>
      <c r="O1947" t="n">
        <v>0</v>
      </c>
      <c r="P1947" t="n">
        <v>0</v>
      </c>
      <c r="Q1947" t="n">
        <v>0</v>
      </c>
      <c r="R1947" s="2" t="inlineStr"/>
    </row>
    <row r="1948" ht="15" customHeight="1">
      <c r="A1948" t="inlineStr">
        <is>
          <t>A 1187-2023</t>
        </is>
      </c>
      <c r="B1948" s="1" t="n">
        <v>44930</v>
      </c>
      <c r="C1948" s="1" t="n">
        <v>45579</v>
      </c>
      <c r="D1948" t="inlineStr">
        <is>
          <t>JÄMTLANDS LÄN</t>
        </is>
      </c>
      <c r="E1948" t="inlineStr">
        <is>
          <t>STRÖMSUND</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897-2023</t>
        </is>
      </c>
      <c r="B1949" s="1" t="n">
        <v>44931</v>
      </c>
      <c r="C1949" s="1" t="n">
        <v>45579</v>
      </c>
      <c r="D1949" t="inlineStr">
        <is>
          <t>JÄMTLANDS LÄN</t>
        </is>
      </c>
      <c r="E1949" t="inlineStr">
        <is>
          <t>STRÖMSUND</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1288-2023</t>
        </is>
      </c>
      <c r="B1950" s="1" t="n">
        <v>44931</v>
      </c>
      <c r="C1950" s="1" t="n">
        <v>45579</v>
      </c>
      <c r="D1950" t="inlineStr">
        <is>
          <t>JÄMTLANDS LÄN</t>
        </is>
      </c>
      <c r="E1950" t="inlineStr">
        <is>
          <t>STRÖMSUND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1224-2023</t>
        </is>
      </c>
      <c r="B1951" s="1" t="n">
        <v>44935</v>
      </c>
      <c r="C1951" s="1" t="n">
        <v>45579</v>
      </c>
      <c r="D1951" t="inlineStr">
        <is>
          <t>JÄMTLANDS LÄN</t>
        </is>
      </c>
      <c r="E1951" t="inlineStr">
        <is>
          <t>STRÖMSUND</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1747-2023</t>
        </is>
      </c>
      <c r="B1952" s="1" t="n">
        <v>44936</v>
      </c>
      <c r="C1952" s="1" t="n">
        <v>45579</v>
      </c>
      <c r="D1952" t="inlineStr">
        <is>
          <t>JÄMTLANDS LÄN</t>
        </is>
      </c>
      <c r="E1952" t="inlineStr">
        <is>
          <t>STRÖMSUND</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1744-2023</t>
        </is>
      </c>
      <c r="B1953" s="1" t="n">
        <v>44936</v>
      </c>
      <c r="C1953" s="1" t="n">
        <v>45579</v>
      </c>
      <c r="D1953" t="inlineStr">
        <is>
          <t>JÄMTLANDS LÄN</t>
        </is>
      </c>
      <c r="E1953" t="inlineStr">
        <is>
          <t>STRÖMSUND</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1641-2023</t>
        </is>
      </c>
      <c r="B1954" s="1" t="n">
        <v>44937</v>
      </c>
      <c r="C1954" s="1" t="n">
        <v>45579</v>
      </c>
      <c r="D1954" t="inlineStr">
        <is>
          <t>JÄMTLANDS LÄN</t>
        </is>
      </c>
      <c r="E1954" t="inlineStr">
        <is>
          <t>STRÖMSUND</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1642-2023</t>
        </is>
      </c>
      <c r="B1955" s="1" t="n">
        <v>44937</v>
      </c>
      <c r="C1955" s="1" t="n">
        <v>45579</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1952-2023</t>
        </is>
      </c>
      <c r="B1956" s="1" t="n">
        <v>44938</v>
      </c>
      <c r="C1956" s="1" t="n">
        <v>45579</v>
      </c>
      <c r="D1956" t="inlineStr">
        <is>
          <t>JÄMTLANDS LÄN</t>
        </is>
      </c>
      <c r="E1956" t="inlineStr">
        <is>
          <t>STRÖMSUND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2050-2023</t>
        </is>
      </c>
      <c r="B1957" s="1" t="n">
        <v>44939</v>
      </c>
      <c r="C1957" s="1" t="n">
        <v>45579</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2246-2023</t>
        </is>
      </c>
      <c r="B1958" s="1" t="n">
        <v>44939</v>
      </c>
      <c r="C1958" s="1" t="n">
        <v>45579</v>
      </c>
      <c r="D1958" t="inlineStr">
        <is>
          <t>JÄMTLANDS LÄN</t>
        </is>
      </c>
      <c r="E1958" t="inlineStr">
        <is>
          <t>STRÖMSUND</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2296-2023</t>
        </is>
      </c>
      <c r="B1959" s="1" t="n">
        <v>44942</v>
      </c>
      <c r="C1959" s="1" t="n">
        <v>45579</v>
      </c>
      <c r="D1959" t="inlineStr">
        <is>
          <t>JÄMTLANDS LÄN</t>
        </is>
      </c>
      <c r="E1959" t="inlineStr">
        <is>
          <t>STRÖMSUND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2675-2023</t>
        </is>
      </c>
      <c r="B1960" s="1" t="n">
        <v>44942</v>
      </c>
      <c r="C1960" s="1" t="n">
        <v>45579</v>
      </c>
      <c r="D1960" t="inlineStr">
        <is>
          <t>JÄMTLANDS LÄN</t>
        </is>
      </c>
      <c r="E1960" t="inlineStr">
        <is>
          <t>STRÖMSUND</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3182-2023</t>
        </is>
      </c>
      <c r="B1961" s="1" t="n">
        <v>44942</v>
      </c>
      <c r="C1961" s="1" t="n">
        <v>45579</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3027-2023</t>
        </is>
      </c>
      <c r="B1962" s="1" t="n">
        <v>44945</v>
      </c>
      <c r="C1962" s="1" t="n">
        <v>45579</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3481-2023</t>
        </is>
      </c>
      <c r="B1963" s="1" t="n">
        <v>44949</v>
      </c>
      <c r="C1963" s="1" t="n">
        <v>45579</v>
      </c>
      <c r="D1963" t="inlineStr">
        <is>
          <t>JÄMTLANDS LÄN</t>
        </is>
      </c>
      <c r="E1963" t="inlineStr">
        <is>
          <t>STRÖMSUND</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3693-2023</t>
        </is>
      </c>
      <c r="B1964" s="1" t="n">
        <v>44950</v>
      </c>
      <c r="C1964" s="1" t="n">
        <v>45579</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4045-2023</t>
        </is>
      </c>
      <c r="B1965" s="1" t="n">
        <v>44952</v>
      </c>
      <c r="C1965" s="1" t="n">
        <v>45579</v>
      </c>
      <c r="D1965" t="inlineStr">
        <is>
          <t>JÄMTLANDS LÄN</t>
        </is>
      </c>
      <c r="E1965" t="inlineStr">
        <is>
          <t>STRÖMSUND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4537-2023</t>
        </is>
      </c>
      <c r="B1966" s="1" t="n">
        <v>44952</v>
      </c>
      <c r="C1966" s="1" t="n">
        <v>45579</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4050-2023</t>
        </is>
      </c>
      <c r="B1967" s="1" t="n">
        <v>44952</v>
      </c>
      <c r="C1967" s="1" t="n">
        <v>45579</v>
      </c>
      <c r="D1967" t="inlineStr">
        <is>
          <t>JÄMTLANDS LÄN</t>
        </is>
      </c>
      <c r="E1967" t="inlineStr">
        <is>
          <t>STRÖMSUND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4684-2023</t>
        </is>
      </c>
      <c r="B1968" s="1" t="n">
        <v>44952</v>
      </c>
      <c r="C1968" s="1" t="n">
        <v>45579</v>
      </c>
      <c r="D1968" t="inlineStr">
        <is>
          <t>JÄMTLANDS LÄN</t>
        </is>
      </c>
      <c r="E1968" t="inlineStr">
        <is>
          <t>STRÖMSUND</t>
        </is>
      </c>
      <c r="G1968" t="n">
        <v>24.1</v>
      </c>
      <c r="H1968" t="n">
        <v>0</v>
      </c>
      <c r="I1968" t="n">
        <v>0</v>
      </c>
      <c r="J1968" t="n">
        <v>0</v>
      </c>
      <c r="K1968" t="n">
        <v>0</v>
      </c>
      <c r="L1968" t="n">
        <v>0</v>
      </c>
      <c r="M1968" t="n">
        <v>0</v>
      </c>
      <c r="N1968" t="n">
        <v>0</v>
      </c>
      <c r="O1968" t="n">
        <v>0</v>
      </c>
      <c r="P1968" t="n">
        <v>0</v>
      </c>
      <c r="Q1968" t="n">
        <v>0</v>
      </c>
      <c r="R1968" s="2" t="inlineStr"/>
    </row>
    <row r="1969" ht="15" customHeight="1">
      <c r="A1969" t="inlineStr">
        <is>
          <t>A 4523-2023</t>
        </is>
      </c>
      <c r="B1969" s="1" t="n">
        <v>44952</v>
      </c>
      <c r="C1969" s="1" t="n">
        <v>45579</v>
      </c>
      <c r="D1969" t="inlineStr">
        <is>
          <t>JÄMTLANDS LÄN</t>
        </is>
      </c>
      <c r="E1969" t="inlineStr">
        <is>
          <t>STRÖMSUND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4388-2023</t>
        </is>
      </c>
      <c r="B1970" s="1" t="n">
        <v>44955</v>
      </c>
      <c r="C1970" s="1" t="n">
        <v>45579</v>
      </c>
      <c r="D1970" t="inlineStr">
        <is>
          <t>JÄMTLANDS LÄN</t>
        </is>
      </c>
      <c r="E1970" t="inlineStr">
        <is>
          <t>STRÖMSUND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4621-2023</t>
        </is>
      </c>
      <c r="B1971" s="1" t="n">
        <v>44956</v>
      </c>
      <c r="C1971" s="1" t="n">
        <v>45579</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4988-2023</t>
        </is>
      </c>
      <c r="B1972" s="1" t="n">
        <v>44956</v>
      </c>
      <c r="C1972" s="1" t="n">
        <v>45579</v>
      </c>
      <c r="D1972" t="inlineStr">
        <is>
          <t>JÄMTLANDS LÄN</t>
        </is>
      </c>
      <c r="E1972" t="inlineStr">
        <is>
          <t>STRÖMSUND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4981-2023</t>
        </is>
      </c>
      <c r="B1973" s="1" t="n">
        <v>44956</v>
      </c>
      <c r="C1973" s="1" t="n">
        <v>45579</v>
      </c>
      <c r="D1973" t="inlineStr">
        <is>
          <t>JÄMTLANDS LÄN</t>
        </is>
      </c>
      <c r="E1973" t="inlineStr">
        <is>
          <t>STRÖMSUND</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4880-2023</t>
        </is>
      </c>
      <c r="B1974" s="1" t="n">
        <v>44957</v>
      </c>
      <c r="C1974" s="1" t="n">
        <v>45579</v>
      </c>
      <c r="D1974" t="inlineStr">
        <is>
          <t>JÄMTLANDS LÄN</t>
        </is>
      </c>
      <c r="E1974" t="inlineStr">
        <is>
          <t>STRÖMSUND</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5154-2023</t>
        </is>
      </c>
      <c r="B1975" s="1" t="n">
        <v>44958</v>
      </c>
      <c r="C1975" s="1" t="n">
        <v>45579</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5174-2023</t>
        </is>
      </c>
      <c r="B1976" s="1" t="n">
        <v>44958</v>
      </c>
      <c r="C1976" s="1" t="n">
        <v>45579</v>
      </c>
      <c r="D1976" t="inlineStr">
        <is>
          <t>JÄMTLANDS LÄN</t>
        </is>
      </c>
      <c r="E1976" t="inlineStr">
        <is>
          <t>STRÖMSUND</t>
        </is>
      </c>
      <c r="F1976" t="inlineStr">
        <is>
          <t>SCA</t>
        </is>
      </c>
      <c r="G1976" t="n">
        <v>64.5</v>
      </c>
      <c r="H1976" t="n">
        <v>0</v>
      </c>
      <c r="I1976" t="n">
        <v>0</v>
      </c>
      <c r="J1976" t="n">
        <v>0</v>
      </c>
      <c r="K1976" t="n">
        <v>0</v>
      </c>
      <c r="L1976" t="n">
        <v>0</v>
      </c>
      <c r="M1976" t="n">
        <v>0</v>
      </c>
      <c r="N1976" t="n">
        <v>0</v>
      </c>
      <c r="O1976" t="n">
        <v>0</v>
      </c>
      <c r="P1976" t="n">
        <v>0</v>
      </c>
      <c r="Q1976" t="n">
        <v>0</v>
      </c>
      <c r="R1976" s="2" t="inlineStr"/>
    </row>
    <row r="1977" ht="15" customHeight="1">
      <c r="A1977" t="inlineStr">
        <is>
          <t>A 5155-2023</t>
        </is>
      </c>
      <c r="B1977" s="1" t="n">
        <v>44958</v>
      </c>
      <c r="C1977" s="1" t="n">
        <v>45579</v>
      </c>
      <c r="D1977" t="inlineStr">
        <is>
          <t>JÄMTLANDS LÄN</t>
        </is>
      </c>
      <c r="E1977" t="inlineStr">
        <is>
          <t>STRÖMSUND</t>
        </is>
      </c>
      <c r="F1977" t="inlineStr">
        <is>
          <t>SCA</t>
        </is>
      </c>
      <c r="G1977" t="n">
        <v>34.1</v>
      </c>
      <c r="H1977" t="n">
        <v>0</v>
      </c>
      <c r="I1977" t="n">
        <v>0</v>
      </c>
      <c r="J1977" t="n">
        <v>0</v>
      </c>
      <c r="K1977" t="n">
        <v>0</v>
      </c>
      <c r="L1977" t="n">
        <v>0</v>
      </c>
      <c r="M1977" t="n">
        <v>0</v>
      </c>
      <c r="N1977" t="n">
        <v>0</v>
      </c>
      <c r="O1977" t="n">
        <v>0</v>
      </c>
      <c r="P1977" t="n">
        <v>0</v>
      </c>
      <c r="Q1977" t="n">
        <v>0</v>
      </c>
      <c r="R1977" s="2" t="inlineStr"/>
    </row>
    <row r="1978" ht="15" customHeight="1">
      <c r="A1978" t="inlineStr">
        <is>
          <t>A 5162-2023</t>
        </is>
      </c>
      <c r="B1978" s="1" t="n">
        <v>44958</v>
      </c>
      <c r="C1978" s="1" t="n">
        <v>45579</v>
      </c>
      <c r="D1978" t="inlineStr">
        <is>
          <t>JÄMTLANDS LÄN</t>
        </is>
      </c>
      <c r="E1978" t="inlineStr">
        <is>
          <t>STRÖMSUND</t>
        </is>
      </c>
      <c r="F1978" t="inlineStr">
        <is>
          <t>SCA</t>
        </is>
      </c>
      <c r="G1978" t="n">
        <v>62.1</v>
      </c>
      <c r="H1978" t="n">
        <v>0</v>
      </c>
      <c r="I1978" t="n">
        <v>0</v>
      </c>
      <c r="J1978" t="n">
        <v>0</v>
      </c>
      <c r="K1978" t="n">
        <v>0</v>
      </c>
      <c r="L1978" t="n">
        <v>0</v>
      </c>
      <c r="M1978" t="n">
        <v>0</v>
      </c>
      <c r="N1978" t="n">
        <v>0</v>
      </c>
      <c r="O1978" t="n">
        <v>0</v>
      </c>
      <c r="P1978" t="n">
        <v>0</v>
      </c>
      <c r="Q1978" t="n">
        <v>0</v>
      </c>
      <c r="R1978" s="2" t="inlineStr"/>
    </row>
    <row r="1979" ht="15" customHeight="1">
      <c r="A1979" t="inlineStr">
        <is>
          <t>A 5279-2023</t>
        </is>
      </c>
      <c r="B1979" s="1" t="n">
        <v>44959</v>
      </c>
      <c r="C1979" s="1" t="n">
        <v>45579</v>
      </c>
      <c r="D1979" t="inlineStr">
        <is>
          <t>JÄMTLANDS LÄN</t>
        </is>
      </c>
      <c r="E1979" t="inlineStr">
        <is>
          <t>STRÖMSUND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5277-2023</t>
        </is>
      </c>
      <c r="B1980" s="1" t="n">
        <v>44959</v>
      </c>
      <c r="C1980" s="1" t="n">
        <v>45579</v>
      </c>
      <c r="D1980" t="inlineStr">
        <is>
          <t>JÄMTLANDS LÄN</t>
        </is>
      </c>
      <c r="E1980" t="inlineStr">
        <is>
          <t>STRÖMSUND</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5278-2023</t>
        </is>
      </c>
      <c r="B1981" s="1" t="n">
        <v>44959</v>
      </c>
      <c r="C1981" s="1" t="n">
        <v>45579</v>
      </c>
      <c r="D1981" t="inlineStr">
        <is>
          <t>JÄMTLANDS LÄN</t>
        </is>
      </c>
      <c r="E1981" t="inlineStr">
        <is>
          <t>STRÖMSUND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5397-2023</t>
        </is>
      </c>
      <c r="B1982" s="1" t="n">
        <v>44959</v>
      </c>
      <c r="C1982" s="1" t="n">
        <v>45579</v>
      </c>
      <c r="D1982" t="inlineStr">
        <is>
          <t>JÄMTLANDS LÄN</t>
        </is>
      </c>
      <c r="E1982" t="inlineStr">
        <is>
          <t>STRÖMSUND</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5452-2023</t>
        </is>
      </c>
      <c r="B1983" s="1" t="n">
        <v>44959</v>
      </c>
      <c r="C1983" s="1" t="n">
        <v>45579</v>
      </c>
      <c r="D1983" t="inlineStr">
        <is>
          <t>JÄMTLANDS LÄN</t>
        </is>
      </c>
      <c r="E1983" t="inlineStr">
        <is>
          <t>STRÖMSUND</t>
        </is>
      </c>
      <c r="F1983" t="inlineStr">
        <is>
          <t>SCA</t>
        </is>
      </c>
      <c r="G1983" t="n">
        <v>33.6</v>
      </c>
      <c r="H1983" t="n">
        <v>0</v>
      </c>
      <c r="I1983" t="n">
        <v>0</v>
      </c>
      <c r="J1983" t="n">
        <v>0</v>
      </c>
      <c r="K1983" t="n">
        <v>0</v>
      </c>
      <c r="L1983" t="n">
        <v>0</v>
      </c>
      <c r="M1983" t="n">
        <v>0</v>
      </c>
      <c r="N1983" t="n">
        <v>0</v>
      </c>
      <c r="O1983" t="n">
        <v>0</v>
      </c>
      <c r="P1983" t="n">
        <v>0</v>
      </c>
      <c r="Q1983" t="n">
        <v>0</v>
      </c>
      <c r="R1983" s="2" t="inlineStr"/>
      <c r="U1983">
        <f>HYPERLINK("https://klasma.github.io/Logging_2313/knärot/A 5452-2023 karta knärot.png", "A 5452-2023")</f>
        <v/>
      </c>
      <c r="V1983">
        <f>HYPERLINK("https://klasma.github.io/Logging_2313/klagomål/A 5452-2023 FSC-klagomål.docx", "A 5452-2023")</f>
        <v/>
      </c>
      <c r="W1983">
        <f>HYPERLINK("https://klasma.github.io/Logging_2313/klagomålsmail/A 5452-2023 FSC-klagomål mail.docx", "A 5452-2023")</f>
        <v/>
      </c>
      <c r="X1983">
        <f>HYPERLINK("https://klasma.github.io/Logging_2313/tillsyn/A 5452-2023 tillsynsbegäran.docx", "A 5452-2023")</f>
        <v/>
      </c>
      <c r="Y1983">
        <f>HYPERLINK("https://klasma.github.io/Logging_2313/tillsynsmail/A 5452-2023 tillsynsbegäran mail.docx", "A 5452-2023")</f>
        <v/>
      </c>
    </row>
    <row r="1984" ht="15" customHeight="1">
      <c r="A1984" t="inlineStr">
        <is>
          <t>A 5714-2023</t>
        </is>
      </c>
      <c r="B1984" s="1" t="n">
        <v>44960</v>
      </c>
      <c r="C1984" s="1" t="n">
        <v>45579</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6267-2023</t>
        </is>
      </c>
      <c r="B1985" s="1" t="n">
        <v>44960</v>
      </c>
      <c r="C1985" s="1" t="n">
        <v>45579</v>
      </c>
      <c r="D1985" t="inlineStr">
        <is>
          <t>JÄMTLANDS LÄN</t>
        </is>
      </c>
      <c r="E1985" t="inlineStr">
        <is>
          <t>STRÖMSUND</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6581-2023</t>
        </is>
      </c>
      <c r="B1986" s="1" t="n">
        <v>44963</v>
      </c>
      <c r="C1986" s="1" t="n">
        <v>45579</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6583-2023</t>
        </is>
      </c>
      <c r="B1987" s="1" t="n">
        <v>44963</v>
      </c>
      <c r="C1987" s="1" t="n">
        <v>45579</v>
      </c>
      <c r="D1987" t="inlineStr">
        <is>
          <t>JÄMTLANDS LÄN</t>
        </is>
      </c>
      <c r="E1987" t="inlineStr">
        <is>
          <t>STRÖMSUND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5956-2023</t>
        </is>
      </c>
      <c r="B1988" s="1" t="n">
        <v>44963</v>
      </c>
      <c r="C1988" s="1" t="n">
        <v>45579</v>
      </c>
      <c r="D1988" t="inlineStr">
        <is>
          <t>JÄMTLANDS LÄN</t>
        </is>
      </c>
      <c r="E1988" t="inlineStr">
        <is>
          <t>STRÖMSUND</t>
        </is>
      </c>
      <c r="F1988" t="inlineStr">
        <is>
          <t>SCA</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6234-2023</t>
        </is>
      </c>
      <c r="B1989" s="1" t="n">
        <v>44964</v>
      </c>
      <c r="C1989" s="1" t="n">
        <v>45579</v>
      </c>
      <c r="D1989" t="inlineStr">
        <is>
          <t>JÄMTLANDS LÄN</t>
        </is>
      </c>
      <c r="E1989" t="inlineStr">
        <is>
          <t>STRÖMSUND</t>
        </is>
      </c>
      <c r="F1989" t="inlineStr">
        <is>
          <t>SCA</t>
        </is>
      </c>
      <c r="G1989" t="n">
        <v>13.7</v>
      </c>
      <c r="H1989" t="n">
        <v>0</v>
      </c>
      <c r="I1989" t="n">
        <v>0</v>
      </c>
      <c r="J1989" t="n">
        <v>0</v>
      </c>
      <c r="K1989" t="n">
        <v>0</v>
      </c>
      <c r="L1989" t="n">
        <v>0</v>
      </c>
      <c r="M1989" t="n">
        <v>0</v>
      </c>
      <c r="N1989" t="n">
        <v>0</v>
      </c>
      <c r="O1989" t="n">
        <v>0</v>
      </c>
      <c r="P1989" t="n">
        <v>0</v>
      </c>
      <c r="Q1989" t="n">
        <v>0</v>
      </c>
      <c r="R1989" s="2" t="inlineStr"/>
    </row>
    <row r="1990" ht="15" customHeight="1">
      <c r="A1990" t="inlineStr">
        <is>
          <t>A 6928-2023</t>
        </is>
      </c>
      <c r="B1990" s="1" t="n">
        <v>44964</v>
      </c>
      <c r="C1990" s="1" t="n">
        <v>45579</v>
      </c>
      <c r="D1990" t="inlineStr">
        <is>
          <t>JÄMTLANDS LÄN</t>
        </is>
      </c>
      <c r="E1990" t="inlineStr">
        <is>
          <t>STRÖMSUND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6932-2023</t>
        </is>
      </c>
      <c r="B1991" s="1" t="n">
        <v>44964</v>
      </c>
      <c r="C1991" s="1" t="n">
        <v>45579</v>
      </c>
      <c r="D1991" t="inlineStr">
        <is>
          <t>JÄMTLANDS LÄN</t>
        </is>
      </c>
      <c r="E1991" t="inlineStr">
        <is>
          <t>STRÖMSUND</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6455-2023</t>
        </is>
      </c>
      <c r="B1992" s="1" t="n">
        <v>44965</v>
      </c>
      <c r="C1992" s="1" t="n">
        <v>45579</v>
      </c>
      <c r="D1992" t="inlineStr">
        <is>
          <t>JÄMTLANDS LÄN</t>
        </is>
      </c>
      <c r="E1992" t="inlineStr">
        <is>
          <t>STRÖMSUND</t>
        </is>
      </c>
      <c r="F1992" t="inlineStr">
        <is>
          <t>SCA</t>
        </is>
      </c>
      <c r="G1992" t="n">
        <v>74.7</v>
      </c>
      <c r="H1992" t="n">
        <v>0</v>
      </c>
      <c r="I1992" t="n">
        <v>0</v>
      </c>
      <c r="J1992" t="n">
        <v>0</v>
      </c>
      <c r="K1992" t="n">
        <v>0</v>
      </c>
      <c r="L1992" t="n">
        <v>0</v>
      </c>
      <c r="M1992" t="n">
        <v>0</v>
      </c>
      <c r="N1992" t="n">
        <v>0</v>
      </c>
      <c r="O1992" t="n">
        <v>0</v>
      </c>
      <c r="P1992" t="n">
        <v>0</v>
      </c>
      <c r="Q1992" t="n">
        <v>0</v>
      </c>
      <c r="R1992" s="2" t="inlineStr"/>
    </row>
    <row r="1993" ht="15" customHeight="1">
      <c r="A1993" t="inlineStr">
        <is>
          <t>A 6462-2023</t>
        </is>
      </c>
      <c r="B1993" s="1" t="n">
        <v>44965</v>
      </c>
      <c r="C1993" s="1" t="n">
        <v>45579</v>
      </c>
      <c r="D1993" t="inlineStr">
        <is>
          <t>JÄMTLANDS LÄN</t>
        </is>
      </c>
      <c r="E1993" t="inlineStr">
        <is>
          <t>STRÖMSUND</t>
        </is>
      </c>
      <c r="F1993" t="inlineStr">
        <is>
          <t>SCA</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6773-2023</t>
        </is>
      </c>
      <c r="B1994" s="1" t="n">
        <v>44966</v>
      </c>
      <c r="C1994" s="1" t="n">
        <v>45579</v>
      </c>
      <c r="D1994" t="inlineStr">
        <is>
          <t>JÄMTLANDS LÄN</t>
        </is>
      </c>
      <c r="E1994" t="inlineStr">
        <is>
          <t>STRÖMSUND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6798-2023</t>
        </is>
      </c>
      <c r="B1995" s="1" t="n">
        <v>44966</v>
      </c>
      <c r="C1995" s="1" t="n">
        <v>45579</v>
      </c>
      <c r="D1995" t="inlineStr">
        <is>
          <t>JÄMTLANDS LÄN</t>
        </is>
      </c>
      <c r="E1995" t="inlineStr">
        <is>
          <t>STRÖMSUND</t>
        </is>
      </c>
      <c r="F1995" t="inlineStr">
        <is>
          <t>SCA</t>
        </is>
      </c>
      <c r="G1995" t="n">
        <v>70.3</v>
      </c>
      <c r="H1995" t="n">
        <v>0</v>
      </c>
      <c r="I1995" t="n">
        <v>0</v>
      </c>
      <c r="J1995" t="n">
        <v>0</v>
      </c>
      <c r="K1995" t="n">
        <v>0</v>
      </c>
      <c r="L1995" t="n">
        <v>0</v>
      </c>
      <c r="M1995" t="n">
        <v>0</v>
      </c>
      <c r="N1995" t="n">
        <v>0</v>
      </c>
      <c r="O1995" t="n">
        <v>0</v>
      </c>
      <c r="P1995" t="n">
        <v>0</v>
      </c>
      <c r="Q1995" t="n">
        <v>0</v>
      </c>
      <c r="R1995" s="2" t="inlineStr"/>
    </row>
    <row r="1996" ht="15" customHeight="1">
      <c r="A1996" t="inlineStr">
        <is>
          <t>A 6780-2023</t>
        </is>
      </c>
      <c r="B1996" s="1" t="n">
        <v>44966</v>
      </c>
      <c r="C1996" s="1" t="n">
        <v>45579</v>
      </c>
      <c r="D1996" t="inlineStr">
        <is>
          <t>JÄMTLANDS LÄN</t>
        </is>
      </c>
      <c r="E1996" t="inlineStr">
        <is>
          <t>STRÖMSUND</t>
        </is>
      </c>
      <c r="F1996" t="inlineStr">
        <is>
          <t>SCA</t>
        </is>
      </c>
      <c r="G1996" t="n">
        <v>38.5</v>
      </c>
      <c r="H1996" t="n">
        <v>0</v>
      </c>
      <c r="I1996" t="n">
        <v>0</v>
      </c>
      <c r="J1996" t="n">
        <v>0</v>
      </c>
      <c r="K1996" t="n">
        <v>0</v>
      </c>
      <c r="L1996" t="n">
        <v>0</v>
      </c>
      <c r="M1996" t="n">
        <v>0</v>
      </c>
      <c r="N1996" t="n">
        <v>0</v>
      </c>
      <c r="O1996" t="n">
        <v>0</v>
      </c>
      <c r="P1996" t="n">
        <v>0</v>
      </c>
      <c r="Q1996" t="n">
        <v>0</v>
      </c>
      <c r="R1996" s="2" t="inlineStr"/>
    </row>
    <row r="1997" ht="15" customHeight="1">
      <c r="A1997" t="inlineStr">
        <is>
          <t>A 7489-2023</t>
        </is>
      </c>
      <c r="B1997" s="1" t="n">
        <v>44966</v>
      </c>
      <c r="C1997" s="1" t="n">
        <v>45579</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7020-2023</t>
        </is>
      </c>
      <c r="B1998" s="1" t="n">
        <v>44967</v>
      </c>
      <c r="C1998" s="1" t="n">
        <v>45579</v>
      </c>
      <c r="D1998" t="inlineStr">
        <is>
          <t>JÄMTLANDS LÄN</t>
        </is>
      </c>
      <c r="E1998" t="inlineStr">
        <is>
          <t>STRÖMSUND</t>
        </is>
      </c>
      <c r="F1998" t="inlineStr">
        <is>
          <t>SCA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7015-2023</t>
        </is>
      </c>
      <c r="B1999" s="1" t="n">
        <v>44967</v>
      </c>
      <c r="C1999" s="1" t="n">
        <v>45579</v>
      </c>
      <c r="D1999" t="inlineStr">
        <is>
          <t>JÄMTLANDS LÄN</t>
        </is>
      </c>
      <c r="E1999" t="inlineStr">
        <is>
          <t>STRÖMSUND</t>
        </is>
      </c>
      <c r="F1999" t="inlineStr">
        <is>
          <t>SCA</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7326-2023</t>
        </is>
      </c>
      <c r="B2000" s="1" t="n">
        <v>44971</v>
      </c>
      <c r="C2000" s="1" t="n">
        <v>45579</v>
      </c>
      <c r="D2000" t="inlineStr">
        <is>
          <t>JÄMTLANDS LÄN</t>
        </is>
      </c>
      <c r="E2000" t="inlineStr">
        <is>
          <t>STRÖMSUND</t>
        </is>
      </c>
      <c r="F2000" t="inlineStr">
        <is>
          <t>SCA</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7334-2023</t>
        </is>
      </c>
      <c r="B2001" s="1" t="n">
        <v>44971</v>
      </c>
      <c r="C2001" s="1" t="n">
        <v>45579</v>
      </c>
      <c r="D2001" t="inlineStr">
        <is>
          <t>JÄMTLANDS LÄN</t>
        </is>
      </c>
      <c r="E2001" t="inlineStr">
        <is>
          <t>STRÖMSUND</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7929-2023</t>
        </is>
      </c>
      <c r="B2002" s="1" t="n">
        <v>44970</v>
      </c>
      <c r="C2002" s="1" t="n">
        <v>45579</v>
      </c>
      <c r="D2002" t="inlineStr">
        <is>
          <t>JÄMTLANDS LÄN</t>
        </is>
      </c>
      <c r="E2002" t="inlineStr">
        <is>
          <t>STRÖMSUND</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8031-2023</t>
        </is>
      </c>
      <c r="B2003" s="1" t="n">
        <v>44973</v>
      </c>
      <c r="C2003" s="1" t="n">
        <v>45579</v>
      </c>
      <c r="D2003" t="inlineStr">
        <is>
          <t>JÄMTLANDS LÄN</t>
        </is>
      </c>
      <c r="E2003" t="inlineStr">
        <is>
          <t>STRÖMSUND</t>
        </is>
      </c>
      <c r="F2003" t="inlineStr">
        <is>
          <t>SCA</t>
        </is>
      </c>
      <c r="G2003" t="n">
        <v>39.1</v>
      </c>
      <c r="H2003" t="n">
        <v>0</v>
      </c>
      <c r="I2003" t="n">
        <v>0</v>
      </c>
      <c r="J2003" t="n">
        <v>0</v>
      </c>
      <c r="K2003" t="n">
        <v>0</v>
      </c>
      <c r="L2003" t="n">
        <v>0</v>
      </c>
      <c r="M2003" t="n">
        <v>0</v>
      </c>
      <c r="N2003" t="n">
        <v>0</v>
      </c>
      <c r="O2003" t="n">
        <v>0</v>
      </c>
      <c r="P2003" t="n">
        <v>0</v>
      </c>
      <c r="Q2003" t="n">
        <v>0</v>
      </c>
      <c r="R2003" s="2" t="inlineStr"/>
    </row>
    <row r="2004" ht="15" customHeight="1">
      <c r="A2004" t="inlineStr">
        <is>
          <t>A 8647-2023</t>
        </is>
      </c>
      <c r="B2004" s="1" t="n">
        <v>44977</v>
      </c>
      <c r="C2004" s="1" t="n">
        <v>45579</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8676-2023</t>
        </is>
      </c>
      <c r="B2005" s="1" t="n">
        <v>44978</v>
      </c>
      <c r="C2005" s="1" t="n">
        <v>45579</v>
      </c>
      <c r="D2005" t="inlineStr">
        <is>
          <t>JÄMTLANDS LÄN</t>
        </is>
      </c>
      <c r="E2005" t="inlineStr">
        <is>
          <t>STRÖMSUND</t>
        </is>
      </c>
      <c r="F2005" t="inlineStr">
        <is>
          <t>SCA</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9301-2023</t>
        </is>
      </c>
      <c r="B2006" s="1" t="n">
        <v>44977</v>
      </c>
      <c r="C2006" s="1" t="n">
        <v>45579</v>
      </c>
      <c r="D2006" t="inlineStr">
        <is>
          <t>JÄMTLANDS LÄN</t>
        </is>
      </c>
      <c r="E2006" t="inlineStr">
        <is>
          <t>STRÖMSUND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9716-2023</t>
        </is>
      </c>
      <c r="B2007" s="1" t="n">
        <v>44978</v>
      </c>
      <c r="C2007" s="1" t="n">
        <v>45579</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9089-2023</t>
        </is>
      </c>
      <c r="B2008" s="1" t="n">
        <v>44979</v>
      </c>
      <c r="C2008" s="1" t="n">
        <v>45579</v>
      </c>
      <c r="D2008" t="inlineStr">
        <is>
          <t>JÄMTLANDS LÄN</t>
        </is>
      </c>
      <c r="E2008" t="inlineStr">
        <is>
          <t>STRÖMSUND</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9354-2023</t>
        </is>
      </c>
      <c r="B2009" s="1" t="n">
        <v>44980</v>
      </c>
      <c r="C2009" s="1" t="n">
        <v>45579</v>
      </c>
      <c r="D2009" t="inlineStr">
        <is>
          <t>JÄMTLANDS LÄN</t>
        </is>
      </c>
      <c r="E2009" t="inlineStr">
        <is>
          <t>STRÖMSUND</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9353-2023</t>
        </is>
      </c>
      <c r="B2010" s="1" t="n">
        <v>44980</v>
      </c>
      <c r="C2010" s="1" t="n">
        <v>45579</v>
      </c>
      <c r="D2010" t="inlineStr">
        <is>
          <t>JÄMTLANDS LÄN</t>
        </is>
      </c>
      <c r="E2010" t="inlineStr">
        <is>
          <t>STRÖMSUND</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9555-2023</t>
        </is>
      </c>
      <c r="B2011" s="1" t="n">
        <v>44981</v>
      </c>
      <c r="C2011" s="1" t="n">
        <v>45579</v>
      </c>
      <c r="D2011" t="inlineStr">
        <is>
          <t>JÄMTLANDS LÄN</t>
        </is>
      </c>
      <c r="E2011" t="inlineStr">
        <is>
          <t>STRÖMSUND</t>
        </is>
      </c>
      <c r="F2011" t="inlineStr">
        <is>
          <t>SCA</t>
        </is>
      </c>
      <c r="G2011" t="n">
        <v>18.8</v>
      </c>
      <c r="H2011" t="n">
        <v>0</v>
      </c>
      <c r="I2011" t="n">
        <v>0</v>
      </c>
      <c r="J2011" t="n">
        <v>0</v>
      </c>
      <c r="K2011" t="n">
        <v>0</v>
      </c>
      <c r="L2011" t="n">
        <v>0</v>
      </c>
      <c r="M2011" t="n">
        <v>0</v>
      </c>
      <c r="N2011" t="n">
        <v>0</v>
      </c>
      <c r="O2011" t="n">
        <v>0</v>
      </c>
      <c r="P2011" t="n">
        <v>0</v>
      </c>
      <c r="Q2011" t="n">
        <v>0</v>
      </c>
      <c r="R2011" s="2" t="inlineStr"/>
    </row>
    <row r="2012" ht="15" customHeight="1">
      <c r="A2012" t="inlineStr">
        <is>
          <t>A 9554-2023</t>
        </is>
      </c>
      <c r="B2012" s="1" t="n">
        <v>44981</v>
      </c>
      <c r="C2012" s="1" t="n">
        <v>45579</v>
      </c>
      <c r="D2012" t="inlineStr">
        <is>
          <t>JÄMTLANDS LÄN</t>
        </is>
      </c>
      <c r="E2012" t="inlineStr">
        <is>
          <t>STRÖMSUND</t>
        </is>
      </c>
      <c r="F2012" t="inlineStr">
        <is>
          <t>SCA</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9678-2023</t>
        </is>
      </c>
      <c r="B2013" s="1" t="n">
        <v>44984</v>
      </c>
      <c r="C2013" s="1" t="n">
        <v>45579</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9851-2023</t>
        </is>
      </c>
      <c r="B2014" s="1" t="n">
        <v>44984</v>
      </c>
      <c r="C2014" s="1" t="n">
        <v>45579</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10738-2023</t>
        </is>
      </c>
      <c r="B2015" s="1" t="n">
        <v>44984</v>
      </c>
      <c r="C2015" s="1" t="n">
        <v>45579</v>
      </c>
      <c r="D2015" t="inlineStr">
        <is>
          <t>JÄMTLANDS LÄN</t>
        </is>
      </c>
      <c r="E2015" t="inlineStr">
        <is>
          <t>STRÖMSUND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10101-2023</t>
        </is>
      </c>
      <c r="B2016" s="1" t="n">
        <v>44985</v>
      </c>
      <c r="C2016" s="1" t="n">
        <v>45579</v>
      </c>
      <c r="D2016" t="inlineStr">
        <is>
          <t>JÄMTLANDS LÄN</t>
        </is>
      </c>
      <c r="E2016" t="inlineStr">
        <is>
          <t>STRÖMSUND</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10102-2023</t>
        </is>
      </c>
      <c r="B2017" s="1" t="n">
        <v>44985</v>
      </c>
      <c r="C2017" s="1" t="n">
        <v>45579</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10074-2023</t>
        </is>
      </c>
      <c r="B2018" s="1" t="n">
        <v>44985</v>
      </c>
      <c r="C2018" s="1" t="n">
        <v>45579</v>
      </c>
      <c r="D2018" t="inlineStr">
        <is>
          <t>JÄMTLANDS LÄN</t>
        </is>
      </c>
      <c r="E2018" t="inlineStr">
        <is>
          <t>STRÖMSUND</t>
        </is>
      </c>
      <c r="F2018" t="inlineStr">
        <is>
          <t>SCA</t>
        </is>
      </c>
      <c r="G2018" t="n">
        <v>58.9</v>
      </c>
      <c r="H2018" t="n">
        <v>0</v>
      </c>
      <c r="I2018" t="n">
        <v>0</v>
      </c>
      <c r="J2018" t="n">
        <v>0</v>
      </c>
      <c r="K2018" t="n">
        <v>0</v>
      </c>
      <c r="L2018" t="n">
        <v>0</v>
      </c>
      <c r="M2018" t="n">
        <v>0</v>
      </c>
      <c r="N2018" t="n">
        <v>0</v>
      </c>
      <c r="O2018" t="n">
        <v>0</v>
      </c>
      <c r="P2018" t="n">
        <v>0</v>
      </c>
      <c r="Q2018" t="n">
        <v>0</v>
      </c>
      <c r="R2018" s="2" t="inlineStr"/>
    </row>
    <row r="2019" ht="15" customHeight="1">
      <c r="A2019" t="inlineStr">
        <is>
          <t>A 10944-2023</t>
        </is>
      </c>
      <c r="B2019" s="1" t="n">
        <v>44985</v>
      </c>
      <c r="C2019" s="1" t="n">
        <v>45579</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10537-2023</t>
        </is>
      </c>
      <c r="B2020" s="1" t="n">
        <v>44987</v>
      </c>
      <c r="C2020" s="1" t="n">
        <v>45579</v>
      </c>
      <c r="D2020" t="inlineStr">
        <is>
          <t>JÄMTLANDS LÄN</t>
        </is>
      </c>
      <c r="E2020" t="inlineStr">
        <is>
          <t>STRÖMSUND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10826-2023</t>
        </is>
      </c>
      <c r="B2021" s="1" t="n">
        <v>44990</v>
      </c>
      <c r="C2021" s="1" t="n">
        <v>45579</v>
      </c>
      <c r="D2021" t="inlineStr">
        <is>
          <t>JÄMTLANDS LÄN</t>
        </is>
      </c>
      <c r="E2021" t="inlineStr">
        <is>
          <t>STRÖMSUND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11058-2023</t>
        </is>
      </c>
      <c r="B2022" s="1" t="n">
        <v>44991</v>
      </c>
      <c r="C2022" s="1" t="n">
        <v>45579</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11061-2023</t>
        </is>
      </c>
      <c r="B2023" s="1" t="n">
        <v>44991</v>
      </c>
      <c r="C2023" s="1" t="n">
        <v>45579</v>
      </c>
      <c r="D2023" t="inlineStr">
        <is>
          <t>JÄMTLANDS LÄN</t>
        </is>
      </c>
      <c r="E2023" t="inlineStr">
        <is>
          <t>STRÖMSUND</t>
        </is>
      </c>
      <c r="F2023" t="inlineStr">
        <is>
          <t>SCA</t>
        </is>
      </c>
      <c r="G2023" t="n">
        <v>26.7</v>
      </c>
      <c r="H2023" t="n">
        <v>0</v>
      </c>
      <c r="I2023" t="n">
        <v>0</v>
      </c>
      <c r="J2023" t="n">
        <v>0</v>
      </c>
      <c r="K2023" t="n">
        <v>0</v>
      </c>
      <c r="L2023" t="n">
        <v>0</v>
      </c>
      <c r="M2023" t="n">
        <v>0</v>
      </c>
      <c r="N2023" t="n">
        <v>0</v>
      </c>
      <c r="O2023" t="n">
        <v>0</v>
      </c>
      <c r="P2023" t="n">
        <v>0</v>
      </c>
      <c r="Q2023" t="n">
        <v>0</v>
      </c>
      <c r="R2023" s="2" t="inlineStr"/>
    </row>
    <row r="2024" ht="15" customHeight="1">
      <c r="A2024" t="inlineStr">
        <is>
          <t>A 11458-2023</t>
        </is>
      </c>
      <c r="B2024" s="1" t="n">
        <v>44991</v>
      </c>
      <c r="C2024" s="1" t="n">
        <v>45579</v>
      </c>
      <c r="D2024" t="inlineStr">
        <is>
          <t>JÄMTLANDS LÄN</t>
        </is>
      </c>
      <c r="E2024" t="inlineStr">
        <is>
          <t>STRÖMSUND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11444-2023</t>
        </is>
      </c>
      <c r="B2025" s="1" t="n">
        <v>44991</v>
      </c>
      <c r="C2025" s="1" t="n">
        <v>45579</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11303-2023</t>
        </is>
      </c>
      <c r="B2026" s="1" t="n">
        <v>44993</v>
      </c>
      <c r="C2026" s="1" t="n">
        <v>45579</v>
      </c>
      <c r="D2026" t="inlineStr">
        <is>
          <t>JÄMTLANDS LÄN</t>
        </is>
      </c>
      <c r="E2026" t="inlineStr">
        <is>
          <t>STRÖMSUND</t>
        </is>
      </c>
      <c r="F2026" t="inlineStr">
        <is>
          <t>SCA</t>
        </is>
      </c>
      <c r="G2026" t="n">
        <v>39.2</v>
      </c>
      <c r="H2026" t="n">
        <v>0</v>
      </c>
      <c r="I2026" t="n">
        <v>0</v>
      </c>
      <c r="J2026" t="n">
        <v>0</v>
      </c>
      <c r="K2026" t="n">
        <v>0</v>
      </c>
      <c r="L2026" t="n">
        <v>0</v>
      </c>
      <c r="M2026" t="n">
        <v>0</v>
      </c>
      <c r="N2026" t="n">
        <v>0</v>
      </c>
      <c r="O2026" t="n">
        <v>0</v>
      </c>
      <c r="P2026" t="n">
        <v>0</v>
      </c>
      <c r="Q2026" t="n">
        <v>0</v>
      </c>
      <c r="R2026" s="2" t="inlineStr"/>
    </row>
    <row r="2027" ht="15" customHeight="1">
      <c r="A2027" t="inlineStr">
        <is>
          <t>A 11302-2023</t>
        </is>
      </c>
      <c r="B2027" s="1" t="n">
        <v>44993</v>
      </c>
      <c r="C2027" s="1" t="n">
        <v>45579</v>
      </c>
      <c r="D2027" t="inlineStr">
        <is>
          <t>JÄMTLANDS LÄN</t>
        </is>
      </c>
      <c r="E2027" t="inlineStr">
        <is>
          <t>STRÖMSUND</t>
        </is>
      </c>
      <c r="F2027" t="inlineStr">
        <is>
          <t>SCA</t>
        </is>
      </c>
      <c r="G2027" t="n">
        <v>67.40000000000001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11324-2023</t>
        </is>
      </c>
      <c r="B2028" s="1" t="n">
        <v>44993</v>
      </c>
      <c r="C2028" s="1" t="n">
        <v>45579</v>
      </c>
      <c r="D2028" t="inlineStr">
        <is>
          <t>JÄMTLANDS LÄN</t>
        </is>
      </c>
      <c r="E2028" t="inlineStr">
        <is>
          <t>STRÖMSUND</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12042-2023</t>
        </is>
      </c>
      <c r="B2029" s="1" t="n">
        <v>44996</v>
      </c>
      <c r="C2029" s="1" t="n">
        <v>45579</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12644-2023</t>
        </is>
      </c>
      <c r="B2030" s="1" t="n">
        <v>45000</v>
      </c>
      <c r="C2030" s="1" t="n">
        <v>45579</v>
      </c>
      <c r="D2030" t="inlineStr">
        <is>
          <t>JÄMTLANDS LÄN</t>
        </is>
      </c>
      <c r="E2030" t="inlineStr">
        <is>
          <t>STRÖMSUND</t>
        </is>
      </c>
      <c r="F2030" t="inlineStr">
        <is>
          <t>Kyrkan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12731-2023</t>
        </is>
      </c>
      <c r="B2031" s="1" t="n">
        <v>45000</v>
      </c>
      <c r="C2031" s="1" t="n">
        <v>45579</v>
      </c>
      <c r="D2031" t="inlineStr">
        <is>
          <t>JÄMTLANDS LÄN</t>
        </is>
      </c>
      <c r="E2031" t="inlineStr">
        <is>
          <t>STRÖMSUND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12971-2023</t>
        </is>
      </c>
      <c r="B2032" s="1" t="n">
        <v>45001</v>
      </c>
      <c r="C2032" s="1" t="n">
        <v>45579</v>
      </c>
      <c r="D2032" t="inlineStr">
        <is>
          <t>JÄMTLANDS LÄN</t>
        </is>
      </c>
      <c r="E2032" t="inlineStr">
        <is>
          <t>STRÖMSUND</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12993-2023</t>
        </is>
      </c>
      <c r="B2033" s="1" t="n">
        <v>45002</v>
      </c>
      <c r="C2033" s="1" t="n">
        <v>45579</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12994-2023</t>
        </is>
      </c>
      <c r="B2034" s="1" t="n">
        <v>45002</v>
      </c>
      <c r="C2034" s="1" t="n">
        <v>45579</v>
      </c>
      <c r="D2034" t="inlineStr">
        <is>
          <t>JÄMTLANDS LÄN</t>
        </is>
      </c>
      <c r="E2034" t="inlineStr">
        <is>
          <t>STRÖMSUND</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13685-2023</t>
        </is>
      </c>
      <c r="B2035" s="1" t="n">
        <v>45006</v>
      </c>
      <c r="C2035" s="1" t="n">
        <v>45579</v>
      </c>
      <c r="D2035" t="inlineStr">
        <is>
          <t>JÄMTLANDS LÄN</t>
        </is>
      </c>
      <c r="E2035" t="inlineStr">
        <is>
          <t>STRÖMSUND</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13684-2023</t>
        </is>
      </c>
      <c r="B2036" s="1" t="n">
        <v>45006</v>
      </c>
      <c r="C2036" s="1" t="n">
        <v>45579</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13687-2023</t>
        </is>
      </c>
      <c r="B2037" s="1" t="n">
        <v>45006</v>
      </c>
      <c r="C2037" s="1" t="n">
        <v>45579</v>
      </c>
      <c r="D2037" t="inlineStr">
        <is>
          <t>JÄMTLANDS LÄN</t>
        </is>
      </c>
      <c r="E2037" t="inlineStr">
        <is>
          <t>STRÖMSUND</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13686-2023</t>
        </is>
      </c>
      <c r="B2038" s="1" t="n">
        <v>45006</v>
      </c>
      <c r="C2038" s="1" t="n">
        <v>45579</v>
      </c>
      <c r="D2038" t="inlineStr">
        <is>
          <t>JÄMTLANDS LÄN</t>
        </is>
      </c>
      <c r="E2038" t="inlineStr">
        <is>
          <t>STRÖMSUND</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14070-2023</t>
        </is>
      </c>
      <c r="B2039" s="1" t="n">
        <v>45008</v>
      </c>
      <c r="C2039" s="1" t="n">
        <v>45579</v>
      </c>
      <c r="D2039" t="inlineStr">
        <is>
          <t>JÄMTLANDS LÄN</t>
        </is>
      </c>
      <c r="E2039" t="inlineStr">
        <is>
          <t>STRÖMSUND</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14069-2023</t>
        </is>
      </c>
      <c r="B2040" s="1" t="n">
        <v>45008</v>
      </c>
      <c r="C2040" s="1" t="n">
        <v>45579</v>
      </c>
      <c r="D2040" t="inlineStr">
        <is>
          <t>JÄMTLANDS LÄN</t>
        </is>
      </c>
      <c r="E2040" t="inlineStr">
        <is>
          <t>STRÖMSUND</t>
        </is>
      </c>
      <c r="G2040" t="n">
        <v>28.2</v>
      </c>
      <c r="H2040" t="n">
        <v>0</v>
      </c>
      <c r="I2040" t="n">
        <v>0</v>
      </c>
      <c r="J2040" t="n">
        <v>0</v>
      </c>
      <c r="K2040" t="n">
        <v>0</v>
      </c>
      <c r="L2040" t="n">
        <v>0</v>
      </c>
      <c r="M2040" t="n">
        <v>0</v>
      </c>
      <c r="N2040" t="n">
        <v>0</v>
      </c>
      <c r="O2040" t="n">
        <v>0</v>
      </c>
      <c r="P2040" t="n">
        <v>0</v>
      </c>
      <c r="Q2040" t="n">
        <v>0</v>
      </c>
      <c r="R2040" s="2" t="inlineStr"/>
    </row>
    <row r="2041" ht="15" customHeight="1">
      <c r="A2041" t="inlineStr">
        <is>
          <t>A 14068-2023</t>
        </is>
      </c>
      <c r="B2041" s="1" t="n">
        <v>45009</v>
      </c>
      <c r="C2041" s="1" t="n">
        <v>45579</v>
      </c>
      <c r="D2041" t="inlineStr">
        <is>
          <t>JÄMTLANDS LÄN</t>
        </is>
      </c>
      <c r="E2041" t="inlineStr">
        <is>
          <t>STRÖMSUND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14072-2023</t>
        </is>
      </c>
      <c r="B2042" s="1" t="n">
        <v>45009</v>
      </c>
      <c r="C2042" s="1" t="n">
        <v>45579</v>
      </c>
      <c r="D2042" t="inlineStr">
        <is>
          <t>JÄMTLANDS LÄN</t>
        </is>
      </c>
      <c r="E2042" t="inlineStr">
        <is>
          <t>STRÖMSUND</t>
        </is>
      </c>
      <c r="F2042" t="inlineStr">
        <is>
          <t>SCA</t>
        </is>
      </c>
      <c r="G2042" t="n">
        <v>24.8</v>
      </c>
      <c r="H2042" t="n">
        <v>0</v>
      </c>
      <c r="I2042" t="n">
        <v>0</v>
      </c>
      <c r="J2042" t="n">
        <v>0</v>
      </c>
      <c r="K2042" t="n">
        <v>0</v>
      </c>
      <c r="L2042" t="n">
        <v>0</v>
      </c>
      <c r="M2042" t="n">
        <v>0</v>
      </c>
      <c r="N2042" t="n">
        <v>0</v>
      </c>
      <c r="O2042" t="n">
        <v>0</v>
      </c>
      <c r="P2042" t="n">
        <v>0</v>
      </c>
      <c r="Q2042" t="n">
        <v>0</v>
      </c>
      <c r="R2042" s="2" t="inlineStr"/>
    </row>
    <row r="2043" ht="15" customHeight="1">
      <c r="A2043" t="inlineStr">
        <is>
          <t>A 14338-2023</t>
        </is>
      </c>
      <c r="B2043" s="1" t="n">
        <v>45012</v>
      </c>
      <c r="C2043" s="1" t="n">
        <v>45579</v>
      </c>
      <c r="D2043" t="inlineStr">
        <is>
          <t>JÄMTLANDS LÄN</t>
        </is>
      </c>
      <c r="E2043" t="inlineStr">
        <is>
          <t>STRÖMSUND</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14344-2023</t>
        </is>
      </c>
      <c r="B2044" s="1" t="n">
        <v>45012</v>
      </c>
      <c r="C2044" s="1" t="n">
        <v>45579</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14371-2023</t>
        </is>
      </c>
      <c r="B2045" s="1" t="n">
        <v>45012</v>
      </c>
      <c r="C2045" s="1" t="n">
        <v>45579</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14347-2023</t>
        </is>
      </c>
      <c r="B2046" s="1" t="n">
        <v>45012</v>
      </c>
      <c r="C2046" s="1" t="n">
        <v>45579</v>
      </c>
      <c r="D2046" t="inlineStr">
        <is>
          <t>JÄMTLANDS LÄN</t>
        </is>
      </c>
      <c r="E2046" t="inlineStr">
        <is>
          <t>STRÖMSUND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14528-2023</t>
        </is>
      </c>
      <c r="B2047" s="1" t="n">
        <v>45012</v>
      </c>
      <c r="C2047" s="1" t="n">
        <v>45579</v>
      </c>
      <c r="D2047" t="inlineStr">
        <is>
          <t>JÄMTLANDS LÄN</t>
        </is>
      </c>
      <c r="E2047" t="inlineStr">
        <is>
          <t>STRÖMSUND</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14975-2023</t>
        </is>
      </c>
      <c r="B2048" s="1" t="n">
        <v>45013</v>
      </c>
      <c r="C2048" s="1" t="n">
        <v>45579</v>
      </c>
      <c r="D2048" t="inlineStr">
        <is>
          <t>JÄMTLANDS LÄN</t>
        </is>
      </c>
      <c r="E2048" t="inlineStr">
        <is>
          <t>STRÖMSUND</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14821-2023</t>
        </is>
      </c>
      <c r="B2049" s="1" t="n">
        <v>45013</v>
      </c>
      <c r="C2049" s="1" t="n">
        <v>45579</v>
      </c>
      <c r="D2049" t="inlineStr">
        <is>
          <t>JÄMTLANDS LÄN</t>
        </is>
      </c>
      <c r="E2049" t="inlineStr">
        <is>
          <t>STRÖMSUND</t>
        </is>
      </c>
      <c r="G2049" t="n">
        <v>39.3</v>
      </c>
      <c r="H2049" t="n">
        <v>0</v>
      </c>
      <c r="I2049" t="n">
        <v>0</v>
      </c>
      <c r="J2049" t="n">
        <v>0</v>
      </c>
      <c r="K2049" t="n">
        <v>0</v>
      </c>
      <c r="L2049" t="n">
        <v>0</v>
      </c>
      <c r="M2049" t="n">
        <v>0</v>
      </c>
      <c r="N2049" t="n">
        <v>0</v>
      </c>
      <c r="O2049" t="n">
        <v>0</v>
      </c>
      <c r="P2049" t="n">
        <v>0</v>
      </c>
      <c r="Q2049" t="n">
        <v>0</v>
      </c>
      <c r="R2049" s="2" t="inlineStr"/>
    </row>
    <row r="2050" ht="15" customHeight="1">
      <c r="A2050" t="inlineStr">
        <is>
          <t>A 14861-2023</t>
        </is>
      </c>
      <c r="B2050" s="1" t="n">
        <v>45015</v>
      </c>
      <c r="C2050" s="1" t="n">
        <v>45579</v>
      </c>
      <c r="D2050" t="inlineStr">
        <is>
          <t>JÄMTLANDS LÄN</t>
        </is>
      </c>
      <c r="E2050" t="inlineStr">
        <is>
          <t>STRÖMSUND</t>
        </is>
      </c>
      <c r="F2050" t="inlineStr">
        <is>
          <t>SCA</t>
        </is>
      </c>
      <c r="G2050" t="n">
        <v>26.3</v>
      </c>
      <c r="H2050" t="n">
        <v>0</v>
      </c>
      <c r="I2050" t="n">
        <v>0</v>
      </c>
      <c r="J2050" t="n">
        <v>0</v>
      </c>
      <c r="K2050" t="n">
        <v>0</v>
      </c>
      <c r="L2050" t="n">
        <v>0</v>
      </c>
      <c r="M2050" t="n">
        <v>0</v>
      </c>
      <c r="N2050" t="n">
        <v>0</v>
      </c>
      <c r="O2050" t="n">
        <v>0</v>
      </c>
      <c r="P2050" t="n">
        <v>0</v>
      </c>
      <c r="Q2050" t="n">
        <v>0</v>
      </c>
      <c r="R2050" s="2" t="inlineStr"/>
    </row>
    <row r="2051" ht="15" customHeight="1">
      <c r="A2051" t="inlineStr">
        <is>
          <t>A 14867-2023</t>
        </is>
      </c>
      <c r="B2051" s="1" t="n">
        <v>45015</v>
      </c>
      <c r="C2051" s="1" t="n">
        <v>45579</v>
      </c>
      <c r="D2051" t="inlineStr">
        <is>
          <t>JÄMTLANDS LÄN</t>
        </is>
      </c>
      <c r="E2051" t="inlineStr">
        <is>
          <t>STRÖMSUND</t>
        </is>
      </c>
      <c r="F2051" t="inlineStr">
        <is>
          <t>SCA</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14866-2023</t>
        </is>
      </c>
      <c r="B2052" s="1" t="n">
        <v>45015</v>
      </c>
      <c r="C2052" s="1" t="n">
        <v>45579</v>
      </c>
      <c r="D2052" t="inlineStr">
        <is>
          <t>JÄMTLANDS LÄN</t>
        </is>
      </c>
      <c r="E2052" t="inlineStr">
        <is>
          <t>STRÖMSUND</t>
        </is>
      </c>
      <c r="F2052" t="inlineStr">
        <is>
          <t>SCA</t>
        </is>
      </c>
      <c r="G2052" t="n">
        <v>64.90000000000001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15064-2023</t>
        </is>
      </c>
      <c r="B2053" s="1" t="n">
        <v>45015</v>
      </c>
      <c r="C2053" s="1" t="n">
        <v>45579</v>
      </c>
      <c r="D2053" t="inlineStr">
        <is>
          <t>JÄMTLANDS LÄN</t>
        </is>
      </c>
      <c r="E2053" t="inlineStr">
        <is>
          <t>STRÖMSUND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15207-2023</t>
        </is>
      </c>
      <c r="B2054" s="1" t="n">
        <v>45018</v>
      </c>
      <c r="C2054" s="1" t="n">
        <v>45579</v>
      </c>
      <c r="D2054" t="inlineStr">
        <is>
          <t>JÄMTLANDS LÄN</t>
        </is>
      </c>
      <c r="E2054" t="inlineStr">
        <is>
          <t>STRÖMSUND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15457-2023</t>
        </is>
      </c>
      <c r="B2055" s="1" t="n">
        <v>45019</v>
      </c>
      <c r="C2055" s="1" t="n">
        <v>45579</v>
      </c>
      <c r="D2055" t="inlineStr">
        <is>
          <t>JÄMTLANDS LÄN</t>
        </is>
      </c>
      <c r="E2055" t="inlineStr">
        <is>
          <t>STRÖMSUND</t>
        </is>
      </c>
      <c r="G2055" t="n">
        <v>17.2</v>
      </c>
      <c r="H2055" t="n">
        <v>0</v>
      </c>
      <c r="I2055" t="n">
        <v>0</v>
      </c>
      <c r="J2055" t="n">
        <v>0</v>
      </c>
      <c r="K2055" t="n">
        <v>0</v>
      </c>
      <c r="L2055" t="n">
        <v>0</v>
      </c>
      <c r="M2055" t="n">
        <v>0</v>
      </c>
      <c r="N2055" t="n">
        <v>0</v>
      </c>
      <c r="O2055" t="n">
        <v>0</v>
      </c>
      <c r="P2055" t="n">
        <v>0</v>
      </c>
      <c r="Q2055" t="n">
        <v>0</v>
      </c>
      <c r="R2055" s="2" t="inlineStr"/>
    </row>
    <row r="2056" ht="15" customHeight="1">
      <c r="A2056" t="inlineStr">
        <is>
          <t>A 15455-2023</t>
        </is>
      </c>
      <c r="B2056" s="1" t="n">
        <v>45019</v>
      </c>
      <c r="C2056" s="1" t="n">
        <v>45579</v>
      </c>
      <c r="D2056" t="inlineStr">
        <is>
          <t>JÄMTLANDS LÄN</t>
        </is>
      </c>
      <c r="E2056" t="inlineStr">
        <is>
          <t>STRÖMSUND</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15818-2023</t>
        </is>
      </c>
      <c r="B2057" s="1" t="n">
        <v>45021</v>
      </c>
      <c r="C2057" s="1" t="n">
        <v>45579</v>
      </c>
      <c r="D2057" t="inlineStr">
        <is>
          <t>JÄMTLANDS LÄN</t>
        </is>
      </c>
      <c r="E2057" t="inlineStr">
        <is>
          <t>STRÖMSUND</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16780-2023</t>
        </is>
      </c>
      <c r="B2058" s="1" t="n">
        <v>45032</v>
      </c>
      <c r="C2058" s="1" t="n">
        <v>45579</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17334-2023</t>
        </is>
      </c>
      <c r="B2059" s="1" t="n">
        <v>45033</v>
      </c>
      <c r="C2059" s="1" t="n">
        <v>45579</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17006-2023</t>
        </is>
      </c>
      <c r="B2060" s="1" t="n">
        <v>45033</v>
      </c>
      <c r="C2060" s="1" t="n">
        <v>45579</v>
      </c>
      <c r="D2060" t="inlineStr">
        <is>
          <t>JÄMTLANDS LÄN</t>
        </is>
      </c>
      <c r="E2060" t="inlineStr">
        <is>
          <t>STRÖMSUND</t>
        </is>
      </c>
      <c r="F2060" t="inlineStr">
        <is>
          <t>SCA</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17337-2023</t>
        </is>
      </c>
      <c r="B2061" s="1" t="n">
        <v>45033</v>
      </c>
      <c r="C2061" s="1" t="n">
        <v>45579</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17338-2023</t>
        </is>
      </c>
      <c r="B2062" s="1" t="n">
        <v>45033</v>
      </c>
      <c r="C2062" s="1" t="n">
        <v>45579</v>
      </c>
      <c r="D2062" t="inlineStr">
        <is>
          <t>JÄMTLANDS LÄN</t>
        </is>
      </c>
      <c r="E2062" t="inlineStr">
        <is>
          <t>STRÖMSUND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17222-2023</t>
        </is>
      </c>
      <c r="B2063" s="1" t="n">
        <v>45035</v>
      </c>
      <c r="C2063" s="1" t="n">
        <v>45579</v>
      </c>
      <c r="D2063" t="inlineStr">
        <is>
          <t>JÄMTLANDS LÄN</t>
        </is>
      </c>
      <c r="E2063" t="inlineStr">
        <is>
          <t>STRÖMSUND</t>
        </is>
      </c>
      <c r="F2063" t="inlineStr">
        <is>
          <t>SCA</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17220-2023</t>
        </is>
      </c>
      <c r="B2064" s="1" t="n">
        <v>45035</v>
      </c>
      <c r="C2064" s="1" t="n">
        <v>45579</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17433-2023</t>
        </is>
      </c>
      <c r="B2065" s="1" t="n">
        <v>45035</v>
      </c>
      <c r="C2065" s="1" t="n">
        <v>45579</v>
      </c>
      <c r="D2065" t="inlineStr">
        <is>
          <t>JÄMTLANDS LÄN</t>
        </is>
      </c>
      <c r="E2065" t="inlineStr">
        <is>
          <t>STRÖMSUND</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17663-2023</t>
        </is>
      </c>
      <c r="B2066" s="1" t="n">
        <v>45037</v>
      </c>
      <c r="C2066" s="1" t="n">
        <v>45579</v>
      </c>
      <c r="D2066" t="inlineStr">
        <is>
          <t>JÄMTLANDS LÄN</t>
        </is>
      </c>
      <c r="E2066" t="inlineStr">
        <is>
          <t>STRÖMSUND</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17662-2023</t>
        </is>
      </c>
      <c r="B2067" s="1" t="n">
        <v>45037</v>
      </c>
      <c r="C2067" s="1" t="n">
        <v>45579</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17798-2023</t>
        </is>
      </c>
      <c r="B2068" s="1" t="n">
        <v>45036</v>
      </c>
      <c r="C2068" s="1" t="n">
        <v>45579</v>
      </c>
      <c r="D2068" t="inlineStr">
        <is>
          <t>JÄMTLANDS LÄN</t>
        </is>
      </c>
      <c r="E2068" t="inlineStr">
        <is>
          <t>STRÖMSUND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17789-2023</t>
        </is>
      </c>
      <c r="B2069" s="1" t="n">
        <v>45036</v>
      </c>
      <c r="C2069" s="1" t="n">
        <v>45579</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18158-2023</t>
        </is>
      </c>
      <c r="B2070" s="1" t="n">
        <v>45040</v>
      </c>
      <c r="C2070" s="1" t="n">
        <v>45579</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18369-2023</t>
        </is>
      </c>
      <c r="B2071" s="1" t="n">
        <v>45042</v>
      </c>
      <c r="C2071" s="1" t="n">
        <v>45579</v>
      </c>
      <c r="D2071" t="inlineStr">
        <is>
          <t>JÄMTLANDS LÄN</t>
        </is>
      </c>
      <c r="E2071" t="inlineStr">
        <is>
          <t>STRÖMSUND</t>
        </is>
      </c>
      <c r="F2071" t="inlineStr">
        <is>
          <t>SCA</t>
        </is>
      </c>
      <c r="G2071" t="n">
        <v>100.1</v>
      </c>
      <c r="H2071" t="n">
        <v>0</v>
      </c>
      <c r="I2071" t="n">
        <v>0</v>
      </c>
      <c r="J2071" t="n">
        <v>0</v>
      </c>
      <c r="K2071" t="n">
        <v>0</v>
      </c>
      <c r="L2071" t="n">
        <v>0</v>
      </c>
      <c r="M2071" t="n">
        <v>0</v>
      </c>
      <c r="N2071" t="n">
        <v>0</v>
      </c>
      <c r="O2071" t="n">
        <v>0</v>
      </c>
      <c r="P2071" t="n">
        <v>0</v>
      </c>
      <c r="Q2071" t="n">
        <v>0</v>
      </c>
      <c r="R2071" s="2" t="inlineStr"/>
    </row>
    <row r="2072" ht="15" customHeight="1">
      <c r="A2072" t="inlineStr">
        <is>
          <t>A 18374-2023</t>
        </is>
      </c>
      <c r="B2072" s="1" t="n">
        <v>45041</v>
      </c>
      <c r="C2072" s="1" t="n">
        <v>45579</v>
      </c>
      <c r="D2072" t="inlineStr">
        <is>
          <t>JÄMTLANDS LÄN</t>
        </is>
      </c>
      <c r="E2072" t="inlineStr">
        <is>
          <t>STRÖMSUND</t>
        </is>
      </c>
      <c r="F2072" t="inlineStr">
        <is>
          <t>SCA</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18553-2023</t>
        </is>
      </c>
      <c r="B2073" s="1" t="n">
        <v>45042</v>
      </c>
      <c r="C2073" s="1" t="n">
        <v>45579</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18564-2023</t>
        </is>
      </c>
      <c r="B2074" s="1" t="n">
        <v>45043</v>
      </c>
      <c r="C2074" s="1" t="n">
        <v>45579</v>
      </c>
      <c r="D2074" t="inlineStr">
        <is>
          <t>JÄMTLANDS LÄN</t>
        </is>
      </c>
      <c r="E2074" t="inlineStr">
        <is>
          <t>STRÖMSUND</t>
        </is>
      </c>
      <c r="F2074" t="inlineStr">
        <is>
          <t>SCA</t>
        </is>
      </c>
      <c r="G2074" t="n">
        <v>40.5</v>
      </c>
      <c r="H2074" t="n">
        <v>0</v>
      </c>
      <c r="I2074" t="n">
        <v>0</v>
      </c>
      <c r="J2074" t="n">
        <v>0</v>
      </c>
      <c r="K2074" t="n">
        <v>0</v>
      </c>
      <c r="L2074" t="n">
        <v>0</v>
      </c>
      <c r="M2074" t="n">
        <v>0</v>
      </c>
      <c r="N2074" t="n">
        <v>0</v>
      </c>
      <c r="O2074" t="n">
        <v>0</v>
      </c>
      <c r="P2074" t="n">
        <v>0</v>
      </c>
      <c r="Q2074" t="n">
        <v>0</v>
      </c>
      <c r="R2074" s="2" t="inlineStr"/>
    </row>
    <row r="2075" ht="15" customHeight="1">
      <c r="A2075" t="inlineStr">
        <is>
          <t>A 18775-2023</t>
        </is>
      </c>
      <c r="B2075" s="1" t="n">
        <v>45044</v>
      </c>
      <c r="C2075" s="1" t="n">
        <v>45579</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18773-2023</t>
        </is>
      </c>
      <c r="B2076" s="1" t="n">
        <v>45044</v>
      </c>
      <c r="C2076" s="1" t="n">
        <v>45579</v>
      </c>
      <c r="D2076" t="inlineStr">
        <is>
          <t>JÄMTLANDS LÄN</t>
        </is>
      </c>
      <c r="E2076" t="inlineStr">
        <is>
          <t>STRÖMSUND</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18783-2023</t>
        </is>
      </c>
      <c r="B2077" s="1" t="n">
        <v>45043</v>
      </c>
      <c r="C2077" s="1" t="n">
        <v>45579</v>
      </c>
      <c r="D2077" t="inlineStr">
        <is>
          <t>JÄMTLANDS LÄN</t>
        </is>
      </c>
      <c r="E2077" t="inlineStr">
        <is>
          <t>STRÖMSUND</t>
        </is>
      </c>
      <c r="F2077" t="inlineStr">
        <is>
          <t>SCA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18768-2023</t>
        </is>
      </c>
      <c r="B2078" s="1" t="n">
        <v>45043</v>
      </c>
      <c r="C2078" s="1" t="n">
        <v>45579</v>
      </c>
      <c r="D2078" t="inlineStr">
        <is>
          <t>JÄMTLANDS LÄN</t>
        </is>
      </c>
      <c r="E2078" t="inlineStr">
        <is>
          <t>STRÖMSUND</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18777-2023</t>
        </is>
      </c>
      <c r="B2079" s="1" t="n">
        <v>45044</v>
      </c>
      <c r="C2079" s="1" t="n">
        <v>45579</v>
      </c>
      <c r="D2079" t="inlineStr">
        <is>
          <t>JÄMTLANDS LÄN</t>
        </is>
      </c>
      <c r="E2079" t="inlineStr">
        <is>
          <t>STRÖMSUND</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18774-2023</t>
        </is>
      </c>
      <c r="B2080" s="1" t="n">
        <v>45044</v>
      </c>
      <c r="C2080" s="1" t="n">
        <v>45579</v>
      </c>
      <c r="D2080" t="inlineStr">
        <is>
          <t>JÄMTLANDS LÄN</t>
        </is>
      </c>
      <c r="E2080" t="inlineStr">
        <is>
          <t>STRÖMSUND</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18788-2023</t>
        </is>
      </c>
      <c r="B2081" s="1" t="n">
        <v>45044</v>
      </c>
      <c r="C2081" s="1" t="n">
        <v>45579</v>
      </c>
      <c r="D2081" t="inlineStr">
        <is>
          <t>JÄMTLANDS LÄN</t>
        </is>
      </c>
      <c r="E2081" t="inlineStr">
        <is>
          <t>STRÖMSUND</t>
        </is>
      </c>
      <c r="F2081" t="inlineStr">
        <is>
          <t>SCA</t>
        </is>
      </c>
      <c r="G2081" t="n">
        <v>69.09999999999999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18992-2023</t>
        </is>
      </c>
      <c r="B2082" s="1" t="n">
        <v>45044</v>
      </c>
      <c r="C2082" s="1" t="n">
        <v>45579</v>
      </c>
      <c r="D2082" t="inlineStr">
        <is>
          <t>JÄMTLANDS LÄN</t>
        </is>
      </c>
      <c r="E2082" t="inlineStr">
        <is>
          <t>STRÖMSUND</t>
        </is>
      </c>
      <c r="F2082" t="inlineStr">
        <is>
          <t>SCA</t>
        </is>
      </c>
      <c r="G2082" t="n">
        <v>25.7</v>
      </c>
      <c r="H2082" t="n">
        <v>0</v>
      </c>
      <c r="I2082" t="n">
        <v>0</v>
      </c>
      <c r="J2082" t="n">
        <v>0</v>
      </c>
      <c r="K2082" t="n">
        <v>0</v>
      </c>
      <c r="L2082" t="n">
        <v>0</v>
      </c>
      <c r="M2082" t="n">
        <v>0</v>
      </c>
      <c r="N2082" t="n">
        <v>0</v>
      </c>
      <c r="O2082" t="n">
        <v>0</v>
      </c>
      <c r="P2082" t="n">
        <v>0</v>
      </c>
      <c r="Q2082" t="n">
        <v>0</v>
      </c>
      <c r="R2082" s="2" t="inlineStr"/>
    </row>
    <row r="2083" ht="15" customHeight="1">
      <c r="A2083" t="inlineStr">
        <is>
          <t>A 18993-2023</t>
        </is>
      </c>
      <c r="B2083" s="1" t="n">
        <v>45044</v>
      </c>
      <c r="C2083" s="1" t="n">
        <v>45579</v>
      </c>
      <c r="D2083" t="inlineStr">
        <is>
          <t>JÄMTLANDS LÄN</t>
        </is>
      </c>
      <c r="E2083" t="inlineStr">
        <is>
          <t>STRÖMSUND</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18997-2023</t>
        </is>
      </c>
      <c r="B2084" s="1" t="n">
        <v>45044</v>
      </c>
      <c r="C2084" s="1" t="n">
        <v>45579</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18994-2023</t>
        </is>
      </c>
      <c r="B2085" s="1" t="n">
        <v>45045</v>
      </c>
      <c r="C2085" s="1" t="n">
        <v>45579</v>
      </c>
      <c r="D2085" t="inlineStr">
        <is>
          <t>JÄMTLANDS LÄN</t>
        </is>
      </c>
      <c r="E2085" t="inlineStr">
        <is>
          <t>STRÖMSUND</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19029-2023</t>
        </is>
      </c>
      <c r="B2086" s="1" t="n">
        <v>45047</v>
      </c>
      <c r="C2086" s="1" t="n">
        <v>45579</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19027-2023</t>
        </is>
      </c>
      <c r="B2087" s="1" t="n">
        <v>45047</v>
      </c>
      <c r="C2087" s="1" t="n">
        <v>45579</v>
      </c>
      <c r="D2087" t="inlineStr">
        <is>
          <t>JÄMTLANDS LÄN</t>
        </is>
      </c>
      <c r="E2087" t="inlineStr">
        <is>
          <t>STRÖMSUND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19026-2023</t>
        </is>
      </c>
      <c r="B2088" s="1" t="n">
        <v>45047</v>
      </c>
      <c r="C2088" s="1" t="n">
        <v>45579</v>
      </c>
      <c r="D2088" t="inlineStr">
        <is>
          <t>JÄMTLANDS LÄN</t>
        </is>
      </c>
      <c r="E2088" t="inlineStr">
        <is>
          <t>STRÖMSUND</t>
        </is>
      </c>
      <c r="G2088" t="n">
        <v>15.1</v>
      </c>
      <c r="H2088" t="n">
        <v>0</v>
      </c>
      <c r="I2088" t="n">
        <v>0</v>
      </c>
      <c r="J2088" t="n">
        <v>0</v>
      </c>
      <c r="K2088" t="n">
        <v>0</v>
      </c>
      <c r="L2088" t="n">
        <v>0</v>
      </c>
      <c r="M2088" t="n">
        <v>0</v>
      </c>
      <c r="N2088" t="n">
        <v>0</v>
      </c>
      <c r="O2088" t="n">
        <v>0</v>
      </c>
      <c r="P2088" t="n">
        <v>0</v>
      </c>
      <c r="Q2088" t="n">
        <v>0</v>
      </c>
      <c r="R2088" s="2" t="inlineStr"/>
    </row>
    <row r="2089" ht="15" customHeight="1">
      <c r="A2089" t="inlineStr">
        <is>
          <t>A 19239-2023</t>
        </is>
      </c>
      <c r="B2089" s="1" t="n">
        <v>45048</v>
      </c>
      <c r="C2089" s="1" t="n">
        <v>45579</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19261-2023</t>
        </is>
      </c>
      <c r="B2090" s="1" t="n">
        <v>45048</v>
      </c>
      <c r="C2090" s="1" t="n">
        <v>45579</v>
      </c>
      <c r="D2090" t="inlineStr">
        <is>
          <t>JÄMTLANDS LÄN</t>
        </is>
      </c>
      <c r="E2090" t="inlineStr">
        <is>
          <t>STRÖMSUND</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19621-2023</t>
        </is>
      </c>
      <c r="B2091" s="1" t="n">
        <v>45051</v>
      </c>
      <c r="C2091" s="1" t="n">
        <v>45579</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19658-2023</t>
        </is>
      </c>
      <c r="B2092" s="1" t="n">
        <v>45050</v>
      </c>
      <c r="C2092" s="1" t="n">
        <v>45579</v>
      </c>
      <c r="D2092" t="inlineStr">
        <is>
          <t>JÄMTLANDS LÄN</t>
        </is>
      </c>
      <c r="E2092" t="inlineStr">
        <is>
          <t>STRÖMSUND</t>
        </is>
      </c>
      <c r="F2092" t="inlineStr">
        <is>
          <t>Kommuner</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19652-2023</t>
        </is>
      </c>
      <c r="B2093" s="1" t="n">
        <v>45050</v>
      </c>
      <c r="C2093" s="1" t="n">
        <v>45579</v>
      </c>
      <c r="D2093" t="inlineStr">
        <is>
          <t>JÄMTLANDS LÄN</t>
        </is>
      </c>
      <c r="E2093" t="inlineStr">
        <is>
          <t>STRÖMSUND</t>
        </is>
      </c>
      <c r="F2093" t="inlineStr">
        <is>
          <t>Kommuner</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19656-2023</t>
        </is>
      </c>
      <c r="B2094" s="1" t="n">
        <v>45050</v>
      </c>
      <c r="C2094" s="1" t="n">
        <v>45579</v>
      </c>
      <c r="D2094" t="inlineStr">
        <is>
          <t>JÄMTLANDS LÄN</t>
        </is>
      </c>
      <c r="E2094" t="inlineStr">
        <is>
          <t>STRÖMSUND</t>
        </is>
      </c>
      <c r="F2094" t="inlineStr">
        <is>
          <t>Kommuner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19826-2023</t>
        </is>
      </c>
      <c r="B2095" s="1" t="n">
        <v>45052</v>
      </c>
      <c r="C2095" s="1" t="n">
        <v>45579</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19831-2023</t>
        </is>
      </c>
      <c r="B2096" s="1" t="n">
        <v>45052</v>
      </c>
      <c r="C2096" s="1" t="n">
        <v>45579</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20590-2023</t>
        </is>
      </c>
      <c r="B2097" s="1" t="n">
        <v>45058</v>
      </c>
      <c r="C2097" s="1" t="n">
        <v>45579</v>
      </c>
      <c r="D2097" t="inlineStr">
        <is>
          <t>JÄMTLANDS LÄN</t>
        </is>
      </c>
      <c r="E2097" t="inlineStr">
        <is>
          <t>STRÖMSUND</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20631-2023</t>
        </is>
      </c>
      <c r="B2098" s="1" t="n">
        <v>45057</v>
      </c>
      <c r="C2098" s="1" t="n">
        <v>45579</v>
      </c>
      <c r="D2098" t="inlineStr">
        <is>
          <t>JÄMTLANDS LÄN</t>
        </is>
      </c>
      <c r="E2098" t="inlineStr">
        <is>
          <t>STRÖMSUND</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21146-2023</t>
        </is>
      </c>
      <c r="B2099" s="1" t="n">
        <v>45057</v>
      </c>
      <c r="C2099" s="1" t="n">
        <v>45579</v>
      </c>
      <c r="D2099" t="inlineStr">
        <is>
          <t>JÄMTLANDS LÄN</t>
        </is>
      </c>
      <c r="E2099" t="inlineStr">
        <is>
          <t>STRÖMSUND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20597-2023</t>
        </is>
      </c>
      <c r="B2100" s="1" t="n">
        <v>45058</v>
      </c>
      <c r="C2100" s="1" t="n">
        <v>45579</v>
      </c>
      <c r="D2100" t="inlineStr">
        <is>
          <t>JÄMTLANDS LÄN</t>
        </is>
      </c>
      <c r="E2100" t="inlineStr">
        <is>
          <t>STRÖMSUND</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20592-2023</t>
        </is>
      </c>
      <c r="B2101" s="1" t="n">
        <v>45057</v>
      </c>
      <c r="C2101" s="1" t="n">
        <v>45579</v>
      </c>
      <c r="D2101" t="inlineStr">
        <is>
          <t>JÄMTLANDS LÄN</t>
        </is>
      </c>
      <c r="E2101" t="inlineStr">
        <is>
          <t>STRÖMSUND</t>
        </is>
      </c>
      <c r="F2101" t="inlineStr">
        <is>
          <t>SCA</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20887-2023</t>
        </is>
      </c>
      <c r="B2102" s="1" t="n">
        <v>45058</v>
      </c>
      <c r="C2102" s="1" t="n">
        <v>45579</v>
      </c>
      <c r="D2102" t="inlineStr">
        <is>
          <t>JÄMTLANDS LÄN</t>
        </is>
      </c>
      <c r="E2102" t="inlineStr">
        <is>
          <t>STRÖMSUND</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21115-2023</t>
        </is>
      </c>
      <c r="B2103" s="1" t="n">
        <v>45061</v>
      </c>
      <c r="C2103" s="1" t="n">
        <v>45579</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21110-2023</t>
        </is>
      </c>
      <c r="B2104" s="1" t="n">
        <v>45061</v>
      </c>
      <c r="C2104" s="1" t="n">
        <v>45579</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21358-2023</t>
        </is>
      </c>
      <c r="B2105" s="1" t="n">
        <v>45063</v>
      </c>
      <c r="C2105" s="1" t="n">
        <v>45579</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21338-2023</t>
        </is>
      </c>
      <c r="B2106" s="1" t="n">
        <v>45062</v>
      </c>
      <c r="C2106" s="1" t="n">
        <v>45579</v>
      </c>
      <c r="D2106" t="inlineStr">
        <is>
          <t>JÄMTLANDS LÄN</t>
        </is>
      </c>
      <c r="E2106" t="inlineStr">
        <is>
          <t>STRÖMSUND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21339-2023</t>
        </is>
      </c>
      <c r="B2107" s="1" t="n">
        <v>45063</v>
      </c>
      <c r="C2107" s="1" t="n">
        <v>45579</v>
      </c>
      <c r="D2107" t="inlineStr">
        <is>
          <t>JÄMTLANDS LÄN</t>
        </is>
      </c>
      <c r="E2107" t="inlineStr">
        <is>
          <t>STRÖMSUND</t>
        </is>
      </c>
      <c r="F2107" t="inlineStr">
        <is>
          <t>SCA</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21687-2023</t>
        </is>
      </c>
      <c r="B2108" s="1" t="n">
        <v>45063</v>
      </c>
      <c r="C2108" s="1" t="n">
        <v>45579</v>
      </c>
      <c r="D2108" t="inlineStr">
        <is>
          <t>JÄMTLANDS LÄN</t>
        </is>
      </c>
      <c r="E2108" t="inlineStr">
        <is>
          <t>STRÖMSUND</t>
        </is>
      </c>
      <c r="F2108" t="inlineStr">
        <is>
          <t>SCA</t>
        </is>
      </c>
      <c r="G2108" t="n">
        <v>38.4</v>
      </c>
      <c r="H2108" t="n">
        <v>0</v>
      </c>
      <c r="I2108" t="n">
        <v>0</v>
      </c>
      <c r="J2108" t="n">
        <v>0</v>
      </c>
      <c r="K2108" t="n">
        <v>0</v>
      </c>
      <c r="L2108" t="n">
        <v>0</v>
      </c>
      <c r="M2108" t="n">
        <v>0</v>
      </c>
      <c r="N2108" t="n">
        <v>0</v>
      </c>
      <c r="O2108" t="n">
        <v>0</v>
      </c>
      <c r="P2108" t="n">
        <v>0</v>
      </c>
      <c r="Q2108" t="n">
        <v>0</v>
      </c>
      <c r="R2108" s="2" t="inlineStr"/>
    </row>
    <row r="2109" ht="15" customHeight="1">
      <c r="A2109" t="inlineStr">
        <is>
          <t>A 21685-2023</t>
        </is>
      </c>
      <c r="B2109" s="1" t="n">
        <v>45064</v>
      </c>
      <c r="C2109" s="1" t="n">
        <v>45579</v>
      </c>
      <c r="D2109" t="inlineStr">
        <is>
          <t>JÄMTLANDS LÄN</t>
        </is>
      </c>
      <c r="E2109" t="inlineStr">
        <is>
          <t>STRÖMSUND</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21711-2023</t>
        </is>
      </c>
      <c r="B2110" s="1" t="n">
        <v>45065</v>
      </c>
      <c r="C2110" s="1" t="n">
        <v>45579</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22223-2023</t>
        </is>
      </c>
      <c r="B2111" s="1" t="n">
        <v>45069</v>
      </c>
      <c r="C2111" s="1" t="n">
        <v>45579</v>
      </c>
      <c r="D2111" t="inlineStr">
        <is>
          <t>JÄMTLANDS LÄN</t>
        </is>
      </c>
      <c r="E2111" t="inlineStr">
        <is>
          <t>STRÖMSUND</t>
        </is>
      </c>
      <c r="F2111" t="inlineStr">
        <is>
          <t>SCA</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22475-2023</t>
        </is>
      </c>
      <c r="B2112" s="1" t="n">
        <v>45071</v>
      </c>
      <c r="C2112" s="1" t="n">
        <v>45579</v>
      </c>
      <c r="D2112" t="inlineStr">
        <is>
          <t>JÄMTLANDS LÄN</t>
        </is>
      </c>
      <c r="E2112" t="inlineStr">
        <is>
          <t>STRÖMSUND</t>
        </is>
      </c>
      <c r="F2112" t="inlineStr">
        <is>
          <t>SCA</t>
        </is>
      </c>
      <c r="G2112" t="n">
        <v>35.1</v>
      </c>
      <c r="H2112" t="n">
        <v>0</v>
      </c>
      <c r="I2112" t="n">
        <v>0</v>
      </c>
      <c r="J2112" t="n">
        <v>0</v>
      </c>
      <c r="K2112" t="n">
        <v>0</v>
      </c>
      <c r="L2112" t="n">
        <v>0</v>
      </c>
      <c r="M2112" t="n">
        <v>0</v>
      </c>
      <c r="N2112" t="n">
        <v>0</v>
      </c>
      <c r="O2112" t="n">
        <v>0</v>
      </c>
      <c r="P2112" t="n">
        <v>0</v>
      </c>
      <c r="Q2112" t="n">
        <v>0</v>
      </c>
      <c r="R2112" s="2" t="inlineStr"/>
    </row>
    <row r="2113" ht="15" customHeight="1">
      <c r="A2113" t="inlineStr">
        <is>
          <t>A 22346-2023</t>
        </is>
      </c>
      <c r="B2113" s="1" t="n">
        <v>45070</v>
      </c>
      <c r="C2113" s="1" t="n">
        <v>45579</v>
      </c>
      <c r="D2113" t="inlineStr">
        <is>
          <t>JÄMTLANDS LÄN</t>
        </is>
      </c>
      <c r="E2113" t="inlineStr">
        <is>
          <t>STRÖMSUND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22468-2023</t>
        </is>
      </c>
      <c r="B2114" s="1" t="n">
        <v>45070</v>
      </c>
      <c r="C2114" s="1" t="n">
        <v>45579</v>
      </c>
      <c r="D2114" t="inlineStr">
        <is>
          <t>JÄMTLANDS LÄN</t>
        </is>
      </c>
      <c r="E2114" t="inlineStr">
        <is>
          <t>STRÖMSUND</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22478-2023</t>
        </is>
      </c>
      <c r="B2115" s="1" t="n">
        <v>45071</v>
      </c>
      <c r="C2115" s="1" t="n">
        <v>45579</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22476-2023</t>
        </is>
      </c>
      <c r="B2116" s="1" t="n">
        <v>45070</v>
      </c>
      <c r="C2116" s="1" t="n">
        <v>45579</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22477-2023</t>
        </is>
      </c>
      <c r="B2117" s="1" t="n">
        <v>45070</v>
      </c>
      <c r="C2117" s="1" t="n">
        <v>45579</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22745-2023</t>
        </is>
      </c>
      <c r="B2118" s="1" t="n">
        <v>45072</v>
      </c>
      <c r="C2118" s="1" t="n">
        <v>45579</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23303-2023</t>
        </is>
      </c>
      <c r="B2119" s="1" t="n">
        <v>45076</v>
      </c>
      <c r="C2119" s="1" t="n">
        <v>45579</v>
      </c>
      <c r="D2119" t="inlineStr">
        <is>
          <t>JÄMTLANDS LÄN</t>
        </is>
      </c>
      <c r="E2119" t="inlineStr">
        <is>
          <t>STRÖMSUND</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23310-2023</t>
        </is>
      </c>
      <c r="B2120" s="1" t="n">
        <v>45075</v>
      </c>
      <c r="C2120" s="1" t="n">
        <v>45579</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23309-2023</t>
        </is>
      </c>
      <c r="B2121" s="1" t="n">
        <v>45075</v>
      </c>
      <c r="C2121" s="1" t="n">
        <v>45579</v>
      </c>
      <c r="D2121" t="inlineStr">
        <is>
          <t>JÄMTLANDS LÄN</t>
        </is>
      </c>
      <c r="E2121" t="inlineStr">
        <is>
          <t>STRÖMSUND</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23311-2023</t>
        </is>
      </c>
      <c r="B2122" s="1" t="n">
        <v>45075</v>
      </c>
      <c r="C2122" s="1" t="n">
        <v>45579</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23906-2023</t>
        </is>
      </c>
      <c r="B2123" s="1" t="n">
        <v>45075</v>
      </c>
      <c r="C2123" s="1" t="n">
        <v>45579</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23839-2023</t>
        </is>
      </c>
      <c r="B2124" s="1" t="n">
        <v>45075</v>
      </c>
      <c r="C2124" s="1" t="n">
        <v>45579</v>
      </c>
      <c r="D2124" t="inlineStr">
        <is>
          <t>JÄMTLANDS LÄN</t>
        </is>
      </c>
      <c r="E2124" t="inlineStr">
        <is>
          <t>STRÖMSUND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23446-2023</t>
        </is>
      </c>
      <c r="B2125" s="1" t="n">
        <v>45076</v>
      </c>
      <c r="C2125" s="1" t="n">
        <v>45579</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23406-2023</t>
        </is>
      </c>
      <c r="B2126" s="1" t="n">
        <v>45076</v>
      </c>
      <c r="C2126" s="1" t="n">
        <v>45579</v>
      </c>
      <c r="D2126" t="inlineStr">
        <is>
          <t>JÄMTLANDS LÄN</t>
        </is>
      </c>
      <c r="E2126" t="inlineStr">
        <is>
          <t>STRÖMSUND</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23528-2023</t>
        </is>
      </c>
      <c r="B2127" s="1" t="n">
        <v>45076</v>
      </c>
      <c r="C2127" s="1" t="n">
        <v>45579</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23518-2023</t>
        </is>
      </c>
      <c r="B2128" s="1" t="n">
        <v>45077</v>
      </c>
      <c r="C2128" s="1" t="n">
        <v>45579</v>
      </c>
      <c r="D2128" t="inlineStr">
        <is>
          <t>JÄMTLANDS LÄN</t>
        </is>
      </c>
      <c r="E2128" t="inlineStr">
        <is>
          <t>STRÖMSUND</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23525-2023</t>
        </is>
      </c>
      <c r="B2129" s="1" t="n">
        <v>45076</v>
      </c>
      <c r="C2129" s="1" t="n">
        <v>45579</v>
      </c>
      <c r="D2129" t="inlineStr">
        <is>
          <t>JÄMTLANDS LÄN</t>
        </is>
      </c>
      <c r="E2129" t="inlineStr">
        <is>
          <t>STRÖMSUND</t>
        </is>
      </c>
      <c r="F2129" t="inlineStr">
        <is>
          <t>SCA</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23748-2023</t>
        </is>
      </c>
      <c r="B2130" s="1" t="n">
        <v>45077</v>
      </c>
      <c r="C2130" s="1" t="n">
        <v>45579</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23777-2023</t>
        </is>
      </c>
      <c r="B2131" s="1" t="n">
        <v>45078</v>
      </c>
      <c r="C2131" s="1" t="n">
        <v>45579</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23770-2023</t>
        </is>
      </c>
      <c r="B2132" s="1" t="n">
        <v>45078</v>
      </c>
      <c r="C2132" s="1" t="n">
        <v>45579</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23780-2023</t>
        </is>
      </c>
      <c r="B2133" s="1" t="n">
        <v>45078</v>
      </c>
      <c r="C2133" s="1" t="n">
        <v>45579</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23779-2023</t>
        </is>
      </c>
      <c r="B2134" s="1" t="n">
        <v>45078</v>
      </c>
      <c r="C2134" s="1" t="n">
        <v>45579</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23783-2023</t>
        </is>
      </c>
      <c r="B2135" s="1" t="n">
        <v>45078</v>
      </c>
      <c r="C2135" s="1" t="n">
        <v>45579</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24073-2023</t>
        </is>
      </c>
      <c r="B2136" s="1" t="n">
        <v>45079</v>
      </c>
      <c r="C2136" s="1" t="n">
        <v>45579</v>
      </c>
      <c r="D2136" t="inlineStr">
        <is>
          <t>JÄMTLANDS LÄN</t>
        </is>
      </c>
      <c r="E2136" t="inlineStr">
        <is>
          <t>STRÖMSUND</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24071-2023</t>
        </is>
      </c>
      <c r="B2137" s="1" t="n">
        <v>45079</v>
      </c>
      <c r="C2137" s="1" t="n">
        <v>45579</v>
      </c>
      <c r="D2137" t="inlineStr">
        <is>
          <t>JÄMTLANDS LÄN</t>
        </is>
      </c>
      <c r="E2137" t="inlineStr">
        <is>
          <t>STRÖMSUND</t>
        </is>
      </c>
      <c r="F2137" t="inlineStr">
        <is>
          <t>SCA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24070-2023</t>
        </is>
      </c>
      <c r="B2138" s="1" t="n">
        <v>45078</v>
      </c>
      <c r="C2138" s="1" t="n">
        <v>45579</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24315-2023</t>
        </is>
      </c>
      <c r="B2139" s="1" t="n">
        <v>45079</v>
      </c>
      <c r="C2139" s="1" t="n">
        <v>45579</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24303-2023</t>
        </is>
      </c>
      <c r="B2140" s="1" t="n">
        <v>45079</v>
      </c>
      <c r="C2140" s="1" t="n">
        <v>45579</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24301-2023</t>
        </is>
      </c>
      <c r="B2141" s="1" t="n">
        <v>45080</v>
      </c>
      <c r="C2141" s="1" t="n">
        <v>45579</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24308-2023</t>
        </is>
      </c>
      <c r="B2142" s="1" t="n">
        <v>45080</v>
      </c>
      <c r="C2142" s="1" t="n">
        <v>45579</v>
      </c>
      <c r="D2142" t="inlineStr">
        <is>
          <t>JÄMTLANDS LÄN</t>
        </is>
      </c>
      <c r="E2142" t="inlineStr">
        <is>
          <t>STRÖMSUND</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24313-2023</t>
        </is>
      </c>
      <c r="B2143" s="1" t="n">
        <v>45080</v>
      </c>
      <c r="C2143" s="1" t="n">
        <v>45579</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24317-2023</t>
        </is>
      </c>
      <c r="B2144" s="1" t="n">
        <v>45080</v>
      </c>
      <c r="C2144" s="1" t="n">
        <v>45579</v>
      </c>
      <c r="D2144" t="inlineStr">
        <is>
          <t>JÄMTLANDS LÄN</t>
        </is>
      </c>
      <c r="E2144" t="inlineStr">
        <is>
          <t>STRÖMSUND</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24312-2023</t>
        </is>
      </c>
      <c r="B2145" s="1" t="n">
        <v>45080</v>
      </c>
      <c r="C2145" s="1" t="n">
        <v>45579</v>
      </c>
      <c r="D2145" t="inlineStr">
        <is>
          <t>JÄMTLANDS LÄN</t>
        </is>
      </c>
      <c r="E2145" t="inlineStr">
        <is>
          <t>STRÖMSUND</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24316-2023</t>
        </is>
      </c>
      <c r="B2146" s="1" t="n">
        <v>45079</v>
      </c>
      <c r="C2146" s="1" t="n">
        <v>45579</v>
      </c>
      <c r="D2146" t="inlineStr">
        <is>
          <t>JÄMTLANDS LÄN</t>
        </is>
      </c>
      <c r="E2146" t="inlineStr">
        <is>
          <t>STRÖMSUND</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24397-2023</t>
        </is>
      </c>
      <c r="B2147" s="1" t="n">
        <v>45082</v>
      </c>
      <c r="C2147" s="1" t="n">
        <v>45579</v>
      </c>
      <c r="D2147" t="inlineStr">
        <is>
          <t>JÄMTLANDS LÄN</t>
        </is>
      </c>
      <c r="E2147" t="inlineStr">
        <is>
          <t>STRÖMSUND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24599-2023</t>
        </is>
      </c>
      <c r="B2148" s="1" t="n">
        <v>45084</v>
      </c>
      <c r="C2148" s="1" t="n">
        <v>45579</v>
      </c>
      <c r="D2148" t="inlineStr">
        <is>
          <t>JÄMTLANDS LÄN</t>
        </is>
      </c>
      <c r="E2148" t="inlineStr">
        <is>
          <t>STRÖMSUND</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24602-2023</t>
        </is>
      </c>
      <c r="B2149" s="1" t="n">
        <v>45083</v>
      </c>
      <c r="C2149" s="1" t="n">
        <v>45579</v>
      </c>
      <c r="D2149" t="inlineStr">
        <is>
          <t>JÄMTLANDS LÄN</t>
        </is>
      </c>
      <c r="E2149" t="inlineStr">
        <is>
          <t>STRÖMSUND</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24601-2023</t>
        </is>
      </c>
      <c r="B2150" s="1" t="n">
        <v>45084</v>
      </c>
      <c r="C2150" s="1" t="n">
        <v>45579</v>
      </c>
      <c r="D2150" t="inlineStr">
        <is>
          <t>JÄMTLANDS LÄN</t>
        </is>
      </c>
      <c r="E2150" t="inlineStr">
        <is>
          <t>STRÖMSUND</t>
        </is>
      </c>
      <c r="F2150" t="inlineStr">
        <is>
          <t>SCA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24600-2023</t>
        </is>
      </c>
      <c r="B2151" s="1" t="n">
        <v>45084</v>
      </c>
      <c r="C2151" s="1" t="n">
        <v>45579</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24831-2023</t>
        </is>
      </c>
      <c r="B2152" s="1" t="n">
        <v>45085</v>
      </c>
      <c r="C2152" s="1" t="n">
        <v>45579</v>
      </c>
      <c r="D2152" t="inlineStr">
        <is>
          <t>JÄMTLANDS LÄN</t>
        </is>
      </c>
      <c r="E2152" t="inlineStr">
        <is>
          <t>STRÖMSUND</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24833-2023</t>
        </is>
      </c>
      <c r="B2153" s="1" t="n">
        <v>45084</v>
      </c>
      <c r="C2153" s="1" t="n">
        <v>45579</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24830-2023</t>
        </is>
      </c>
      <c r="B2154" s="1" t="n">
        <v>45085</v>
      </c>
      <c r="C2154" s="1" t="n">
        <v>45579</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25052-2023</t>
        </is>
      </c>
      <c r="B2155" s="1" t="n">
        <v>45086</v>
      </c>
      <c r="C2155" s="1" t="n">
        <v>45579</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25026-2023</t>
        </is>
      </c>
      <c r="B2156" s="1" t="n">
        <v>45085</v>
      </c>
      <c r="C2156" s="1" t="n">
        <v>45579</v>
      </c>
      <c r="D2156" t="inlineStr">
        <is>
          <t>JÄMTLANDS LÄN</t>
        </is>
      </c>
      <c r="E2156" t="inlineStr">
        <is>
          <t>STRÖMSUND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25066-2023</t>
        </is>
      </c>
      <c r="B2157" s="1" t="n">
        <v>45085</v>
      </c>
      <c r="C2157" s="1" t="n">
        <v>45579</v>
      </c>
      <c r="D2157" t="inlineStr">
        <is>
          <t>JÄMTLANDS LÄN</t>
        </is>
      </c>
      <c r="E2157" t="inlineStr">
        <is>
          <t>STRÖMSUND</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25328-2023</t>
        </is>
      </c>
      <c r="B2158" s="1" t="n">
        <v>45087</v>
      </c>
      <c r="C2158" s="1" t="n">
        <v>45579</v>
      </c>
      <c r="D2158" t="inlineStr">
        <is>
          <t>JÄMTLANDS LÄN</t>
        </is>
      </c>
      <c r="E2158" t="inlineStr">
        <is>
          <t>STRÖMSUND</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26226-2023</t>
        </is>
      </c>
      <c r="B2159" s="1" t="n">
        <v>45086</v>
      </c>
      <c r="C2159" s="1" t="n">
        <v>45579</v>
      </c>
      <c r="D2159" t="inlineStr">
        <is>
          <t>JÄMTLANDS LÄN</t>
        </is>
      </c>
      <c r="E2159" t="inlineStr">
        <is>
          <t>STRÖMSUND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25326-2023</t>
        </is>
      </c>
      <c r="B2160" s="1" t="n">
        <v>45087</v>
      </c>
      <c r="C2160" s="1" t="n">
        <v>45579</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25673-2023</t>
        </is>
      </c>
      <c r="B2161" s="1" t="n">
        <v>45090</v>
      </c>
      <c r="C2161" s="1" t="n">
        <v>45579</v>
      </c>
      <c r="D2161" t="inlineStr">
        <is>
          <t>JÄMTLANDS LÄN</t>
        </is>
      </c>
      <c r="E2161" t="inlineStr">
        <is>
          <t>STRÖMSUND</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25682-2023</t>
        </is>
      </c>
      <c r="B2162" s="1" t="n">
        <v>45089</v>
      </c>
      <c r="C2162" s="1" t="n">
        <v>45579</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26346-2023</t>
        </is>
      </c>
      <c r="B2163" s="1" t="n">
        <v>45092</v>
      </c>
      <c r="C2163" s="1" t="n">
        <v>45579</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26349-2023</t>
        </is>
      </c>
      <c r="B2164" s="1" t="n">
        <v>45092</v>
      </c>
      <c r="C2164" s="1" t="n">
        <v>45579</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26348-2023</t>
        </is>
      </c>
      <c r="B2165" s="1" t="n">
        <v>45092</v>
      </c>
      <c r="C2165" s="1" t="n">
        <v>45579</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26368-2023</t>
        </is>
      </c>
      <c r="B2166" s="1" t="n">
        <v>45091</v>
      </c>
      <c r="C2166" s="1" t="n">
        <v>45579</v>
      </c>
      <c r="D2166" t="inlineStr">
        <is>
          <t>JÄMTLANDS LÄN</t>
        </is>
      </c>
      <c r="E2166" t="inlineStr">
        <is>
          <t>STRÖMSUND</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26666-2023</t>
        </is>
      </c>
      <c r="B2167" s="1" t="n">
        <v>45093</v>
      </c>
      <c r="C2167" s="1" t="n">
        <v>45579</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26665-2023</t>
        </is>
      </c>
      <c r="B2168" s="1" t="n">
        <v>45093</v>
      </c>
      <c r="C2168" s="1" t="n">
        <v>45579</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26650-2023</t>
        </is>
      </c>
      <c r="B2169" s="1" t="n">
        <v>45093</v>
      </c>
      <c r="C2169" s="1" t="n">
        <v>45579</v>
      </c>
      <c r="D2169" t="inlineStr">
        <is>
          <t>JÄMTLANDS LÄN</t>
        </is>
      </c>
      <c r="E2169" t="inlineStr">
        <is>
          <t>STRÖMSUND</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26659-2023</t>
        </is>
      </c>
      <c r="B2170" s="1" t="n">
        <v>45092</v>
      </c>
      <c r="C2170" s="1" t="n">
        <v>45579</v>
      </c>
      <c r="D2170" t="inlineStr">
        <is>
          <t>JÄMTLANDS LÄN</t>
        </is>
      </c>
      <c r="E2170" t="inlineStr">
        <is>
          <t>STRÖMSUND</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26660-2023</t>
        </is>
      </c>
      <c r="B2171" s="1" t="n">
        <v>45092</v>
      </c>
      <c r="C2171" s="1" t="n">
        <v>45579</v>
      </c>
      <c r="D2171" t="inlineStr">
        <is>
          <t>JÄMTLANDS LÄN</t>
        </is>
      </c>
      <c r="E2171" t="inlineStr">
        <is>
          <t>STRÖMSUND</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26799-2023</t>
        </is>
      </c>
      <c r="B2172" s="1" t="n">
        <v>45093</v>
      </c>
      <c r="C2172" s="1" t="n">
        <v>45579</v>
      </c>
      <c r="D2172" t="inlineStr">
        <is>
          <t>JÄMTLANDS LÄN</t>
        </is>
      </c>
      <c r="E2172" t="inlineStr">
        <is>
          <t>STRÖMSUND</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26735-2023</t>
        </is>
      </c>
      <c r="B2173" s="1" t="n">
        <v>45093</v>
      </c>
      <c r="C2173" s="1" t="n">
        <v>45579</v>
      </c>
      <c r="D2173" t="inlineStr">
        <is>
          <t>JÄMTLANDS LÄN</t>
        </is>
      </c>
      <c r="E2173" t="inlineStr">
        <is>
          <t>STRÖMSUND</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27389-2023</t>
        </is>
      </c>
      <c r="B2174" s="1" t="n">
        <v>45096</v>
      </c>
      <c r="C2174" s="1" t="n">
        <v>45579</v>
      </c>
      <c r="D2174" t="inlineStr">
        <is>
          <t>JÄMTLANDS LÄN</t>
        </is>
      </c>
      <c r="E2174" t="inlineStr">
        <is>
          <t>STRÖMSUND</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27366-2023</t>
        </is>
      </c>
      <c r="B2175" s="1" t="n">
        <v>45096</v>
      </c>
      <c r="C2175" s="1" t="n">
        <v>45579</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27386-2023</t>
        </is>
      </c>
      <c r="B2176" s="1" t="n">
        <v>45097</v>
      </c>
      <c r="C2176" s="1" t="n">
        <v>45579</v>
      </c>
      <c r="D2176" t="inlineStr">
        <is>
          <t>JÄMTLANDS LÄN</t>
        </is>
      </c>
      <c r="E2176" t="inlineStr">
        <is>
          <t>STRÖMSUND</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27374-2023</t>
        </is>
      </c>
      <c r="B2177" s="1" t="n">
        <v>45097</v>
      </c>
      <c r="C2177" s="1" t="n">
        <v>45579</v>
      </c>
      <c r="D2177" t="inlineStr">
        <is>
          <t>JÄMTLANDS LÄN</t>
        </is>
      </c>
      <c r="E2177" t="inlineStr">
        <is>
          <t>STRÖMSUND</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27388-2023</t>
        </is>
      </c>
      <c r="B2178" s="1" t="n">
        <v>45097</v>
      </c>
      <c r="C2178" s="1" t="n">
        <v>45579</v>
      </c>
      <c r="D2178" t="inlineStr">
        <is>
          <t>JÄMTLANDS LÄN</t>
        </is>
      </c>
      <c r="E2178" t="inlineStr">
        <is>
          <t>STRÖMSUND</t>
        </is>
      </c>
      <c r="F2178" t="inlineStr">
        <is>
          <t>SCA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27368-2023</t>
        </is>
      </c>
      <c r="B2179" s="1" t="n">
        <v>45096</v>
      </c>
      <c r="C2179" s="1" t="n">
        <v>45579</v>
      </c>
      <c r="D2179" t="inlineStr">
        <is>
          <t>JÄMTLANDS LÄN</t>
        </is>
      </c>
      <c r="E2179" t="inlineStr">
        <is>
          <t>STRÖMSUND</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27365-2023</t>
        </is>
      </c>
      <c r="B2180" s="1" t="n">
        <v>45097</v>
      </c>
      <c r="C2180" s="1" t="n">
        <v>45579</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27387-2023</t>
        </is>
      </c>
      <c r="B2181" s="1" t="n">
        <v>45097</v>
      </c>
      <c r="C2181" s="1" t="n">
        <v>45579</v>
      </c>
      <c r="D2181" t="inlineStr">
        <is>
          <t>JÄMTLANDS LÄN</t>
        </is>
      </c>
      <c r="E2181" t="inlineStr">
        <is>
          <t>STRÖMSUND</t>
        </is>
      </c>
      <c r="F2181" t="inlineStr">
        <is>
          <t>SCA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27375-2023</t>
        </is>
      </c>
      <c r="B2182" s="1" t="n">
        <v>45097</v>
      </c>
      <c r="C2182" s="1" t="n">
        <v>45579</v>
      </c>
      <c r="D2182" t="inlineStr">
        <is>
          <t>JÄMTLANDS LÄN</t>
        </is>
      </c>
      <c r="E2182" t="inlineStr">
        <is>
          <t>STRÖMSUND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28660-2023</t>
        </is>
      </c>
      <c r="B2183" s="1" t="n">
        <v>45096</v>
      </c>
      <c r="C2183" s="1" t="n">
        <v>45579</v>
      </c>
      <c r="D2183" t="inlineStr">
        <is>
          <t>JÄMTLANDS LÄN</t>
        </is>
      </c>
      <c r="E2183" t="inlineStr">
        <is>
          <t>STRÖMSUND</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27679-2023</t>
        </is>
      </c>
      <c r="B2184" s="1" t="n">
        <v>45098</v>
      </c>
      <c r="C2184" s="1" t="n">
        <v>45579</v>
      </c>
      <c r="D2184" t="inlineStr">
        <is>
          <t>JÄMTLANDS LÄN</t>
        </is>
      </c>
      <c r="E2184" t="inlineStr">
        <is>
          <t>STRÖMSUND</t>
        </is>
      </c>
      <c r="G2184" t="n">
        <v>12.7</v>
      </c>
      <c r="H2184" t="n">
        <v>0</v>
      </c>
      <c r="I2184" t="n">
        <v>0</v>
      </c>
      <c r="J2184" t="n">
        <v>0</v>
      </c>
      <c r="K2184" t="n">
        <v>0</v>
      </c>
      <c r="L2184" t="n">
        <v>0</v>
      </c>
      <c r="M2184" t="n">
        <v>0</v>
      </c>
      <c r="N2184" t="n">
        <v>0</v>
      </c>
      <c r="O2184" t="n">
        <v>0</v>
      </c>
      <c r="P2184" t="n">
        <v>0</v>
      </c>
      <c r="Q2184" t="n">
        <v>0</v>
      </c>
      <c r="R2184" s="2" t="inlineStr"/>
    </row>
    <row r="2185" ht="15" customHeight="1">
      <c r="A2185" t="inlineStr">
        <is>
          <t>A 28005-2023</t>
        </is>
      </c>
      <c r="B2185" s="1" t="n">
        <v>45099</v>
      </c>
      <c r="C2185" s="1" t="n">
        <v>45579</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28006-2023</t>
        </is>
      </c>
      <c r="B2186" s="1" t="n">
        <v>45099</v>
      </c>
      <c r="C2186" s="1" t="n">
        <v>45579</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28014-2023</t>
        </is>
      </c>
      <c r="B2187" s="1" t="n">
        <v>45098</v>
      </c>
      <c r="C2187" s="1" t="n">
        <v>45579</v>
      </c>
      <c r="D2187" t="inlineStr">
        <is>
          <t>JÄMTLANDS LÄN</t>
        </is>
      </c>
      <c r="E2187" t="inlineStr">
        <is>
          <t>STRÖMSUND</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28003-2023</t>
        </is>
      </c>
      <c r="B2188" s="1" t="n">
        <v>45099</v>
      </c>
      <c r="C2188" s="1" t="n">
        <v>45579</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28004-2023</t>
        </is>
      </c>
      <c r="B2189" s="1" t="n">
        <v>45099</v>
      </c>
      <c r="C2189" s="1" t="n">
        <v>45579</v>
      </c>
      <c r="D2189" t="inlineStr">
        <is>
          <t>JÄMTLANDS LÄN</t>
        </is>
      </c>
      <c r="E2189" t="inlineStr">
        <is>
          <t>STRÖMSUND</t>
        </is>
      </c>
      <c r="F2189" t="inlineStr">
        <is>
          <t>SCA</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28016-2023</t>
        </is>
      </c>
      <c r="B2190" s="1" t="n">
        <v>45099</v>
      </c>
      <c r="C2190" s="1" t="n">
        <v>45579</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29593-2023</t>
        </is>
      </c>
      <c r="B2191" s="1" t="n">
        <v>45098</v>
      </c>
      <c r="C2191" s="1" t="n">
        <v>45579</v>
      </c>
      <c r="D2191" t="inlineStr">
        <is>
          <t>JÄMTLANDS LÄN</t>
        </is>
      </c>
      <c r="E2191" t="inlineStr">
        <is>
          <t>STRÖMSUND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28297-2023</t>
        </is>
      </c>
      <c r="B2192" s="1" t="n">
        <v>45099</v>
      </c>
      <c r="C2192" s="1" t="n">
        <v>45579</v>
      </c>
      <c r="D2192" t="inlineStr">
        <is>
          <t>JÄMTLANDS LÄN</t>
        </is>
      </c>
      <c r="E2192" t="inlineStr">
        <is>
          <t>STRÖMSUND</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28365-2023</t>
        </is>
      </c>
      <c r="B2193" s="1" t="n">
        <v>45100</v>
      </c>
      <c r="C2193" s="1" t="n">
        <v>45579</v>
      </c>
      <c r="D2193" t="inlineStr">
        <is>
          <t>JÄMTLANDS LÄN</t>
        </is>
      </c>
      <c r="E2193" t="inlineStr">
        <is>
          <t>STRÖMSUND</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28376-2023</t>
        </is>
      </c>
      <c r="B2194" s="1" t="n">
        <v>45100</v>
      </c>
      <c r="C2194" s="1" t="n">
        <v>45579</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28364-2023</t>
        </is>
      </c>
      <c r="B2195" s="1" t="n">
        <v>45100</v>
      </c>
      <c r="C2195" s="1" t="n">
        <v>45579</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28362-2023</t>
        </is>
      </c>
      <c r="B2196" s="1" t="n">
        <v>45100</v>
      </c>
      <c r="C2196" s="1" t="n">
        <v>45579</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28377-2023</t>
        </is>
      </c>
      <c r="B2197" s="1" t="n">
        <v>45100</v>
      </c>
      <c r="C2197" s="1" t="n">
        <v>45579</v>
      </c>
      <c r="D2197" t="inlineStr">
        <is>
          <t>JÄMTLANDS LÄN</t>
        </is>
      </c>
      <c r="E2197" t="inlineStr">
        <is>
          <t>STRÖMSUND</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28405-2023</t>
        </is>
      </c>
      <c r="B2198" s="1" t="n">
        <v>45101</v>
      </c>
      <c r="C2198" s="1" t="n">
        <v>45579</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28715-2023</t>
        </is>
      </c>
      <c r="B2199" s="1" t="n">
        <v>45103</v>
      </c>
      <c r="C2199" s="1" t="n">
        <v>45579</v>
      </c>
      <c r="D2199" t="inlineStr">
        <is>
          <t>JÄMTLANDS LÄN</t>
        </is>
      </c>
      <c r="E2199" t="inlineStr">
        <is>
          <t>STRÖMSUND</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28740-2023</t>
        </is>
      </c>
      <c r="B2200" s="1" t="n">
        <v>45104</v>
      </c>
      <c r="C2200" s="1" t="n">
        <v>45579</v>
      </c>
      <c r="D2200" t="inlineStr">
        <is>
          <t>JÄMTLANDS LÄN</t>
        </is>
      </c>
      <c r="E2200" t="inlineStr">
        <is>
          <t>STRÖMSUND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28744-2023</t>
        </is>
      </c>
      <c r="B2201" s="1" t="n">
        <v>45104</v>
      </c>
      <c r="C2201" s="1" t="n">
        <v>45579</v>
      </c>
      <c r="D2201" t="inlineStr">
        <is>
          <t>JÄMTLANDS LÄN</t>
        </is>
      </c>
      <c r="E2201" t="inlineStr">
        <is>
          <t>STRÖMSUND</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28753-2023</t>
        </is>
      </c>
      <c r="B2202" s="1" t="n">
        <v>45104</v>
      </c>
      <c r="C2202" s="1" t="n">
        <v>45579</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28766-2023</t>
        </is>
      </c>
      <c r="B2203" s="1" t="n">
        <v>45104</v>
      </c>
      <c r="C2203" s="1" t="n">
        <v>45579</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28713-2023</t>
        </is>
      </c>
      <c r="B2204" s="1" t="n">
        <v>45103</v>
      </c>
      <c r="C2204" s="1" t="n">
        <v>45579</v>
      </c>
      <c r="D2204" t="inlineStr">
        <is>
          <t>JÄMTLANDS LÄN</t>
        </is>
      </c>
      <c r="E2204" t="inlineStr">
        <is>
          <t>STRÖMSUND</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28741-2023</t>
        </is>
      </c>
      <c r="B2205" s="1" t="n">
        <v>45103</v>
      </c>
      <c r="C2205" s="1" t="n">
        <v>45579</v>
      </c>
      <c r="D2205" t="inlineStr">
        <is>
          <t>JÄMTLANDS LÄN</t>
        </is>
      </c>
      <c r="E2205" t="inlineStr">
        <is>
          <t>STRÖMSUND</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28754-2023</t>
        </is>
      </c>
      <c r="B2206" s="1" t="n">
        <v>45104</v>
      </c>
      <c r="C2206" s="1" t="n">
        <v>45579</v>
      </c>
      <c r="D2206" t="inlineStr">
        <is>
          <t>JÄMTLANDS LÄN</t>
        </is>
      </c>
      <c r="E2206" t="inlineStr">
        <is>
          <t>STRÖMSUND</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28767-2023</t>
        </is>
      </c>
      <c r="B2207" s="1" t="n">
        <v>45104</v>
      </c>
      <c r="C2207" s="1" t="n">
        <v>45579</v>
      </c>
      <c r="D2207" t="inlineStr">
        <is>
          <t>JÄMTLANDS LÄN</t>
        </is>
      </c>
      <c r="E2207" t="inlineStr">
        <is>
          <t>STRÖMSUND</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31156-2023</t>
        </is>
      </c>
      <c r="B2208" s="1" t="n">
        <v>45103</v>
      </c>
      <c r="C2208" s="1" t="n">
        <v>45579</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28714-2023</t>
        </is>
      </c>
      <c r="B2209" s="1" t="n">
        <v>45103</v>
      </c>
      <c r="C2209" s="1" t="n">
        <v>45579</v>
      </c>
      <c r="D2209" t="inlineStr">
        <is>
          <t>JÄMTLANDS LÄN</t>
        </is>
      </c>
      <c r="E2209" t="inlineStr">
        <is>
          <t>STRÖMSUND</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28735-2023</t>
        </is>
      </c>
      <c r="B2210" s="1" t="n">
        <v>45104</v>
      </c>
      <c r="C2210" s="1" t="n">
        <v>45579</v>
      </c>
      <c r="D2210" t="inlineStr">
        <is>
          <t>JÄMTLANDS LÄN</t>
        </is>
      </c>
      <c r="E2210" t="inlineStr">
        <is>
          <t>STRÖMSUND</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28743-2023</t>
        </is>
      </c>
      <c r="B2211" s="1" t="n">
        <v>45103</v>
      </c>
      <c r="C2211" s="1" t="n">
        <v>45579</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28752-2023</t>
        </is>
      </c>
      <c r="B2212" s="1" t="n">
        <v>45104</v>
      </c>
      <c r="C2212" s="1" t="n">
        <v>45579</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29039-2023</t>
        </is>
      </c>
      <c r="B2213" s="1" t="n">
        <v>45104</v>
      </c>
      <c r="C2213" s="1" t="n">
        <v>45579</v>
      </c>
      <c r="D2213" t="inlineStr">
        <is>
          <t>JÄMTLANDS LÄN</t>
        </is>
      </c>
      <c r="E2213" t="inlineStr">
        <is>
          <t>STRÖMSUND</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29069-2023</t>
        </is>
      </c>
      <c r="B2214" s="1" t="n">
        <v>45105</v>
      </c>
      <c r="C2214" s="1" t="n">
        <v>45579</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29040-2023</t>
        </is>
      </c>
      <c r="B2215" s="1" t="n">
        <v>45104</v>
      </c>
      <c r="C2215" s="1" t="n">
        <v>45579</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29305-2023</t>
        </is>
      </c>
      <c r="B2216" s="1" t="n">
        <v>45106</v>
      </c>
      <c r="C2216" s="1" t="n">
        <v>45579</v>
      </c>
      <c r="D2216" t="inlineStr">
        <is>
          <t>JÄMTLANDS LÄN</t>
        </is>
      </c>
      <c r="E2216" t="inlineStr">
        <is>
          <t>STRÖMSUND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29329-2023</t>
        </is>
      </c>
      <c r="B2217" s="1" t="n">
        <v>45106</v>
      </c>
      <c r="C2217" s="1" t="n">
        <v>45579</v>
      </c>
      <c r="D2217" t="inlineStr">
        <is>
          <t>JÄMTLANDS LÄN</t>
        </is>
      </c>
      <c r="E2217" t="inlineStr">
        <is>
          <t>STRÖMSUND</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29328-2023</t>
        </is>
      </c>
      <c r="B2218" s="1" t="n">
        <v>45106</v>
      </c>
      <c r="C2218" s="1" t="n">
        <v>45579</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29335-2023</t>
        </is>
      </c>
      <c r="B2219" s="1" t="n">
        <v>45106</v>
      </c>
      <c r="C2219" s="1" t="n">
        <v>45579</v>
      </c>
      <c r="D2219" t="inlineStr">
        <is>
          <t>JÄMTLANDS LÄN</t>
        </is>
      </c>
      <c r="E2219" t="inlineStr">
        <is>
          <t>STRÖMSUND</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29343-2023</t>
        </is>
      </c>
      <c r="B2220" s="1" t="n">
        <v>45106</v>
      </c>
      <c r="C2220" s="1" t="n">
        <v>45579</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29605-2023</t>
        </is>
      </c>
      <c r="B2221" s="1" t="n">
        <v>45107</v>
      </c>
      <c r="C2221" s="1" t="n">
        <v>45579</v>
      </c>
      <c r="D2221" t="inlineStr">
        <is>
          <t>JÄMTLANDS LÄN</t>
        </is>
      </c>
      <c r="E2221" t="inlineStr">
        <is>
          <t>STRÖMSUND</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29632-2023</t>
        </is>
      </c>
      <c r="B2222" s="1" t="n">
        <v>45107</v>
      </c>
      <c r="C2222" s="1" t="n">
        <v>45579</v>
      </c>
      <c r="D2222" t="inlineStr">
        <is>
          <t>JÄMTLANDS LÄN</t>
        </is>
      </c>
      <c r="E2222" t="inlineStr">
        <is>
          <t>STRÖMSUND</t>
        </is>
      </c>
      <c r="F2222" t="inlineStr">
        <is>
          <t>SCA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29631-2023</t>
        </is>
      </c>
      <c r="B2223" s="1" t="n">
        <v>45107</v>
      </c>
      <c r="C2223" s="1" t="n">
        <v>45579</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29635-2023</t>
        </is>
      </c>
      <c r="B2224" s="1" t="n">
        <v>45107</v>
      </c>
      <c r="C2224" s="1" t="n">
        <v>45579</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29965-2023</t>
        </is>
      </c>
      <c r="B2225" s="1" t="n">
        <v>45107</v>
      </c>
      <c r="C2225" s="1" t="n">
        <v>45579</v>
      </c>
      <c r="D2225" t="inlineStr">
        <is>
          <t>JÄMTLANDS LÄN</t>
        </is>
      </c>
      <c r="E2225" t="inlineStr">
        <is>
          <t>STRÖMSUND</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29959-2023</t>
        </is>
      </c>
      <c r="B2226" s="1" t="n">
        <v>45108</v>
      </c>
      <c r="C2226" s="1" t="n">
        <v>45579</v>
      </c>
      <c r="D2226" t="inlineStr">
        <is>
          <t>JÄMTLANDS LÄN</t>
        </is>
      </c>
      <c r="E2226" t="inlineStr">
        <is>
          <t>STRÖMSUND</t>
        </is>
      </c>
      <c r="F2226" t="inlineStr">
        <is>
          <t>SCA</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30170-2023</t>
        </is>
      </c>
      <c r="B2227" s="1" t="n">
        <v>45110</v>
      </c>
      <c r="C2227" s="1" t="n">
        <v>45579</v>
      </c>
      <c r="D2227" t="inlineStr">
        <is>
          <t>JÄMTLANDS LÄN</t>
        </is>
      </c>
      <c r="E2227" t="inlineStr">
        <is>
          <t>STRÖMSUND</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32379-2023</t>
        </is>
      </c>
      <c r="B2228" s="1" t="n">
        <v>45110</v>
      </c>
      <c r="C2228" s="1" t="n">
        <v>45579</v>
      </c>
      <c r="D2228" t="inlineStr">
        <is>
          <t>JÄMTLANDS LÄN</t>
        </is>
      </c>
      <c r="E2228" t="inlineStr">
        <is>
          <t>STRÖMSUND</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30284-2023</t>
        </is>
      </c>
      <c r="B2229" s="1" t="n">
        <v>45110</v>
      </c>
      <c r="C2229" s="1" t="n">
        <v>45579</v>
      </c>
      <c r="D2229" t="inlineStr">
        <is>
          <t>JÄMTLANDS LÄN</t>
        </is>
      </c>
      <c r="E2229" t="inlineStr">
        <is>
          <t>STRÖMSUND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30285-2023</t>
        </is>
      </c>
      <c r="B2230" s="1" t="n">
        <v>45110</v>
      </c>
      <c r="C2230" s="1" t="n">
        <v>45579</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30565-2023</t>
        </is>
      </c>
      <c r="B2231" s="1" t="n">
        <v>45112</v>
      </c>
      <c r="C2231" s="1" t="n">
        <v>45579</v>
      </c>
      <c r="D2231" t="inlineStr">
        <is>
          <t>JÄMTLANDS LÄN</t>
        </is>
      </c>
      <c r="E2231" t="inlineStr">
        <is>
          <t>STRÖMSUND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32530-2023</t>
        </is>
      </c>
      <c r="B2232" s="1" t="n">
        <v>45111</v>
      </c>
      <c r="C2232" s="1" t="n">
        <v>45579</v>
      </c>
      <c r="D2232" t="inlineStr">
        <is>
          <t>JÄMTLANDS LÄN</t>
        </is>
      </c>
      <c r="E2232" t="inlineStr">
        <is>
          <t>STRÖMSUND</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32572-2023</t>
        </is>
      </c>
      <c r="B2233" s="1" t="n">
        <v>45111</v>
      </c>
      <c r="C2233" s="1" t="n">
        <v>45579</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32546-2023</t>
        </is>
      </c>
      <c r="B2234" s="1" t="n">
        <v>45111</v>
      </c>
      <c r="C2234" s="1" t="n">
        <v>45579</v>
      </c>
      <c r="D2234" t="inlineStr">
        <is>
          <t>JÄMTLANDS LÄN</t>
        </is>
      </c>
      <c r="E2234" t="inlineStr">
        <is>
          <t>STRÖMSUND</t>
        </is>
      </c>
      <c r="F2234" t="inlineStr">
        <is>
          <t>Kommuner</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32538-2023</t>
        </is>
      </c>
      <c r="B2235" s="1" t="n">
        <v>45111</v>
      </c>
      <c r="C2235" s="1" t="n">
        <v>45579</v>
      </c>
      <c r="D2235" t="inlineStr">
        <is>
          <t>JÄMTLANDS LÄN</t>
        </is>
      </c>
      <c r="E2235" t="inlineStr">
        <is>
          <t>STRÖMSUND</t>
        </is>
      </c>
      <c r="F2235" t="inlineStr">
        <is>
          <t>Kommuner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32550-2023</t>
        </is>
      </c>
      <c r="B2236" s="1" t="n">
        <v>45111</v>
      </c>
      <c r="C2236" s="1" t="n">
        <v>45579</v>
      </c>
      <c r="D2236" t="inlineStr">
        <is>
          <t>JÄMTLANDS LÄN</t>
        </is>
      </c>
      <c r="E2236" t="inlineStr">
        <is>
          <t>STRÖMSUND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30818-2023</t>
        </is>
      </c>
      <c r="B2237" s="1" t="n">
        <v>45112</v>
      </c>
      <c r="C2237" s="1" t="n">
        <v>45579</v>
      </c>
      <c r="D2237" t="inlineStr">
        <is>
          <t>JÄMTLANDS LÄN</t>
        </is>
      </c>
      <c r="E2237" t="inlineStr">
        <is>
          <t>STRÖMSUND</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30830-2023</t>
        </is>
      </c>
      <c r="B2238" s="1" t="n">
        <v>45113</v>
      </c>
      <c r="C2238" s="1" t="n">
        <v>45579</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30842-2023</t>
        </is>
      </c>
      <c r="B2239" s="1" t="n">
        <v>45113</v>
      </c>
      <c r="C2239" s="1" t="n">
        <v>45579</v>
      </c>
      <c r="D2239" t="inlineStr">
        <is>
          <t>JÄMTLANDS LÄN</t>
        </is>
      </c>
      <c r="E2239" t="inlineStr">
        <is>
          <t>STRÖMSUND</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30849-2023</t>
        </is>
      </c>
      <c r="B2240" s="1" t="n">
        <v>45113</v>
      </c>
      <c r="C2240" s="1" t="n">
        <v>45579</v>
      </c>
      <c r="D2240" t="inlineStr">
        <is>
          <t>JÄMTLANDS LÄN</t>
        </is>
      </c>
      <c r="E2240" t="inlineStr">
        <is>
          <t>STRÖMSUND</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30819-2023</t>
        </is>
      </c>
      <c r="B2241" s="1" t="n">
        <v>45113</v>
      </c>
      <c r="C2241" s="1" t="n">
        <v>45579</v>
      </c>
      <c r="D2241" t="inlineStr">
        <is>
          <t>JÄMTLANDS LÄN</t>
        </is>
      </c>
      <c r="E2241" t="inlineStr">
        <is>
          <t>STRÖMSUND</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30831-2023</t>
        </is>
      </c>
      <c r="B2242" s="1" t="n">
        <v>45113</v>
      </c>
      <c r="C2242" s="1" t="n">
        <v>45579</v>
      </c>
      <c r="D2242" t="inlineStr">
        <is>
          <t>JÄMTLANDS LÄN</t>
        </is>
      </c>
      <c r="E2242" t="inlineStr">
        <is>
          <t>STRÖMSUND</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30816-2023</t>
        </is>
      </c>
      <c r="B2243" s="1" t="n">
        <v>45112</v>
      </c>
      <c r="C2243" s="1" t="n">
        <v>45579</v>
      </c>
      <c r="D2243" t="inlineStr">
        <is>
          <t>JÄMTLANDS LÄN</t>
        </is>
      </c>
      <c r="E2243" t="inlineStr">
        <is>
          <t>STRÖMSUND</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30828-2023</t>
        </is>
      </c>
      <c r="B2244" s="1" t="n">
        <v>45113</v>
      </c>
      <c r="C2244" s="1" t="n">
        <v>45579</v>
      </c>
      <c r="D2244" t="inlineStr">
        <is>
          <t>JÄMTLANDS LÄN</t>
        </is>
      </c>
      <c r="E2244" t="inlineStr">
        <is>
          <t>STRÖMSUND</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30832-2023</t>
        </is>
      </c>
      <c r="B2245" s="1" t="n">
        <v>45112</v>
      </c>
      <c r="C2245" s="1" t="n">
        <v>45579</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30836-2023</t>
        </is>
      </c>
      <c r="B2246" s="1" t="n">
        <v>45113</v>
      </c>
      <c r="C2246" s="1" t="n">
        <v>45579</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32871-2023</t>
        </is>
      </c>
      <c r="B2247" s="1" t="n">
        <v>45112</v>
      </c>
      <c r="C2247" s="1" t="n">
        <v>45579</v>
      </c>
      <c r="D2247" t="inlineStr">
        <is>
          <t>JÄMTLANDS LÄN</t>
        </is>
      </c>
      <c r="E2247" t="inlineStr">
        <is>
          <t>STRÖMSUND</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32873-2023</t>
        </is>
      </c>
      <c r="B2248" s="1" t="n">
        <v>45112</v>
      </c>
      <c r="C2248" s="1" t="n">
        <v>45579</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32882-2023</t>
        </is>
      </c>
      <c r="B2249" s="1" t="n">
        <v>45112</v>
      </c>
      <c r="C2249" s="1" t="n">
        <v>45579</v>
      </c>
      <c r="D2249" t="inlineStr">
        <is>
          <t>JÄMTLANDS LÄN</t>
        </is>
      </c>
      <c r="E2249" t="inlineStr">
        <is>
          <t>STRÖMSUND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32883-2023</t>
        </is>
      </c>
      <c r="B2250" s="1" t="n">
        <v>45112</v>
      </c>
      <c r="C2250" s="1" t="n">
        <v>45579</v>
      </c>
      <c r="D2250" t="inlineStr">
        <is>
          <t>JÄMTLANDS LÄN</t>
        </is>
      </c>
      <c r="E2250" t="inlineStr">
        <is>
          <t>STRÖMSUND</t>
        </is>
      </c>
      <c r="F2250" t="inlineStr">
        <is>
          <t>Kommuner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32884-2023</t>
        </is>
      </c>
      <c r="B2251" s="1" t="n">
        <v>45112</v>
      </c>
      <c r="C2251" s="1" t="n">
        <v>45579</v>
      </c>
      <c r="D2251" t="inlineStr">
        <is>
          <t>JÄMTLANDS LÄN</t>
        </is>
      </c>
      <c r="E2251" t="inlineStr">
        <is>
          <t>STRÖMSUND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31201-2023</t>
        </is>
      </c>
      <c r="B2252" s="1" t="n">
        <v>45113</v>
      </c>
      <c r="C2252" s="1" t="n">
        <v>45579</v>
      </c>
      <c r="D2252" t="inlineStr">
        <is>
          <t>JÄMTLANDS LÄN</t>
        </is>
      </c>
      <c r="E2252" t="inlineStr">
        <is>
          <t>STRÖMSUND</t>
        </is>
      </c>
      <c r="F2252" t="inlineStr">
        <is>
          <t>SCA</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31210-2023</t>
        </is>
      </c>
      <c r="B2253" s="1" t="n">
        <v>45114</v>
      </c>
      <c r="C2253" s="1" t="n">
        <v>45579</v>
      </c>
      <c r="D2253" t="inlineStr">
        <is>
          <t>JÄMTLANDS LÄN</t>
        </is>
      </c>
      <c r="E2253" t="inlineStr">
        <is>
          <t>STRÖMSUND</t>
        </is>
      </c>
      <c r="F2253" t="inlineStr">
        <is>
          <t>SCA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31182-2023</t>
        </is>
      </c>
      <c r="B2254" s="1" t="n">
        <v>45113</v>
      </c>
      <c r="C2254" s="1" t="n">
        <v>45579</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31491-2023</t>
        </is>
      </c>
      <c r="B2255" s="1" t="n">
        <v>45114</v>
      </c>
      <c r="C2255" s="1" t="n">
        <v>45579</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31497-2023</t>
        </is>
      </c>
      <c r="B2256" s="1" t="n">
        <v>45115</v>
      </c>
      <c r="C2256" s="1" t="n">
        <v>45579</v>
      </c>
      <c r="D2256" t="inlineStr">
        <is>
          <t>JÄMTLANDS LÄN</t>
        </is>
      </c>
      <c r="E2256" t="inlineStr">
        <is>
          <t>STRÖMSUND</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31929-2023</t>
        </is>
      </c>
      <c r="B2257" s="1" t="n">
        <v>45118</v>
      </c>
      <c r="C2257" s="1" t="n">
        <v>45579</v>
      </c>
      <c r="D2257" t="inlineStr">
        <is>
          <t>JÄMTLANDS LÄN</t>
        </is>
      </c>
      <c r="E2257" t="inlineStr">
        <is>
          <t>STRÖMSUND</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32210-2023</t>
        </is>
      </c>
      <c r="B2258" s="1" t="n">
        <v>45120</v>
      </c>
      <c r="C2258" s="1" t="n">
        <v>45579</v>
      </c>
      <c r="D2258" t="inlineStr">
        <is>
          <t>JÄMTLANDS LÄN</t>
        </is>
      </c>
      <c r="E2258" t="inlineStr">
        <is>
          <t>STRÖMSUND</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32220-2023</t>
        </is>
      </c>
      <c r="B2259" s="1" t="n">
        <v>45120</v>
      </c>
      <c r="C2259" s="1" t="n">
        <v>45579</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32231-2023</t>
        </is>
      </c>
      <c r="B2260" s="1" t="n">
        <v>45120</v>
      </c>
      <c r="C2260" s="1" t="n">
        <v>45579</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32730-2023</t>
        </is>
      </c>
      <c r="B2261" s="1" t="n">
        <v>45122</v>
      </c>
      <c r="C2261" s="1" t="n">
        <v>45579</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32724-2023</t>
        </is>
      </c>
      <c r="B2262" s="1" t="n">
        <v>45121</v>
      </c>
      <c r="C2262" s="1" t="n">
        <v>45579</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32729-2023</t>
        </is>
      </c>
      <c r="B2263" s="1" t="n">
        <v>45122</v>
      </c>
      <c r="C2263" s="1" t="n">
        <v>45579</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32731-2023</t>
        </is>
      </c>
      <c r="B2264" s="1" t="n">
        <v>45122</v>
      </c>
      <c r="C2264" s="1" t="n">
        <v>45579</v>
      </c>
      <c r="D2264" t="inlineStr">
        <is>
          <t>JÄMTLANDS LÄN</t>
        </is>
      </c>
      <c r="E2264" t="inlineStr">
        <is>
          <t>STRÖMSUND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32907-2023</t>
        </is>
      </c>
      <c r="B2265" s="1" t="n">
        <v>45124</v>
      </c>
      <c r="C2265" s="1" t="n">
        <v>45579</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32911-2023</t>
        </is>
      </c>
      <c r="B2266" s="1" t="n">
        <v>45125</v>
      </c>
      <c r="C2266" s="1" t="n">
        <v>45579</v>
      </c>
      <c r="D2266" t="inlineStr">
        <is>
          <t>JÄMTLANDS LÄN</t>
        </is>
      </c>
      <c r="E2266" t="inlineStr">
        <is>
          <t>STRÖMSUND</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32908-2023</t>
        </is>
      </c>
      <c r="B2267" s="1" t="n">
        <v>45125</v>
      </c>
      <c r="C2267" s="1" t="n">
        <v>45579</v>
      </c>
      <c r="D2267" t="inlineStr">
        <is>
          <t>JÄMTLANDS LÄN</t>
        </is>
      </c>
      <c r="E2267" t="inlineStr">
        <is>
          <t>STRÖMSUND</t>
        </is>
      </c>
      <c r="F2267" t="inlineStr">
        <is>
          <t>SCA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32906-2023</t>
        </is>
      </c>
      <c r="B2268" s="1" t="n">
        <v>45125</v>
      </c>
      <c r="C2268" s="1" t="n">
        <v>45579</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32910-2023</t>
        </is>
      </c>
      <c r="B2269" s="1" t="n">
        <v>45125</v>
      </c>
      <c r="C2269" s="1" t="n">
        <v>45579</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33045-2023</t>
        </is>
      </c>
      <c r="B2270" s="1" t="n">
        <v>45126</v>
      </c>
      <c r="C2270" s="1" t="n">
        <v>45579</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33176-2023</t>
        </is>
      </c>
      <c r="B2271" s="1" t="n">
        <v>45127</v>
      </c>
      <c r="C2271" s="1" t="n">
        <v>45579</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33426-2023</t>
        </is>
      </c>
      <c r="B2272" s="1" t="n">
        <v>45129</v>
      </c>
      <c r="C2272" s="1" t="n">
        <v>45579</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33427-2023</t>
        </is>
      </c>
      <c r="B2273" s="1" t="n">
        <v>45128</v>
      </c>
      <c r="C2273" s="1" t="n">
        <v>45579</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33433-2023</t>
        </is>
      </c>
      <c r="B2274" s="1" t="n">
        <v>45129</v>
      </c>
      <c r="C2274" s="1" t="n">
        <v>45579</v>
      </c>
      <c r="D2274" t="inlineStr">
        <is>
          <t>JÄMTLANDS LÄN</t>
        </is>
      </c>
      <c r="E2274" t="inlineStr">
        <is>
          <t>STRÖMSUND</t>
        </is>
      </c>
      <c r="F2274" t="inlineStr">
        <is>
          <t>SCA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33453-2023</t>
        </is>
      </c>
      <c r="B2275" s="1" t="n">
        <v>45130</v>
      </c>
      <c r="C2275" s="1" t="n">
        <v>45579</v>
      </c>
      <c r="D2275" t="inlineStr">
        <is>
          <t>JÄMTLANDS LÄN</t>
        </is>
      </c>
      <c r="E2275" t="inlineStr">
        <is>
          <t>STRÖMSUND</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33532-2023</t>
        </is>
      </c>
      <c r="B2276" s="1" t="n">
        <v>45131</v>
      </c>
      <c r="C2276" s="1" t="n">
        <v>45579</v>
      </c>
      <c r="D2276" t="inlineStr">
        <is>
          <t>JÄMTLANDS LÄN</t>
        </is>
      </c>
      <c r="E2276" t="inlineStr">
        <is>
          <t>STRÖMSUND</t>
        </is>
      </c>
      <c r="F2276" t="inlineStr">
        <is>
          <t>Kyrkan</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33590-2023</t>
        </is>
      </c>
      <c r="B2277" s="1" t="n">
        <v>45132</v>
      </c>
      <c r="C2277" s="1" t="n">
        <v>45579</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33718-2023</t>
        </is>
      </c>
      <c r="B2278" s="1" t="n">
        <v>45133</v>
      </c>
      <c r="C2278" s="1" t="n">
        <v>45579</v>
      </c>
      <c r="D2278" t="inlineStr">
        <is>
          <t>JÄMTLANDS LÄN</t>
        </is>
      </c>
      <c r="E2278" t="inlineStr">
        <is>
          <t>STRÖMSUND</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34002-2023</t>
        </is>
      </c>
      <c r="B2279" s="1" t="n">
        <v>45135</v>
      </c>
      <c r="C2279" s="1" t="n">
        <v>45579</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34010-2023</t>
        </is>
      </c>
      <c r="B2280" s="1" t="n">
        <v>45134</v>
      </c>
      <c r="C2280" s="1" t="n">
        <v>45579</v>
      </c>
      <c r="D2280" t="inlineStr">
        <is>
          <t>JÄMTLANDS LÄN</t>
        </is>
      </c>
      <c r="E2280" t="inlineStr">
        <is>
          <t>STRÖMSUND</t>
        </is>
      </c>
      <c r="F2280" t="inlineStr">
        <is>
          <t>SCA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34001-2023</t>
        </is>
      </c>
      <c r="B2281" s="1" t="n">
        <v>45135</v>
      </c>
      <c r="C2281" s="1" t="n">
        <v>45579</v>
      </c>
      <c r="D2281" t="inlineStr">
        <is>
          <t>JÄMTLANDS LÄN</t>
        </is>
      </c>
      <c r="E2281" t="inlineStr">
        <is>
          <t>STRÖMSUND</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34005-2023</t>
        </is>
      </c>
      <c r="B2282" s="1" t="n">
        <v>45134</v>
      </c>
      <c r="C2282" s="1" t="n">
        <v>45579</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34003-2023</t>
        </is>
      </c>
      <c r="B2283" s="1" t="n">
        <v>45135</v>
      </c>
      <c r="C2283" s="1" t="n">
        <v>45579</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34007-2023</t>
        </is>
      </c>
      <c r="B2284" s="1" t="n">
        <v>45135</v>
      </c>
      <c r="C2284" s="1" t="n">
        <v>45579</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34009-2023</t>
        </is>
      </c>
      <c r="B2285" s="1" t="n">
        <v>45135</v>
      </c>
      <c r="C2285" s="1" t="n">
        <v>45579</v>
      </c>
      <c r="D2285" t="inlineStr">
        <is>
          <t>JÄMTLANDS LÄN</t>
        </is>
      </c>
      <c r="E2285" t="inlineStr">
        <is>
          <t>STRÖMSUND</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34004-2023</t>
        </is>
      </c>
      <c r="B2286" s="1" t="n">
        <v>45135</v>
      </c>
      <c r="C2286" s="1" t="n">
        <v>45579</v>
      </c>
      <c r="D2286" t="inlineStr">
        <is>
          <t>JÄMTLANDS LÄN</t>
        </is>
      </c>
      <c r="E2286" t="inlineStr">
        <is>
          <t>STRÖMSUND</t>
        </is>
      </c>
      <c r="F2286" t="inlineStr">
        <is>
          <t>SCA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34008-2023</t>
        </is>
      </c>
      <c r="B2287" s="1" t="n">
        <v>45134</v>
      </c>
      <c r="C2287" s="1" t="n">
        <v>45579</v>
      </c>
      <c r="D2287" t="inlineStr">
        <is>
          <t>JÄMTLANDS LÄN</t>
        </is>
      </c>
      <c r="E2287" t="inlineStr">
        <is>
          <t>STRÖMSUND</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34479-2023</t>
        </is>
      </c>
      <c r="B2288" s="1" t="n">
        <v>45139</v>
      </c>
      <c r="C2288" s="1" t="n">
        <v>45579</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34480-2023</t>
        </is>
      </c>
      <c r="B2289" s="1" t="n">
        <v>45140</v>
      </c>
      <c r="C2289" s="1" t="n">
        <v>45579</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34824-2023</t>
        </is>
      </c>
      <c r="B2290" s="1" t="n">
        <v>45141</v>
      </c>
      <c r="C2290" s="1" t="n">
        <v>45579</v>
      </c>
      <c r="D2290" t="inlineStr">
        <is>
          <t>JÄMTLANDS LÄN</t>
        </is>
      </c>
      <c r="E2290" t="inlineStr">
        <is>
          <t>STRÖMSUND</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34907-2023</t>
        </is>
      </c>
      <c r="B2291" s="1" t="n">
        <v>45141</v>
      </c>
      <c r="C2291" s="1" t="n">
        <v>45579</v>
      </c>
      <c r="D2291" t="inlineStr">
        <is>
          <t>JÄMTLANDS LÄN</t>
        </is>
      </c>
      <c r="E2291" t="inlineStr">
        <is>
          <t>STRÖMSUND</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35004-2023</t>
        </is>
      </c>
      <c r="B2292" s="1" t="n">
        <v>45143</v>
      </c>
      <c r="C2292" s="1" t="n">
        <v>45579</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35007-2023</t>
        </is>
      </c>
      <c r="B2293" s="1" t="n">
        <v>45143</v>
      </c>
      <c r="C2293" s="1" t="n">
        <v>45579</v>
      </c>
      <c r="D2293" t="inlineStr">
        <is>
          <t>JÄMTLANDS LÄN</t>
        </is>
      </c>
      <c r="E2293" t="inlineStr">
        <is>
          <t>STRÖMSUND</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35012-2023</t>
        </is>
      </c>
      <c r="B2294" s="1" t="n">
        <v>45143</v>
      </c>
      <c r="C2294" s="1" t="n">
        <v>45579</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35011-2023</t>
        </is>
      </c>
      <c r="B2295" s="1" t="n">
        <v>45143</v>
      </c>
      <c r="C2295" s="1" t="n">
        <v>45579</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35279-2023</t>
        </is>
      </c>
      <c r="B2296" s="1" t="n">
        <v>45146</v>
      </c>
      <c r="C2296" s="1" t="n">
        <v>45579</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35385-2023</t>
        </is>
      </c>
      <c r="B2297" s="1" t="n">
        <v>45145</v>
      </c>
      <c r="C2297" s="1" t="n">
        <v>45579</v>
      </c>
      <c r="D2297" t="inlineStr">
        <is>
          <t>JÄMTLANDS LÄN</t>
        </is>
      </c>
      <c r="E2297" t="inlineStr">
        <is>
          <t>STRÖMSUND</t>
        </is>
      </c>
      <c r="G2297" t="n">
        <v>29.8</v>
      </c>
      <c r="H2297" t="n">
        <v>0</v>
      </c>
      <c r="I2297" t="n">
        <v>0</v>
      </c>
      <c r="J2297" t="n">
        <v>0</v>
      </c>
      <c r="K2297" t="n">
        <v>0</v>
      </c>
      <c r="L2297" t="n">
        <v>0</v>
      </c>
      <c r="M2297" t="n">
        <v>0</v>
      </c>
      <c r="N2297" t="n">
        <v>0</v>
      </c>
      <c r="O2297" t="n">
        <v>0</v>
      </c>
      <c r="P2297" t="n">
        <v>0</v>
      </c>
      <c r="Q2297" t="n">
        <v>0</v>
      </c>
      <c r="R2297" s="2" t="inlineStr"/>
    </row>
    <row r="2298" ht="15" customHeight="1">
      <c r="A2298" t="inlineStr">
        <is>
          <t>A 35278-2023</t>
        </is>
      </c>
      <c r="B2298" s="1" t="n">
        <v>45146</v>
      </c>
      <c r="C2298" s="1" t="n">
        <v>45579</v>
      </c>
      <c r="D2298" t="inlineStr">
        <is>
          <t>JÄMTLANDS LÄN</t>
        </is>
      </c>
      <c r="E2298" t="inlineStr">
        <is>
          <t>STRÖMSUND</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35461-2023</t>
        </is>
      </c>
      <c r="B2299" s="1" t="n">
        <v>45146</v>
      </c>
      <c r="C2299" s="1" t="n">
        <v>45579</v>
      </c>
      <c r="D2299" t="inlineStr">
        <is>
          <t>JÄMTLANDS LÄN</t>
        </is>
      </c>
      <c r="E2299" t="inlineStr">
        <is>
          <t>STRÖMSUND</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35897-2023</t>
        </is>
      </c>
      <c r="B2300" s="1" t="n">
        <v>45148</v>
      </c>
      <c r="C2300" s="1" t="n">
        <v>45579</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36503-2023</t>
        </is>
      </c>
      <c r="B2301" s="1" t="n">
        <v>45153</v>
      </c>
      <c r="C2301" s="1" t="n">
        <v>45579</v>
      </c>
      <c r="D2301" t="inlineStr">
        <is>
          <t>JÄMTLANDS LÄN</t>
        </is>
      </c>
      <c r="E2301" t="inlineStr">
        <is>
          <t>STRÖMSUND</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36507-2023</t>
        </is>
      </c>
      <c r="B2302" s="1" t="n">
        <v>45152</v>
      </c>
      <c r="C2302" s="1" t="n">
        <v>45579</v>
      </c>
      <c r="D2302" t="inlineStr">
        <is>
          <t>JÄMTLANDS LÄN</t>
        </is>
      </c>
      <c r="E2302" t="inlineStr">
        <is>
          <t>STRÖMSUND</t>
        </is>
      </c>
      <c r="F2302" t="inlineStr">
        <is>
          <t>SCA</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36524-2023</t>
        </is>
      </c>
      <c r="B2303" s="1" t="n">
        <v>45152</v>
      </c>
      <c r="C2303" s="1" t="n">
        <v>45579</v>
      </c>
      <c r="D2303" t="inlineStr">
        <is>
          <t>JÄMTLANDS LÄN</t>
        </is>
      </c>
      <c r="E2303" t="inlineStr">
        <is>
          <t>STRÖMSUND</t>
        </is>
      </c>
      <c r="G2303" t="n">
        <v>20.7</v>
      </c>
      <c r="H2303" t="n">
        <v>0</v>
      </c>
      <c r="I2303" t="n">
        <v>0</v>
      </c>
      <c r="J2303" t="n">
        <v>0</v>
      </c>
      <c r="K2303" t="n">
        <v>0</v>
      </c>
      <c r="L2303" t="n">
        <v>0</v>
      </c>
      <c r="M2303" t="n">
        <v>0</v>
      </c>
      <c r="N2303" t="n">
        <v>0</v>
      </c>
      <c r="O2303" t="n">
        <v>0</v>
      </c>
      <c r="P2303" t="n">
        <v>0</v>
      </c>
      <c r="Q2303" t="n">
        <v>0</v>
      </c>
      <c r="R2303" s="2" t="inlineStr"/>
    </row>
    <row r="2304" ht="15" customHeight="1">
      <c r="A2304" t="inlineStr">
        <is>
          <t>A 36394-2023</t>
        </is>
      </c>
      <c r="B2304" s="1" t="n">
        <v>45152</v>
      </c>
      <c r="C2304" s="1" t="n">
        <v>45579</v>
      </c>
      <c r="D2304" t="inlineStr">
        <is>
          <t>JÄMTLANDS LÄN</t>
        </is>
      </c>
      <c r="E2304" t="inlineStr">
        <is>
          <t>STRÖMSUND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36502-2023</t>
        </is>
      </c>
      <c r="B2305" s="1" t="n">
        <v>45153</v>
      </c>
      <c r="C2305" s="1" t="n">
        <v>45579</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36764-2023</t>
        </is>
      </c>
      <c r="B2306" s="1" t="n">
        <v>45154</v>
      </c>
      <c r="C2306" s="1" t="n">
        <v>45579</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36749-2023</t>
        </is>
      </c>
      <c r="B2307" s="1" t="n">
        <v>45154</v>
      </c>
      <c r="C2307" s="1" t="n">
        <v>45579</v>
      </c>
      <c r="D2307" t="inlineStr">
        <is>
          <t>JÄMTLANDS LÄN</t>
        </is>
      </c>
      <c r="E2307" t="inlineStr">
        <is>
          <t>STRÖMSUND</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36773-2023</t>
        </is>
      </c>
      <c r="B2308" s="1" t="n">
        <v>45154</v>
      </c>
      <c r="C2308" s="1" t="n">
        <v>45579</v>
      </c>
      <c r="D2308" t="inlineStr">
        <is>
          <t>JÄMTLANDS LÄN</t>
        </is>
      </c>
      <c r="E2308" t="inlineStr">
        <is>
          <t>STRÖMSUND</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36968-2023</t>
        </is>
      </c>
      <c r="B2309" s="1" t="n">
        <v>45155</v>
      </c>
      <c r="C2309" s="1" t="n">
        <v>45579</v>
      </c>
      <c r="D2309" t="inlineStr">
        <is>
          <t>JÄMTLANDS LÄN</t>
        </is>
      </c>
      <c r="E2309" t="inlineStr">
        <is>
          <t>STRÖMSUND</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36993-2023</t>
        </is>
      </c>
      <c r="B2310" s="1" t="n">
        <v>45155</v>
      </c>
      <c r="C2310" s="1" t="n">
        <v>45579</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36959-2023</t>
        </is>
      </c>
      <c r="B2311" s="1" t="n">
        <v>45155</v>
      </c>
      <c r="C2311" s="1" t="n">
        <v>45579</v>
      </c>
      <c r="D2311" t="inlineStr">
        <is>
          <t>JÄMTLANDS LÄN</t>
        </is>
      </c>
      <c r="E2311" t="inlineStr">
        <is>
          <t>STRÖMSUND</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37146-2023</t>
        </is>
      </c>
      <c r="B2312" s="1" t="n">
        <v>45155</v>
      </c>
      <c r="C2312" s="1" t="n">
        <v>45579</v>
      </c>
      <c r="D2312" t="inlineStr">
        <is>
          <t>JÄMTLANDS LÄN</t>
        </is>
      </c>
      <c r="E2312" t="inlineStr">
        <is>
          <t>STRÖMSUND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37261-2023</t>
        </is>
      </c>
      <c r="B2313" s="1" t="n">
        <v>45155</v>
      </c>
      <c r="C2313" s="1" t="n">
        <v>45579</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37143-2023</t>
        </is>
      </c>
      <c r="B2314" s="1" t="n">
        <v>45155</v>
      </c>
      <c r="C2314" s="1" t="n">
        <v>45579</v>
      </c>
      <c r="D2314" t="inlineStr">
        <is>
          <t>JÄMTLANDS LÄN</t>
        </is>
      </c>
      <c r="E2314" t="inlineStr">
        <is>
          <t>STRÖMSUND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37260-2023</t>
        </is>
      </c>
      <c r="B2315" s="1" t="n">
        <v>45155</v>
      </c>
      <c r="C2315" s="1" t="n">
        <v>45579</v>
      </c>
      <c r="D2315" t="inlineStr">
        <is>
          <t>JÄMTLANDS LÄN</t>
        </is>
      </c>
      <c r="E2315" t="inlineStr">
        <is>
          <t>STRÖMSUND</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37258-2023</t>
        </is>
      </c>
      <c r="B2316" s="1" t="n">
        <v>45156</v>
      </c>
      <c r="C2316" s="1" t="n">
        <v>45579</v>
      </c>
      <c r="D2316" t="inlineStr">
        <is>
          <t>JÄMTLANDS LÄN</t>
        </is>
      </c>
      <c r="E2316" t="inlineStr">
        <is>
          <t>STRÖMSUND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37469-2023</t>
        </is>
      </c>
      <c r="B2317" s="1" t="n">
        <v>45157</v>
      </c>
      <c r="C2317" s="1" t="n">
        <v>45579</v>
      </c>
      <c r="D2317" t="inlineStr">
        <is>
          <t>JÄMTLANDS LÄN</t>
        </is>
      </c>
      <c r="E2317" t="inlineStr">
        <is>
          <t>STRÖMSUND</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37490-2023</t>
        </is>
      </c>
      <c r="B2318" s="1" t="n">
        <v>45157</v>
      </c>
      <c r="C2318" s="1" t="n">
        <v>45579</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37803-2023</t>
        </is>
      </c>
      <c r="B2319" s="1" t="n">
        <v>45160</v>
      </c>
      <c r="C2319" s="1" t="n">
        <v>45579</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37809-2023</t>
        </is>
      </c>
      <c r="B2320" s="1" t="n">
        <v>45160</v>
      </c>
      <c r="C2320" s="1" t="n">
        <v>45579</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38418-2023</t>
        </is>
      </c>
      <c r="B2321" s="1" t="n">
        <v>45160</v>
      </c>
      <c r="C2321" s="1" t="n">
        <v>45579</v>
      </c>
      <c r="D2321" t="inlineStr">
        <is>
          <t>JÄMTLANDS LÄN</t>
        </is>
      </c>
      <c r="E2321" t="inlineStr">
        <is>
          <t>STRÖMSUND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38248-2023</t>
        </is>
      </c>
      <c r="B2322" s="1" t="n">
        <v>45161</v>
      </c>
      <c r="C2322" s="1" t="n">
        <v>45579</v>
      </c>
      <c r="D2322" t="inlineStr">
        <is>
          <t>JÄMTLANDS LÄN</t>
        </is>
      </c>
      <c r="E2322" t="inlineStr">
        <is>
          <t>STRÖMSUND</t>
        </is>
      </c>
      <c r="F2322" t="inlineStr">
        <is>
          <t>Holmen skog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38374-2023</t>
        </is>
      </c>
      <c r="B2323" s="1" t="n">
        <v>45162</v>
      </c>
      <c r="C2323" s="1" t="n">
        <v>45579</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38642-2023</t>
        </is>
      </c>
      <c r="B2324" s="1" t="n">
        <v>45162</v>
      </c>
      <c r="C2324" s="1" t="n">
        <v>45579</v>
      </c>
      <c r="D2324" t="inlineStr">
        <is>
          <t>JÄMTLANDS LÄN</t>
        </is>
      </c>
      <c r="E2324" t="inlineStr">
        <is>
          <t>STRÖMSUND</t>
        </is>
      </c>
      <c r="F2324" t="inlineStr">
        <is>
          <t>Holmen skog AB</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38842-2023</t>
        </is>
      </c>
      <c r="B2325" s="1" t="n">
        <v>45163</v>
      </c>
      <c r="C2325" s="1" t="n">
        <v>45579</v>
      </c>
      <c r="D2325" t="inlineStr">
        <is>
          <t>JÄMTLANDS LÄN</t>
        </is>
      </c>
      <c r="E2325" t="inlineStr">
        <is>
          <t>STRÖMSUND</t>
        </is>
      </c>
      <c r="F2325" t="inlineStr">
        <is>
          <t>Holmen skog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39051-2023</t>
        </is>
      </c>
      <c r="B2326" s="1" t="n">
        <v>45163</v>
      </c>
      <c r="C2326" s="1" t="n">
        <v>45579</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39054-2023</t>
        </is>
      </c>
      <c r="B2327" s="1" t="n">
        <v>45164</v>
      </c>
      <c r="C2327" s="1" t="n">
        <v>45579</v>
      </c>
      <c r="D2327" t="inlineStr">
        <is>
          <t>JÄMTLANDS LÄN</t>
        </is>
      </c>
      <c r="E2327" t="inlineStr">
        <is>
          <t>STRÖMSUND</t>
        </is>
      </c>
      <c r="F2327" t="inlineStr">
        <is>
          <t>SCA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39066-2023</t>
        </is>
      </c>
      <c r="B2328" s="1" t="n">
        <v>45164</v>
      </c>
      <c r="C2328" s="1" t="n">
        <v>45579</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38698-2023</t>
        </is>
      </c>
      <c r="B2329" s="1" t="n">
        <v>45163</v>
      </c>
      <c r="C2329" s="1" t="n">
        <v>45579</v>
      </c>
      <c r="D2329" t="inlineStr">
        <is>
          <t>JÄMTLANDS LÄN</t>
        </is>
      </c>
      <c r="E2329" t="inlineStr">
        <is>
          <t>STRÖMSUND</t>
        </is>
      </c>
      <c r="F2329" t="inlineStr">
        <is>
          <t>Holmen skog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39064-2023</t>
        </is>
      </c>
      <c r="B2330" s="1" t="n">
        <v>45163</v>
      </c>
      <c r="C2330" s="1" t="n">
        <v>45579</v>
      </c>
      <c r="D2330" t="inlineStr">
        <is>
          <t>JÄMTLANDS LÄN</t>
        </is>
      </c>
      <c r="E2330" t="inlineStr">
        <is>
          <t>STRÖMSUND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39080-2023</t>
        </is>
      </c>
      <c r="B2331" s="1" t="n">
        <v>45164</v>
      </c>
      <c r="C2331" s="1" t="n">
        <v>45579</v>
      </c>
      <c r="D2331" t="inlineStr">
        <is>
          <t>JÄMTLANDS LÄN</t>
        </is>
      </c>
      <c r="E2331" t="inlineStr">
        <is>
          <t>STRÖMSUND</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38740-2023</t>
        </is>
      </c>
      <c r="B2332" s="1" t="n">
        <v>45163</v>
      </c>
      <c r="C2332" s="1" t="n">
        <v>45579</v>
      </c>
      <c r="D2332" t="inlineStr">
        <is>
          <t>JÄMTLANDS LÄN</t>
        </is>
      </c>
      <c r="E2332" t="inlineStr">
        <is>
          <t>STRÖMSUND</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39480-2023</t>
        </is>
      </c>
      <c r="B2333" s="1" t="n">
        <v>45167</v>
      </c>
      <c r="C2333" s="1" t="n">
        <v>45579</v>
      </c>
      <c r="D2333" t="inlineStr">
        <is>
          <t>JÄMTLANDS LÄN</t>
        </is>
      </c>
      <c r="E2333" t="inlineStr">
        <is>
          <t>STRÖMSUND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39479-2023</t>
        </is>
      </c>
      <c r="B2334" s="1" t="n">
        <v>45167</v>
      </c>
      <c r="C2334" s="1" t="n">
        <v>45579</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39490-2023</t>
        </is>
      </c>
      <c r="B2335" s="1" t="n">
        <v>45166</v>
      </c>
      <c r="C2335" s="1" t="n">
        <v>45579</v>
      </c>
      <c r="D2335" t="inlineStr">
        <is>
          <t>JÄMTLANDS LÄN</t>
        </is>
      </c>
      <c r="E2335" t="inlineStr">
        <is>
          <t>STRÖMSUND</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39671-2023</t>
        </is>
      </c>
      <c r="B2336" s="1" t="n">
        <v>45167</v>
      </c>
      <c r="C2336" s="1" t="n">
        <v>45579</v>
      </c>
      <c r="D2336" t="inlineStr">
        <is>
          <t>JÄMTLANDS LÄN</t>
        </is>
      </c>
      <c r="E2336" t="inlineStr">
        <is>
          <t>STRÖMSUND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39799-2023</t>
        </is>
      </c>
      <c r="B2337" s="1" t="n">
        <v>45168</v>
      </c>
      <c r="C2337" s="1" t="n">
        <v>45579</v>
      </c>
      <c r="D2337" t="inlineStr">
        <is>
          <t>JÄMTLANDS LÄN</t>
        </is>
      </c>
      <c r="E2337" t="inlineStr">
        <is>
          <t>STRÖMSUND</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39817-2023</t>
        </is>
      </c>
      <c r="B2338" s="1" t="n">
        <v>45168</v>
      </c>
      <c r="C2338" s="1" t="n">
        <v>45579</v>
      </c>
      <c r="D2338" t="inlineStr">
        <is>
          <t>JÄMTLANDS LÄN</t>
        </is>
      </c>
      <c r="E2338" t="inlineStr">
        <is>
          <t>STRÖMSUND</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39792-2023</t>
        </is>
      </c>
      <c r="B2339" s="1" t="n">
        <v>45168</v>
      </c>
      <c r="C2339" s="1" t="n">
        <v>45579</v>
      </c>
      <c r="D2339" t="inlineStr">
        <is>
          <t>JÄMTLANDS LÄN</t>
        </is>
      </c>
      <c r="E2339" t="inlineStr">
        <is>
          <t>STRÖMSUND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39800-2023</t>
        </is>
      </c>
      <c r="B2340" s="1" t="n">
        <v>45168</v>
      </c>
      <c r="C2340" s="1" t="n">
        <v>45579</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39870-2023</t>
        </is>
      </c>
      <c r="B2341" s="1" t="n">
        <v>45168</v>
      </c>
      <c r="C2341" s="1" t="n">
        <v>45579</v>
      </c>
      <c r="D2341" t="inlineStr">
        <is>
          <t>JÄMTLANDS LÄN</t>
        </is>
      </c>
      <c r="E2341" t="inlineStr">
        <is>
          <t>STRÖMSUND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39922-2023</t>
        </is>
      </c>
      <c r="B2342" s="1" t="n">
        <v>45168</v>
      </c>
      <c r="C2342" s="1" t="n">
        <v>45579</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39946-2023</t>
        </is>
      </c>
      <c r="B2343" s="1" t="n">
        <v>45168</v>
      </c>
      <c r="C2343" s="1" t="n">
        <v>45579</v>
      </c>
      <c r="D2343" t="inlineStr">
        <is>
          <t>JÄMTLANDS LÄN</t>
        </is>
      </c>
      <c r="E2343" t="inlineStr">
        <is>
          <t>STRÖMSUND</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40104-2023</t>
        </is>
      </c>
      <c r="B2344" s="1" t="n">
        <v>45169</v>
      </c>
      <c r="C2344" s="1" t="n">
        <v>45579</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40102-2023</t>
        </is>
      </c>
      <c r="B2345" s="1" t="n">
        <v>45169</v>
      </c>
      <c r="C2345" s="1" t="n">
        <v>45579</v>
      </c>
      <c r="D2345" t="inlineStr">
        <is>
          <t>JÄMTLANDS LÄN</t>
        </is>
      </c>
      <c r="E2345" t="inlineStr">
        <is>
          <t>STRÖMSUND</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40110-2023</t>
        </is>
      </c>
      <c r="B2346" s="1" t="n">
        <v>45168</v>
      </c>
      <c r="C2346" s="1" t="n">
        <v>45579</v>
      </c>
      <c r="D2346" t="inlineStr">
        <is>
          <t>JÄMTLANDS LÄN</t>
        </is>
      </c>
      <c r="E2346" t="inlineStr">
        <is>
          <t>STRÖMSUND</t>
        </is>
      </c>
      <c r="F2346" t="inlineStr">
        <is>
          <t>SCA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40103-2023</t>
        </is>
      </c>
      <c r="B2347" s="1" t="n">
        <v>45169</v>
      </c>
      <c r="C2347" s="1" t="n">
        <v>45579</v>
      </c>
      <c r="D2347" t="inlineStr">
        <is>
          <t>JÄMTLANDS LÄN</t>
        </is>
      </c>
      <c r="E2347" t="inlineStr">
        <is>
          <t>STRÖMSUND</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40101-2023</t>
        </is>
      </c>
      <c r="B2348" s="1" t="n">
        <v>45169</v>
      </c>
      <c r="C2348" s="1" t="n">
        <v>45579</v>
      </c>
      <c r="D2348" t="inlineStr">
        <is>
          <t>JÄMTLANDS LÄN</t>
        </is>
      </c>
      <c r="E2348" t="inlineStr">
        <is>
          <t>STRÖMSUND</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40105-2023</t>
        </is>
      </c>
      <c r="B2349" s="1" t="n">
        <v>45169</v>
      </c>
      <c r="C2349" s="1" t="n">
        <v>45579</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40109-2023</t>
        </is>
      </c>
      <c r="B2350" s="1" t="n">
        <v>45168</v>
      </c>
      <c r="C2350" s="1" t="n">
        <v>45579</v>
      </c>
      <c r="D2350" t="inlineStr">
        <is>
          <t>JÄMTLANDS LÄN</t>
        </is>
      </c>
      <c r="E2350" t="inlineStr">
        <is>
          <t>STRÖMSUND</t>
        </is>
      </c>
      <c r="F2350" t="inlineStr">
        <is>
          <t>SCA</t>
        </is>
      </c>
      <c r="G2350" t="n">
        <v>55.1</v>
      </c>
      <c r="H2350" t="n">
        <v>0</v>
      </c>
      <c r="I2350" t="n">
        <v>0</v>
      </c>
      <c r="J2350" t="n">
        <v>0</v>
      </c>
      <c r="K2350" t="n">
        <v>0</v>
      </c>
      <c r="L2350" t="n">
        <v>0</v>
      </c>
      <c r="M2350" t="n">
        <v>0</v>
      </c>
      <c r="N2350" t="n">
        <v>0</v>
      </c>
      <c r="O2350" t="n">
        <v>0</v>
      </c>
      <c r="P2350" t="n">
        <v>0</v>
      </c>
      <c r="Q2350" t="n">
        <v>0</v>
      </c>
      <c r="R2350" s="2" t="inlineStr"/>
    </row>
    <row r="2351" ht="15" customHeight="1">
      <c r="A2351" t="inlineStr">
        <is>
          <t>A 40395-2023</t>
        </is>
      </c>
      <c r="B2351" s="1" t="n">
        <v>45170</v>
      </c>
      <c r="C2351" s="1" t="n">
        <v>45579</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40399-2023</t>
        </is>
      </c>
      <c r="B2352" s="1" t="n">
        <v>45170</v>
      </c>
      <c r="C2352" s="1" t="n">
        <v>45579</v>
      </c>
      <c r="D2352" t="inlineStr">
        <is>
          <t>JÄMTLANDS LÄN</t>
        </is>
      </c>
      <c r="E2352" t="inlineStr">
        <is>
          <t>STRÖMSUND</t>
        </is>
      </c>
      <c r="F2352" t="inlineStr">
        <is>
          <t>SCA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40407-2023</t>
        </is>
      </c>
      <c r="B2353" s="1" t="n">
        <v>45170</v>
      </c>
      <c r="C2353" s="1" t="n">
        <v>45579</v>
      </c>
      <c r="D2353" t="inlineStr">
        <is>
          <t>JÄMTLANDS LÄN</t>
        </is>
      </c>
      <c r="E2353" t="inlineStr">
        <is>
          <t>STRÖMSUND</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40398-2023</t>
        </is>
      </c>
      <c r="B2354" s="1" t="n">
        <v>45170</v>
      </c>
      <c r="C2354" s="1" t="n">
        <v>45579</v>
      </c>
      <c r="D2354" t="inlineStr">
        <is>
          <t>JÄMTLANDS LÄN</t>
        </is>
      </c>
      <c r="E2354" t="inlineStr">
        <is>
          <t>STRÖMSUND</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40440-2023</t>
        </is>
      </c>
      <c r="B2355" s="1" t="n">
        <v>45170</v>
      </c>
      <c r="C2355" s="1" t="n">
        <v>45579</v>
      </c>
      <c r="D2355" t="inlineStr">
        <is>
          <t>JÄMTLANDS LÄN</t>
        </is>
      </c>
      <c r="E2355" t="inlineStr">
        <is>
          <t>STRÖMSUND</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40427-2023</t>
        </is>
      </c>
      <c r="B2356" s="1" t="n">
        <v>45170</v>
      </c>
      <c r="C2356" s="1" t="n">
        <v>45579</v>
      </c>
      <c r="D2356" t="inlineStr">
        <is>
          <t>JÄMTLANDS LÄN</t>
        </is>
      </c>
      <c r="E2356" t="inlineStr">
        <is>
          <t>STRÖMSUND</t>
        </is>
      </c>
      <c r="F2356" t="inlineStr">
        <is>
          <t>SCA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40402-2023</t>
        </is>
      </c>
      <c r="B2357" s="1" t="n">
        <v>45170</v>
      </c>
      <c r="C2357" s="1" t="n">
        <v>45579</v>
      </c>
      <c r="D2357" t="inlineStr">
        <is>
          <t>JÄMTLANDS LÄN</t>
        </is>
      </c>
      <c r="E2357" t="inlineStr">
        <is>
          <t>STRÖMSUND</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40396-2023</t>
        </is>
      </c>
      <c r="B2358" s="1" t="n">
        <v>45170</v>
      </c>
      <c r="C2358" s="1" t="n">
        <v>45579</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40439-2023</t>
        </is>
      </c>
      <c r="B2359" s="1" t="n">
        <v>45169</v>
      </c>
      <c r="C2359" s="1" t="n">
        <v>45579</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40408-2023</t>
        </is>
      </c>
      <c r="B2360" s="1" t="n">
        <v>45170</v>
      </c>
      <c r="C2360" s="1" t="n">
        <v>45579</v>
      </c>
      <c r="D2360" t="inlineStr">
        <is>
          <t>JÄMTLANDS LÄN</t>
        </is>
      </c>
      <c r="E2360" t="inlineStr">
        <is>
          <t>STRÖMSUND</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40424-2023</t>
        </is>
      </c>
      <c r="B2361" s="1" t="n">
        <v>45170</v>
      </c>
      <c r="C2361" s="1" t="n">
        <v>45579</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40441-2023</t>
        </is>
      </c>
      <c r="B2362" s="1" t="n">
        <v>45169</v>
      </c>
      <c r="C2362" s="1" t="n">
        <v>45579</v>
      </c>
      <c r="D2362" t="inlineStr">
        <is>
          <t>JÄMTLANDS LÄN</t>
        </is>
      </c>
      <c r="E2362" t="inlineStr">
        <is>
          <t>STRÖMSUND</t>
        </is>
      </c>
      <c r="F2362" t="inlineStr">
        <is>
          <t>SCA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40625-2023</t>
        </is>
      </c>
      <c r="B2363" s="1" t="n">
        <v>45169</v>
      </c>
      <c r="C2363" s="1" t="n">
        <v>45579</v>
      </c>
      <c r="D2363" t="inlineStr">
        <is>
          <t>JÄMTLANDS LÄN</t>
        </is>
      </c>
      <c r="E2363" t="inlineStr">
        <is>
          <t>STRÖMSUND</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41150-2023</t>
        </is>
      </c>
      <c r="B2364" s="1" t="n">
        <v>45174</v>
      </c>
      <c r="C2364" s="1" t="n">
        <v>45579</v>
      </c>
      <c r="D2364" t="inlineStr">
        <is>
          <t>JÄMTLANDS LÄN</t>
        </is>
      </c>
      <c r="E2364" t="inlineStr">
        <is>
          <t>STRÖMSUND</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41536-2023</t>
        </is>
      </c>
      <c r="B2365" s="1" t="n">
        <v>45173</v>
      </c>
      <c r="C2365" s="1" t="n">
        <v>45579</v>
      </c>
      <c r="D2365" t="inlineStr">
        <is>
          <t>JÄMTLANDS LÄN</t>
        </is>
      </c>
      <c r="E2365" t="inlineStr">
        <is>
          <t>STRÖMSUND</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41268-2023</t>
        </is>
      </c>
      <c r="B2366" s="1" t="n">
        <v>45174</v>
      </c>
      <c r="C2366" s="1" t="n">
        <v>45579</v>
      </c>
      <c r="D2366" t="inlineStr">
        <is>
          <t>JÄMTLANDS LÄN</t>
        </is>
      </c>
      <c r="E2366" t="inlineStr">
        <is>
          <t>STRÖMSUND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41970-2023</t>
        </is>
      </c>
      <c r="B2367" s="1" t="n">
        <v>45174</v>
      </c>
      <c r="C2367" s="1" t="n">
        <v>45579</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41978-2023</t>
        </is>
      </c>
      <c r="B2368" s="1" t="n">
        <v>45174</v>
      </c>
      <c r="C2368" s="1" t="n">
        <v>45579</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41644-2023</t>
        </is>
      </c>
      <c r="B2369" s="1" t="n">
        <v>45175</v>
      </c>
      <c r="C2369" s="1" t="n">
        <v>45579</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41902-2023</t>
        </is>
      </c>
      <c r="B2370" s="1" t="n">
        <v>45176</v>
      </c>
      <c r="C2370" s="1" t="n">
        <v>45579</v>
      </c>
      <c r="D2370" t="inlineStr">
        <is>
          <t>JÄMTLANDS LÄN</t>
        </is>
      </c>
      <c r="E2370" t="inlineStr">
        <is>
          <t>STRÖMSUND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41917-2023</t>
        </is>
      </c>
      <c r="B2371" s="1" t="n">
        <v>45177</v>
      </c>
      <c r="C2371" s="1" t="n">
        <v>45579</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41921-2023</t>
        </is>
      </c>
      <c r="B2372" s="1" t="n">
        <v>45177</v>
      </c>
      <c r="C2372" s="1" t="n">
        <v>45579</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41903-2023</t>
        </is>
      </c>
      <c r="B2373" s="1" t="n">
        <v>45176</v>
      </c>
      <c r="C2373" s="1" t="n">
        <v>45579</v>
      </c>
      <c r="D2373" t="inlineStr">
        <is>
          <t>JÄMTLANDS LÄN</t>
        </is>
      </c>
      <c r="E2373" t="inlineStr">
        <is>
          <t>STRÖMSUND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41916-2023</t>
        </is>
      </c>
      <c r="B2374" s="1" t="n">
        <v>45177</v>
      </c>
      <c r="C2374" s="1" t="n">
        <v>45579</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41939-2023</t>
        </is>
      </c>
      <c r="B2375" s="1" t="n">
        <v>45177</v>
      </c>
      <c r="C2375" s="1" t="n">
        <v>45579</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41940-2023</t>
        </is>
      </c>
      <c r="B2376" s="1" t="n">
        <v>45176</v>
      </c>
      <c r="C2376" s="1" t="n">
        <v>45579</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42284-2023</t>
        </is>
      </c>
      <c r="B2377" s="1" t="n">
        <v>45180</v>
      </c>
      <c r="C2377" s="1" t="n">
        <v>45579</v>
      </c>
      <c r="D2377" t="inlineStr">
        <is>
          <t>JÄMTLANDS LÄN</t>
        </is>
      </c>
      <c r="E2377" t="inlineStr">
        <is>
          <t>STRÖMSUND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42502-2023</t>
        </is>
      </c>
      <c r="B2378" s="1" t="n">
        <v>45181</v>
      </c>
      <c r="C2378" s="1" t="n">
        <v>45579</v>
      </c>
      <c r="D2378" t="inlineStr">
        <is>
          <t>JÄMTLANDS LÄN</t>
        </is>
      </c>
      <c r="E2378" t="inlineStr">
        <is>
          <t>STRÖMSUND</t>
        </is>
      </c>
      <c r="F2378" t="inlineStr">
        <is>
          <t>SCA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42287-2023</t>
        </is>
      </c>
      <c r="B2379" s="1" t="n">
        <v>45180</v>
      </c>
      <c r="C2379" s="1" t="n">
        <v>45579</v>
      </c>
      <c r="D2379" t="inlineStr">
        <is>
          <t>JÄMTLANDS LÄN</t>
        </is>
      </c>
      <c r="E2379" t="inlineStr">
        <is>
          <t>STRÖMSUND</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42291-2023</t>
        </is>
      </c>
      <c r="B2380" s="1" t="n">
        <v>45180</v>
      </c>
      <c r="C2380" s="1" t="n">
        <v>45579</v>
      </c>
      <c r="D2380" t="inlineStr">
        <is>
          <t>JÄMTLANDS LÄN</t>
        </is>
      </c>
      <c r="E2380" t="inlineStr">
        <is>
          <t>STRÖMSUND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42428-2023</t>
        </is>
      </c>
      <c r="B2381" s="1" t="n">
        <v>45180</v>
      </c>
      <c r="C2381" s="1" t="n">
        <v>45579</v>
      </c>
      <c r="D2381" t="inlineStr">
        <is>
          <t>JÄMTLANDS LÄN</t>
        </is>
      </c>
      <c r="E2381" t="inlineStr">
        <is>
          <t>STRÖMSUND</t>
        </is>
      </c>
      <c r="F2381" t="inlineStr">
        <is>
          <t>Holmen skog AB</t>
        </is>
      </c>
      <c r="G2381" t="n">
        <v>15.6</v>
      </c>
      <c r="H2381" t="n">
        <v>0</v>
      </c>
      <c r="I2381" t="n">
        <v>0</v>
      </c>
      <c r="J2381" t="n">
        <v>0</v>
      </c>
      <c r="K2381" t="n">
        <v>0</v>
      </c>
      <c r="L2381" t="n">
        <v>0</v>
      </c>
      <c r="M2381" t="n">
        <v>0</v>
      </c>
      <c r="N2381" t="n">
        <v>0</v>
      </c>
      <c r="O2381" t="n">
        <v>0</v>
      </c>
      <c r="P2381" t="n">
        <v>0</v>
      </c>
      <c r="Q2381" t="n">
        <v>0</v>
      </c>
      <c r="R2381" s="2" t="inlineStr"/>
    </row>
    <row r="2382" ht="15" customHeight="1">
      <c r="A2382" t="inlineStr">
        <is>
          <t>A 42448-2023</t>
        </is>
      </c>
      <c r="B2382" s="1" t="n">
        <v>45180</v>
      </c>
      <c r="C2382" s="1" t="n">
        <v>45579</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43565-2023</t>
        </is>
      </c>
      <c r="B2383" s="1" t="n">
        <v>45181</v>
      </c>
      <c r="C2383" s="1" t="n">
        <v>45579</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43558-2023</t>
        </is>
      </c>
      <c r="B2384" s="1" t="n">
        <v>45181</v>
      </c>
      <c r="C2384" s="1" t="n">
        <v>45579</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42966-2023</t>
        </is>
      </c>
      <c r="B2385" s="1" t="n">
        <v>45182</v>
      </c>
      <c r="C2385" s="1" t="n">
        <v>45579</v>
      </c>
      <c r="D2385" t="inlineStr">
        <is>
          <t>JÄMTLANDS LÄN</t>
        </is>
      </c>
      <c r="E2385" t="inlineStr">
        <is>
          <t>STRÖMSUND</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42964-2023</t>
        </is>
      </c>
      <c r="B2386" s="1" t="n">
        <v>45182</v>
      </c>
      <c r="C2386" s="1" t="n">
        <v>45579</v>
      </c>
      <c r="D2386" t="inlineStr">
        <is>
          <t>JÄMTLANDS LÄN</t>
        </is>
      </c>
      <c r="E2386" t="inlineStr">
        <is>
          <t>STRÖMSUND</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43112-2023</t>
        </is>
      </c>
      <c r="B2387" s="1" t="n">
        <v>45183</v>
      </c>
      <c r="C2387" s="1" t="n">
        <v>45579</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43421-2023</t>
        </is>
      </c>
      <c r="B2388" s="1" t="n">
        <v>45184</v>
      </c>
      <c r="C2388" s="1" t="n">
        <v>45579</v>
      </c>
      <c r="D2388" t="inlineStr">
        <is>
          <t>JÄMTLANDS LÄN</t>
        </is>
      </c>
      <c r="E2388" t="inlineStr">
        <is>
          <t>STRÖMSUND</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44642-2023</t>
        </is>
      </c>
      <c r="B2389" s="1" t="n">
        <v>45184</v>
      </c>
      <c r="C2389" s="1" t="n">
        <v>45579</v>
      </c>
      <c r="D2389" t="inlineStr">
        <is>
          <t>JÄMTLANDS LÄN</t>
        </is>
      </c>
      <c r="E2389" t="inlineStr">
        <is>
          <t>STRÖMSUND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43947-2023</t>
        </is>
      </c>
      <c r="B2390" s="1" t="n">
        <v>45188</v>
      </c>
      <c r="C2390" s="1" t="n">
        <v>45579</v>
      </c>
      <c r="D2390" t="inlineStr">
        <is>
          <t>JÄMTLANDS LÄN</t>
        </is>
      </c>
      <c r="E2390" t="inlineStr">
        <is>
          <t>STRÖMSUND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43955-2023</t>
        </is>
      </c>
      <c r="B2391" s="1" t="n">
        <v>45188</v>
      </c>
      <c r="C2391" s="1" t="n">
        <v>45579</v>
      </c>
      <c r="D2391" t="inlineStr">
        <is>
          <t>JÄMTLANDS LÄN</t>
        </is>
      </c>
      <c r="E2391" t="inlineStr">
        <is>
          <t>STRÖMSUND</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43953-2023</t>
        </is>
      </c>
      <c r="B2392" s="1" t="n">
        <v>45187</v>
      </c>
      <c r="C2392" s="1" t="n">
        <v>45579</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43956-2023</t>
        </is>
      </c>
      <c r="B2393" s="1" t="n">
        <v>45188</v>
      </c>
      <c r="C2393" s="1" t="n">
        <v>45579</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43976-2023</t>
        </is>
      </c>
      <c r="B2394" s="1" t="n">
        <v>45187</v>
      </c>
      <c r="C2394" s="1" t="n">
        <v>45579</v>
      </c>
      <c r="D2394" t="inlineStr">
        <is>
          <t>JÄMTLANDS LÄN</t>
        </is>
      </c>
      <c r="E2394" t="inlineStr">
        <is>
          <t>STRÖMSUND</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44385-2023</t>
        </is>
      </c>
      <c r="B2395" s="1" t="n">
        <v>45189</v>
      </c>
      <c r="C2395" s="1" t="n">
        <v>45579</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44384-2023</t>
        </is>
      </c>
      <c r="B2396" s="1" t="n">
        <v>45189</v>
      </c>
      <c r="C2396" s="1" t="n">
        <v>45579</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44411-2023</t>
        </is>
      </c>
      <c r="B2397" s="1" t="n">
        <v>45189</v>
      </c>
      <c r="C2397" s="1" t="n">
        <v>45579</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44390-2023</t>
        </is>
      </c>
      <c r="B2398" s="1" t="n">
        <v>45189</v>
      </c>
      <c r="C2398" s="1" t="n">
        <v>45579</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44402-2023</t>
        </is>
      </c>
      <c r="B2399" s="1" t="n">
        <v>45188</v>
      </c>
      <c r="C2399" s="1" t="n">
        <v>45579</v>
      </c>
      <c r="D2399" t="inlineStr">
        <is>
          <t>JÄMTLANDS LÄN</t>
        </is>
      </c>
      <c r="E2399" t="inlineStr">
        <is>
          <t>STRÖMSUND</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45928-2023</t>
        </is>
      </c>
      <c r="B2400" s="1" t="n">
        <v>45189</v>
      </c>
      <c r="C2400" s="1" t="n">
        <v>45579</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44995-2023</t>
        </is>
      </c>
      <c r="B2401" s="1" t="n">
        <v>45191</v>
      </c>
      <c r="C2401" s="1" t="n">
        <v>45579</v>
      </c>
      <c r="D2401" t="inlineStr">
        <is>
          <t>JÄMTLANDS LÄN</t>
        </is>
      </c>
      <c r="E2401" t="inlineStr">
        <is>
          <t>STRÖMSUND</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44813-2023</t>
        </is>
      </c>
      <c r="B2402" s="1" t="n">
        <v>45190</v>
      </c>
      <c r="C2402" s="1" t="n">
        <v>45579</v>
      </c>
      <c r="D2402" t="inlineStr">
        <is>
          <t>JÄMTLANDS LÄN</t>
        </is>
      </c>
      <c r="E2402" t="inlineStr">
        <is>
          <t>STRÖMSUND</t>
        </is>
      </c>
      <c r="F2402" t="inlineStr">
        <is>
          <t>Holmen skog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44969-2023</t>
        </is>
      </c>
      <c r="B2403" s="1" t="n">
        <v>45191</v>
      </c>
      <c r="C2403" s="1" t="n">
        <v>45579</v>
      </c>
      <c r="D2403" t="inlineStr">
        <is>
          <t>JÄMTLANDS LÄN</t>
        </is>
      </c>
      <c r="E2403" t="inlineStr">
        <is>
          <t>STRÖMSUND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45091-2023</t>
        </is>
      </c>
      <c r="B2404" s="1" t="n">
        <v>45191</v>
      </c>
      <c r="C2404" s="1" t="n">
        <v>45579</v>
      </c>
      <c r="D2404" t="inlineStr">
        <is>
          <t>JÄMTLANDS LÄN</t>
        </is>
      </c>
      <c r="E2404" t="inlineStr">
        <is>
          <t>STRÖMSUND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45329-2023</t>
        </is>
      </c>
      <c r="B2405" s="1" t="n">
        <v>45192</v>
      </c>
      <c r="C2405" s="1" t="n">
        <v>45579</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45341-2023</t>
        </is>
      </c>
      <c r="B2406" s="1" t="n">
        <v>45192</v>
      </c>
      <c r="C2406" s="1" t="n">
        <v>45579</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45340-2023</t>
        </is>
      </c>
      <c r="B2407" s="1" t="n">
        <v>45192</v>
      </c>
      <c r="C2407" s="1" t="n">
        <v>45579</v>
      </c>
      <c r="D2407" t="inlineStr">
        <is>
          <t>JÄMTLANDS LÄN</t>
        </is>
      </c>
      <c r="E2407" t="inlineStr">
        <is>
          <t>STRÖMSUND</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45315-2023</t>
        </is>
      </c>
      <c r="B2408" s="1" t="n">
        <v>45191</v>
      </c>
      <c r="C2408" s="1" t="n">
        <v>45579</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45339-2023</t>
        </is>
      </c>
      <c r="B2409" s="1" t="n">
        <v>45192</v>
      </c>
      <c r="C2409" s="1" t="n">
        <v>45579</v>
      </c>
      <c r="D2409" t="inlineStr">
        <is>
          <t>JÄMTLANDS LÄN</t>
        </is>
      </c>
      <c r="E2409" t="inlineStr">
        <is>
          <t>STRÖMSUND</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45366-2023</t>
        </is>
      </c>
      <c r="B2410" s="1" t="n">
        <v>45192</v>
      </c>
      <c r="C2410" s="1" t="n">
        <v>45579</v>
      </c>
      <c r="D2410" t="inlineStr">
        <is>
          <t>JÄMTLANDS LÄN</t>
        </is>
      </c>
      <c r="E2410" t="inlineStr">
        <is>
          <t>STRÖMSUND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45497-2023</t>
        </is>
      </c>
      <c r="B2411" s="1" t="n">
        <v>45194</v>
      </c>
      <c r="C2411" s="1" t="n">
        <v>45579</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45566-2023</t>
        </is>
      </c>
      <c r="B2412" s="1" t="n">
        <v>45194</v>
      </c>
      <c r="C2412" s="1" t="n">
        <v>45579</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45506-2023</t>
        </is>
      </c>
      <c r="B2413" s="1" t="n">
        <v>45194</v>
      </c>
      <c r="C2413" s="1" t="n">
        <v>45579</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45584-2023</t>
        </is>
      </c>
      <c r="B2414" s="1" t="n">
        <v>45194</v>
      </c>
      <c r="C2414" s="1" t="n">
        <v>45579</v>
      </c>
      <c r="D2414" t="inlineStr">
        <is>
          <t>JÄMTLANDS LÄN</t>
        </is>
      </c>
      <c r="E2414" t="inlineStr">
        <is>
          <t>STRÖMSUND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45502-2023</t>
        </is>
      </c>
      <c r="B2415" s="1" t="n">
        <v>45194</v>
      </c>
      <c r="C2415" s="1" t="n">
        <v>45579</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45809-2023</t>
        </is>
      </c>
      <c r="B2416" s="1" t="n">
        <v>45195</v>
      </c>
      <c r="C2416" s="1" t="n">
        <v>45579</v>
      </c>
      <c r="D2416" t="inlineStr">
        <is>
          <t>JÄMTLANDS LÄN</t>
        </is>
      </c>
      <c r="E2416" t="inlineStr">
        <is>
          <t>STRÖMSUND</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45938-2023</t>
        </is>
      </c>
      <c r="B2417" s="1" t="n">
        <v>45196</v>
      </c>
      <c r="C2417" s="1" t="n">
        <v>45579</v>
      </c>
      <c r="D2417" t="inlineStr">
        <is>
          <t>JÄMTLANDS LÄN</t>
        </is>
      </c>
      <c r="E2417" t="inlineStr">
        <is>
          <t>STRÖMSUND</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46788-2023</t>
        </is>
      </c>
      <c r="B2418" s="1" t="n">
        <v>45195</v>
      </c>
      <c r="C2418" s="1" t="n">
        <v>45579</v>
      </c>
      <c r="D2418" t="inlineStr">
        <is>
          <t>JÄMTLANDS LÄN</t>
        </is>
      </c>
      <c r="E2418" t="inlineStr">
        <is>
          <t>STRÖMSUND</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45975-2023</t>
        </is>
      </c>
      <c r="B2419" s="1" t="n">
        <v>45196</v>
      </c>
      <c r="C2419" s="1" t="n">
        <v>45579</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46789-2023</t>
        </is>
      </c>
      <c r="B2420" s="1" t="n">
        <v>45195</v>
      </c>
      <c r="C2420" s="1" t="n">
        <v>45579</v>
      </c>
      <c r="D2420" t="inlineStr">
        <is>
          <t>JÄMTLANDS LÄN</t>
        </is>
      </c>
      <c r="E2420" t="inlineStr">
        <is>
          <t>STRÖMSUND</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46776-2023</t>
        </is>
      </c>
      <c r="B2421" s="1" t="n">
        <v>45195</v>
      </c>
      <c r="C2421" s="1" t="n">
        <v>45579</v>
      </c>
      <c r="D2421" t="inlineStr">
        <is>
          <t>JÄMTLANDS LÄN</t>
        </is>
      </c>
      <c r="E2421" t="inlineStr">
        <is>
          <t>STRÖMSUND</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46794-2023</t>
        </is>
      </c>
      <c r="B2422" s="1" t="n">
        <v>45195</v>
      </c>
      <c r="C2422" s="1" t="n">
        <v>45579</v>
      </c>
      <c r="D2422" t="inlineStr">
        <is>
          <t>JÄMTLANDS LÄN</t>
        </is>
      </c>
      <c r="E2422" t="inlineStr">
        <is>
          <t>STRÖMSUND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46793-2023</t>
        </is>
      </c>
      <c r="B2423" s="1" t="n">
        <v>45195</v>
      </c>
      <c r="C2423" s="1" t="n">
        <v>45579</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46258-2023</t>
        </is>
      </c>
      <c r="B2424" s="1" t="n">
        <v>45197</v>
      </c>
      <c r="C2424" s="1" t="n">
        <v>45579</v>
      </c>
      <c r="D2424" t="inlineStr">
        <is>
          <t>JÄMTLANDS LÄN</t>
        </is>
      </c>
      <c r="E2424" t="inlineStr">
        <is>
          <t>STRÖMSUND</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46265-2023</t>
        </is>
      </c>
      <c r="B2425" s="1" t="n">
        <v>45196</v>
      </c>
      <c r="C2425" s="1" t="n">
        <v>45579</v>
      </c>
      <c r="D2425" t="inlineStr">
        <is>
          <t>JÄMTLANDS LÄN</t>
        </is>
      </c>
      <c r="E2425" t="inlineStr">
        <is>
          <t>STRÖMSUND</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46259-2023</t>
        </is>
      </c>
      <c r="B2426" s="1" t="n">
        <v>45197</v>
      </c>
      <c r="C2426" s="1" t="n">
        <v>45579</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46365-2023</t>
        </is>
      </c>
      <c r="B2427" s="1" t="n">
        <v>45197</v>
      </c>
      <c r="C2427" s="1" t="n">
        <v>45579</v>
      </c>
      <c r="D2427" t="inlineStr">
        <is>
          <t>JÄMTLANDS LÄN</t>
        </is>
      </c>
      <c r="E2427" t="inlineStr">
        <is>
          <t>STRÖMSUND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46545-2023</t>
        </is>
      </c>
      <c r="B2428" s="1" t="n">
        <v>45198</v>
      </c>
      <c r="C2428" s="1" t="n">
        <v>45579</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46556-2023</t>
        </is>
      </c>
      <c r="B2429" s="1" t="n">
        <v>45198</v>
      </c>
      <c r="C2429" s="1" t="n">
        <v>45579</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46557-2023</t>
        </is>
      </c>
      <c r="B2430" s="1" t="n">
        <v>45197</v>
      </c>
      <c r="C2430" s="1" t="n">
        <v>45579</v>
      </c>
      <c r="D2430" t="inlineStr">
        <is>
          <t>JÄMTLANDS LÄN</t>
        </is>
      </c>
      <c r="E2430" t="inlineStr">
        <is>
          <t>STRÖMSUND</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46807-2023</t>
        </is>
      </c>
      <c r="B2431" s="1" t="n">
        <v>45199</v>
      </c>
      <c r="C2431" s="1" t="n">
        <v>45579</v>
      </c>
      <c r="D2431" t="inlineStr">
        <is>
          <t>JÄMTLANDS LÄN</t>
        </is>
      </c>
      <c r="E2431" t="inlineStr">
        <is>
          <t>STRÖMSUND</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46811-2023</t>
        </is>
      </c>
      <c r="B2432" s="1" t="n">
        <v>45199</v>
      </c>
      <c r="C2432" s="1" t="n">
        <v>45579</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46813-2023</t>
        </is>
      </c>
      <c r="B2433" s="1" t="n">
        <v>45199</v>
      </c>
      <c r="C2433" s="1" t="n">
        <v>45579</v>
      </c>
      <c r="D2433" t="inlineStr">
        <is>
          <t>JÄMTLANDS LÄN</t>
        </is>
      </c>
      <c r="E2433" t="inlineStr">
        <is>
          <t>STRÖMSUND</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46770-2023</t>
        </is>
      </c>
      <c r="B2434" s="1" t="n">
        <v>45198</v>
      </c>
      <c r="C2434" s="1" t="n">
        <v>45579</v>
      </c>
      <c r="D2434" t="inlineStr">
        <is>
          <t>JÄMTLANDS LÄN</t>
        </is>
      </c>
      <c r="E2434" t="inlineStr">
        <is>
          <t>STRÖMSUND</t>
        </is>
      </c>
      <c r="F2434" t="inlineStr">
        <is>
          <t>Sveaskog</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46774-2023</t>
        </is>
      </c>
      <c r="B2435" s="1" t="n">
        <v>45198</v>
      </c>
      <c r="C2435" s="1" t="n">
        <v>45579</v>
      </c>
      <c r="D2435" t="inlineStr">
        <is>
          <t>JÄMTLANDS LÄN</t>
        </is>
      </c>
      <c r="E2435" t="inlineStr">
        <is>
          <t>STRÖMSUND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47151-2023</t>
        </is>
      </c>
      <c r="B2436" s="1" t="n">
        <v>45201</v>
      </c>
      <c r="C2436" s="1" t="n">
        <v>45579</v>
      </c>
      <c r="D2436" t="inlineStr">
        <is>
          <t>JÄMTLANDS LÄN</t>
        </is>
      </c>
      <c r="E2436" t="inlineStr">
        <is>
          <t>STRÖMSUND</t>
        </is>
      </c>
      <c r="F2436" t="inlineStr">
        <is>
          <t>Holmen skog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47178-2023</t>
        </is>
      </c>
      <c r="B2437" s="1" t="n">
        <v>45201</v>
      </c>
      <c r="C2437" s="1" t="n">
        <v>45579</v>
      </c>
      <c r="D2437" t="inlineStr">
        <is>
          <t>JÄMTLANDS LÄN</t>
        </is>
      </c>
      <c r="E2437" t="inlineStr">
        <is>
          <t>STRÖMSUND</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47182-2023</t>
        </is>
      </c>
      <c r="B2438" s="1" t="n">
        <v>45202</v>
      </c>
      <c r="C2438" s="1" t="n">
        <v>45579</v>
      </c>
      <c r="D2438" t="inlineStr">
        <is>
          <t>JÄMTLANDS LÄN</t>
        </is>
      </c>
      <c r="E2438" t="inlineStr">
        <is>
          <t>STRÖMSUND</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47116-2023</t>
        </is>
      </c>
      <c r="B2439" s="1" t="n">
        <v>45201</v>
      </c>
      <c r="C2439" s="1" t="n">
        <v>45579</v>
      </c>
      <c r="D2439" t="inlineStr">
        <is>
          <t>JÄMTLANDS LÄN</t>
        </is>
      </c>
      <c r="E2439" t="inlineStr">
        <is>
          <t>STRÖMSUND</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48328-2023</t>
        </is>
      </c>
      <c r="B2440" s="1" t="n">
        <v>45201</v>
      </c>
      <c r="C2440" s="1" t="n">
        <v>45579</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47491-2023</t>
        </is>
      </c>
      <c r="B2441" s="1" t="n">
        <v>45203</v>
      </c>
      <c r="C2441" s="1" t="n">
        <v>45579</v>
      </c>
      <c r="D2441" t="inlineStr">
        <is>
          <t>JÄMTLANDS LÄN</t>
        </is>
      </c>
      <c r="E2441" t="inlineStr">
        <is>
          <t>STRÖMSUND</t>
        </is>
      </c>
      <c r="F2441" t="inlineStr">
        <is>
          <t>SCA</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47843-2023</t>
        </is>
      </c>
      <c r="B2442" s="1" t="n">
        <v>45204</v>
      </c>
      <c r="C2442" s="1" t="n">
        <v>45579</v>
      </c>
      <c r="D2442" t="inlineStr">
        <is>
          <t>JÄMTLANDS LÄN</t>
        </is>
      </c>
      <c r="E2442" t="inlineStr">
        <is>
          <t>STRÖMSUND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48038-2023</t>
        </is>
      </c>
      <c r="B2443" s="1" t="n">
        <v>45204</v>
      </c>
      <c r="C2443" s="1" t="n">
        <v>45579</v>
      </c>
      <c r="D2443" t="inlineStr">
        <is>
          <t>JÄMTLANDS LÄN</t>
        </is>
      </c>
      <c r="E2443" t="inlineStr">
        <is>
          <t>STRÖMSUND</t>
        </is>
      </c>
      <c r="F2443" t="inlineStr">
        <is>
          <t>Holmen skog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48042-2023</t>
        </is>
      </c>
      <c r="B2444" s="1" t="n">
        <v>45204</v>
      </c>
      <c r="C2444" s="1" t="n">
        <v>45579</v>
      </c>
      <c r="D2444" t="inlineStr">
        <is>
          <t>JÄMTLANDS LÄN</t>
        </is>
      </c>
      <c r="E2444" t="inlineStr">
        <is>
          <t>STRÖMSUND</t>
        </is>
      </c>
      <c r="F2444" t="inlineStr">
        <is>
          <t>Holmen skog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48071-2023</t>
        </is>
      </c>
      <c r="B2445" s="1" t="n">
        <v>45205</v>
      </c>
      <c r="C2445" s="1" t="n">
        <v>45579</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48070-2023</t>
        </is>
      </c>
      <c r="B2446" s="1" t="n">
        <v>45204</v>
      </c>
      <c r="C2446" s="1" t="n">
        <v>45579</v>
      </c>
      <c r="D2446" t="inlineStr">
        <is>
          <t>JÄMTLANDS LÄN</t>
        </is>
      </c>
      <c r="E2446" t="inlineStr">
        <is>
          <t>STRÖMSUND</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48982-2023</t>
        </is>
      </c>
      <c r="B2447" s="1" t="n">
        <v>45204</v>
      </c>
      <c r="C2447" s="1" t="n">
        <v>45579</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48994-2023</t>
        </is>
      </c>
      <c r="B2448" s="1" t="n">
        <v>45204</v>
      </c>
      <c r="C2448" s="1" t="n">
        <v>45579</v>
      </c>
      <c r="D2448" t="inlineStr">
        <is>
          <t>JÄMTLANDS LÄN</t>
        </is>
      </c>
      <c r="E2448" t="inlineStr">
        <is>
          <t>STRÖMSUND</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49008-2023</t>
        </is>
      </c>
      <c r="B2449" s="1" t="n">
        <v>45204</v>
      </c>
      <c r="C2449" s="1" t="n">
        <v>45579</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48976-2023</t>
        </is>
      </c>
      <c r="B2450" s="1" t="n">
        <v>45204</v>
      </c>
      <c r="C2450" s="1" t="n">
        <v>45579</v>
      </c>
      <c r="D2450" t="inlineStr">
        <is>
          <t>JÄMTLANDS LÄN</t>
        </is>
      </c>
      <c r="E2450" t="inlineStr">
        <is>
          <t>STRÖMSUND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48991-2023</t>
        </is>
      </c>
      <c r="B2451" s="1" t="n">
        <v>45204</v>
      </c>
      <c r="C2451" s="1" t="n">
        <v>45579</v>
      </c>
      <c r="D2451" t="inlineStr">
        <is>
          <t>JÄMTLANDS LÄN</t>
        </is>
      </c>
      <c r="E2451" t="inlineStr">
        <is>
          <t>STRÖMSUND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48988-2023</t>
        </is>
      </c>
      <c r="B2452" s="1" t="n">
        <v>45204</v>
      </c>
      <c r="C2452" s="1" t="n">
        <v>45579</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48997-2023</t>
        </is>
      </c>
      <c r="B2453" s="1" t="n">
        <v>45204</v>
      </c>
      <c r="C2453" s="1" t="n">
        <v>45579</v>
      </c>
      <c r="D2453" t="inlineStr">
        <is>
          <t>JÄMTLANDS LÄN</t>
        </is>
      </c>
      <c r="E2453" t="inlineStr">
        <is>
          <t>STRÖMSUND</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49091-2023</t>
        </is>
      </c>
      <c r="B2454" s="1" t="n">
        <v>45204</v>
      </c>
      <c r="C2454" s="1" t="n">
        <v>45579</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48388-2023</t>
        </is>
      </c>
      <c r="B2455" s="1" t="n">
        <v>45205</v>
      </c>
      <c r="C2455" s="1" t="n">
        <v>45579</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48420-2023</t>
        </is>
      </c>
      <c r="B2456" s="1" t="n">
        <v>45205</v>
      </c>
      <c r="C2456" s="1" t="n">
        <v>45579</v>
      </c>
      <c r="D2456" t="inlineStr">
        <is>
          <t>JÄMTLANDS LÄN</t>
        </is>
      </c>
      <c r="E2456" t="inlineStr">
        <is>
          <t>STRÖMSUND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48476-2023</t>
        </is>
      </c>
      <c r="B2457" s="1" t="n">
        <v>45206</v>
      </c>
      <c r="C2457" s="1" t="n">
        <v>45579</v>
      </c>
      <c r="D2457" t="inlineStr">
        <is>
          <t>JÄMTLANDS LÄN</t>
        </is>
      </c>
      <c r="E2457" t="inlineStr">
        <is>
          <t>STRÖMSUND</t>
        </is>
      </c>
      <c r="F2457" t="inlineStr">
        <is>
          <t>SCA</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48775-2023</t>
        </is>
      </c>
      <c r="B2458" s="1" t="n">
        <v>45209</v>
      </c>
      <c r="C2458" s="1" t="n">
        <v>45579</v>
      </c>
      <c r="D2458" t="inlineStr">
        <is>
          <t>JÄMTLANDS LÄN</t>
        </is>
      </c>
      <c r="E2458" t="inlineStr">
        <is>
          <t>STRÖMSUND</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48637-2023</t>
        </is>
      </c>
      <c r="B2459" s="1" t="n">
        <v>45208</v>
      </c>
      <c r="C2459" s="1" t="n">
        <v>45579</v>
      </c>
      <c r="D2459" t="inlineStr">
        <is>
          <t>JÄMTLANDS LÄN</t>
        </is>
      </c>
      <c r="E2459" t="inlineStr">
        <is>
          <t>STRÖMSUND</t>
        </is>
      </c>
      <c r="F2459" t="inlineStr">
        <is>
          <t>Kommuner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49763-2023</t>
        </is>
      </c>
      <c r="B2460" s="1" t="n">
        <v>45208</v>
      </c>
      <c r="C2460" s="1" t="n">
        <v>45579</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49147-2023</t>
        </is>
      </c>
      <c r="B2461" s="1" t="n">
        <v>45210</v>
      </c>
      <c r="C2461" s="1" t="n">
        <v>45579</v>
      </c>
      <c r="D2461" t="inlineStr">
        <is>
          <t>JÄMTLANDS LÄN</t>
        </is>
      </c>
      <c r="E2461" t="inlineStr">
        <is>
          <t>STRÖMSUND</t>
        </is>
      </c>
      <c r="F2461" t="inlineStr">
        <is>
          <t>Holmen skog AB</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50647-2023</t>
        </is>
      </c>
      <c r="B2462" s="1" t="n">
        <v>45210</v>
      </c>
      <c r="C2462" s="1" t="n">
        <v>45579</v>
      </c>
      <c r="D2462" t="inlineStr">
        <is>
          <t>JÄMTLANDS LÄN</t>
        </is>
      </c>
      <c r="E2462" t="inlineStr">
        <is>
          <t>STRÖMSUND</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49377-2023</t>
        </is>
      </c>
      <c r="B2463" s="1" t="n">
        <v>45211</v>
      </c>
      <c r="C2463" s="1" t="n">
        <v>45579</v>
      </c>
      <c r="D2463" t="inlineStr">
        <is>
          <t>JÄMTLANDS LÄN</t>
        </is>
      </c>
      <c r="E2463" t="inlineStr">
        <is>
          <t>STRÖMSUND</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49415-2023</t>
        </is>
      </c>
      <c r="B2464" s="1" t="n">
        <v>45211</v>
      </c>
      <c r="C2464" s="1" t="n">
        <v>45579</v>
      </c>
      <c r="D2464" t="inlineStr">
        <is>
          <t>JÄMTLANDS LÄN</t>
        </is>
      </c>
      <c r="E2464" t="inlineStr">
        <is>
          <t>STRÖMSUND</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49524-2023</t>
        </is>
      </c>
      <c r="B2465" s="1" t="n">
        <v>45211</v>
      </c>
      <c r="C2465" s="1" t="n">
        <v>45579</v>
      </c>
      <c r="D2465" t="inlineStr">
        <is>
          <t>JÄMTLANDS LÄN</t>
        </is>
      </c>
      <c r="E2465" t="inlineStr">
        <is>
          <t>STRÖMSUND</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51074-2023</t>
        </is>
      </c>
      <c r="B2466" s="1" t="n">
        <v>45211</v>
      </c>
      <c r="C2466" s="1" t="n">
        <v>45579</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51077-2023</t>
        </is>
      </c>
      <c r="B2467" s="1" t="n">
        <v>45211</v>
      </c>
      <c r="C2467" s="1" t="n">
        <v>45579</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51075-2023</t>
        </is>
      </c>
      <c r="B2468" s="1" t="n">
        <v>45211</v>
      </c>
      <c r="C2468" s="1" t="n">
        <v>45579</v>
      </c>
      <c r="D2468" t="inlineStr">
        <is>
          <t>JÄMTLANDS LÄN</t>
        </is>
      </c>
      <c r="E2468" t="inlineStr">
        <is>
          <t>STRÖMSUND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49861-2023</t>
        </is>
      </c>
      <c r="B2469" s="1" t="n">
        <v>45212</v>
      </c>
      <c r="C2469" s="1" t="n">
        <v>45579</v>
      </c>
      <c r="D2469" t="inlineStr">
        <is>
          <t>JÄMTLANDS LÄN</t>
        </is>
      </c>
      <c r="E2469" t="inlineStr">
        <is>
          <t>STRÖMSUND</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50203-2023</t>
        </is>
      </c>
      <c r="B2470" s="1" t="n">
        <v>45216</v>
      </c>
      <c r="C2470" s="1" t="n">
        <v>45579</v>
      </c>
      <c r="D2470" t="inlineStr">
        <is>
          <t>JÄMTLANDS LÄN</t>
        </is>
      </c>
      <c r="E2470" t="inlineStr">
        <is>
          <t>STRÖMSUND</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50495-2023</t>
        </is>
      </c>
      <c r="B2471" s="1" t="n">
        <v>45216</v>
      </c>
      <c r="C2471" s="1" t="n">
        <v>45579</v>
      </c>
      <c r="D2471" t="inlineStr">
        <is>
          <t>JÄMTLANDS LÄN</t>
        </is>
      </c>
      <c r="E2471" t="inlineStr">
        <is>
          <t>STRÖMSUND</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52303-2023</t>
        </is>
      </c>
      <c r="B2472" s="1" t="n">
        <v>45217</v>
      </c>
      <c r="C2472" s="1" t="n">
        <v>45579</v>
      </c>
      <c r="D2472" t="inlineStr">
        <is>
          <t>JÄMTLANDS LÄN</t>
        </is>
      </c>
      <c r="E2472" t="inlineStr">
        <is>
          <t>STRÖMSUND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51001-2023</t>
        </is>
      </c>
      <c r="B2473" s="1" t="n">
        <v>45218</v>
      </c>
      <c r="C2473" s="1" t="n">
        <v>45579</v>
      </c>
      <c r="D2473" t="inlineStr">
        <is>
          <t>JÄMTLANDS LÄN</t>
        </is>
      </c>
      <c r="E2473" t="inlineStr">
        <is>
          <t>STRÖMSUND</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51429-2023</t>
        </is>
      </c>
      <c r="B2474" s="1" t="n">
        <v>45220</v>
      </c>
      <c r="C2474" s="1" t="n">
        <v>45579</v>
      </c>
      <c r="D2474" t="inlineStr">
        <is>
          <t>JÄMTLANDS LÄN</t>
        </is>
      </c>
      <c r="E2474" t="inlineStr">
        <is>
          <t>STRÖMSUND</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51795-2023</t>
        </is>
      </c>
      <c r="B2475" s="1" t="n">
        <v>45222</v>
      </c>
      <c r="C2475" s="1" t="n">
        <v>45579</v>
      </c>
      <c r="D2475" t="inlineStr">
        <is>
          <t>JÄMTLANDS LÄN</t>
        </is>
      </c>
      <c r="E2475" t="inlineStr">
        <is>
          <t>STRÖMSUND</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51799-2023</t>
        </is>
      </c>
      <c r="B2476" s="1" t="n">
        <v>45223</v>
      </c>
      <c r="C2476" s="1" t="n">
        <v>45579</v>
      </c>
      <c r="D2476" t="inlineStr">
        <is>
          <t>JÄMTLANDS LÄN</t>
        </is>
      </c>
      <c r="E2476" t="inlineStr">
        <is>
          <t>STRÖMSUND</t>
        </is>
      </c>
      <c r="F2476" t="inlineStr">
        <is>
          <t>SCA</t>
        </is>
      </c>
      <c r="G2476" t="n">
        <v>42.6</v>
      </c>
      <c r="H2476" t="n">
        <v>0</v>
      </c>
      <c r="I2476" t="n">
        <v>0</v>
      </c>
      <c r="J2476" t="n">
        <v>0</v>
      </c>
      <c r="K2476" t="n">
        <v>0</v>
      </c>
      <c r="L2476" t="n">
        <v>0</v>
      </c>
      <c r="M2476" t="n">
        <v>0</v>
      </c>
      <c r="N2476" t="n">
        <v>0</v>
      </c>
      <c r="O2476" t="n">
        <v>0</v>
      </c>
      <c r="P2476" t="n">
        <v>0</v>
      </c>
      <c r="Q2476" t="n">
        <v>0</v>
      </c>
      <c r="R2476" s="2" t="inlineStr"/>
    </row>
    <row r="2477" ht="15" customHeight="1">
      <c r="A2477" t="inlineStr">
        <is>
          <t>A 51796-2023</t>
        </is>
      </c>
      <c r="B2477" s="1" t="n">
        <v>45222</v>
      </c>
      <c r="C2477" s="1" t="n">
        <v>45579</v>
      </c>
      <c r="D2477" t="inlineStr">
        <is>
          <t>JÄMTLANDS LÄN</t>
        </is>
      </c>
      <c r="E2477" t="inlineStr">
        <is>
          <t>STRÖMSUND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53025-2023</t>
        </is>
      </c>
      <c r="B2478" s="1" t="n">
        <v>45222</v>
      </c>
      <c r="C2478" s="1" t="n">
        <v>45579</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53024-2023</t>
        </is>
      </c>
      <c r="B2479" s="1" t="n">
        <v>45222</v>
      </c>
      <c r="C2479" s="1" t="n">
        <v>45579</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51786-2023</t>
        </is>
      </c>
      <c r="B2480" s="1" t="n">
        <v>45222</v>
      </c>
      <c r="C2480" s="1" t="n">
        <v>45579</v>
      </c>
      <c r="D2480" t="inlineStr">
        <is>
          <t>JÄMTLANDS LÄN</t>
        </is>
      </c>
      <c r="E2480" t="inlineStr">
        <is>
          <t>STRÖMSUND</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52139-2023</t>
        </is>
      </c>
      <c r="B2481" s="1" t="n">
        <v>45223</v>
      </c>
      <c r="C2481" s="1" t="n">
        <v>45579</v>
      </c>
      <c r="D2481" t="inlineStr">
        <is>
          <t>JÄMTLANDS LÄN</t>
        </is>
      </c>
      <c r="E2481" t="inlineStr">
        <is>
          <t>STRÖMSUND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52108-2023</t>
        </is>
      </c>
      <c r="B2482" s="1" t="n">
        <v>45224</v>
      </c>
      <c r="C2482" s="1" t="n">
        <v>45579</v>
      </c>
      <c r="D2482" t="inlineStr">
        <is>
          <t>JÄMTLANDS LÄN</t>
        </is>
      </c>
      <c r="E2482" t="inlineStr">
        <is>
          <t>STRÖMSUND</t>
        </is>
      </c>
      <c r="G2482" t="n">
        <v>12.8</v>
      </c>
      <c r="H2482" t="n">
        <v>0</v>
      </c>
      <c r="I2482" t="n">
        <v>0</v>
      </c>
      <c r="J2482" t="n">
        <v>0</v>
      </c>
      <c r="K2482" t="n">
        <v>0</v>
      </c>
      <c r="L2482" t="n">
        <v>0</v>
      </c>
      <c r="M2482" t="n">
        <v>0</v>
      </c>
      <c r="N2482" t="n">
        <v>0</v>
      </c>
      <c r="O2482" t="n">
        <v>0</v>
      </c>
      <c r="P2482" t="n">
        <v>0</v>
      </c>
      <c r="Q2482" t="n">
        <v>0</v>
      </c>
      <c r="R2482" s="2" t="inlineStr"/>
    </row>
    <row r="2483" ht="15" customHeight="1">
      <c r="A2483" t="inlineStr">
        <is>
          <t>A 52113-2023</t>
        </is>
      </c>
      <c r="B2483" s="1" t="n">
        <v>45224</v>
      </c>
      <c r="C2483" s="1" t="n">
        <v>45579</v>
      </c>
      <c r="D2483" t="inlineStr">
        <is>
          <t>JÄMTLANDS LÄN</t>
        </is>
      </c>
      <c r="E2483" t="inlineStr">
        <is>
          <t>STRÖMSUND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52121-2023</t>
        </is>
      </c>
      <c r="B2484" s="1" t="n">
        <v>45223</v>
      </c>
      <c r="C2484" s="1" t="n">
        <v>45579</v>
      </c>
      <c r="D2484" t="inlineStr">
        <is>
          <t>JÄMTLANDS LÄN</t>
        </is>
      </c>
      <c r="E2484" t="inlineStr">
        <is>
          <t>STRÖMSUND</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52134-2023</t>
        </is>
      </c>
      <c r="B2485" s="1" t="n">
        <v>45223</v>
      </c>
      <c r="C2485" s="1" t="n">
        <v>45579</v>
      </c>
      <c r="D2485" t="inlineStr">
        <is>
          <t>JÄMTLANDS LÄN</t>
        </is>
      </c>
      <c r="E2485" t="inlineStr">
        <is>
          <t>STRÖMSUND</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52402-2023</t>
        </is>
      </c>
      <c r="B2486" s="1" t="n">
        <v>45225</v>
      </c>
      <c r="C2486" s="1" t="n">
        <v>45579</v>
      </c>
      <c r="D2486" t="inlineStr">
        <is>
          <t>JÄMTLANDS LÄN</t>
        </is>
      </c>
      <c r="E2486" t="inlineStr">
        <is>
          <t>STRÖMSUND</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52478-2023</t>
        </is>
      </c>
      <c r="B2487" s="1" t="n">
        <v>45225</v>
      </c>
      <c r="C2487" s="1" t="n">
        <v>45579</v>
      </c>
      <c r="D2487" t="inlineStr">
        <is>
          <t>JÄMTLANDS LÄN</t>
        </is>
      </c>
      <c r="E2487" t="inlineStr">
        <is>
          <t>STRÖMSUND</t>
        </is>
      </c>
      <c r="F2487" t="inlineStr">
        <is>
          <t>Holmen skog AB</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52725-2023</t>
        </is>
      </c>
      <c r="B2488" s="1" t="n">
        <v>45226</v>
      </c>
      <c r="C2488" s="1" t="n">
        <v>45579</v>
      </c>
      <c r="D2488" t="inlineStr">
        <is>
          <t>JÄMTLANDS LÄN</t>
        </is>
      </c>
      <c r="E2488" t="inlineStr">
        <is>
          <t>STRÖMSUND</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52733-2023</t>
        </is>
      </c>
      <c r="B2489" s="1" t="n">
        <v>45226</v>
      </c>
      <c r="C2489" s="1" t="n">
        <v>45579</v>
      </c>
      <c r="D2489" t="inlineStr">
        <is>
          <t>JÄMTLANDS LÄN</t>
        </is>
      </c>
      <c r="E2489" t="inlineStr">
        <is>
          <t>STRÖMSUND</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52737-2023</t>
        </is>
      </c>
      <c r="B2490" s="1" t="n">
        <v>45226</v>
      </c>
      <c r="C2490" s="1" t="n">
        <v>45579</v>
      </c>
      <c r="D2490" t="inlineStr">
        <is>
          <t>JÄMTLANDS LÄN</t>
        </is>
      </c>
      <c r="E2490" t="inlineStr">
        <is>
          <t>STRÖMSUND</t>
        </is>
      </c>
      <c r="F2490" t="inlineStr">
        <is>
          <t>SCA</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52735-2023</t>
        </is>
      </c>
      <c r="B2491" s="1" t="n">
        <v>45225</v>
      </c>
      <c r="C2491" s="1" t="n">
        <v>45579</v>
      </c>
      <c r="D2491" t="inlineStr">
        <is>
          <t>JÄMTLANDS LÄN</t>
        </is>
      </c>
      <c r="E2491" t="inlineStr">
        <is>
          <t>STRÖMSUND</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52736-2023</t>
        </is>
      </c>
      <c r="B2492" s="1" t="n">
        <v>45226</v>
      </c>
      <c r="C2492" s="1" t="n">
        <v>45579</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52726-2023</t>
        </is>
      </c>
      <c r="B2493" s="1" t="n">
        <v>45225</v>
      </c>
      <c r="C2493" s="1" t="n">
        <v>45579</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52734-2023</t>
        </is>
      </c>
      <c r="B2494" s="1" t="n">
        <v>45225</v>
      </c>
      <c r="C2494" s="1" t="n">
        <v>45579</v>
      </c>
      <c r="D2494" t="inlineStr">
        <is>
          <t>JÄMTLANDS LÄN</t>
        </is>
      </c>
      <c r="E2494" t="inlineStr">
        <is>
          <t>STRÖMSUND</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52756-2023</t>
        </is>
      </c>
      <c r="B2495" s="1" t="n">
        <v>45225</v>
      </c>
      <c r="C2495" s="1" t="n">
        <v>45579</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54549-2023</t>
        </is>
      </c>
      <c r="B2496" s="1" t="n">
        <v>45226</v>
      </c>
      <c r="C2496" s="1" t="n">
        <v>45579</v>
      </c>
      <c r="D2496" t="inlineStr">
        <is>
          <t>JÄMTLANDS LÄN</t>
        </is>
      </c>
      <c r="E2496" t="inlineStr">
        <is>
          <t>STRÖMSUND</t>
        </is>
      </c>
      <c r="G2496" t="n">
        <v>29.2</v>
      </c>
      <c r="H2496" t="n">
        <v>0</v>
      </c>
      <c r="I2496" t="n">
        <v>0</v>
      </c>
      <c r="J2496" t="n">
        <v>0</v>
      </c>
      <c r="K2496" t="n">
        <v>0</v>
      </c>
      <c r="L2496" t="n">
        <v>0</v>
      </c>
      <c r="M2496" t="n">
        <v>0</v>
      </c>
      <c r="N2496" t="n">
        <v>0</v>
      </c>
      <c r="O2496" t="n">
        <v>0</v>
      </c>
      <c r="P2496" t="n">
        <v>0</v>
      </c>
      <c r="Q2496" t="n">
        <v>0</v>
      </c>
      <c r="R2496" s="2" t="inlineStr"/>
    </row>
    <row r="2497" ht="15" customHeight="1">
      <c r="A2497" t="inlineStr">
        <is>
          <t>A 53050-2023</t>
        </is>
      </c>
      <c r="B2497" s="1" t="n">
        <v>45227</v>
      </c>
      <c r="C2497" s="1" t="n">
        <v>45579</v>
      </c>
      <c r="D2497" t="inlineStr">
        <is>
          <t>JÄMTLANDS LÄN</t>
        </is>
      </c>
      <c r="E2497" t="inlineStr">
        <is>
          <t>STRÖMSUND</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52855-2023</t>
        </is>
      </c>
      <c r="B2498" s="1" t="n">
        <v>45226</v>
      </c>
      <c r="C2498" s="1" t="n">
        <v>45579</v>
      </c>
      <c r="D2498" t="inlineStr">
        <is>
          <t>JÄMTLANDS LÄN</t>
        </is>
      </c>
      <c r="E2498" t="inlineStr">
        <is>
          <t>STRÖMSUND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52850-2023</t>
        </is>
      </c>
      <c r="B2499" s="1" t="n">
        <v>45226</v>
      </c>
      <c r="C2499" s="1" t="n">
        <v>45579</v>
      </c>
      <c r="D2499" t="inlineStr">
        <is>
          <t>JÄMTLANDS LÄN</t>
        </is>
      </c>
      <c r="E2499" t="inlineStr">
        <is>
          <t>STRÖMSUND</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52826-2023</t>
        </is>
      </c>
      <c r="B2500" s="1" t="n">
        <v>45226</v>
      </c>
      <c r="C2500" s="1" t="n">
        <v>45579</v>
      </c>
      <c r="D2500" t="inlineStr">
        <is>
          <t>JÄMTLANDS LÄN</t>
        </is>
      </c>
      <c r="E2500" t="inlineStr">
        <is>
          <t>STRÖMSUND</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52818-2023</t>
        </is>
      </c>
      <c r="B2501" s="1" t="n">
        <v>45226</v>
      </c>
      <c r="C2501" s="1" t="n">
        <v>45579</v>
      </c>
      <c r="D2501" t="inlineStr">
        <is>
          <t>JÄMTLANDS LÄN</t>
        </is>
      </c>
      <c r="E2501" t="inlineStr">
        <is>
          <t>STRÖMSUND</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53051-2023</t>
        </is>
      </c>
      <c r="B2502" s="1" t="n">
        <v>45227</v>
      </c>
      <c r="C2502" s="1" t="n">
        <v>45579</v>
      </c>
      <c r="D2502" t="inlineStr">
        <is>
          <t>JÄMTLANDS LÄN</t>
        </is>
      </c>
      <c r="E2502" t="inlineStr">
        <is>
          <t>STRÖMSUND</t>
        </is>
      </c>
      <c r="F2502" t="inlineStr">
        <is>
          <t>SCA</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53053-2023</t>
        </is>
      </c>
      <c r="B2503" s="1" t="n">
        <v>45226</v>
      </c>
      <c r="C2503" s="1" t="n">
        <v>45579</v>
      </c>
      <c r="D2503" t="inlineStr">
        <is>
          <t>JÄMTLANDS LÄN</t>
        </is>
      </c>
      <c r="E2503" t="inlineStr">
        <is>
          <t>STRÖMSUND</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53052-2023</t>
        </is>
      </c>
      <c r="B2504" s="1" t="n">
        <v>45226</v>
      </c>
      <c r="C2504" s="1" t="n">
        <v>45579</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53142-2023</t>
        </is>
      </c>
      <c r="B2505" s="1" t="n">
        <v>45229</v>
      </c>
      <c r="C2505" s="1" t="n">
        <v>45579</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54899-2023</t>
        </is>
      </c>
      <c r="B2506" s="1" t="n">
        <v>45229</v>
      </c>
      <c r="C2506" s="1" t="n">
        <v>45579</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54063-2023</t>
        </is>
      </c>
      <c r="B2507" s="1" t="n">
        <v>45231</v>
      </c>
      <c r="C2507" s="1" t="n">
        <v>45579</v>
      </c>
      <c r="D2507" t="inlineStr">
        <is>
          <t>JÄMTLANDS LÄN</t>
        </is>
      </c>
      <c r="E2507" t="inlineStr">
        <is>
          <t>STRÖMSUND</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54038-2023</t>
        </is>
      </c>
      <c r="B2508" s="1" t="n">
        <v>45231</v>
      </c>
      <c r="C2508" s="1" t="n">
        <v>45579</v>
      </c>
      <c r="D2508" t="inlineStr">
        <is>
          <t>JÄMTLANDS LÄN</t>
        </is>
      </c>
      <c r="E2508" t="inlineStr">
        <is>
          <t>STRÖMSUND</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54042-2023</t>
        </is>
      </c>
      <c r="B2509" s="1" t="n">
        <v>45232</v>
      </c>
      <c r="C2509" s="1" t="n">
        <v>45579</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54066-2023</t>
        </is>
      </c>
      <c r="B2510" s="1" t="n">
        <v>45231</v>
      </c>
      <c r="C2510" s="1" t="n">
        <v>45579</v>
      </c>
      <c r="D2510" t="inlineStr">
        <is>
          <t>JÄMTLANDS LÄN</t>
        </is>
      </c>
      <c r="E2510" t="inlineStr">
        <is>
          <t>STRÖMSUND</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54031-2023</t>
        </is>
      </c>
      <c r="B2511" s="1" t="n">
        <v>45231</v>
      </c>
      <c r="C2511" s="1" t="n">
        <v>45579</v>
      </c>
      <c r="D2511" t="inlineStr">
        <is>
          <t>JÄMTLANDS LÄN</t>
        </is>
      </c>
      <c r="E2511" t="inlineStr">
        <is>
          <t>STRÖMSUND</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54028-2023</t>
        </is>
      </c>
      <c r="B2512" s="1" t="n">
        <v>45231</v>
      </c>
      <c r="C2512" s="1" t="n">
        <v>45579</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54032-2023</t>
        </is>
      </c>
      <c r="B2513" s="1" t="n">
        <v>45231</v>
      </c>
      <c r="C2513" s="1" t="n">
        <v>45579</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54061-2023</t>
        </is>
      </c>
      <c r="B2514" s="1" t="n">
        <v>45232</v>
      </c>
      <c r="C2514" s="1" t="n">
        <v>45579</v>
      </c>
      <c r="D2514" t="inlineStr">
        <is>
          <t>JÄMTLANDS LÄN</t>
        </is>
      </c>
      <c r="E2514" t="inlineStr">
        <is>
          <t>STRÖMSUND</t>
        </is>
      </c>
      <c r="F2514" t="inlineStr">
        <is>
          <t>SCA</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54077-2023</t>
        </is>
      </c>
      <c r="B2515" s="1" t="n">
        <v>45231</v>
      </c>
      <c r="C2515" s="1" t="n">
        <v>45579</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54315-2023</t>
        </is>
      </c>
      <c r="B2516" s="1" t="n">
        <v>45232</v>
      </c>
      <c r="C2516" s="1" t="n">
        <v>45579</v>
      </c>
      <c r="D2516" t="inlineStr">
        <is>
          <t>JÄMTLANDS LÄN</t>
        </is>
      </c>
      <c r="E2516" t="inlineStr">
        <is>
          <t>STRÖMSUND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54319-2023</t>
        </is>
      </c>
      <c r="B2517" s="1" t="n">
        <v>45232</v>
      </c>
      <c r="C2517" s="1" t="n">
        <v>45579</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56074-2023</t>
        </is>
      </c>
      <c r="B2518" s="1" t="n">
        <v>45233</v>
      </c>
      <c r="C2518" s="1" t="n">
        <v>45579</v>
      </c>
      <c r="D2518" t="inlineStr">
        <is>
          <t>JÄMTLANDS LÄN</t>
        </is>
      </c>
      <c r="E2518" t="inlineStr">
        <is>
          <t>STRÖMSUND</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54482-2023</t>
        </is>
      </c>
      <c r="B2519" s="1" t="n">
        <v>45233</v>
      </c>
      <c r="C2519" s="1" t="n">
        <v>45579</v>
      </c>
      <c r="D2519" t="inlineStr">
        <is>
          <t>JÄMTLANDS LÄN</t>
        </is>
      </c>
      <c r="E2519" t="inlineStr">
        <is>
          <t>STRÖMSUND</t>
        </is>
      </c>
      <c r="F2519" t="inlineStr">
        <is>
          <t>Holmen skog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54478-2023</t>
        </is>
      </c>
      <c r="B2520" s="1" t="n">
        <v>45233</v>
      </c>
      <c r="C2520" s="1" t="n">
        <v>45579</v>
      </c>
      <c r="D2520" t="inlineStr">
        <is>
          <t>JÄMTLANDS LÄN</t>
        </is>
      </c>
      <c r="E2520" t="inlineStr">
        <is>
          <t>STRÖMSUND</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54598-2023</t>
        </is>
      </c>
      <c r="B2521" s="1" t="n">
        <v>45233</v>
      </c>
      <c r="C2521" s="1" t="n">
        <v>45579</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54479-2023</t>
        </is>
      </c>
      <c r="B2522" s="1" t="n">
        <v>45233</v>
      </c>
      <c r="C2522" s="1" t="n">
        <v>45579</v>
      </c>
      <c r="D2522" t="inlineStr">
        <is>
          <t>JÄMTLANDS LÄN</t>
        </is>
      </c>
      <c r="E2522" t="inlineStr">
        <is>
          <t>STRÖMSUND</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54753-2023</t>
        </is>
      </c>
      <c r="B2523" s="1" t="n">
        <v>45236</v>
      </c>
      <c r="C2523" s="1" t="n">
        <v>45579</v>
      </c>
      <c r="D2523" t="inlineStr">
        <is>
          <t>JÄMTLANDS LÄN</t>
        </is>
      </c>
      <c r="E2523" t="inlineStr">
        <is>
          <t>STRÖMSUND</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54980-2023</t>
        </is>
      </c>
      <c r="B2524" s="1" t="n">
        <v>45237</v>
      </c>
      <c r="C2524" s="1" t="n">
        <v>45579</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54974-2023</t>
        </is>
      </c>
      <c r="B2525" s="1" t="n">
        <v>45236</v>
      </c>
      <c r="C2525" s="1" t="n">
        <v>45579</v>
      </c>
      <c r="D2525" t="inlineStr">
        <is>
          <t>JÄMTLANDS LÄN</t>
        </is>
      </c>
      <c r="E2525" t="inlineStr">
        <is>
          <t>STRÖMSUND</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55073-2023</t>
        </is>
      </c>
      <c r="B2526" s="1" t="n">
        <v>45237</v>
      </c>
      <c r="C2526" s="1" t="n">
        <v>45579</v>
      </c>
      <c r="D2526" t="inlineStr">
        <is>
          <t>JÄMTLANDS LÄN</t>
        </is>
      </c>
      <c r="E2526" t="inlineStr">
        <is>
          <t>STRÖMSUND</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55177-2023</t>
        </is>
      </c>
      <c r="B2527" s="1" t="n">
        <v>45237</v>
      </c>
      <c r="C2527" s="1" t="n">
        <v>45579</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55067-2023</t>
        </is>
      </c>
      <c r="B2528" s="1" t="n">
        <v>45237</v>
      </c>
      <c r="C2528" s="1" t="n">
        <v>45579</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55156-2023</t>
        </is>
      </c>
      <c r="B2529" s="1" t="n">
        <v>45237</v>
      </c>
      <c r="C2529" s="1" t="n">
        <v>45579</v>
      </c>
      <c r="D2529" t="inlineStr">
        <is>
          <t>JÄMTLANDS LÄN</t>
        </is>
      </c>
      <c r="E2529" t="inlineStr">
        <is>
          <t>STRÖMSUND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55321-2023</t>
        </is>
      </c>
      <c r="B2530" s="1" t="n">
        <v>45237</v>
      </c>
      <c r="C2530" s="1" t="n">
        <v>45579</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55322-2023</t>
        </is>
      </c>
      <c r="B2531" s="1" t="n">
        <v>45237</v>
      </c>
      <c r="C2531" s="1" t="n">
        <v>45579</v>
      </c>
      <c r="D2531" t="inlineStr">
        <is>
          <t>JÄMTLANDS LÄN</t>
        </is>
      </c>
      <c r="E2531" t="inlineStr">
        <is>
          <t>STRÖMSUND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56468-2023</t>
        </is>
      </c>
      <c r="B2532" s="1" t="n">
        <v>45237</v>
      </c>
      <c r="C2532" s="1" t="n">
        <v>45579</v>
      </c>
      <c r="D2532" t="inlineStr">
        <is>
          <t>JÄMTLANDS LÄN</t>
        </is>
      </c>
      <c r="E2532" t="inlineStr">
        <is>
          <t>STRÖMSUND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55340-2023</t>
        </is>
      </c>
      <c r="B2533" s="1" t="n">
        <v>45237</v>
      </c>
      <c r="C2533" s="1" t="n">
        <v>45579</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56422-2023</t>
        </is>
      </c>
      <c r="B2534" s="1" t="n">
        <v>45237</v>
      </c>
      <c r="C2534" s="1" t="n">
        <v>45579</v>
      </c>
      <c r="D2534" t="inlineStr">
        <is>
          <t>JÄMTLANDS LÄN</t>
        </is>
      </c>
      <c r="E2534" t="inlineStr">
        <is>
          <t>STRÖMSUND</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56437-2023</t>
        </is>
      </c>
      <c r="B2535" s="1" t="n">
        <v>45237</v>
      </c>
      <c r="C2535" s="1" t="n">
        <v>45579</v>
      </c>
      <c r="D2535" t="inlineStr">
        <is>
          <t>JÄMTLANDS LÄN</t>
        </is>
      </c>
      <c r="E2535" t="inlineStr">
        <is>
          <t>STRÖMSUND</t>
        </is>
      </c>
      <c r="G2535" t="n">
        <v>35.8</v>
      </c>
      <c r="H2535" t="n">
        <v>0</v>
      </c>
      <c r="I2535" t="n">
        <v>0</v>
      </c>
      <c r="J2535" t="n">
        <v>0</v>
      </c>
      <c r="K2535" t="n">
        <v>0</v>
      </c>
      <c r="L2535" t="n">
        <v>0</v>
      </c>
      <c r="M2535" t="n">
        <v>0</v>
      </c>
      <c r="N2535" t="n">
        <v>0</v>
      </c>
      <c r="O2535" t="n">
        <v>0</v>
      </c>
      <c r="P2535" t="n">
        <v>0</v>
      </c>
      <c r="Q2535" t="n">
        <v>0</v>
      </c>
      <c r="R2535" s="2" t="inlineStr"/>
    </row>
    <row r="2536" ht="15" customHeight="1">
      <c r="A2536" t="inlineStr">
        <is>
          <t>A 55323-2023</t>
        </is>
      </c>
      <c r="B2536" s="1" t="n">
        <v>45237</v>
      </c>
      <c r="C2536" s="1" t="n">
        <v>45579</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56484-2023</t>
        </is>
      </c>
      <c r="B2537" s="1" t="n">
        <v>45237</v>
      </c>
      <c r="C2537" s="1" t="n">
        <v>45579</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56480-2023</t>
        </is>
      </c>
      <c r="B2538" s="1" t="n">
        <v>45237</v>
      </c>
      <c r="C2538" s="1" t="n">
        <v>45579</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56490-2023</t>
        </is>
      </c>
      <c r="B2539" s="1" t="n">
        <v>45237</v>
      </c>
      <c r="C2539" s="1" t="n">
        <v>45579</v>
      </c>
      <c r="D2539" t="inlineStr">
        <is>
          <t>JÄMTLANDS LÄN</t>
        </is>
      </c>
      <c r="E2539" t="inlineStr">
        <is>
          <t>STRÖMSUND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55657-2023</t>
        </is>
      </c>
      <c r="B2540" s="1" t="n">
        <v>45238</v>
      </c>
      <c r="C2540" s="1" t="n">
        <v>45579</v>
      </c>
      <c r="D2540" t="inlineStr">
        <is>
          <t>JÄMTLANDS LÄN</t>
        </is>
      </c>
      <c r="E2540" t="inlineStr">
        <is>
          <t>STRÖMSUND</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55656-2023</t>
        </is>
      </c>
      <c r="B2541" s="1" t="n">
        <v>45239</v>
      </c>
      <c r="C2541" s="1" t="n">
        <v>45579</v>
      </c>
      <c r="D2541" t="inlineStr">
        <is>
          <t>JÄMTLANDS LÄN</t>
        </is>
      </c>
      <c r="E2541" t="inlineStr">
        <is>
          <t>STRÖMSUND</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55559-2023</t>
        </is>
      </c>
      <c r="B2542" s="1" t="n">
        <v>45238</v>
      </c>
      <c r="C2542" s="1" t="n">
        <v>45579</v>
      </c>
      <c r="D2542" t="inlineStr">
        <is>
          <t>JÄMTLANDS LÄN</t>
        </is>
      </c>
      <c r="E2542" t="inlineStr">
        <is>
          <t>STRÖMSUND</t>
        </is>
      </c>
      <c r="F2542" t="inlineStr">
        <is>
          <t>Holmen skog AB</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55655-2023</t>
        </is>
      </c>
      <c r="B2543" s="1" t="n">
        <v>45239</v>
      </c>
      <c r="C2543" s="1" t="n">
        <v>45579</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55922-2023</t>
        </is>
      </c>
      <c r="B2544" s="1" t="n">
        <v>45239</v>
      </c>
      <c r="C2544" s="1" t="n">
        <v>45579</v>
      </c>
      <c r="D2544" t="inlineStr">
        <is>
          <t>JÄMTLANDS LÄN</t>
        </is>
      </c>
      <c r="E2544" t="inlineStr">
        <is>
          <t>STRÖMSUND</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55921-2023</t>
        </is>
      </c>
      <c r="B2545" s="1" t="n">
        <v>45239</v>
      </c>
      <c r="C2545" s="1" t="n">
        <v>45579</v>
      </c>
      <c r="D2545" t="inlineStr">
        <is>
          <t>JÄMTLANDS LÄN</t>
        </is>
      </c>
      <c r="E2545" t="inlineStr">
        <is>
          <t>STRÖMSUND</t>
        </is>
      </c>
      <c r="F2545" t="inlineStr">
        <is>
          <t>SCA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57476-2023</t>
        </is>
      </c>
      <c r="B2546" s="1" t="n">
        <v>45240</v>
      </c>
      <c r="C2546" s="1" t="n">
        <v>45579</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57348-2023</t>
        </is>
      </c>
      <c r="B2547" s="1" t="n">
        <v>45240</v>
      </c>
      <c r="C2547" s="1" t="n">
        <v>45579</v>
      </c>
      <c r="D2547" t="inlineStr">
        <is>
          <t>JÄMTLANDS LÄN</t>
        </is>
      </c>
      <c r="E2547" t="inlineStr">
        <is>
          <t>STRÖMSUND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57361-2023</t>
        </is>
      </c>
      <c r="B2548" s="1" t="n">
        <v>45240</v>
      </c>
      <c r="C2548" s="1" t="n">
        <v>45579</v>
      </c>
      <c r="D2548" t="inlineStr">
        <is>
          <t>JÄMTLANDS LÄN</t>
        </is>
      </c>
      <c r="E2548" t="inlineStr">
        <is>
          <t>STRÖMSUND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57431-2023</t>
        </is>
      </c>
      <c r="B2549" s="1" t="n">
        <v>45240</v>
      </c>
      <c r="C2549" s="1" t="n">
        <v>45579</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57429-2023</t>
        </is>
      </c>
      <c r="B2550" s="1" t="n">
        <v>45240</v>
      </c>
      <c r="C2550" s="1" t="n">
        <v>45579</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56312-2023</t>
        </is>
      </c>
      <c r="B2551" s="1" t="n">
        <v>45242</v>
      </c>
      <c r="C2551" s="1" t="n">
        <v>45579</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56313-2023</t>
        </is>
      </c>
      <c r="B2552" s="1" t="n">
        <v>45243</v>
      </c>
      <c r="C2552" s="1" t="n">
        <v>45579</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56314-2023</t>
        </is>
      </c>
      <c r="B2553" s="1" t="n">
        <v>45243</v>
      </c>
      <c r="C2553" s="1" t="n">
        <v>45579</v>
      </c>
      <c r="D2553" t="inlineStr">
        <is>
          <t>JÄMTLANDS LÄN</t>
        </is>
      </c>
      <c r="E2553" t="inlineStr">
        <is>
          <t>STRÖMSUND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56691-2023</t>
        </is>
      </c>
      <c r="B2554" s="1" t="n">
        <v>45244</v>
      </c>
      <c r="C2554" s="1" t="n">
        <v>45579</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57805-2023</t>
        </is>
      </c>
      <c r="B2555" s="1" t="n">
        <v>45243</v>
      </c>
      <c r="C2555" s="1" t="n">
        <v>45579</v>
      </c>
      <c r="D2555" t="inlineStr">
        <is>
          <t>JÄMTLANDS LÄN</t>
        </is>
      </c>
      <c r="E2555" t="inlineStr">
        <is>
          <t>STRÖMSUND</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57729-2023</t>
        </is>
      </c>
      <c r="B2556" s="1" t="n">
        <v>45243</v>
      </c>
      <c r="C2556" s="1" t="n">
        <v>45579</v>
      </c>
      <c r="D2556" t="inlineStr">
        <is>
          <t>JÄMTLANDS LÄN</t>
        </is>
      </c>
      <c r="E2556" t="inlineStr">
        <is>
          <t>STRÖMSUND</t>
        </is>
      </c>
      <c r="G2556" t="n">
        <v>14.8</v>
      </c>
      <c r="H2556" t="n">
        <v>0</v>
      </c>
      <c r="I2556" t="n">
        <v>0</v>
      </c>
      <c r="J2556" t="n">
        <v>0</v>
      </c>
      <c r="K2556" t="n">
        <v>0</v>
      </c>
      <c r="L2556" t="n">
        <v>0</v>
      </c>
      <c r="M2556" t="n">
        <v>0</v>
      </c>
      <c r="N2556" t="n">
        <v>0</v>
      </c>
      <c r="O2556" t="n">
        <v>0</v>
      </c>
      <c r="P2556" t="n">
        <v>0</v>
      </c>
      <c r="Q2556" t="n">
        <v>0</v>
      </c>
      <c r="R2556" s="2" t="inlineStr"/>
    </row>
    <row r="2557" ht="15" customHeight="1">
      <c r="A2557" t="inlineStr">
        <is>
          <t>A 57804-2023</t>
        </is>
      </c>
      <c r="B2557" s="1" t="n">
        <v>45243</v>
      </c>
      <c r="C2557" s="1" t="n">
        <v>45579</v>
      </c>
      <c r="D2557" t="inlineStr">
        <is>
          <t>JÄMTLANDS LÄN</t>
        </is>
      </c>
      <c r="E2557" t="inlineStr">
        <is>
          <t>STRÖMSUND</t>
        </is>
      </c>
      <c r="F2557" t="inlineStr">
        <is>
          <t>SCA</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57055-2023</t>
        </is>
      </c>
      <c r="B2558" s="1" t="n">
        <v>45244</v>
      </c>
      <c r="C2558" s="1" t="n">
        <v>45579</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57048-2023</t>
        </is>
      </c>
      <c r="B2559" s="1" t="n">
        <v>45244</v>
      </c>
      <c r="C2559" s="1" t="n">
        <v>45579</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57068-2023</t>
        </is>
      </c>
      <c r="B2560" s="1" t="n">
        <v>45244</v>
      </c>
      <c r="C2560" s="1" t="n">
        <v>45579</v>
      </c>
      <c r="D2560" t="inlineStr">
        <is>
          <t>JÄMTLANDS LÄN</t>
        </is>
      </c>
      <c r="E2560" t="inlineStr">
        <is>
          <t>STRÖMSUND</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57084-2023</t>
        </is>
      </c>
      <c r="B2561" s="1" t="n">
        <v>45245</v>
      </c>
      <c r="C2561" s="1" t="n">
        <v>45579</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57083-2023</t>
        </is>
      </c>
      <c r="B2562" s="1" t="n">
        <v>45244</v>
      </c>
      <c r="C2562" s="1" t="n">
        <v>45579</v>
      </c>
      <c r="D2562" t="inlineStr">
        <is>
          <t>JÄMTLANDS LÄN</t>
        </is>
      </c>
      <c r="E2562" t="inlineStr">
        <is>
          <t>STRÖMSUND</t>
        </is>
      </c>
      <c r="F2562" t="inlineStr">
        <is>
          <t>SCA</t>
        </is>
      </c>
      <c r="G2562" t="n">
        <v>31.1</v>
      </c>
      <c r="H2562" t="n">
        <v>0</v>
      </c>
      <c r="I2562" t="n">
        <v>0</v>
      </c>
      <c r="J2562" t="n">
        <v>0</v>
      </c>
      <c r="K2562" t="n">
        <v>0</v>
      </c>
      <c r="L2562" t="n">
        <v>0</v>
      </c>
      <c r="M2562" t="n">
        <v>0</v>
      </c>
      <c r="N2562" t="n">
        <v>0</v>
      </c>
      <c r="O2562" t="n">
        <v>0</v>
      </c>
      <c r="P2562" t="n">
        <v>0</v>
      </c>
      <c r="Q2562" t="n">
        <v>0</v>
      </c>
      <c r="R2562" s="2" t="inlineStr"/>
    </row>
    <row r="2563" ht="15" customHeight="1">
      <c r="A2563" t="inlineStr">
        <is>
          <t>A 57082-2023</t>
        </is>
      </c>
      <c r="B2563" s="1" t="n">
        <v>45245</v>
      </c>
      <c r="C2563" s="1" t="n">
        <v>45579</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57049-2023</t>
        </is>
      </c>
      <c r="B2564" s="1" t="n">
        <v>45244</v>
      </c>
      <c r="C2564" s="1" t="n">
        <v>45579</v>
      </c>
      <c r="D2564" t="inlineStr">
        <is>
          <t>JÄMTLANDS LÄN</t>
        </is>
      </c>
      <c r="E2564" t="inlineStr">
        <is>
          <t>STRÖMSUND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57069-2023</t>
        </is>
      </c>
      <c r="B2565" s="1" t="n">
        <v>45244</v>
      </c>
      <c r="C2565" s="1" t="n">
        <v>45579</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57077-2023</t>
        </is>
      </c>
      <c r="B2566" s="1" t="n">
        <v>45245</v>
      </c>
      <c r="C2566" s="1" t="n">
        <v>45579</v>
      </c>
      <c r="D2566" t="inlineStr">
        <is>
          <t>JÄMTLANDS LÄN</t>
        </is>
      </c>
      <c r="E2566" t="inlineStr">
        <is>
          <t>STRÖMSUND</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57081-2023</t>
        </is>
      </c>
      <c r="B2567" s="1" t="n">
        <v>45244</v>
      </c>
      <c r="C2567" s="1" t="n">
        <v>45579</v>
      </c>
      <c r="D2567" t="inlineStr">
        <is>
          <t>JÄMTLANDS LÄN</t>
        </is>
      </c>
      <c r="E2567" t="inlineStr">
        <is>
          <t>STRÖMSUND</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57416-2023</t>
        </is>
      </c>
      <c r="B2568" s="1" t="n">
        <v>45245</v>
      </c>
      <c r="C2568" s="1" t="n">
        <v>45579</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57382-2023</t>
        </is>
      </c>
      <c r="B2569" s="1" t="n">
        <v>45245</v>
      </c>
      <c r="C2569" s="1" t="n">
        <v>45579</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57385-2023</t>
        </is>
      </c>
      <c r="B2570" s="1" t="n">
        <v>45245</v>
      </c>
      <c r="C2570" s="1" t="n">
        <v>45579</v>
      </c>
      <c r="D2570" t="inlineStr">
        <is>
          <t>JÄMTLANDS LÄN</t>
        </is>
      </c>
      <c r="E2570" t="inlineStr">
        <is>
          <t>STRÖMSUND</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57383-2023</t>
        </is>
      </c>
      <c r="B2571" s="1" t="n">
        <v>45245</v>
      </c>
      <c r="C2571" s="1" t="n">
        <v>45579</v>
      </c>
      <c r="D2571" t="inlineStr">
        <is>
          <t>JÄMTLANDS LÄN</t>
        </is>
      </c>
      <c r="E2571" t="inlineStr">
        <is>
          <t>STRÖMSUND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57387-2023</t>
        </is>
      </c>
      <c r="B2572" s="1" t="n">
        <v>45245</v>
      </c>
      <c r="C2572" s="1" t="n">
        <v>45579</v>
      </c>
      <c r="D2572" t="inlineStr">
        <is>
          <t>JÄMTLANDS LÄN</t>
        </is>
      </c>
      <c r="E2572" t="inlineStr">
        <is>
          <t>STRÖMSUND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57415-2023</t>
        </is>
      </c>
      <c r="B2573" s="1" t="n">
        <v>45246</v>
      </c>
      <c r="C2573" s="1" t="n">
        <v>45579</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57501-2023</t>
        </is>
      </c>
      <c r="B2574" s="1" t="n">
        <v>45246</v>
      </c>
      <c r="C2574" s="1" t="n">
        <v>45579</v>
      </c>
      <c r="D2574" t="inlineStr">
        <is>
          <t>JÄMTLANDS LÄN</t>
        </is>
      </c>
      <c r="E2574" t="inlineStr">
        <is>
          <t>STRÖMSUND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57581-2023</t>
        </is>
      </c>
      <c r="B2575" s="1" t="n">
        <v>45246</v>
      </c>
      <c r="C2575" s="1" t="n">
        <v>45579</v>
      </c>
      <c r="D2575" t="inlineStr">
        <is>
          <t>JÄMTLANDS LÄN</t>
        </is>
      </c>
      <c r="E2575" t="inlineStr">
        <is>
          <t>STRÖMSUND</t>
        </is>
      </c>
      <c r="F2575" t="inlineStr">
        <is>
          <t>Holmen skog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57450-2023</t>
        </is>
      </c>
      <c r="B2576" s="1" t="n">
        <v>45246</v>
      </c>
      <c r="C2576" s="1" t="n">
        <v>45579</v>
      </c>
      <c r="D2576" t="inlineStr">
        <is>
          <t>JÄMTLANDS LÄN</t>
        </is>
      </c>
      <c r="E2576" t="inlineStr">
        <is>
          <t>STRÖMSUND</t>
        </is>
      </c>
      <c r="F2576" t="inlineStr">
        <is>
          <t>Holmen skog AB</t>
        </is>
      </c>
      <c r="G2576" t="n">
        <v>19.5</v>
      </c>
      <c r="H2576" t="n">
        <v>0</v>
      </c>
      <c r="I2576" t="n">
        <v>0</v>
      </c>
      <c r="J2576" t="n">
        <v>0</v>
      </c>
      <c r="K2576" t="n">
        <v>0</v>
      </c>
      <c r="L2576" t="n">
        <v>0</v>
      </c>
      <c r="M2576" t="n">
        <v>0</v>
      </c>
      <c r="N2576" t="n">
        <v>0</v>
      </c>
      <c r="O2576" t="n">
        <v>0</v>
      </c>
      <c r="P2576" t="n">
        <v>0</v>
      </c>
      <c r="Q2576" t="n">
        <v>0</v>
      </c>
      <c r="R2576" s="2" t="inlineStr"/>
    </row>
    <row r="2577" ht="15" customHeight="1">
      <c r="A2577" t="inlineStr">
        <is>
          <t>A 57454-2023</t>
        </is>
      </c>
      <c r="B2577" s="1" t="n">
        <v>45246</v>
      </c>
      <c r="C2577" s="1" t="n">
        <v>45579</v>
      </c>
      <c r="D2577" t="inlineStr">
        <is>
          <t>JÄMTLANDS LÄN</t>
        </is>
      </c>
      <c r="E2577" t="inlineStr">
        <is>
          <t>STRÖMSUND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57499-2023</t>
        </is>
      </c>
      <c r="B2578" s="1" t="n">
        <v>45246</v>
      </c>
      <c r="C2578" s="1" t="n">
        <v>45579</v>
      </c>
      <c r="D2578" t="inlineStr">
        <is>
          <t>JÄMTLANDS LÄN</t>
        </is>
      </c>
      <c r="E2578" t="inlineStr">
        <is>
          <t>STRÖMSUND</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57504-2023</t>
        </is>
      </c>
      <c r="B2579" s="1" t="n">
        <v>45246</v>
      </c>
      <c r="C2579" s="1" t="n">
        <v>45579</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57507-2023</t>
        </is>
      </c>
      <c r="B2580" s="1" t="n">
        <v>45246</v>
      </c>
      <c r="C2580" s="1" t="n">
        <v>45579</v>
      </c>
      <c r="D2580" t="inlineStr">
        <is>
          <t>JÄMTLANDS LÄN</t>
        </is>
      </c>
      <c r="E2580" t="inlineStr">
        <is>
          <t>STRÖMSUND</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57540-2023</t>
        </is>
      </c>
      <c r="B2581" s="1" t="n">
        <v>45246</v>
      </c>
      <c r="C2581" s="1" t="n">
        <v>45579</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57549-2023</t>
        </is>
      </c>
      <c r="B2582" s="1" t="n">
        <v>45246</v>
      </c>
      <c r="C2582" s="1" t="n">
        <v>45579</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57445-2023</t>
        </is>
      </c>
      <c r="B2583" s="1" t="n">
        <v>45246</v>
      </c>
      <c r="C2583" s="1" t="n">
        <v>45579</v>
      </c>
      <c r="D2583" t="inlineStr">
        <is>
          <t>JÄMTLANDS LÄN</t>
        </is>
      </c>
      <c r="E2583" t="inlineStr">
        <is>
          <t>STRÖMSUND</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57537-2023</t>
        </is>
      </c>
      <c r="B2584" s="1" t="n">
        <v>45246</v>
      </c>
      <c r="C2584" s="1" t="n">
        <v>45579</v>
      </c>
      <c r="D2584" t="inlineStr">
        <is>
          <t>JÄMTLANDS LÄN</t>
        </is>
      </c>
      <c r="E2584" t="inlineStr">
        <is>
          <t>STRÖMSUND</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57542-2023</t>
        </is>
      </c>
      <c r="B2585" s="1" t="n">
        <v>45246</v>
      </c>
      <c r="C2585" s="1" t="n">
        <v>45579</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57748-2023</t>
        </is>
      </c>
      <c r="B2586" s="1" t="n">
        <v>45246</v>
      </c>
      <c r="C2586" s="1" t="n">
        <v>45579</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57596-2023</t>
        </is>
      </c>
      <c r="B2587" s="1" t="n">
        <v>45246</v>
      </c>
      <c r="C2587" s="1" t="n">
        <v>45579</v>
      </c>
      <c r="D2587" t="inlineStr">
        <is>
          <t>JÄMTLANDS LÄN</t>
        </is>
      </c>
      <c r="E2587" t="inlineStr">
        <is>
          <t>STRÖMSUND</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57789-2023</t>
        </is>
      </c>
      <c r="B2588" s="1" t="n">
        <v>45247</v>
      </c>
      <c r="C2588" s="1" t="n">
        <v>45579</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58584-2023</t>
        </is>
      </c>
      <c r="B2589" s="1" t="n">
        <v>45246</v>
      </c>
      <c r="C2589" s="1" t="n">
        <v>45579</v>
      </c>
      <c r="D2589" t="inlineStr">
        <is>
          <t>JÄMTLANDS LÄN</t>
        </is>
      </c>
      <c r="E2589" t="inlineStr">
        <is>
          <t>STRÖMSUND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57907-2023</t>
        </is>
      </c>
      <c r="B2590" s="1" t="n">
        <v>45247</v>
      </c>
      <c r="C2590" s="1" t="n">
        <v>45579</v>
      </c>
      <c r="D2590" t="inlineStr">
        <is>
          <t>JÄMTLANDS LÄN</t>
        </is>
      </c>
      <c r="E2590" t="inlineStr">
        <is>
          <t>STRÖMSUND</t>
        </is>
      </c>
      <c r="F2590" t="inlineStr">
        <is>
          <t>Kyrkan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57912-2023</t>
        </is>
      </c>
      <c r="B2591" s="1" t="n">
        <v>45247</v>
      </c>
      <c r="C2591" s="1" t="n">
        <v>45579</v>
      </c>
      <c r="D2591" t="inlineStr">
        <is>
          <t>JÄMTLANDS LÄN</t>
        </is>
      </c>
      <c r="E2591" t="inlineStr">
        <is>
          <t>STRÖMSUND</t>
        </is>
      </c>
      <c r="F2591" t="inlineStr">
        <is>
          <t>Kyrkan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57894-2023</t>
        </is>
      </c>
      <c r="B2592" s="1" t="n">
        <v>45247</v>
      </c>
      <c r="C2592" s="1" t="n">
        <v>45579</v>
      </c>
      <c r="D2592" t="inlineStr">
        <is>
          <t>JÄMTLANDS LÄN</t>
        </is>
      </c>
      <c r="E2592" t="inlineStr">
        <is>
          <t>STRÖMSUND</t>
        </is>
      </c>
      <c r="F2592" t="inlineStr">
        <is>
          <t>Kyrkan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57905-2023</t>
        </is>
      </c>
      <c r="B2593" s="1" t="n">
        <v>45247</v>
      </c>
      <c r="C2593" s="1" t="n">
        <v>45579</v>
      </c>
      <c r="D2593" t="inlineStr">
        <is>
          <t>JÄMTLANDS LÄN</t>
        </is>
      </c>
      <c r="E2593" t="inlineStr">
        <is>
          <t>STRÖMSUND</t>
        </is>
      </c>
      <c r="F2593" t="inlineStr">
        <is>
          <t>Kyrkan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58076-2023</t>
        </is>
      </c>
      <c r="B2594" s="1" t="n">
        <v>45247</v>
      </c>
      <c r="C2594" s="1" t="n">
        <v>45579</v>
      </c>
      <c r="D2594" t="inlineStr">
        <is>
          <t>JÄMTLANDS LÄN</t>
        </is>
      </c>
      <c r="E2594" t="inlineStr">
        <is>
          <t>STRÖMSUND</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58152-2023</t>
        </is>
      </c>
      <c r="B2595" s="1" t="n">
        <v>45250</v>
      </c>
      <c r="C2595" s="1" t="n">
        <v>45579</v>
      </c>
      <c r="D2595" t="inlineStr">
        <is>
          <t>JÄMTLANDS LÄN</t>
        </is>
      </c>
      <c r="E2595" t="inlineStr">
        <is>
          <t>STRÖMSUND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58446-2023</t>
        </is>
      </c>
      <c r="B2596" s="1" t="n">
        <v>45250</v>
      </c>
      <c r="C2596" s="1" t="n">
        <v>45579</v>
      </c>
      <c r="D2596" t="inlineStr">
        <is>
          <t>JÄMTLANDS LÄN</t>
        </is>
      </c>
      <c r="E2596" t="inlineStr">
        <is>
          <t>STRÖMSUND</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58445-2023</t>
        </is>
      </c>
      <c r="B2597" s="1" t="n">
        <v>45250</v>
      </c>
      <c r="C2597" s="1" t="n">
        <v>45579</v>
      </c>
      <c r="D2597" t="inlineStr">
        <is>
          <t>JÄMTLANDS LÄN</t>
        </is>
      </c>
      <c r="E2597" t="inlineStr">
        <is>
          <t>STRÖMSUND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58580-2023</t>
        </is>
      </c>
      <c r="B2598" s="1" t="n">
        <v>45251</v>
      </c>
      <c r="C2598" s="1" t="n">
        <v>45579</v>
      </c>
      <c r="D2598" t="inlineStr">
        <is>
          <t>JÄMTLANDS LÄN</t>
        </is>
      </c>
      <c r="E2598" t="inlineStr">
        <is>
          <t>STRÖMSUND</t>
        </is>
      </c>
      <c r="F2598" t="inlineStr">
        <is>
          <t>Holmen skog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58587-2023</t>
        </is>
      </c>
      <c r="B2599" s="1" t="n">
        <v>45251</v>
      </c>
      <c r="C2599" s="1" t="n">
        <v>45579</v>
      </c>
      <c r="D2599" t="inlineStr">
        <is>
          <t>JÄMTLANDS LÄN</t>
        </is>
      </c>
      <c r="E2599" t="inlineStr">
        <is>
          <t>STRÖMSUND</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59108-2023</t>
        </is>
      </c>
      <c r="B2600" s="1" t="n">
        <v>45251</v>
      </c>
      <c r="C2600" s="1" t="n">
        <v>45579</v>
      </c>
      <c r="D2600" t="inlineStr">
        <is>
          <t>JÄMTLANDS LÄN</t>
        </is>
      </c>
      <c r="E2600" t="inlineStr">
        <is>
          <t>STRÖMSUND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59149-2023</t>
        </is>
      </c>
      <c r="B2601" s="1" t="n">
        <v>45251</v>
      </c>
      <c r="C2601" s="1" t="n">
        <v>45579</v>
      </c>
      <c r="D2601" t="inlineStr">
        <is>
          <t>JÄMTLANDS LÄN</t>
        </is>
      </c>
      <c r="E2601" t="inlineStr">
        <is>
          <t>STRÖMSUND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58871-2023</t>
        </is>
      </c>
      <c r="B2602" s="1" t="n">
        <v>45252</v>
      </c>
      <c r="C2602" s="1" t="n">
        <v>45579</v>
      </c>
      <c r="D2602" t="inlineStr">
        <is>
          <t>JÄMTLANDS LÄN</t>
        </is>
      </c>
      <c r="E2602" t="inlineStr">
        <is>
          <t>STRÖMSUND</t>
        </is>
      </c>
      <c r="F2602" t="inlineStr">
        <is>
          <t>Holmen skog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58881-2023</t>
        </is>
      </c>
      <c r="B2603" s="1" t="n">
        <v>45252</v>
      </c>
      <c r="C2603" s="1" t="n">
        <v>45579</v>
      </c>
      <c r="D2603" t="inlineStr">
        <is>
          <t>JÄMTLANDS LÄN</t>
        </is>
      </c>
      <c r="E2603" t="inlineStr">
        <is>
          <t>STRÖMSUND</t>
        </is>
      </c>
      <c r="F2603" t="inlineStr">
        <is>
          <t>Holmen skog AB</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59097-2023</t>
        </is>
      </c>
      <c r="B2604" s="1" t="n">
        <v>45253</v>
      </c>
      <c r="C2604" s="1" t="n">
        <v>45579</v>
      </c>
      <c r="D2604" t="inlineStr">
        <is>
          <t>JÄMTLANDS LÄN</t>
        </is>
      </c>
      <c r="E2604" t="inlineStr">
        <is>
          <t>STRÖMSUND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59334-2023</t>
        </is>
      </c>
      <c r="B2605" s="1" t="n">
        <v>45252</v>
      </c>
      <c r="C2605" s="1" t="n">
        <v>45579</v>
      </c>
      <c r="D2605" t="inlineStr">
        <is>
          <t>JÄMTLANDS LÄN</t>
        </is>
      </c>
      <c r="E2605" t="inlineStr">
        <is>
          <t>STRÖMSUND</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59360-2023</t>
        </is>
      </c>
      <c r="B2606" s="1" t="n">
        <v>45253</v>
      </c>
      <c r="C2606" s="1" t="n">
        <v>45579</v>
      </c>
      <c r="D2606" t="inlineStr">
        <is>
          <t>JÄMTLANDS LÄN</t>
        </is>
      </c>
      <c r="E2606" t="inlineStr">
        <is>
          <t>STRÖMSUND</t>
        </is>
      </c>
      <c r="F2606" t="inlineStr">
        <is>
          <t>Holmen skog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59358-2023</t>
        </is>
      </c>
      <c r="B2607" s="1" t="n">
        <v>45253</v>
      </c>
      <c r="C2607" s="1" t="n">
        <v>45579</v>
      </c>
      <c r="D2607" t="inlineStr">
        <is>
          <t>JÄMTLANDS LÄN</t>
        </is>
      </c>
      <c r="E2607" t="inlineStr">
        <is>
          <t>STRÖMSUND</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59403-2023</t>
        </is>
      </c>
      <c r="B2608" s="1" t="n">
        <v>45253</v>
      </c>
      <c r="C2608" s="1" t="n">
        <v>45579</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59436-2023</t>
        </is>
      </c>
      <c r="B2609" s="1" t="n">
        <v>45253</v>
      </c>
      <c r="C2609" s="1" t="n">
        <v>45579</v>
      </c>
      <c r="D2609" t="inlineStr">
        <is>
          <t>JÄMTLANDS LÄN</t>
        </is>
      </c>
      <c r="E2609" t="inlineStr">
        <is>
          <t>STRÖMSUND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59506-2023</t>
        </is>
      </c>
      <c r="B2610" s="1" t="n">
        <v>45253</v>
      </c>
      <c r="C2610" s="1" t="n">
        <v>45579</v>
      </c>
      <c r="D2610" t="inlineStr">
        <is>
          <t>JÄMTLANDS LÄN</t>
        </is>
      </c>
      <c r="E2610" t="inlineStr">
        <is>
          <t>STRÖMSUND</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59476-2023</t>
        </is>
      </c>
      <c r="B2611" s="1" t="n">
        <v>45254</v>
      </c>
      <c r="C2611" s="1" t="n">
        <v>45579</v>
      </c>
      <c r="D2611" t="inlineStr">
        <is>
          <t>JÄMTLANDS LÄN</t>
        </is>
      </c>
      <c r="E2611" t="inlineStr">
        <is>
          <t>STRÖMSUND</t>
        </is>
      </c>
      <c r="F2611" t="inlineStr">
        <is>
          <t>Holmen skog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59469-2023</t>
        </is>
      </c>
      <c r="B2612" s="1" t="n">
        <v>45254</v>
      </c>
      <c r="C2612" s="1" t="n">
        <v>45579</v>
      </c>
      <c r="D2612" t="inlineStr">
        <is>
          <t>JÄMTLANDS LÄN</t>
        </is>
      </c>
      <c r="E2612" t="inlineStr">
        <is>
          <t>STRÖMSUND</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59478-2023</t>
        </is>
      </c>
      <c r="B2613" s="1" t="n">
        <v>45254</v>
      </c>
      <c r="C2613" s="1" t="n">
        <v>45579</v>
      </c>
      <c r="D2613" t="inlineStr">
        <is>
          <t>JÄMTLANDS LÄN</t>
        </is>
      </c>
      <c r="E2613" t="inlineStr">
        <is>
          <t>STRÖMSUND</t>
        </is>
      </c>
      <c r="F2613" t="inlineStr">
        <is>
          <t>Holmen skog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59969-2023</t>
        </is>
      </c>
      <c r="B2614" s="1" t="n">
        <v>45254</v>
      </c>
      <c r="C2614" s="1" t="n">
        <v>45579</v>
      </c>
      <c r="D2614" t="inlineStr">
        <is>
          <t>JÄMTLANDS LÄN</t>
        </is>
      </c>
      <c r="E2614" t="inlineStr">
        <is>
          <t>STRÖMSUND</t>
        </is>
      </c>
      <c r="G2614" t="n">
        <v>23.3</v>
      </c>
      <c r="H2614" t="n">
        <v>0</v>
      </c>
      <c r="I2614" t="n">
        <v>0</v>
      </c>
      <c r="J2614" t="n">
        <v>0</v>
      </c>
      <c r="K2614" t="n">
        <v>0</v>
      </c>
      <c r="L2614" t="n">
        <v>0</v>
      </c>
      <c r="M2614" t="n">
        <v>0</v>
      </c>
      <c r="N2614" t="n">
        <v>0</v>
      </c>
      <c r="O2614" t="n">
        <v>0</v>
      </c>
      <c r="P2614" t="n">
        <v>0</v>
      </c>
      <c r="Q2614" t="n">
        <v>0</v>
      </c>
      <c r="R2614" s="2" t="inlineStr"/>
    </row>
    <row r="2615" ht="15" customHeight="1">
      <c r="A2615" t="inlineStr">
        <is>
          <t>A 59523-2023</t>
        </is>
      </c>
      <c r="B2615" s="1" t="n">
        <v>45254</v>
      </c>
      <c r="C2615" s="1" t="n">
        <v>45579</v>
      </c>
      <c r="D2615" t="inlineStr">
        <is>
          <t>JÄMTLANDS LÄN</t>
        </is>
      </c>
      <c r="E2615" t="inlineStr">
        <is>
          <t>STRÖMSUND</t>
        </is>
      </c>
      <c r="F2615" t="inlineStr">
        <is>
          <t>Holmen skog AB</t>
        </is>
      </c>
      <c r="G2615" t="n">
        <v>51.2</v>
      </c>
      <c r="H2615" t="n">
        <v>0</v>
      </c>
      <c r="I2615" t="n">
        <v>0</v>
      </c>
      <c r="J2615" t="n">
        <v>0</v>
      </c>
      <c r="K2615" t="n">
        <v>0</v>
      </c>
      <c r="L2615" t="n">
        <v>0</v>
      </c>
      <c r="M2615" t="n">
        <v>0</v>
      </c>
      <c r="N2615" t="n">
        <v>0</v>
      </c>
      <c r="O2615" t="n">
        <v>0</v>
      </c>
      <c r="P2615" t="n">
        <v>0</v>
      </c>
      <c r="Q2615" t="n">
        <v>0</v>
      </c>
      <c r="R2615" s="2" t="inlineStr"/>
    </row>
    <row r="2616" ht="15" customHeight="1">
      <c r="A2616" t="inlineStr">
        <is>
          <t>A 59967-2023</t>
        </is>
      </c>
      <c r="B2616" s="1" t="n">
        <v>45254</v>
      </c>
      <c r="C2616" s="1" t="n">
        <v>45579</v>
      </c>
      <c r="D2616" t="inlineStr">
        <is>
          <t>JÄMTLANDS LÄN</t>
        </is>
      </c>
      <c r="E2616" t="inlineStr">
        <is>
          <t>STRÖMSUND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59742-2023</t>
        </is>
      </c>
      <c r="B2617" s="1" t="n">
        <v>45257</v>
      </c>
      <c r="C2617" s="1" t="n">
        <v>45579</v>
      </c>
      <c r="D2617" t="inlineStr">
        <is>
          <t>JÄMTLANDS LÄN</t>
        </is>
      </c>
      <c r="E2617" t="inlineStr">
        <is>
          <t>STRÖMSUND</t>
        </is>
      </c>
      <c r="F2617" t="inlineStr">
        <is>
          <t>Sveaskog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60175-2023</t>
        </is>
      </c>
      <c r="B2618" s="1" t="n">
        <v>45257</v>
      </c>
      <c r="C2618" s="1" t="n">
        <v>45579</v>
      </c>
      <c r="D2618" t="inlineStr">
        <is>
          <t>JÄMTLANDS LÄN</t>
        </is>
      </c>
      <c r="E2618" t="inlineStr">
        <is>
          <t>STRÖMSUND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60009-2023</t>
        </is>
      </c>
      <c r="B2619" s="1" t="n">
        <v>45258</v>
      </c>
      <c r="C2619" s="1" t="n">
        <v>45579</v>
      </c>
      <c r="D2619" t="inlineStr">
        <is>
          <t>JÄMTLANDS LÄN</t>
        </is>
      </c>
      <c r="E2619" t="inlineStr">
        <is>
          <t>STRÖMSUND</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60014-2023</t>
        </is>
      </c>
      <c r="B2620" s="1" t="n">
        <v>45258</v>
      </c>
      <c r="C2620" s="1" t="n">
        <v>45579</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60166-2023</t>
        </is>
      </c>
      <c r="B2621" s="1" t="n">
        <v>45257</v>
      </c>
      <c r="C2621" s="1" t="n">
        <v>45579</v>
      </c>
      <c r="D2621" t="inlineStr">
        <is>
          <t>JÄMTLANDS LÄN</t>
        </is>
      </c>
      <c r="E2621" t="inlineStr">
        <is>
          <t>STRÖMSUND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60010-2023</t>
        </is>
      </c>
      <c r="B2622" s="1" t="n">
        <v>45257</v>
      </c>
      <c r="C2622" s="1" t="n">
        <v>45579</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60517-2023</t>
        </is>
      </c>
      <c r="B2623" s="1" t="n">
        <v>45257</v>
      </c>
      <c r="C2623" s="1" t="n">
        <v>45579</v>
      </c>
      <c r="D2623" t="inlineStr">
        <is>
          <t>JÄMTLANDS LÄN</t>
        </is>
      </c>
      <c r="E2623" t="inlineStr">
        <is>
          <t>STRÖMSUND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60078-2023</t>
        </is>
      </c>
      <c r="B2624" s="1" t="n">
        <v>45258</v>
      </c>
      <c r="C2624" s="1" t="n">
        <v>45579</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60334-2023</t>
        </is>
      </c>
      <c r="B2625" s="1" t="n">
        <v>45258</v>
      </c>
      <c r="C2625" s="1" t="n">
        <v>45579</v>
      </c>
      <c r="D2625" t="inlineStr">
        <is>
          <t>JÄMTLANDS LÄN</t>
        </is>
      </c>
      <c r="E2625" t="inlineStr">
        <is>
          <t>STRÖMSUND</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60335-2023</t>
        </is>
      </c>
      <c r="B2626" s="1" t="n">
        <v>45258</v>
      </c>
      <c r="C2626" s="1" t="n">
        <v>45579</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60661-2023</t>
        </is>
      </c>
      <c r="B2627" s="1" t="n">
        <v>45259</v>
      </c>
      <c r="C2627" s="1" t="n">
        <v>45579</v>
      </c>
      <c r="D2627" t="inlineStr">
        <is>
          <t>JÄMTLANDS LÄN</t>
        </is>
      </c>
      <c r="E2627" t="inlineStr">
        <is>
          <t>STRÖMSUND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60684-2023</t>
        </is>
      </c>
      <c r="B2628" s="1" t="n">
        <v>45259</v>
      </c>
      <c r="C2628" s="1" t="n">
        <v>45579</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60726-2023</t>
        </is>
      </c>
      <c r="B2629" s="1" t="n">
        <v>45259</v>
      </c>
      <c r="C2629" s="1" t="n">
        <v>45579</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60848-2023</t>
        </is>
      </c>
      <c r="B2630" s="1" t="n">
        <v>45260</v>
      </c>
      <c r="C2630" s="1" t="n">
        <v>45579</v>
      </c>
      <c r="D2630" t="inlineStr">
        <is>
          <t>JÄMTLANDS LÄN</t>
        </is>
      </c>
      <c r="E2630" t="inlineStr">
        <is>
          <t>STRÖMSUND</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60850-2023</t>
        </is>
      </c>
      <c r="B2631" s="1" t="n">
        <v>45260</v>
      </c>
      <c r="C2631" s="1" t="n">
        <v>45579</v>
      </c>
      <c r="D2631" t="inlineStr">
        <is>
          <t>JÄMTLANDS LÄN</t>
        </is>
      </c>
      <c r="E2631" t="inlineStr">
        <is>
          <t>STRÖMSUND</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60849-2023</t>
        </is>
      </c>
      <c r="B2632" s="1" t="n">
        <v>45260</v>
      </c>
      <c r="C2632" s="1" t="n">
        <v>45579</v>
      </c>
      <c r="D2632" t="inlineStr">
        <is>
          <t>JÄMTLANDS LÄN</t>
        </is>
      </c>
      <c r="E2632" t="inlineStr">
        <is>
          <t>STRÖMSUND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60894-2023</t>
        </is>
      </c>
      <c r="B2633" s="1" t="n">
        <v>45261</v>
      </c>
      <c r="C2633" s="1" t="n">
        <v>45579</v>
      </c>
      <c r="D2633" t="inlineStr">
        <is>
          <t>JÄMTLANDS LÄN</t>
        </is>
      </c>
      <c r="E2633" t="inlineStr">
        <is>
          <t>STRÖMSUND</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61131-2023</t>
        </is>
      </c>
      <c r="B2634" s="1" t="n">
        <v>45261</v>
      </c>
      <c r="C2634" s="1" t="n">
        <v>45579</v>
      </c>
      <c r="D2634" t="inlineStr">
        <is>
          <t>JÄMTLANDS LÄN</t>
        </is>
      </c>
      <c r="E2634" t="inlineStr">
        <is>
          <t>STRÖMSUND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61136-2023</t>
        </is>
      </c>
      <c r="B2635" s="1" t="n">
        <v>45261</v>
      </c>
      <c r="C2635" s="1" t="n">
        <v>45579</v>
      </c>
      <c r="D2635" t="inlineStr">
        <is>
          <t>JÄMTLANDS LÄN</t>
        </is>
      </c>
      <c r="E2635" t="inlineStr">
        <is>
          <t>STRÖMSUND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61494-2023</t>
        </is>
      </c>
      <c r="B2636" s="1" t="n">
        <v>45264</v>
      </c>
      <c r="C2636" s="1" t="n">
        <v>45579</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61500-2023</t>
        </is>
      </c>
      <c r="B2637" s="1" t="n">
        <v>45264</v>
      </c>
      <c r="C2637" s="1" t="n">
        <v>45579</v>
      </c>
      <c r="D2637" t="inlineStr">
        <is>
          <t>JÄMTLANDS LÄN</t>
        </is>
      </c>
      <c r="E2637" t="inlineStr">
        <is>
          <t>STRÖMSUND</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61833-2023</t>
        </is>
      </c>
      <c r="B2638" s="1" t="n">
        <v>45264</v>
      </c>
      <c r="C2638" s="1" t="n">
        <v>45579</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62356-2023</t>
        </is>
      </c>
      <c r="B2639" s="1" t="n">
        <v>45267</v>
      </c>
      <c r="C2639" s="1" t="n">
        <v>45579</v>
      </c>
      <c r="D2639" t="inlineStr">
        <is>
          <t>JÄMTLANDS LÄN</t>
        </is>
      </c>
      <c r="E2639" t="inlineStr">
        <is>
          <t>STRÖMSUND</t>
        </is>
      </c>
      <c r="F2639" t="inlineStr">
        <is>
          <t>SCA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62543-2023</t>
        </is>
      </c>
      <c r="B2640" s="1" t="n">
        <v>45267</v>
      </c>
      <c r="C2640" s="1" t="n">
        <v>45579</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62544-2023</t>
        </is>
      </c>
      <c r="B2641" s="1" t="n">
        <v>45267</v>
      </c>
      <c r="C2641" s="1" t="n">
        <v>45579</v>
      </c>
      <c r="D2641" t="inlineStr">
        <is>
          <t>JÄMTLANDS LÄN</t>
        </is>
      </c>
      <c r="E2641" t="inlineStr">
        <is>
          <t>STRÖMSUND</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62470-2023</t>
        </is>
      </c>
      <c r="B2642" s="1" t="n">
        <v>45267</v>
      </c>
      <c r="C2642" s="1" t="n">
        <v>45579</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62493-2023</t>
        </is>
      </c>
      <c r="B2643" s="1" t="n">
        <v>45268</v>
      </c>
      <c r="C2643" s="1" t="n">
        <v>45579</v>
      </c>
      <c r="D2643" t="inlineStr">
        <is>
          <t>JÄMTLANDS LÄN</t>
        </is>
      </c>
      <c r="E2643" t="inlineStr">
        <is>
          <t>STRÖMSUND</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62760-2023</t>
        </is>
      </c>
      <c r="B2644" s="1" t="n">
        <v>45268</v>
      </c>
      <c r="C2644" s="1" t="n">
        <v>45579</v>
      </c>
      <c r="D2644" t="inlineStr">
        <is>
          <t>JÄMTLANDS LÄN</t>
        </is>
      </c>
      <c r="E2644" t="inlineStr">
        <is>
          <t>STRÖMSUND</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63054-2023</t>
        </is>
      </c>
      <c r="B2645" s="1" t="n">
        <v>45272</v>
      </c>
      <c r="C2645" s="1" t="n">
        <v>45579</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63140-2023</t>
        </is>
      </c>
      <c r="B2646" s="1" t="n">
        <v>45273</v>
      </c>
      <c r="C2646" s="1" t="n">
        <v>45579</v>
      </c>
      <c r="D2646" t="inlineStr">
        <is>
          <t>JÄMTLANDS LÄN</t>
        </is>
      </c>
      <c r="E2646" t="inlineStr">
        <is>
          <t>STRÖMSUND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63286-2023</t>
        </is>
      </c>
      <c r="B2647" s="1" t="n">
        <v>45273</v>
      </c>
      <c r="C2647" s="1" t="n">
        <v>45579</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63362-2023</t>
        </is>
      </c>
      <c r="B2648" s="1" t="n">
        <v>45273</v>
      </c>
      <c r="C2648" s="1" t="n">
        <v>45579</v>
      </c>
      <c r="D2648" t="inlineStr">
        <is>
          <t>JÄMTLANDS LÄN</t>
        </is>
      </c>
      <c r="E2648" t="inlineStr">
        <is>
          <t>STRÖMSUND</t>
        </is>
      </c>
      <c r="G2648" t="n">
        <v>17.9</v>
      </c>
      <c r="H2648" t="n">
        <v>0</v>
      </c>
      <c r="I2648" t="n">
        <v>0</v>
      </c>
      <c r="J2648" t="n">
        <v>0</v>
      </c>
      <c r="K2648" t="n">
        <v>0</v>
      </c>
      <c r="L2648" t="n">
        <v>0</v>
      </c>
      <c r="M2648" t="n">
        <v>0</v>
      </c>
      <c r="N2648" t="n">
        <v>0</v>
      </c>
      <c r="O2648" t="n">
        <v>0</v>
      </c>
      <c r="P2648" t="n">
        <v>0</v>
      </c>
      <c r="Q2648" t="n">
        <v>0</v>
      </c>
      <c r="R2648" s="2" t="inlineStr"/>
    </row>
    <row r="2649" ht="15" customHeight="1">
      <c r="A2649" t="inlineStr">
        <is>
          <t>A 63354-2023</t>
        </is>
      </c>
      <c r="B2649" s="1" t="n">
        <v>45273</v>
      </c>
      <c r="C2649" s="1" t="n">
        <v>45579</v>
      </c>
      <c r="D2649" t="inlineStr">
        <is>
          <t>JÄMTLANDS LÄN</t>
        </is>
      </c>
      <c r="E2649" t="inlineStr">
        <is>
          <t>STRÖMSUND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63287-2023</t>
        </is>
      </c>
      <c r="B2650" s="1" t="n">
        <v>45273</v>
      </c>
      <c r="C2650" s="1" t="n">
        <v>45579</v>
      </c>
      <c r="D2650" t="inlineStr">
        <is>
          <t>JÄMTLANDS LÄN</t>
        </is>
      </c>
      <c r="E2650" t="inlineStr">
        <is>
          <t>STRÖMSUND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63291-2023</t>
        </is>
      </c>
      <c r="B2651" s="1" t="n">
        <v>45273</v>
      </c>
      <c r="C2651" s="1" t="n">
        <v>45579</v>
      </c>
      <c r="D2651" t="inlineStr">
        <is>
          <t>JÄMTLANDS LÄN</t>
        </is>
      </c>
      <c r="E2651" t="inlineStr">
        <is>
          <t>STRÖMSUND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63403-2023</t>
        </is>
      </c>
      <c r="B2652" s="1" t="n">
        <v>45274</v>
      </c>
      <c r="C2652" s="1" t="n">
        <v>45579</v>
      </c>
      <c r="D2652" t="inlineStr">
        <is>
          <t>JÄMTLANDS LÄN</t>
        </is>
      </c>
      <c r="E2652" t="inlineStr">
        <is>
          <t>STRÖMSUND</t>
        </is>
      </c>
      <c r="G2652" t="n">
        <v>16.9</v>
      </c>
      <c r="H2652" t="n">
        <v>0</v>
      </c>
      <c r="I2652" t="n">
        <v>0</v>
      </c>
      <c r="J2652" t="n">
        <v>0</v>
      </c>
      <c r="K2652" t="n">
        <v>0</v>
      </c>
      <c r="L2652" t="n">
        <v>0</v>
      </c>
      <c r="M2652" t="n">
        <v>0</v>
      </c>
      <c r="N2652" t="n">
        <v>0</v>
      </c>
      <c r="O2652" t="n">
        <v>0</v>
      </c>
      <c r="P2652" t="n">
        <v>0</v>
      </c>
      <c r="Q2652" t="n">
        <v>0</v>
      </c>
      <c r="R2652" s="2" t="inlineStr"/>
    </row>
    <row r="2653" ht="15" customHeight="1">
      <c r="A2653" t="inlineStr">
        <is>
          <t>A 63425-2023</t>
        </is>
      </c>
      <c r="B2653" s="1" t="n">
        <v>45274</v>
      </c>
      <c r="C2653" s="1" t="n">
        <v>45579</v>
      </c>
      <c r="D2653" t="inlineStr">
        <is>
          <t>JÄMTLANDS LÄN</t>
        </is>
      </c>
      <c r="E2653" t="inlineStr">
        <is>
          <t>STRÖMSUND</t>
        </is>
      </c>
      <c r="G2653" t="n">
        <v>14.9</v>
      </c>
      <c r="H2653" t="n">
        <v>0</v>
      </c>
      <c r="I2653" t="n">
        <v>0</v>
      </c>
      <c r="J2653" t="n">
        <v>0</v>
      </c>
      <c r="K2653" t="n">
        <v>0</v>
      </c>
      <c r="L2653" t="n">
        <v>0</v>
      </c>
      <c r="M2653" t="n">
        <v>0</v>
      </c>
      <c r="N2653" t="n">
        <v>0</v>
      </c>
      <c r="O2653" t="n">
        <v>0</v>
      </c>
      <c r="P2653" t="n">
        <v>0</v>
      </c>
      <c r="Q2653" t="n">
        <v>0</v>
      </c>
      <c r="R2653" s="2" t="inlineStr"/>
    </row>
    <row r="2654" ht="15" customHeight="1">
      <c r="A2654" t="inlineStr">
        <is>
          <t>A 63497-2023</t>
        </is>
      </c>
      <c r="B2654" s="1" t="n">
        <v>45274</v>
      </c>
      <c r="C2654" s="1" t="n">
        <v>45579</v>
      </c>
      <c r="D2654" t="inlineStr">
        <is>
          <t>JÄMTLANDS LÄN</t>
        </is>
      </c>
      <c r="E2654" t="inlineStr">
        <is>
          <t>STRÖMSUND</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63756-2023</t>
        </is>
      </c>
      <c r="B2655" s="1" t="n">
        <v>45278</v>
      </c>
      <c r="C2655" s="1" t="n">
        <v>45579</v>
      </c>
      <c r="D2655" t="inlineStr">
        <is>
          <t>JÄMTLANDS LÄN</t>
        </is>
      </c>
      <c r="E2655" t="inlineStr">
        <is>
          <t>STRÖMSUND</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63754-2023</t>
        </is>
      </c>
      <c r="B2656" s="1" t="n">
        <v>45278</v>
      </c>
      <c r="C2656" s="1" t="n">
        <v>45579</v>
      </c>
      <c r="D2656" t="inlineStr">
        <is>
          <t>JÄMTLANDS LÄN</t>
        </is>
      </c>
      <c r="E2656" t="inlineStr">
        <is>
          <t>STRÖMSUND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63753-2023</t>
        </is>
      </c>
      <c r="B2657" s="1" t="n">
        <v>45278</v>
      </c>
      <c r="C2657" s="1" t="n">
        <v>45579</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64007-2023</t>
        </is>
      </c>
      <c r="B2658" s="1" t="n">
        <v>45278</v>
      </c>
      <c r="C2658" s="1" t="n">
        <v>45579</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64149-2023</t>
        </is>
      </c>
      <c r="B2659" s="1" t="n">
        <v>45279</v>
      </c>
      <c r="C2659" s="1" t="n">
        <v>45579</v>
      </c>
      <c r="D2659" t="inlineStr">
        <is>
          <t>JÄMTLANDS LÄN</t>
        </is>
      </c>
      <c r="E2659" t="inlineStr">
        <is>
          <t>STRÖMSUND</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64437-2023</t>
        </is>
      </c>
      <c r="B2660" s="1" t="n">
        <v>45280</v>
      </c>
      <c r="C2660" s="1" t="n">
        <v>45579</v>
      </c>
      <c r="D2660" t="inlineStr">
        <is>
          <t>JÄMTLANDS LÄN</t>
        </is>
      </c>
      <c r="E2660" t="inlineStr">
        <is>
          <t>STRÖMSUND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64505-2023</t>
        </is>
      </c>
      <c r="B2661" s="1" t="n">
        <v>45280</v>
      </c>
      <c r="C2661" s="1" t="n">
        <v>45579</v>
      </c>
      <c r="D2661" t="inlineStr">
        <is>
          <t>JÄMTLANDS LÄN</t>
        </is>
      </c>
      <c r="E2661" t="inlineStr">
        <is>
          <t>STRÖMSUND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64559-2023</t>
        </is>
      </c>
      <c r="B2662" s="1" t="n">
        <v>45281</v>
      </c>
      <c r="C2662" s="1" t="n">
        <v>45579</v>
      </c>
      <c r="D2662" t="inlineStr">
        <is>
          <t>JÄMTLANDS LÄN</t>
        </is>
      </c>
      <c r="E2662" t="inlineStr">
        <is>
          <t>STRÖMSUND</t>
        </is>
      </c>
      <c r="F2662" t="inlineStr">
        <is>
          <t>Kyrkan</t>
        </is>
      </c>
      <c r="G2662" t="n">
        <v>16.2</v>
      </c>
      <c r="H2662" t="n">
        <v>0</v>
      </c>
      <c r="I2662" t="n">
        <v>0</v>
      </c>
      <c r="J2662" t="n">
        <v>0</v>
      </c>
      <c r="K2662" t="n">
        <v>0</v>
      </c>
      <c r="L2662" t="n">
        <v>0</v>
      </c>
      <c r="M2662" t="n">
        <v>0</v>
      </c>
      <c r="N2662" t="n">
        <v>0</v>
      </c>
      <c r="O2662" t="n">
        <v>0</v>
      </c>
      <c r="P2662" t="n">
        <v>0</v>
      </c>
      <c r="Q2662" t="n">
        <v>0</v>
      </c>
      <c r="R2662" s="2" t="inlineStr"/>
    </row>
    <row r="2663" ht="15" customHeight="1">
      <c r="A2663" t="inlineStr">
        <is>
          <t>A 64599-2023</t>
        </is>
      </c>
      <c r="B2663" s="1" t="n">
        <v>45281</v>
      </c>
      <c r="C2663" s="1" t="n">
        <v>45579</v>
      </c>
      <c r="D2663" t="inlineStr">
        <is>
          <t>JÄMTLANDS LÄN</t>
        </is>
      </c>
      <c r="E2663" t="inlineStr">
        <is>
          <t>STRÖMSUND</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64759-2023</t>
        </is>
      </c>
      <c r="B2664" s="1" t="n">
        <v>45282</v>
      </c>
      <c r="C2664" s="1" t="n">
        <v>45579</v>
      </c>
      <c r="D2664" t="inlineStr">
        <is>
          <t>JÄMTLANDS LÄN</t>
        </is>
      </c>
      <c r="E2664" t="inlineStr">
        <is>
          <t>STRÖMSUND</t>
        </is>
      </c>
      <c r="G2664" t="n">
        <v>25.2</v>
      </c>
      <c r="H2664" t="n">
        <v>0</v>
      </c>
      <c r="I2664" t="n">
        <v>0</v>
      </c>
      <c r="J2664" t="n">
        <v>0</v>
      </c>
      <c r="K2664" t="n">
        <v>0</v>
      </c>
      <c r="L2664" t="n">
        <v>0</v>
      </c>
      <c r="M2664" t="n">
        <v>0</v>
      </c>
      <c r="N2664" t="n">
        <v>0</v>
      </c>
      <c r="O2664" t="n">
        <v>0</v>
      </c>
      <c r="P2664" t="n">
        <v>0</v>
      </c>
      <c r="Q2664" t="n">
        <v>0</v>
      </c>
      <c r="R2664" s="2" t="inlineStr"/>
    </row>
    <row r="2665" ht="15" customHeight="1">
      <c r="A2665" t="inlineStr">
        <is>
          <t>A 6-2024</t>
        </is>
      </c>
      <c r="B2665" s="1" t="n">
        <v>45293</v>
      </c>
      <c r="C2665" s="1" t="n">
        <v>45579</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254-2024</t>
        </is>
      </c>
      <c r="B2666" s="1" t="n">
        <v>45294</v>
      </c>
      <c r="C2666" s="1" t="n">
        <v>45579</v>
      </c>
      <c r="D2666" t="inlineStr">
        <is>
          <t>JÄMTLANDS LÄN</t>
        </is>
      </c>
      <c r="E2666" t="inlineStr">
        <is>
          <t>STRÖMSUND</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247-2024</t>
        </is>
      </c>
      <c r="B2667" s="1" t="n">
        <v>45294</v>
      </c>
      <c r="C2667" s="1" t="n">
        <v>45579</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508-2024</t>
        </is>
      </c>
      <c r="B2668" s="1" t="n">
        <v>45299</v>
      </c>
      <c r="C2668" s="1" t="n">
        <v>45579</v>
      </c>
      <c r="D2668" t="inlineStr">
        <is>
          <t>JÄMTLANDS LÄN</t>
        </is>
      </c>
      <c r="E2668" t="inlineStr">
        <is>
          <t>STRÖMSUND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655-2024</t>
        </is>
      </c>
      <c r="B2669" s="1" t="n">
        <v>45299</v>
      </c>
      <c r="C2669" s="1" t="n">
        <v>45579</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872-2024</t>
        </is>
      </c>
      <c r="B2670" s="1" t="n">
        <v>45301</v>
      </c>
      <c r="C2670" s="1" t="n">
        <v>45579</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1053-2024</t>
        </is>
      </c>
      <c r="B2671" s="1" t="n">
        <v>45302</v>
      </c>
      <c r="C2671" s="1" t="n">
        <v>45579</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1055-2024</t>
        </is>
      </c>
      <c r="B2672" s="1" t="n">
        <v>45302</v>
      </c>
      <c r="C2672" s="1" t="n">
        <v>45579</v>
      </c>
      <c r="D2672" t="inlineStr">
        <is>
          <t>JÄMTLANDS LÄN</t>
        </is>
      </c>
      <c r="E2672" t="inlineStr">
        <is>
          <t>STRÖMSUND</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1226-2024</t>
        </is>
      </c>
      <c r="B2673" s="1" t="n">
        <v>45302</v>
      </c>
      <c r="C2673" s="1" t="n">
        <v>45579</v>
      </c>
      <c r="D2673" t="inlineStr">
        <is>
          <t>JÄMTLANDS LÄN</t>
        </is>
      </c>
      <c r="E2673" t="inlineStr">
        <is>
          <t>STRÖMSUND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1271-2024</t>
        </is>
      </c>
      <c r="B2674" s="1" t="n">
        <v>45302</v>
      </c>
      <c r="C2674" s="1" t="n">
        <v>45579</v>
      </c>
      <c r="D2674" t="inlineStr">
        <is>
          <t>JÄMTLANDS LÄN</t>
        </is>
      </c>
      <c r="E2674" t="inlineStr">
        <is>
          <t>STRÖMSUND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1113-2024</t>
        </is>
      </c>
      <c r="B2675" s="1" t="n">
        <v>45302</v>
      </c>
      <c r="C2675" s="1" t="n">
        <v>45579</v>
      </c>
      <c r="D2675" t="inlineStr">
        <is>
          <t>JÄMTLANDS LÄN</t>
        </is>
      </c>
      <c r="E2675" t="inlineStr">
        <is>
          <t>STRÖMSUND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1270-2024</t>
        </is>
      </c>
      <c r="B2676" s="1" t="n">
        <v>45302</v>
      </c>
      <c r="C2676" s="1" t="n">
        <v>45579</v>
      </c>
      <c r="D2676" t="inlineStr">
        <is>
          <t>JÄMTLANDS LÄN</t>
        </is>
      </c>
      <c r="E2676" t="inlineStr">
        <is>
          <t>STRÖMSUND</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1609-2024</t>
        </is>
      </c>
      <c r="B2677" s="1" t="n">
        <v>45306</v>
      </c>
      <c r="C2677" s="1" t="n">
        <v>45579</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1676-2024</t>
        </is>
      </c>
      <c r="B2678" s="1" t="n">
        <v>45307</v>
      </c>
      <c r="C2678" s="1" t="n">
        <v>45579</v>
      </c>
      <c r="D2678" t="inlineStr">
        <is>
          <t>JÄMTLANDS LÄN</t>
        </is>
      </c>
      <c r="E2678" t="inlineStr">
        <is>
          <t>STRÖMSUND</t>
        </is>
      </c>
      <c r="F2678" t="inlineStr">
        <is>
          <t>SCA</t>
        </is>
      </c>
      <c r="G2678" t="n">
        <v>29.6</v>
      </c>
      <c r="H2678" t="n">
        <v>0</v>
      </c>
      <c r="I2678" t="n">
        <v>0</v>
      </c>
      <c r="J2678" t="n">
        <v>0</v>
      </c>
      <c r="K2678" t="n">
        <v>0</v>
      </c>
      <c r="L2678" t="n">
        <v>0</v>
      </c>
      <c r="M2678" t="n">
        <v>0</v>
      </c>
      <c r="N2678" t="n">
        <v>0</v>
      </c>
      <c r="O2678" t="n">
        <v>0</v>
      </c>
      <c r="P2678" t="n">
        <v>0</v>
      </c>
      <c r="Q2678" t="n">
        <v>0</v>
      </c>
      <c r="R2678" s="2" t="inlineStr"/>
    </row>
    <row r="2679" ht="15" customHeight="1">
      <c r="A2679" t="inlineStr">
        <is>
          <t>A 1677-2024</t>
        </is>
      </c>
      <c r="B2679" s="1" t="n">
        <v>45307</v>
      </c>
      <c r="C2679" s="1" t="n">
        <v>45579</v>
      </c>
      <c r="D2679" t="inlineStr">
        <is>
          <t>JÄMTLANDS LÄN</t>
        </is>
      </c>
      <c r="E2679" t="inlineStr">
        <is>
          <t>STRÖMSUND</t>
        </is>
      </c>
      <c r="F2679" t="inlineStr">
        <is>
          <t>SCA</t>
        </is>
      </c>
      <c r="G2679" t="n">
        <v>30.1</v>
      </c>
      <c r="H2679" t="n">
        <v>0</v>
      </c>
      <c r="I2679" t="n">
        <v>0</v>
      </c>
      <c r="J2679" t="n">
        <v>0</v>
      </c>
      <c r="K2679" t="n">
        <v>0</v>
      </c>
      <c r="L2679" t="n">
        <v>0</v>
      </c>
      <c r="M2679" t="n">
        <v>0</v>
      </c>
      <c r="N2679" t="n">
        <v>0</v>
      </c>
      <c r="O2679" t="n">
        <v>0</v>
      </c>
      <c r="P2679" t="n">
        <v>0</v>
      </c>
      <c r="Q2679" t="n">
        <v>0</v>
      </c>
      <c r="R2679" s="2" t="inlineStr"/>
    </row>
    <row r="2680" ht="15" customHeight="1">
      <c r="A2680" t="inlineStr">
        <is>
          <t>A 1798-2024</t>
        </is>
      </c>
      <c r="B2680" s="1" t="n">
        <v>45307</v>
      </c>
      <c r="C2680" s="1" t="n">
        <v>45579</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1801-2024</t>
        </is>
      </c>
      <c r="B2681" s="1" t="n">
        <v>45307</v>
      </c>
      <c r="C2681" s="1" t="n">
        <v>45579</v>
      </c>
      <c r="D2681" t="inlineStr">
        <is>
          <t>JÄMTLANDS LÄN</t>
        </is>
      </c>
      <c r="E2681" t="inlineStr">
        <is>
          <t>STRÖMSUND</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1929-2024</t>
        </is>
      </c>
      <c r="B2682" s="1" t="n">
        <v>45308</v>
      </c>
      <c r="C2682" s="1" t="n">
        <v>45579</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2109-2024</t>
        </is>
      </c>
      <c r="B2683" s="1" t="n">
        <v>45309</v>
      </c>
      <c r="C2683" s="1" t="n">
        <v>45579</v>
      </c>
      <c r="D2683" t="inlineStr">
        <is>
          <t>JÄMTLANDS LÄN</t>
        </is>
      </c>
      <c r="E2683" t="inlineStr">
        <is>
          <t>STRÖMSUND</t>
        </is>
      </c>
      <c r="G2683" t="n">
        <v>23.5</v>
      </c>
      <c r="H2683" t="n">
        <v>0</v>
      </c>
      <c r="I2683" t="n">
        <v>0</v>
      </c>
      <c r="J2683" t="n">
        <v>0</v>
      </c>
      <c r="K2683" t="n">
        <v>0</v>
      </c>
      <c r="L2683" t="n">
        <v>0</v>
      </c>
      <c r="M2683" t="n">
        <v>0</v>
      </c>
      <c r="N2683" t="n">
        <v>0</v>
      </c>
      <c r="O2683" t="n">
        <v>0</v>
      </c>
      <c r="P2683" t="n">
        <v>0</v>
      </c>
      <c r="Q2683" t="n">
        <v>0</v>
      </c>
      <c r="R2683" s="2" t="inlineStr"/>
    </row>
    <row r="2684" ht="15" customHeight="1">
      <c r="A2684" t="inlineStr">
        <is>
          <t>A 2625-2024</t>
        </is>
      </c>
      <c r="B2684" s="1" t="n">
        <v>45313</v>
      </c>
      <c r="C2684" s="1" t="n">
        <v>45579</v>
      </c>
      <c r="D2684" t="inlineStr">
        <is>
          <t>JÄMTLANDS LÄN</t>
        </is>
      </c>
      <c r="E2684" t="inlineStr">
        <is>
          <t>STRÖMSUND</t>
        </is>
      </c>
      <c r="F2684" t="inlineStr">
        <is>
          <t>SCA</t>
        </is>
      </c>
      <c r="G2684" t="n">
        <v>32.2</v>
      </c>
      <c r="H2684" t="n">
        <v>0</v>
      </c>
      <c r="I2684" t="n">
        <v>0</v>
      </c>
      <c r="J2684" t="n">
        <v>0</v>
      </c>
      <c r="K2684" t="n">
        <v>0</v>
      </c>
      <c r="L2684" t="n">
        <v>0</v>
      </c>
      <c r="M2684" t="n">
        <v>0</v>
      </c>
      <c r="N2684" t="n">
        <v>0</v>
      </c>
      <c r="O2684" t="n">
        <v>0</v>
      </c>
      <c r="P2684" t="n">
        <v>0</v>
      </c>
      <c r="Q2684" t="n">
        <v>0</v>
      </c>
      <c r="R2684" s="2" t="inlineStr"/>
    </row>
    <row r="2685" ht="15" customHeight="1">
      <c r="A2685" t="inlineStr">
        <is>
          <t>A 2619-2024</t>
        </is>
      </c>
      <c r="B2685" s="1" t="n">
        <v>45313</v>
      </c>
      <c r="C2685" s="1" t="n">
        <v>45579</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2623-2024</t>
        </is>
      </c>
      <c r="B2686" s="1" t="n">
        <v>45313</v>
      </c>
      <c r="C2686" s="1" t="n">
        <v>45579</v>
      </c>
      <c r="D2686" t="inlineStr">
        <is>
          <t>JÄMTLANDS LÄN</t>
        </is>
      </c>
      <c r="E2686" t="inlineStr">
        <is>
          <t>STRÖMSUND</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2626-2024</t>
        </is>
      </c>
      <c r="B2687" s="1" t="n">
        <v>45313</v>
      </c>
      <c r="C2687" s="1" t="n">
        <v>45579</v>
      </c>
      <c r="D2687" t="inlineStr">
        <is>
          <t>JÄMTLANDS LÄN</t>
        </is>
      </c>
      <c r="E2687" t="inlineStr">
        <is>
          <t>STRÖMSUND</t>
        </is>
      </c>
      <c r="F2687" t="inlineStr">
        <is>
          <t>SCA</t>
        </is>
      </c>
      <c r="G2687" t="n">
        <v>22.4</v>
      </c>
      <c r="H2687" t="n">
        <v>0</v>
      </c>
      <c r="I2687" t="n">
        <v>0</v>
      </c>
      <c r="J2687" t="n">
        <v>0</v>
      </c>
      <c r="K2687" t="n">
        <v>0</v>
      </c>
      <c r="L2687" t="n">
        <v>0</v>
      </c>
      <c r="M2687" t="n">
        <v>0</v>
      </c>
      <c r="N2687" t="n">
        <v>0</v>
      </c>
      <c r="O2687" t="n">
        <v>0</v>
      </c>
      <c r="P2687" t="n">
        <v>0</v>
      </c>
      <c r="Q2687" t="n">
        <v>0</v>
      </c>
      <c r="R2687" s="2" t="inlineStr"/>
    </row>
    <row r="2688" ht="15" customHeight="1">
      <c r="A2688" t="inlineStr">
        <is>
          <t>A 2624-2024</t>
        </is>
      </c>
      <c r="B2688" s="1" t="n">
        <v>45313</v>
      </c>
      <c r="C2688" s="1" t="n">
        <v>45579</v>
      </c>
      <c r="D2688" t="inlineStr">
        <is>
          <t>JÄMTLANDS LÄN</t>
        </is>
      </c>
      <c r="E2688" t="inlineStr">
        <is>
          <t>STRÖMSUND</t>
        </is>
      </c>
      <c r="F2688" t="inlineStr">
        <is>
          <t>SCA</t>
        </is>
      </c>
      <c r="G2688" t="n">
        <v>41.4</v>
      </c>
      <c r="H2688" t="n">
        <v>0</v>
      </c>
      <c r="I2688" t="n">
        <v>0</v>
      </c>
      <c r="J2688" t="n">
        <v>0</v>
      </c>
      <c r="K2688" t="n">
        <v>0</v>
      </c>
      <c r="L2688" t="n">
        <v>0</v>
      </c>
      <c r="M2688" t="n">
        <v>0</v>
      </c>
      <c r="N2688" t="n">
        <v>0</v>
      </c>
      <c r="O2688" t="n">
        <v>0</v>
      </c>
      <c r="P2688" t="n">
        <v>0</v>
      </c>
      <c r="Q2688" t="n">
        <v>0</v>
      </c>
      <c r="R2688" s="2" t="inlineStr"/>
    </row>
    <row r="2689" ht="15" customHeight="1">
      <c r="A2689" t="inlineStr">
        <is>
          <t>A 2663-2024</t>
        </is>
      </c>
      <c r="B2689" s="1" t="n">
        <v>45314</v>
      </c>
      <c r="C2689" s="1" t="n">
        <v>45579</v>
      </c>
      <c r="D2689" t="inlineStr">
        <is>
          <t>JÄMTLANDS LÄN</t>
        </is>
      </c>
      <c r="E2689" t="inlineStr">
        <is>
          <t>STRÖMSUND</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2643-2024</t>
        </is>
      </c>
      <c r="B2690" s="1" t="n">
        <v>45314</v>
      </c>
      <c r="C2690" s="1" t="n">
        <v>45579</v>
      </c>
      <c r="D2690" t="inlineStr">
        <is>
          <t>JÄMTLANDS LÄN</t>
        </is>
      </c>
      <c r="E2690" t="inlineStr">
        <is>
          <t>STRÖMSUND</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3239-2024</t>
        </is>
      </c>
      <c r="B2691" s="1" t="n">
        <v>45316</v>
      </c>
      <c r="C2691" s="1" t="n">
        <v>45579</v>
      </c>
      <c r="D2691" t="inlineStr">
        <is>
          <t>JÄMTLANDS LÄN</t>
        </is>
      </c>
      <c r="E2691" t="inlineStr">
        <is>
          <t>STRÖMSUND</t>
        </is>
      </c>
      <c r="F2691" t="inlineStr">
        <is>
          <t>SCA</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3519-2024</t>
        </is>
      </c>
      <c r="B2692" s="1" t="n">
        <v>45320</v>
      </c>
      <c r="C2692" s="1" t="n">
        <v>45579</v>
      </c>
      <c r="D2692" t="inlineStr">
        <is>
          <t>JÄMTLANDS LÄN</t>
        </is>
      </c>
      <c r="E2692" t="inlineStr">
        <is>
          <t>STRÖMSUND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3623-2024</t>
        </is>
      </c>
      <c r="B2693" s="1" t="n">
        <v>45320</v>
      </c>
      <c r="C2693" s="1" t="n">
        <v>45579</v>
      </c>
      <c r="D2693" t="inlineStr">
        <is>
          <t>JÄMTLANDS LÄN</t>
        </is>
      </c>
      <c r="E2693" t="inlineStr">
        <is>
          <t>STRÖMSUND</t>
        </is>
      </c>
      <c r="F2693" t="inlineStr">
        <is>
          <t>SCA</t>
        </is>
      </c>
      <c r="G2693" t="n">
        <v>22.9</v>
      </c>
      <c r="H2693" t="n">
        <v>0</v>
      </c>
      <c r="I2693" t="n">
        <v>0</v>
      </c>
      <c r="J2693" t="n">
        <v>0</v>
      </c>
      <c r="K2693" t="n">
        <v>0</v>
      </c>
      <c r="L2693" t="n">
        <v>0</v>
      </c>
      <c r="M2693" t="n">
        <v>0</v>
      </c>
      <c r="N2693" t="n">
        <v>0</v>
      </c>
      <c r="O2693" t="n">
        <v>0</v>
      </c>
      <c r="P2693" t="n">
        <v>0</v>
      </c>
      <c r="Q2693" t="n">
        <v>0</v>
      </c>
      <c r="R2693" s="2" t="inlineStr"/>
    </row>
    <row r="2694" ht="15" customHeight="1">
      <c r="A2694" t="inlineStr">
        <is>
          <t>A 3629-2024</t>
        </is>
      </c>
      <c r="B2694" s="1" t="n">
        <v>45320</v>
      </c>
      <c r="C2694" s="1" t="n">
        <v>45579</v>
      </c>
      <c r="D2694" t="inlineStr">
        <is>
          <t>JÄMTLANDS LÄN</t>
        </is>
      </c>
      <c r="E2694" t="inlineStr">
        <is>
          <t>STRÖMSUND</t>
        </is>
      </c>
      <c r="F2694" t="inlineStr">
        <is>
          <t>SCA</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3622-2024</t>
        </is>
      </c>
      <c r="B2695" s="1" t="n">
        <v>45320</v>
      </c>
      <c r="C2695" s="1" t="n">
        <v>45579</v>
      </c>
      <c r="D2695" t="inlineStr">
        <is>
          <t>JÄMTLANDS LÄN</t>
        </is>
      </c>
      <c r="E2695" t="inlineStr">
        <is>
          <t>STRÖMSUND</t>
        </is>
      </c>
      <c r="F2695" t="inlineStr">
        <is>
          <t>SCA</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3628-2024</t>
        </is>
      </c>
      <c r="B2696" s="1" t="n">
        <v>45320</v>
      </c>
      <c r="C2696" s="1" t="n">
        <v>45579</v>
      </c>
      <c r="D2696" t="inlineStr">
        <is>
          <t>JÄMTLANDS LÄN</t>
        </is>
      </c>
      <c r="E2696" t="inlineStr">
        <is>
          <t>STRÖMSUND</t>
        </is>
      </c>
      <c r="F2696" t="inlineStr">
        <is>
          <t>SCA</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3743-2024</t>
        </is>
      </c>
      <c r="B2697" s="1" t="n">
        <v>45321</v>
      </c>
      <c r="C2697" s="1" t="n">
        <v>45579</v>
      </c>
      <c r="D2697" t="inlineStr">
        <is>
          <t>JÄMTLANDS LÄN</t>
        </is>
      </c>
      <c r="E2697" t="inlineStr">
        <is>
          <t>STRÖMSUND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3835-2024</t>
        </is>
      </c>
      <c r="B2698" s="1" t="n">
        <v>45321</v>
      </c>
      <c r="C2698" s="1" t="n">
        <v>45579</v>
      </c>
      <c r="D2698" t="inlineStr">
        <is>
          <t>JÄMTLANDS LÄN</t>
        </is>
      </c>
      <c r="E2698" t="inlineStr">
        <is>
          <t>STRÖMSUND</t>
        </is>
      </c>
      <c r="F2698" t="inlineStr">
        <is>
          <t>SCA</t>
        </is>
      </c>
      <c r="G2698" t="n">
        <v>28.5</v>
      </c>
      <c r="H2698" t="n">
        <v>0</v>
      </c>
      <c r="I2698" t="n">
        <v>0</v>
      </c>
      <c r="J2698" t="n">
        <v>0</v>
      </c>
      <c r="K2698" t="n">
        <v>0</v>
      </c>
      <c r="L2698" t="n">
        <v>0</v>
      </c>
      <c r="M2698" t="n">
        <v>0</v>
      </c>
      <c r="N2698" t="n">
        <v>0</v>
      </c>
      <c r="O2698" t="n">
        <v>0</v>
      </c>
      <c r="P2698" t="n">
        <v>0</v>
      </c>
      <c r="Q2698" t="n">
        <v>0</v>
      </c>
      <c r="R2698" s="2" t="inlineStr"/>
    </row>
    <row r="2699" ht="15" customHeight="1">
      <c r="A2699" t="inlineStr">
        <is>
          <t>A 3834-2024</t>
        </is>
      </c>
      <c r="B2699" s="1" t="n">
        <v>45321</v>
      </c>
      <c r="C2699" s="1" t="n">
        <v>45579</v>
      </c>
      <c r="D2699" t="inlineStr">
        <is>
          <t>JÄMTLANDS LÄN</t>
        </is>
      </c>
      <c r="E2699" t="inlineStr">
        <is>
          <t>STRÖMSUND</t>
        </is>
      </c>
      <c r="F2699" t="inlineStr">
        <is>
          <t>SCA</t>
        </is>
      </c>
      <c r="G2699" t="n">
        <v>30.9</v>
      </c>
      <c r="H2699" t="n">
        <v>0</v>
      </c>
      <c r="I2699" t="n">
        <v>0</v>
      </c>
      <c r="J2699" t="n">
        <v>0</v>
      </c>
      <c r="K2699" t="n">
        <v>0</v>
      </c>
      <c r="L2699" t="n">
        <v>0</v>
      </c>
      <c r="M2699" t="n">
        <v>0</v>
      </c>
      <c r="N2699" t="n">
        <v>0</v>
      </c>
      <c r="O2699" t="n">
        <v>0</v>
      </c>
      <c r="P2699" t="n">
        <v>0</v>
      </c>
      <c r="Q2699" t="n">
        <v>0</v>
      </c>
      <c r="R2699" s="2" t="inlineStr"/>
    </row>
    <row r="2700" ht="15" customHeight="1">
      <c r="A2700" t="inlineStr">
        <is>
          <t>A 3841-2024</t>
        </is>
      </c>
      <c r="B2700" s="1" t="n">
        <v>45321</v>
      </c>
      <c r="C2700" s="1" t="n">
        <v>45579</v>
      </c>
      <c r="D2700" t="inlineStr">
        <is>
          <t>JÄMTLANDS LÄN</t>
        </is>
      </c>
      <c r="E2700" t="inlineStr">
        <is>
          <t>STRÖMSUND</t>
        </is>
      </c>
      <c r="F2700" t="inlineStr">
        <is>
          <t>SCA</t>
        </is>
      </c>
      <c r="G2700" t="n">
        <v>19.4</v>
      </c>
      <c r="H2700" t="n">
        <v>0</v>
      </c>
      <c r="I2700" t="n">
        <v>0</v>
      </c>
      <c r="J2700" t="n">
        <v>0</v>
      </c>
      <c r="K2700" t="n">
        <v>0</v>
      </c>
      <c r="L2700" t="n">
        <v>0</v>
      </c>
      <c r="M2700" t="n">
        <v>0</v>
      </c>
      <c r="N2700" t="n">
        <v>0</v>
      </c>
      <c r="O2700" t="n">
        <v>0</v>
      </c>
      <c r="P2700" t="n">
        <v>0</v>
      </c>
      <c r="Q2700" t="n">
        <v>0</v>
      </c>
      <c r="R2700" s="2" t="inlineStr"/>
    </row>
    <row r="2701" ht="15" customHeight="1">
      <c r="A2701" t="inlineStr">
        <is>
          <t>A 3994-2024</t>
        </is>
      </c>
      <c r="B2701" s="1" t="n">
        <v>45322</v>
      </c>
      <c r="C2701" s="1" t="n">
        <v>45579</v>
      </c>
      <c r="D2701" t="inlineStr">
        <is>
          <t>JÄMTLANDS LÄN</t>
        </is>
      </c>
      <c r="E2701" t="inlineStr">
        <is>
          <t>STRÖMSUND</t>
        </is>
      </c>
      <c r="F2701" t="inlineStr">
        <is>
          <t>SCA</t>
        </is>
      </c>
      <c r="G2701" t="n">
        <v>40.8</v>
      </c>
      <c r="H2701" t="n">
        <v>0</v>
      </c>
      <c r="I2701" t="n">
        <v>0</v>
      </c>
      <c r="J2701" t="n">
        <v>0</v>
      </c>
      <c r="K2701" t="n">
        <v>0</v>
      </c>
      <c r="L2701" t="n">
        <v>0</v>
      </c>
      <c r="M2701" t="n">
        <v>0</v>
      </c>
      <c r="N2701" t="n">
        <v>0</v>
      </c>
      <c r="O2701" t="n">
        <v>0</v>
      </c>
      <c r="P2701" t="n">
        <v>0</v>
      </c>
      <c r="Q2701" t="n">
        <v>0</v>
      </c>
      <c r="R2701" s="2" t="inlineStr"/>
    </row>
    <row r="2702" ht="15" customHeight="1">
      <c r="A2702" t="inlineStr">
        <is>
          <t>A 3997-2024</t>
        </is>
      </c>
      <c r="B2702" s="1" t="n">
        <v>45322</v>
      </c>
      <c r="C2702" s="1" t="n">
        <v>45579</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4178-2024</t>
        </is>
      </c>
      <c r="B2703" s="1" t="n">
        <v>45323</v>
      </c>
      <c r="C2703" s="1" t="n">
        <v>45579</v>
      </c>
      <c r="D2703" t="inlineStr">
        <is>
          <t>JÄMTLANDS LÄN</t>
        </is>
      </c>
      <c r="E2703" t="inlineStr">
        <is>
          <t>STRÖMSUND</t>
        </is>
      </c>
      <c r="F2703" t="inlineStr">
        <is>
          <t>SCA</t>
        </is>
      </c>
      <c r="G2703" t="n">
        <v>36.4</v>
      </c>
      <c r="H2703" t="n">
        <v>0</v>
      </c>
      <c r="I2703" t="n">
        <v>0</v>
      </c>
      <c r="J2703" t="n">
        <v>0</v>
      </c>
      <c r="K2703" t="n">
        <v>0</v>
      </c>
      <c r="L2703" t="n">
        <v>0</v>
      </c>
      <c r="M2703" t="n">
        <v>0</v>
      </c>
      <c r="N2703" t="n">
        <v>0</v>
      </c>
      <c r="O2703" t="n">
        <v>0</v>
      </c>
      <c r="P2703" t="n">
        <v>0</v>
      </c>
      <c r="Q2703" t="n">
        <v>0</v>
      </c>
      <c r="R2703" s="2" t="inlineStr"/>
    </row>
    <row r="2704" ht="15" customHeight="1">
      <c r="A2704" t="inlineStr">
        <is>
          <t>A 4177-2024</t>
        </is>
      </c>
      <c r="B2704" s="1" t="n">
        <v>45323</v>
      </c>
      <c r="C2704" s="1" t="n">
        <v>45579</v>
      </c>
      <c r="D2704" t="inlineStr">
        <is>
          <t>JÄMTLANDS LÄN</t>
        </is>
      </c>
      <c r="E2704" t="inlineStr">
        <is>
          <t>STRÖMSUND</t>
        </is>
      </c>
      <c r="F2704" t="inlineStr">
        <is>
          <t>SCA</t>
        </is>
      </c>
      <c r="G2704" t="n">
        <v>37.5</v>
      </c>
      <c r="H2704" t="n">
        <v>0</v>
      </c>
      <c r="I2704" t="n">
        <v>0</v>
      </c>
      <c r="J2704" t="n">
        <v>0</v>
      </c>
      <c r="K2704" t="n">
        <v>0</v>
      </c>
      <c r="L2704" t="n">
        <v>0</v>
      </c>
      <c r="M2704" t="n">
        <v>0</v>
      </c>
      <c r="N2704" t="n">
        <v>0</v>
      </c>
      <c r="O2704" t="n">
        <v>0</v>
      </c>
      <c r="P2704" t="n">
        <v>0</v>
      </c>
      <c r="Q2704" t="n">
        <v>0</v>
      </c>
      <c r="R2704" s="2" t="inlineStr"/>
    </row>
    <row r="2705" ht="15" customHeight="1">
      <c r="A2705" t="inlineStr">
        <is>
          <t>A 4179-2024</t>
        </is>
      </c>
      <c r="B2705" s="1" t="n">
        <v>45323</v>
      </c>
      <c r="C2705" s="1" t="n">
        <v>45579</v>
      </c>
      <c r="D2705" t="inlineStr">
        <is>
          <t>JÄMTLANDS LÄN</t>
        </is>
      </c>
      <c r="E2705" t="inlineStr">
        <is>
          <t>STRÖMSUND</t>
        </is>
      </c>
      <c r="F2705" t="inlineStr">
        <is>
          <t>SCA</t>
        </is>
      </c>
      <c r="G2705" t="n">
        <v>19.9</v>
      </c>
      <c r="H2705" t="n">
        <v>0</v>
      </c>
      <c r="I2705" t="n">
        <v>0</v>
      </c>
      <c r="J2705" t="n">
        <v>0</v>
      </c>
      <c r="K2705" t="n">
        <v>0</v>
      </c>
      <c r="L2705" t="n">
        <v>0</v>
      </c>
      <c r="M2705" t="n">
        <v>0</v>
      </c>
      <c r="N2705" t="n">
        <v>0</v>
      </c>
      <c r="O2705" t="n">
        <v>0</v>
      </c>
      <c r="P2705" t="n">
        <v>0</v>
      </c>
      <c r="Q2705" t="n">
        <v>0</v>
      </c>
      <c r="R2705" s="2" t="inlineStr"/>
    </row>
    <row r="2706" ht="15" customHeight="1">
      <c r="A2706" t="inlineStr">
        <is>
          <t>A 4449-2024</t>
        </is>
      </c>
      <c r="B2706" s="1" t="n">
        <v>45324</v>
      </c>
      <c r="C2706" s="1" t="n">
        <v>45579</v>
      </c>
      <c r="D2706" t="inlineStr">
        <is>
          <t>JÄMTLANDS LÄN</t>
        </is>
      </c>
      <c r="E2706" t="inlineStr">
        <is>
          <t>STRÖMSUND</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4378-2024</t>
        </is>
      </c>
      <c r="B2707" s="1" t="n">
        <v>45326</v>
      </c>
      <c r="C2707" s="1" t="n">
        <v>45579</v>
      </c>
      <c r="D2707" t="inlineStr">
        <is>
          <t>JÄMTLANDS LÄN</t>
        </is>
      </c>
      <c r="E2707" t="inlineStr">
        <is>
          <t>STRÖMSUND</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4436-2024</t>
        </is>
      </c>
      <c r="B2708" s="1" t="n">
        <v>45327</v>
      </c>
      <c r="C2708" s="1" t="n">
        <v>45579</v>
      </c>
      <c r="D2708" t="inlineStr">
        <is>
          <t>JÄMTLANDS LÄN</t>
        </is>
      </c>
      <c r="E2708" t="inlineStr">
        <is>
          <t>STRÖMSUND</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4507-2024</t>
        </is>
      </c>
      <c r="B2709" s="1" t="n">
        <v>45327</v>
      </c>
      <c r="C2709" s="1" t="n">
        <v>45579</v>
      </c>
      <c r="D2709" t="inlineStr">
        <is>
          <t>JÄMTLANDS LÄN</t>
        </is>
      </c>
      <c r="E2709" t="inlineStr">
        <is>
          <t>STRÖMSUND</t>
        </is>
      </c>
      <c r="F2709" t="inlineStr">
        <is>
          <t>Kyrkan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4514-2024</t>
        </is>
      </c>
      <c r="B2710" s="1" t="n">
        <v>45327</v>
      </c>
      <c r="C2710" s="1" t="n">
        <v>45579</v>
      </c>
      <c r="D2710" t="inlineStr">
        <is>
          <t>JÄMTLANDS LÄN</t>
        </is>
      </c>
      <c r="E2710" t="inlineStr">
        <is>
          <t>STRÖMSUND</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4586-2024</t>
        </is>
      </c>
      <c r="B2711" s="1" t="n">
        <v>45327</v>
      </c>
      <c r="C2711" s="1" t="n">
        <v>45579</v>
      </c>
      <c r="D2711" t="inlineStr">
        <is>
          <t>JÄMTLANDS LÄN</t>
        </is>
      </c>
      <c r="E2711" t="inlineStr">
        <is>
          <t>STRÖMSUND</t>
        </is>
      </c>
      <c r="F2711" t="inlineStr">
        <is>
          <t>SCA</t>
        </is>
      </c>
      <c r="G2711" t="n">
        <v>28.8</v>
      </c>
      <c r="H2711" t="n">
        <v>0</v>
      </c>
      <c r="I2711" t="n">
        <v>0</v>
      </c>
      <c r="J2711" t="n">
        <v>0</v>
      </c>
      <c r="K2711" t="n">
        <v>0</v>
      </c>
      <c r="L2711" t="n">
        <v>0</v>
      </c>
      <c r="M2711" t="n">
        <v>0</v>
      </c>
      <c r="N2711" t="n">
        <v>0</v>
      </c>
      <c r="O2711" t="n">
        <v>0</v>
      </c>
      <c r="P2711" t="n">
        <v>0</v>
      </c>
      <c r="Q2711" t="n">
        <v>0</v>
      </c>
      <c r="R2711" s="2" t="inlineStr"/>
    </row>
    <row r="2712" ht="15" customHeight="1">
      <c r="A2712" t="inlineStr">
        <is>
          <t>A 4579-2024</t>
        </is>
      </c>
      <c r="B2712" s="1" t="n">
        <v>45327</v>
      </c>
      <c r="C2712" s="1" t="n">
        <v>45579</v>
      </c>
      <c r="D2712" t="inlineStr">
        <is>
          <t>JÄMTLANDS LÄN</t>
        </is>
      </c>
      <c r="E2712" t="inlineStr">
        <is>
          <t>STRÖMSUND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4588-2024</t>
        </is>
      </c>
      <c r="B2713" s="1" t="n">
        <v>45327</v>
      </c>
      <c r="C2713" s="1" t="n">
        <v>45579</v>
      </c>
      <c r="D2713" t="inlineStr">
        <is>
          <t>JÄMTLANDS LÄN</t>
        </is>
      </c>
      <c r="E2713" t="inlineStr">
        <is>
          <t>STRÖMSUND</t>
        </is>
      </c>
      <c r="F2713" t="inlineStr">
        <is>
          <t>SCA</t>
        </is>
      </c>
      <c r="G2713" t="n">
        <v>23.9</v>
      </c>
      <c r="H2713" t="n">
        <v>0</v>
      </c>
      <c r="I2713" t="n">
        <v>0</v>
      </c>
      <c r="J2713" t="n">
        <v>0</v>
      </c>
      <c r="K2713" t="n">
        <v>0</v>
      </c>
      <c r="L2713" t="n">
        <v>0</v>
      </c>
      <c r="M2713" t="n">
        <v>0</v>
      </c>
      <c r="N2713" t="n">
        <v>0</v>
      </c>
      <c r="O2713" t="n">
        <v>0</v>
      </c>
      <c r="P2713" t="n">
        <v>0</v>
      </c>
      <c r="Q2713" t="n">
        <v>0</v>
      </c>
      <c r="R2713" s="2" t="inlineStr"/>
    </row>
    <row r="2714" ht="15" customHeight="1">
      <c r="A2714" t="inlineStr">
        <is>
          <t>A 4663-2024</t>
        </is>
      </c>
      <c r="B2714" s="1" t="n">
        <v>45328</v>
      </c>
      <c r="C2714" s="1" t="n">
        <v>45579</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4825-2024</t>
        </is>
      </c>
      <c r="B2715" s="1" t="n">
        <v>45328</v>
      </c>
      <c r="C2715" s="1" t="n">
        <v>45579</v>
      </c>
      <c r="D2715" t="inlineStr">
        <is>
          <t>JÄMTLANDS LÄN</t>
        </is>
      </c>
      <c r="E2715" t="inlineStr">
        <is>
          <t>STRÖMSUND</t>
        </is>
      </c>
      <c r="F2715" t="inlineStr">
        <is>
          <t>SCA</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4823-2024</t>
        </is>
      </c>
      <c r="B2716" s="1" t="n">
        <v>45328</v>
      </c>
      <c r="C2716" s="1" t="n">
        <v>45579</v>
      </c>
      <c r="D2716" t="inlineStr">
        <is>
          <t>JÄMTLANDS LÄN</t>
        </is>
      </c>
      <c r="E2716" t="inlineStr">
        <is>
          <t>STRÖMSUND</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4866-2024</t>
        </is>
      </c>
      <c r="B2717" s="1" t="n">
        <v>45329</v>
      </c>
      <c r="C2717" s="1" t="n">
        <v>45579</v>
      </c>
      <c r="D2717" t="inlineStr">
        <is>
          <t>JÄMTLANDS LÄN</t>
        </is>
      </c>
      <c r="E2717" t="inlineStr">
        <is>
          <t>STRÖMSUND</t>
        </is>
      </c>
      <c r="G2717" t="n">
        <v>16.8</v>
      </c>
      <c r="H2717" t="n">
        <v>0</v>
      </c>
      <c r="I2717" t="n">
        <v>0</v>
      </c>
      <c r="J2717" t="n">
        <v>0</v>
      </c>
      <c r="K2717" t="n">
        <v>0</v>
      </c>
      <c r="L2717" t="n">
        <v>0</v>
      </c>
      <c r="M2717" t="n">
        <v>0</v>
      </c>
      <c r="N2717" t="n">
        <v>0</v>
      </c>
      <c r="O2717" t="n">
        <v>0</v>
      </c>
      <c r="P2717" t="n">
        <v>0</v>
      </c>
      <c r="Q2717" t="n">
        <v>0</v>
      </c>
      <c r="R2717" s="2" t="inlineStr"/>
    </row>
    <row r="2718" ht="15" customHeight="1">
      <c r="A2718" t="inlineStr">
        <is>
          <t>A 5068-2024</t>
        </is>
      </c>
      <c r="B2718" s="1" t="n">
        <v>45329</v>
      </c>
      <c r="C2718" s="1" t="n">
        <v>45579</v>
      </c>
      <c r="D2718" t="inlineStr">
        <is>
          <t>JÄMTLANDS LÄN</t>
        </is>
      </c>
      <c r="E2718" t="inlineStr">
        <is>
          <t>STRÖMSUND</t>
        </is>
      </c>
      <c r="F2718" t="inlineStr">
        <is>
          <t>SCA</t>
        </is>
      </c>
      <c r="G2718" t="n">
        <v>28.3</v>
      </c>
      <c r="H2718" t="n">
        <v>0</v>
      </c>
      <c r="I2718" t="n">
        <v>0</v>
      </c>
      <c r="J2718" t="n">
        <v>0</v>
      </c>
      <c r="K2718" t="n">
        <v>0</v>
      </c>
      <c r="L2718" t="n">
        <v>0</v>
      </c>
      <c r="M2718" t="n">
        <v>0</v>
      </c>
      <c r="N2718" t="n">
        <v>0</v>
      </c>
      <c r="O2718" t="n">
        <v>0</v>
      </c>
      <c r="P2718" t="n">
        <v>0</v>
      </c>
      <c r="Q2718" t="n">
        <v>0</v>
      </c>
      <c r="R2718" s="2" t="inlineStr"/>
    </row>
    <row r="2719" ht="15" customHeight="1">
      <c r="A2719" t="inlineStr">
        <is>
          <t>A 5105-2024</t>
        </is>
      </c>
      <c r="B2719" s="1" t="n">
        <v>45330</v>
      </c>
      <c r="C2719" s="1" t="n">
        <v>45579</v>
      </c>
      <c r="D2719" t="inlineStr">
        <is>
          <t>JÄMTLANDS LÄN</t>
        </is>
      </c>
      <c r="E2719" t="inlineStr">
        <is>
          <t>STRÖMSUND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5260-2024</t>
        </is>
      </c>
      <c r="B2720" s="1" t="n">
        <v>45331</v>
      </c>
      <c r="C2720" s="1" t="n">
        <v>45579</v>
      </c>
      <c r="D2720" t="inlineStr">
        <is>
          <t>JÄMTLANDS LÄN</t>
        </is>
      </c>
      <c r="E2720" t="inlineStr">
        <is>
          <t>STRÖMSUND</t>
        </is>
      </c>
      <c r="F2720" t="inlineStr">
        <is>
          <t>SCA</t>
        </is>
      </c>
      <c r="G2720" t="n">
        <v>22.6</v>
      </c>
      <c r="H2720" t="n">
        <v>0</v>
      </c>
      <c r="I2720" t="n">
        <v>0</v>
      </c>
      <c r="J2720" t="n">
        <v>0</v>
      </c>
      <c r="K2720" t="n">
        <v>0</v>
      </c>
      <c r="L2720" t="n">
        <v>0</v>
      </c>
      <c r="M2720" t="n">
        <v>0</v>
      </c>
      <c r="N2720" t="n">
        <v>0</v>
      </c>
      <c r="O2720" t="n">
        <v>0</v>
      </c>
      <c r="P2720" t="n">
        <v>0</v>
      </c>
      <c r="Q2720" t="n">
        <v>0</v>
      </c>
      <c r="R2720" s="2" t="inlineStr"/>
    </row>
    <row r="2721" ht="15" customHeight="1">
      <c r="A2721" t="inlineStr">
        <is>
          <t>A 5259-2024</t>
        </is>
      </c>
      <c r="B2721" s="1" t="n">
        <v>45330</v>
      </c>
      <c r="C2721" s="1" t="n">
        <v>45579</v>
      </c>
      <c r="D2721" t="inlineStr">
        <is>
          <t>JÄMTLANDS LÄN</t>
        </is>
      </c>
      <c r="E2721" t="inlineStr">
        <is>
          <t>STRÖMSUND</t>
        </is>
      </c>
      <c r="F2721" t="inlineStr">
        <is>
          <t>SCA</t>
        </is>
      </c>
      <c r="G2721" t="n">
        <v>25.8</v>
      </c>
      <c r="H2721" t="n">
        <v>0</v>
      </c>
      <c r="I2721" t="n">
        <v>0</v>
      </c>
      <c r="J2721" t="n">
        <v>0</v>
      </c>
      <c r="K2721" t="n">
        <v>0</v>
      </c>
      <c r="L2721" t="n">
        <v>0</v>
      </c>
      <c r="M2721" t="n">
        <v>0</v>
      </c>
      <c r="N2721" t="n">
        <v>0</v>
      </c>
      <c r="O2721" t="n">
        <v>0</v>
      </c>
      <c r="P2721" t="n">
        <v>0</v>
      </c>
      <c r="Q2721" t="n">
        <v>0</v>
      </c>
      <c r="R2721" s="2" t="inlineStr"/>
    </row>
    <row r="2722" ht="15" customHeight="1">
      <c r="A2722" t="inlineStr">
        <is>
          <t>A 5262-2024</t>
        </is>
      </c>
      <c r="B2722" s="1" t="n">
        <v>45330</v>
      </c>
      <c r="C2722" s="1" t="n">
        <v>45579</v>
      </c>
      <c r="D2722" t="inlineStr">
        <is>
          <t>JÄMTLANDS LÄN</t>
        </is>
      </c>
      <c r="E2722" t="inlineStr">
        <is>
          <t>STRÖMSUND</t>
        </is>
      </c>
      <c r="F2722" t="inlineStr">
        <is>
          <t>SCA</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5267-2024</t>
        </is>
      </c>
      <c r="B2723" s="1" t="n">
        <v>45331</v>
      </c>
      <c r="C2723" s="1" t="n">
        <v>45579</v>
      </c>
      <c r="D2723" t="inlineStr">
        <is>
          <t>JÄMTLANDS LÄN</t>
        </is>
      </c>
      <c r="E2723" t="inlineStr">
        <is>
          <t>STRÖMSUND</t>
        </is>
      </c>
      <c r="F2723" t="inlineStr">
        <is>
          <t>SCA</t>
        </is>
      </c>
      <c r="G2723" t="n">
        <v>29.1</v>
      </c>
      <c r="H2723" t="n">
        <v>0</v>
      </c>
      <c r="I2723" t="n">
        <v>0</v>
      </c>
      <c r="J2723" t="n">
        <v>0</v>
      </c>
      <c r="K2723" t="n">
        <v>0</v>
      </c>
      <c r="L2723" t="n">
        <v>0</v>
      </c>
      <c r="M2723" t="n">
        <v>0</v>
      </c>
      <c r="N2723" t="n">
        <v>0</v>
      </c>
      <c r="O2723" t="n">
        <v>0</v>
      </c>
      <c r="P2723" t="n">
        <v>0</v>
      </c>
      <c r="Q2723" t="n">
        <v>0</v>
      </c>
      <c r="R2723" s="2" t="inlineStr"/>
    </row>
    <row r="2724" ht="15" customHeight="1">
      <c r="A2724" t="inlineStr">
        <is>
          <t>A 5261-2024</t>
        </is>
      </c>
      <c r="B2724" s="1" t="n">
        <v>45331</v>
      </c>
      <c r="C2724" s="1" t="n">
        <v>45579</v>
      </c>
      <c r="D2724" t="inlineStr">
        <is>
          <t>JÄMTLANDS LÄN</t>
        </is>
      </c>
      <c r="E2724" t="inlineStr">
        <is>
          <t>STRÖMSUND</t>
        </is>
      </c>
      <c r="F2724" t="inlineStr">
        <is>
          <t>SCA</t>
        </is>
      </c>
      <c r="G2724" t="n">
        <v>29.7</v>
      </c>
      <c r="H2724" t="n">
        <v>0</v>
      </c>
      <c r="I2724" t="n">
        <v>0</v>
      </c>
      <c r="J2724" t="n">
        <v>0</v>
      </c>
      <c r="K2724" t="n">
        <v>0</v>
      </c>
      <c r="L2724" t="n">
        <v>0</v>
      </c>
      <c r="M2724" t="n">
        <v>0</v>
      </c>
      <c r="N2724" t="n">
        <v>0</v>
      </c>
      <c r="O2724" t="n">
        <v>0</v>
      </c>
      <c r="P2724" t="n">
        <v>0</v>
      </c>
      <c r="Q2724" t="n">
        <v>0</v>
      </c>
      <c r="R2724" s="2" t="inlineStr"/>
    </row>
    <row r="2725" ht="15" customHeight="1">
      <c r="A2725" t="inlineStr">
        <is>
          <t>A 5333-2024</t>
        </is>
      </c>
      <c r="B2725" s="1" t="n">
        <v>45331</v>
      </c>
      <c r="C2725" s="1" t="n">
        <v>45579</v>
      </c>
      <c r="D2725" t="inlineStr">
        <is>
          <t>JÄMTLANDS LÄN</t>
        </is>
      </c>
      <c r="E2725" t="inlineStr">
        <is>
          <t>STRÖMSUND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5350-2024</t>
        </is>
      </c>
      <c r="B2726" s="1" t="n">
        <v>45331</v>
      </c>
      <c r="C2726" s="1" t="n">
        <v>45579</v>
      </c>
      <c r="D2726" t="inlineStr">
        <is>
          <t>JÄMTLANDS LÄN</t>
        </is>
      </c>
      <c r="E2726" t="inlineStr">
        <is>
          <t>STRÖMSUND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5327-2024</t>
        </is>
      </c>
      <c r="B2727" s="1" t="n">
        <v>45331</v>
      </c>
      <c r="C2727" s="1" t="n">
        <v>45579</v>
      </c>
      <c r="D2727" t="inlineStr">
        <is>
          <t>JÄMTLANDS LÄN</t>
        </is>
      </c>
      <c r="E2727" t="inlineStr">
        <is>
          <t>STRÖMSUND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5443-2024</t>
        </is>
      </c>
      <c r="B2728" s="1" t="n">
        <v>45331</v>
      </c>
      <c r="C2728" s="1" t="n">
        <v>45579</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5449-2024</t>
        </is>
      </c>
      <c r="B2729" s="1" t="n">
        <v>45331</v>
      </c>
      <c r="C2729" s="1" t="n">
        <v>45579</v>
      </c>
      <c r="D2729" t="inlineStr">
        <is>
          <t>JÄMTLANDS LÄN</t>
        </is>
      </c>
      <c r="E2729" t="inlineStr">
        <is>
          <t>STRÖMSUND</t>
        </is>
      </c>
      <c r="F2729" t="inlineStr">
        <is>
          <t>SCA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5453-2024</t>
        </is>
      </c>
      <c r="B2730" s="1" t="n">
        <v>45331</v>
      </c>
      <c r="C2730" s="1" t="n">
        <v>45579</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5451-2024</t>
        </is>
      </c>
      <c r="B2731" s="1" t="n">
        <v>45331</v>
      </c>
      <c r="C2731" s="1" t="n">
        <v>45579</v>
      </c>
      <c r="D2731" t="inlineStr">
        <is>
          <t>JÄMTLANDS LÄN</t>
        </is>
      </c>
      <c r="E2731" t="inlineStr">
        <is>
          <t>STRÖMSUND</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5444-2024</t>
        </is>
      </c>
      <c r="B2732" s="1" t="n">
        <v>45331</v>
      </c>
      <c r="C2732" s="1" t="n">
        <v>45579</v>
      </c>
      <c r="D2732" t="inlineStr">
        <is>
          <t>JÄMTLANDS LÄN</t>
        </is>
      </c>
      <c r="E2732" t="inlineStr">
        <is>
          <t>STRÖMSUND</t>
        </is>
      </c>
      <c r="F2732" t="inlineStr">
        <is>
          <t>SCA</t>
        </is>
      </c>
      <c r="G2732" t="n">
        <v>25.5</v>
      </c>
      <c r="H2732" t="n">
        <v>0</v>
      </c>
      <c r="I2732" t="n">
        <v>0</v>
      </c>
      <c r="J2732" t="n">
        <v>0</v>
      </c>
      <c r="K2732" t="n">
        <v>0</v>
      </c>
      <c r="L2732" t="n">
        <v>0</v>
      </c>
      <c r="M2732" t="n">
        <v>0</v>
      </c>
      <c r="N2732" t="n">
        <v>0</v>
      </c>
      <c r="O2732" t="n">
        <v>0</v>
      </c>
      <c r="P2732" t="n">
        <v>0</v>
      </c>
      <c r="Q2732" t="n">
        <v>0</v>
      </c>
      <c r="R2732" s="2" t="inlineStr"/>
    </row>
    <row r="2733" ht="15" customHeight="1">
      <c r="A2733" t="inlineStr">
        <is>
          <t>A 5450-2024</t>
        </is>
      </c>
      <c r="B2733" s="1" t="n">
        <v>45331</v>
      </c>
      <c r="C2733" s="1" t="n">
        <v>45579</v>
      </c>
      <c r="D2733" t="inlineStr">
        <is>
          <t>JÄMTLANDS LÄN</t>
        </is>
      </c>
      <c r="E2733" t="inlineStr">
        <is>
          <t>STRÖMSUND</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5454-2024</t>
        </is>
      </c>
      <c r="B2734" s="1" t="n">
        <v>45331</v>
      </c>
      <c r="C2734" s="1" t="n">
        <v>45579</v>
      </c>
      <c r="D2734" t="inlineStr">
        <is>
          <t>JÄMTLANDS LÄN</t>
        </is>
      </c>
      <c r="E2734" t="inlineStr">
        <is>
          <t>STRÖMSUND</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5736-2024</t>
        </is>
      </c>
      <c r="B2735" s="1" t="n">
        <v>45334</v>
      </c>
      <c r="C2735" s="1" t="n">
        <v>45579</v>
      </c>
      <c r="D2735" t="inlineStr">
        <is>
          <t>JÄMTLANDS LÄN</t>
        </is>
      </c>
      <c r="E2735" t="inlineStr">
        <is>
          <t>STRÖMSUND</t>
        </is>
      </c>
      <c r="F2735" t="inlineStr">
        <is>
          <t>SCA</t>
        </is>
      </c>
      <c r="G2735" t="n">
        <v>30.3</v>
      </c>
      <c r="H2735" t="n">
        <v>0</v>
      </c>
      <c r="I2735" t="n">
        <v>0</v>
      </c>
      <c r="J2735" t="n">
        <v>0</v>
      </c>
      <c r="K2735" t="n">
        <v>0</v>
      </c>
      <c r="L2735" t="n">
        <v>0</v>
      </c>
      <c r="M2735" t="n">
        <v>0</v>
      </c>
      <c r="N2735" t="n">
        <v>0</v>
      </c>
      <c r="O2735" t="n">
        <v>0</v>
      </c>
      <c r="P2735" t="n">
        <v>0</v>
      </c>
      <c r="Q2735" t="n">
        <v>0</v>
      </c>
      <c r="R2735" s="2" t="inlineStr"/>
    </row>
    <row r="2736" ht="15" customHeight="1">
      <c r="A2736" t="inlineStr">
        <is>
          <t>A 6083-2024</t>
        </is>
      </c>
      <c r="B2736" s="1" t="n">
        <v>45337</v>
      </c>
      <c r="C2736" s="1" t="n">
        <v>45579</v>
      </c>
      <c r="D2736" t="inlineStr">
        <is>
          <t>JÄMTLANDS LÄN</t>
        </is>
      </c>
      <c r="E2736" t="inlineStr">
        <is>
          <t>STRÖMSUND</t>
        </is>
      </c>
      <c r="F2736" t="inlineStr">
        <is>
          <t>SCA</t>
        </is>
      </c>
      <c r="G2736" t="n">
        <v>45.8</v>
      </c>
      <c r="H2736" t="n">
        <v>0</v>
      </c>
      <c r="I2736" t="n">
        <v>0</v>
      </c>
      <c r="J2736" t="n">
        <v>0</v>
      </c>
      <c r="K2736" t="n">
        <v>0</v>
      </c>
      <c r="L2736" t="n">
        <v>0</v>
      </c>
      <c r="M2736" t="n">
        <v>0</v>
      </c>
      <c r="N2736" t="n">
        <v>0</v>
      </c>
      <c r="O2736" t="n">
        <v>0</v>
      </c>
      <c r="P2736" t="n">
        <v>0</v>
      </c>
      <c r="Q2736" t="n">
        <v>0</v>
      </c>
      <c r="R2736" s="2" t="inlineStr"/>
    </row>
    <row r="2737" ht="15" customHeight="1">
      <c r="A2737" t="inlineStr">
        <is>
          <t>A 5930-2024</t>
        </is>
      </c>
      <c r="B2737" s="1" t="n">
        <v>45336</v>
      </c>
      <c r="C2737" s="1" t="n">
        <v>45579</v>
      </c>
      <c r="D2737" t="inlineStr">
        <is>
          <t>JÄMTLANDS LÄN</t>
        </is>
      </c>
      <c r="E2737" t="inlineStr">
        <is>
          <t>STRÖMSUND</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6085-2024</t>
        </is>
      </c>
      <c r="B2738" s="1" t="n">
        <v>45336</v>
      </c>
      <c r="C2738" s="1" t="n">
        <v>45579</v>
      </c>
      <c r="D2738" t="inlineStr">
        <is>
          <t>JÄMTLANDS LÄN</t>
        </is>
      </c>
      <c r="E2738" t="inlineStr">
        <is>
          <t>STRÖMSUND</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6174-2024</t>
        </is>
      </c>
      <c r="B2739" s="1" t="n">
        <v>45337</v>
      </c>
      <c r="C2739" s="1" t="n">
        <v>45579</v>
      </c>
      <c r="D2739" t="inlineStr">
        <is>
          <t>JÄMTLANDS LÄN</t>
        </is>
      </c>
      <c r="E2739" t="inlineStr">
        <is>
          <t>STRÖMSUND</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6112-2024</t>
        </is>
      </c>
      <c r="B2740" s="1" t="n">
        <v>45337</v>
      </c>
      <c r="C2740" s="1" t="n">
        <v>45579</v>
      </c>
      <c r="D2740" t="inlineStr">
        <is>
          <t>JÄMTLANDS LÄN</t>
        </is>
      </c>
      <c r="E2740" t="inlineStr">
        <is>
          <t>STRÖMSUND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6287-2024</t>
        </is>
      </c>
      <c r="B2741" s="1" t="n">
        <v>45337</v>
      </c>
      <c r="C2741" s="1" t="n">
        <v>45579</v>
      </c>
      <c r="D2741" t="inlineStr">
        <is>
          <t>JÄMTLANDS LÄN</t>
        </is>
      </c>
      <c r="E2741" t="inlineStr">
        <is>
          <t>STRÖMSUND</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6476-2024</t>
        </is>
      </c>
      <c r="B2742" s="1" t="n">
        <v>45338</v>
      </c>
      <c r="C2742" s="1" t="n">
        <v>45579</v>
      </c>
      <c r="D2742" t="inlineStr">
        <is>
          <t>JÄMTLANDS LÄN</t>
        </is>
      </c>
      <c r="E2742" t="inlineStr">
        <is>
          <t>STRÖMSUND</t>
        </is>
      </c>
      <c r="F2742" t="inlineStr">
        <is>
          <t>SCA</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6478-2024</t>
        </is>
      </c>
      <c r="B2743" s="1" t="n">
        <v>45338</v>
      </c>
      <c r="C2743" s="1" t="n">
        <v>45579</v>
      </c>
      <c r="D2743" t="inlineStr">
        <is>
          <t>JÄMTLANDS LÄN</t>
        </is>
      </c>
      <c r="E2743" t="inlineStr">
        <is>
          <t>STRÖMSUND</t>
        </is>
      </c>
      <c r="F2743" t="inlineStr">
        <is>
          <t>SCA</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6475-2024</t>
        </is>
      </c>
      <c r="B2744" s="1" t="n">
        <v>45338</v>
      </c>
      <c r="C2744" s="1" t="n">
        <v>45579</v>
      </c>
      <c r="D2744" t="inlineStr">
        <is>
          <t>JÄMTLANDS LÄN</t>
        </is>
      </c>
      <c r="E2744" t="inlineStr">
        <is>
          <t>STRÖMSUND</t>
        </is>
      </c>
      <c r="F2744" t="inlineStr">
        <is>
          <t>SCA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6479-2024</t>
        </is>
      </c>
      <c r="B2745" s="1" t="n">
        <v>45338</v>
      </c>
      <c r="C2745" s="1" t="n">
        <v>45579</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6512-2024</t>
        </is>
      </c>
      <c r="B2746" s="1" t="n">
        <v>45340</v>
      </c>
      <c r="C2746" s="1" t="n">
        <v>45579</v>
      </c>
      <c r="D2746" t="inlineStr">
        <is>
          <t>JÄMTLANDS LÄN</t>
        </is>
      </c>
      <c r="E2746" t="inlineStr">
        <is>
          <t>STRÖMSUND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6566-2024</t>
        </is>
      </c>
      <c r="B2747" s="1" t="n">
        <v>45341</v>
      </c>
      <c r="C2747" s="1" t="n">
        <v>45579</v>
      </c>
      <c r="D2747" t="inlineStr">
        <is>
          <t>JÄMTLANDS LÄN</t>
        </is>
      </c>
      <c r="E2747" t="inlineStr">
        <is>
          <t>STRÖMSUND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6693-2024</t>
        </is>
      </c>
      <c r="B2748" s="1" t="n">
        <v>45341</v>
      </c>
      <c r="C2748" s="1" t="n">
        <v>45579</v>
      </c>
      <c r="D2748" t="inlineStr">
        <is>
          <t>JÄMTLANDS LÄN</t>
        </is>
      </c>
      <c r="E2748" t="inlineStr">
        <is>
          <t>STRÖMSUND</t>
        </is>
      </c>
      <c r="F2748" t="inlineStr">
        <is>
          <t>SCA</t>
        </is>
      </c>
      <c r="G2748" t="n">
        <v>14.2</v>
      </c>
      <c r="H2748" t="n">
        <v>0</v>
      </c>
      <c r="I2748" t="n">
        <v>0</v>
      </c>
      <c r="J2748" t="n">
        <v>0</v>
      </c>
      <c r="K2748" t="n">
        <v>0</v>
      </c>
      <c r="L2748" t="n">
        <v>0</v>
      </c>
      <c r="M2748" t="n">
        <v>0</v>
      </c>
      <c r="N2748" t="n">
        <v>0</v>
      </c>
      <c r="O2748" t="n">
        <v>0</v>
      </c>
      <c r="P2748" t="n">
        <v>0</v>
      </c>
      <c r="Q2748" t="n">
        <v>0</v>
      </c>
      <c r="R2748" s="2" t="inlineStr"/>
    </row>
    <row r="2749" ht="15" customHeight="1">
      <c r="A2749" t="inlineStr">
        <is>
          <t>A 6696-2024</t>
        </is>
      </c>
      <c r="B2749" s="1" t="n">
        <v>45341</v>
      </c>
      <c r="C2749" s="1" t="n">
        <v>45579</v>
      </c>
      <c r="D2749" t="inlineStr">
        <is>
          <t>JÄMTLANDS LÄN</t>
        </is>
      </c>
      <c r="E2749" t="inlineStr">
        <is>
          <t>STRÖMSUND</t>
        </is>
      </c>
      <c r="F2749" t="inlineStr">
        <is>
          <t>SCA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6695-2024</t>
        </is>
      </c>
      <c r="B2750" s="1" t="n">
        <v>45341</v>
      </c>
      <c r="C2750" s="1" t="n">
        <v>45579</v>
      </c>
      <c r="D2750" t="inlineStr">
        <is>
          <t>JÄMTLANDS LÄN</t>
        </is>
      </c>
      <c r="E2750" t="inlineStr">
        <is>
          <t>STRÖMSUND</t>
        </is>
      </c>
      <c r="F2750" t="inlineStr">
        <is>
          <t>SCA</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6894-2024</t>
        </is>
      </c>
      <c r="B2751" s="1" t="n">
        <v>45342</v>
      </c>
      <c r="C2751" s="1" t="n">
        <v>45579</v>
      </c>
      <c r="D2751" t="inlineStr">
        <is>
          <t>JÄMTLANDS LÄN</t>
        </is>
      </c>
      <c r="E2751" t="inlineStr">
        <is>
          <t>STRÖMSUND</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6961-2024</t>
        </is>
      </c>
      <c r="B2752" s="1" t="n">
        <v>45343</v>
      </c>
      <c r="C2752" s="1" t="n">
        <v>45579</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7112-2024</t>
        </is>
      </c>
      <c r="B2753" s="1" t="n">
        <v>45343</v>
      </c>
      <c r="C2753" s="1" t="n">
        <v>45579</v>
      </c>
      <c r="D2753" t="inlineStr">
        <is>
          <t>JÄMTLANDS LÄN</t>
        </is>
      </c>
      <c r="E2753" t="inlineStr">
        <is>
          <t>STRÖMSUND</t>
        </is>
      </c>
      <c r="F2753" t="inlineStr">
        <is>
          <t>SCA</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7293-2024</t>
        </is>
      </c>
      <c r="B2754" s="1" t="n">
        <v>45344</v>
      </c>
      <c r="C2754" s="1" t="n">
        <v>45579</v>
      </c>
      <c r="D2754" t="inlineStr">
        <is>
          <t>JÄMTLANDS LÄN</t>
        </is>
      </c>
      <c r="E2754" t="inlineStr">
        <is>
          <t>STRÖMSUND</t>
        </is>
      </c>
      <c r="F2754" t="inlineStr">
        <is>
          <t>SCA</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7302-2024</t>
        </is>
      </c>
      <c r="B2755" s="1" t="n">
        <v>45344</v>
      </c>
      <c r="C2755" s="1" t="n">
        <v>45579</v>
      </c>
      <c r="D2755" t="inlineStr">
        <is>
          <t>JÄMTLANDS LÄN</t>
        </is>
      </c>
      <c r="E2755" t="inlineStr">
        <is>
          <t>STRÖMSUND</t>
        </is>
      </c>
      <c r="F2755" t="inlineStr">
        <is>
          <t>SCA</t>
        </is>
      </c>
      <c r="G2755" t="n">
        <v>30.8</v>
      </c>
      <c r="H2755" t="n">
        <v>0</v>
      </c>
      <c r="I2755" t="n">
        <v>0</v>
      </c>
      <c r="J2755" t="n">
        <v>0</v>
      </c>
      <c r="K2755" t="n">
        <v>0</v>
      </c>
      <c r="L2755" t="n">
        <v>0</v>
      </c>
      <c r="M2755" t="n">
        <v>0</v>
      </c>
      <c r="N2755" t="n">
        <v>0</v>
      </c>
      <c r="O2755" t="n">
        <v>0</v>
      </c>
      <c r="P2755" t="n">
        <v>0</v>
      </c>
      <c r="Q2755" t="n">
        <v>0</v>
      </c>
      <c r="R2755" s="2" t="inlineStr"/>
    </row>
    <row r="2756" ht="15" customHeight="1">
      <c r="A2756" t="inlineStr">
        <is>
          <t>A 7301-2024</t>
        </is>
      </c>
      <c r="B2756" s="1" t="n">
        <v>45344</v>
      </c>
      <c r="C2756" s="1" t="n">
        <v>45579</v>
      </c>
      <c r="D2756" t="inlineStr">
        <is>
          <t>JÄMTLANDS LÄN</t>
        </is>
      </c>
      <c r="E2756" t="inlineStr">
        <is>
          <t>STRÖMSUND</t>
        </is>
      </c>
      <c r="F2756" t="inlineStr">
        <is>
          <t>SCA</t>
        </is>
      </c>
      <c r="G2756" t="n">
        <v>28.2</v>
      </c>
      <c r="H2756" t="n">
        <v>0</v>
      </c>
      <c r="I2756" t="n">
        <v>0</v>
      </c>
      <c r="J2756" t="n">
        <v>0</v>
      </c>
      <c r="K2756" t="n">
        <v>0</v>
      </c>
      <c r="L2756" t="n">
        <v>0</v>
      </c>
      <c r="M2756" t="n">
        <v>0</v>
      </c>
      <c r="N2756" t="n">
        <v>0</v>
      </c>
      <c r="O2756" t="n">
        <v>0</v>
      </c>
      <c r="P2756" t="n">
        <v>0</v>
      </c>
      <c r="Q2756" t="n">
        <v>0</v>
      </c>
      <c r="R2756" s="2" t="inlineStr"/>
    </row>
    <row r="2757" ht="15" customHeight="1">
      <c r="A2757" t="inlineStr">
        <is>
          <t>A 7572-2024</t>
        </is>
      </c>
      <c r="B2757" s="1" t="n">
        <v>45348</v>
      </c>
      <c r="C2757" s="1" t="n">
        <v>45579</v>
      </c>
      <c r="D2757" t="inlineStr">
        <is>
          <t>JÄMTLANDS LÄN</t>
        </is>
      </c>
      <c r="E2757" t="inlineStr">
        <is>
          <t>STRÖMSUND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7803-2024</t>
        </is>
      </c>
      <c r="B2758" s="1" t="n">
        <v>45348</v>
      </c>
      <c r="C2758" s="1" t="n">
        <v>45579</v>
      </c>
      <c r="D2758" t="inlineStr">
        <is>
          <t>JÄMTLANDS LÄN</t>
        </is>
      </c>
      <c r="E2758" t="inlineStr">
        <is>
          <t>STRÖMSUND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7690-2024</t>
        </is>
      </c>
      <c r="B2759" s="1" t="n">
        <v>45349</v>
      </c>
      <c r="C2759" s="1" t="n">
        <v>45579</v>
      </c>
      <c r="D2759" t="inlineStr">
        <is>
          <t>JÄMTLANDS LÄN</t>
        </is>
      </c>
      <c r="E2759" t="inlineStr">
        <is>
          <t>STRÖMSUND</t>
        </is>
      </c>
      <c r="F2759" t="inlineStr">
        <is>
          <t>SCA</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8134-2024</t>
        </is>
      </c>
      <c r="B2760" s="1" t="n">
        <v>45349</v>
      </c>
      <c r="C2760" s="1" t="n">
        <v>45579</v>
      </c>
      <c r="D2760" t="inlineStr">
        <is>
          <t>JÄMTLANDS LÄN</t>
        </is>
      </c>
      <c r="E2760" t="inlineStr">
        <is>
          <t>STRÖMSUND</t>
        </is>
      </c>
      <c r="G2760" t="n">
        <v>22.9</v>
      </c>
      <c r="H2760" t="n">
        <v>0</v>
      </c>
      <c r="I2760" t="n">
        <v>0</v>
      </c>
      <c r="J2760" t="n">
        <v>0</v>
      </c>
      <c r="K2760" t="n">
        <v>0</v>
      </c>
      <c r="L2760" t="n">
        <v>0</v>
      </c>
      <c r="M2760" t="n">
        <v>0</v>
      </c>
      <c r="N2760" t="n">
        <v>0</v>
      </c>
      <c r="O2760" t="n">
        <v>0</v>
      </c>
      <c r="P2760" t="n">
        <v>0</v>
      </c>
      <c r="Q2760" t="n">
        <v>0</v>
      </c>
      <c r="R2760" s="2" t="inlineStr"/>
    </row>
    <row r="2761" ht="15" customHeight="1">
      <c r="A2761" t="inlineStr">
        <is>
          <t>A 8133-2024</t>
        </is>
      </c>
      <c r="B2761" s="1" t="n">
        <v>45349</v>
      </c>
      <c r="C2761" s="1" t="n">
        <v>45579</v>
      </c>
      <c r="D2761" t="inlineStr">
        <is>
          <t>JÄMTLANDS LÄN</t>
        </is>
      </c>
      <c r="E2761" t="inlineStr">
        <is>
          <t>STRÖMSUND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7854-2024</t>
        </is>
      </c>
      <c r="B2762" s="1" t="n">
        <v>45350</v>
      </c>
      <c r="C2762" s="1" t="n">
        <v>45579</v>
      </c>
      <c r="D2762" t="inlineStr">
        <is>
          <t>JÄMTLANDS LÄN</t>
        </is>
      </c>
      <c r="E2762" t="inlineStr">
        <is>
          <t>STRÖMSUND</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8297-2024</t>
        </is>
      </c>
      <c r="B2763" s="1" t="n">
        <v>45350</v>
      </c>
      <c r="C2763" s="1" t="n">
        <v>45579</v>
      </c>
      <c r="D2763" t="inlineStr">
        <is>
          <t>JÄMTLANDS LÄN</t>
        </is>
      </c>
      <c r="E2763" t="inlineStr">
        <is>
          <t>STRÖMSUND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8419-2024</t>
        </is>
      </c>
      <c r="B2764" s="1" t="n">
        <v>45352</v>
      </c>
      <c r="C2764" s="1" t="n">
        <v>45579</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8420-2024</t>
        </is>
      </c>
      <c r="B2765" s="1" t="n">
        <v>45352</v>
      </c>
      <c r="C2765" s="1" t="n">
        <v>45579</v>
      </c>
      <c r="D2765" t="inlineStr">
        <is>
          <t>JÄMTLANDS LÄN</t>
        </is>
      </c>
      <c r="E2765" t="inlineStr">
        <is>
          <t>STRÖMSUND</t>
        </is>
      </c>
      <c r="F2765" t="inlineStr">
        <is>
          <t>SCA</t>
        </is>
      </c>
      <c r="G2765" t="n">
        <v>9.800000000000001</v>
      </c>
      <c r="H2765" t="n">
        <v>0</v>
      </c>
      <c r="I2765" t="n">
        <v>0</v>
      </c>
      <c r="J2765" t="n">
        <v>0</v>
      </c>
      <c r="K2765" t="n">
        <v>0</v>
      </c>
      <c r="L2765" t="n">
        <v>0</v>
      </c>
      <c r="M2765" t="n">
        <v>0</v>
      </c>
      <c r="N2765" t="n">
        <v>0</v>
      </c>
      <c r="O2765" t="n">
        <v>0</v>
      </c>
      <c r="P2765" t="n">
        <v>0</v>
      </c>
      <c r="Q2765" t="n">
        <v>0</v>
      </c>
      <c r="R2765" s="2" t="inlineStr"/>
      <c r="U2765">
        <f>HYPERLINK("https://klasma.github.io/Logging_2313/knärot/A 8420-2024 karta knärot.png", "A 8420-2024")</f>
        <v/>
      </c>
      <c r="V2765">
        <f>HYPERLINK("https://klasma.github.io/Logging_2313/klagomål/A 8420-2024 FSC-klagomål.docx", "A 8420-2024")</f>
        <v/>
      </c>
      <c r="W2765">
        <f>HYPERLINK("https://klasma.github.io/Logging_2313/klagomålsmail/A 8420-2024 FSC-klagomål mail.docx", "A 8420-2024")</f>
        <v/>
      </c>
      <c r="X2765">
        <f>HYPERLINK("https://klasma.github.io/Logging_2313/tillsyn/A 8420-2024 tillsynsbegäran.docx", "A 8420-2024")</f>
        <v/>
      </c>
      <c r="Y2765">
        <f>HYPERLINK("https://klasma.github.io/Logging_2313/tillsynsmail/A 8420-2024 tillsynsbegäran mail.docx", "A 8420-2024")</f>
        <v/>
      </c>
    </row>
    <row r="2766" ht="15" customHeight="1">
      <c r="A2766" t="inlineStr">
        <is>
          <t>A 8421-2024</t>
        </is>
      </c>
      <c r="B2766" s="1" t="n">
        <v>45353</v>
      </c>
      <c r="C2766" s="1" t="n">
        <v>45579</v>
      </c>
      <c r="D2766" t="inlineStr">
        <is>
          <t>JÄMTLANDS LÄN</t>
        </is>
      </c>
      <c r="E2766" t="inlineStr">
        <is>
          <t>STRÖMSUND</t>
        </is>
      </c>
      <c r="F2766" t="inlineStr">
        <is>
          <t>SCA</t>
        </is>
      </c>
      <c r="G2766" t="n">
        <v>35.8</v>
      </c>
      <c r="H2766" t="n">
        <v>0</v>
      </c>
      <c r="I2766" t="n">
        <v>0</v>
      </c>
      <c r="J2766" t="n">
        <v>0</v>
      </c>
      <c r="K2766" t="n">
        <v>0</v>
      </c>
      <c r="L2766" t="n">
        <v>0</v>
      </c>
      <c r="M2766" t="n">
        <v>0</v>
      </c>
      <c r="N2766" t="n">
        <v>0</v>
      </c>
      <c r="O2766" t="n">
        <v>0</v>
      </c>
      <c r="P2766" t="n">
        <v>0</v>
      </c>
      <c r="Q2766" t="n">
        <v>0</v>
      </c>
      <c r="R2766" s="2" t="inlineStr"/>
    </row>
    <row r="2767" ht="15" customHeight="1">
      <c r="A2767" t="inlineStr">
        <is>
          <t>A 8663-2024</t>
        </is>
      </c>
      <c r="B2767" s="1" t="n">
        <v>45356</v>
      </c>
      <c r="C2767" s="1" t="n">
        <v>45579</v>
      </c>
      <c r="D2767" t="inlineStr">
        <is>
          <t>JÄMTLANDS LÄN</t>
        </is>
      </c>
      <c r="E2767" t="inlineStr">
        <is>
          <t>STRÖMSUND</t>
        </is>
      </c>
      <c r="F2767" t="inlineStr">
        <is>
          <t>SCA</t>
        </is>
      </c>
      <c r="G2767" t="n">
        <v>24.8</v>
      </c>
      <c r="H2767" t="n">
        <v>0</v>
      </c>
      <c r="I2767" t="n">
        <v>0</v>
      </c>
      <c r="J2767" t="n">
        <v>0</v>
      </c>
      <c r="K2767" t="n">
        <v>0</v>
      </c>
      <c r="L2767" t="n">
        <v>0</v>
      </c>
      <c r="M2767" t="n">
        <v>0</v>
      </c>
      <c r="N2767" t="n">
        <v>0</v>
      </c>
      <c r="O2767" t="n">
        <v>0</v>
      </c>
      <c r="P2767" t="n">
        <v>0</v>
      </c>
      <c r="Q2767" t="n">
        <v>0</v>
      </c>
      <c r="R2767" s="2" t="inlineStr"/>
    </row>
    <row r="2768" ht="15" customHeight="1">
      <c r="A2768" t="inlineStr">
        <is>
          <t>A 8637-2024</t>
        </is>
      </c>
      <c r="B2768" s="1" t="n">
        <v>45356</v>
      </c>
      <c r="C2768" s="1" t="n">
        <v>45579</v>
      </c>
      <c r="D2768" t="inlineStr">
        <is>
          <t>JÄMTLANDS LÄN</t>
        </is>
      </c>
      <c r="E2768" t="inlineStr">
        <is>
          <t>STRÖMSUND</t>
        </is>
      </c>
      <c r="F2768" t="inlineStr">
        <is>
          <t>SCA</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8661-2024</t>
        </is>
      </c>
      <c r="B2769" s="1" t="n">
        <v>45356</v>
      </c>
      <c r="C2769" s="1" t="n">
        <v>45579</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8743-2024</t>
        </is>
      </c>
      <c r="B2770" s="1" t="n">
        <v>45356</v>
      </c>
      <c r="C2770" s="1" t="n">
        <v>45579</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8662-2024</t>
        </is>
      </c>
      <c r="B2771" s="1" t="n">
        <v>45356</v>
      </c>
      <c r="C2771" s="1" t="n">
        <v>45579</v>
      </c>
      <c r="D2771" t="inlineStr">
        <is>
          <t>JÄMTLANDS LÄN</t>
        </is>
      </c>
      <c r="E2771" t="inlineStr">
        <is>
          <t>STRÖMSUND</t>
        </is>
      </c>
      <c r="F2771" t="inlineStr">
        <is>
          <t>SCA</t>
        </is>
      </c>
      <c r="G2771" t="n">
        <v>24.6</v>
      </c>
      <c r="H2771" t="n">
        <v>0</v>
      </c>
      <c r="I2771" t="n">
        <v>0</v>
      </c>
      <c r="J2771" t="n">
        <v>0</v>
      </c>
      <c r="K2771" t="n">
        <v>0</v>
      </c>
      <c r="L2771" t="n">
        <v>0</v>
      </c>
      <c r="M2771" t="n">
        <v>0</v>
      </c>
      <c r="N2771" t="n">
        <v>0</v>
      </c>
      <c r="O2771" t="n">
        <v>0</v>
      </c>
      <c r="P2771" t="n">
        <v>0</v>
      </c>
      <c r="Q2771" t="n">
        <v>0</v>
      </c>
      <c r="R2771" s="2" t="inlineStr"/>
    </row>
    <row r="2772" ht="15" customHeight="1">
      <c r="A2772" t="inlineStr">
        <is>
          <t>A 8745-2024</t>
        </is>
      </c>
      <c r="B2772" s="1" t="n">
        <v>45356</v>
      </c>
      <c r="C2772" s="1" t="n">
        <v>45579</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9035-2024</t>
        </is>
      </c>
      <c r="B2773" s="1" t="n">
        <v>45356</v>
      </c>
      <c r="C2773" s="1" t="n">
        <v>45579</v>
      </c>
      <c r="D2773" t="inlineStr">
        <is>
          <t>JÄMTLANDS LÄN</t>
        </is>
      </c>
      <c r="E2773" t="inlineStr">
        <is>
          <t>STRÖMSUND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8895-2024</t>
        </is>
      </c>
      <c r="B2774" s="1" t="n">
        <v>45357</v>
      </c>
      <c r="C2774" s="1" t="n">
        <v>45579</v>
      </c>
      <c r="D2774" t="inlineStr">
        <is>
          <t>JÄMTLANDS LÄN</t>
        </is>
      </c>
      <c r="E2774" t="inlineStr">
        <is>
          <t>STRÖMSUND</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9329-2024</t>
        </is>
      </c>
      <c r="B2775" s="1" t="n">
        <v>45359</v>
      </c>
      <c r="C2775" s="1" t="n">
        <v>45579</v>
      </c>
      <c r="D2775" t="inlineStr">
        <is>
          <t>JÄMTLANDS LÄN</t>
        </is>
      </c>
      <c r="E2775" t="inlineStr">
        <is>
          <t>STRÖMSUND</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9514-2024</t>
        </is>
      </c>
      <c r="B2776" s="1" t="n">
        <v>45359</v>
      </c>
      <c r="C2776" s="1" t="n">
        <v>45579</v>
      </c>
      <c r="D2776" t="inlineStr">
        <is>
          <t>JÄMTLANDS LÄN</t>
        </is>
      </c>
      <c r="E2776" t="inlineStr">
        <is>
          <t>STRÖMSUND</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9559-2024</t>
        </is>
      </c>
      <c r="B2777" s="1" t="n">
        <v>45360</v>
      </c>
      <c r="C2777" s="1" t="n">
        <v>45579</v>
      </c>
      <c r="D2777" t="inlineStr">
        <is>
          <t>JÄMTLANDS LÄN</t>
        </is>
      </c>
      <c r="E2777" t="inlineStr">
        <is>
          <t>STRÖMSUND</t>
        </is>
      </c>
      <c r="F2777" t="inlineStr">
        <is>
          <t>SCA</t>
        </is>
      </c>
      <c r="G2777" t="n">
        <v>28.3</v>
      </c>
      <c r="H2777" t="n">
        <v>0</v>
      </c>
      <c r="I2777" t="n">
        <v>0</v>
      </c>
      <c r="J2777" t="n">
        <v>0</v>
      </c>
      <c r="K2777" t="n">
        <v>0</v>
      </c>
      <c r="L2777" t="n">
        <v>0</v>
      </c>
      <c r="M2777" t="n">
        <v>0</v>
      </c>
      <c r="N2777" t="n">
        <v>0</v>
      </c>
      <c r="O2777" t="n">
        <v>0</v>
      </c>
      <c r="P2777" t="n">
        <v>0</v>
      </c>
      <c r="Q2777" t="n">
        <v>0</v>
      </c>
      <c r="R2777" s="2" t="inlineStr"/>
    </row>
    <row r="2778" ht="15" customHeight="1">
      <c r="A2778" t="inlineStr">
        <is>
          <t>A 9706-2024</t>
        </is>
      </c>
      <c r="B2778" s="1" t="n">
        <v>45362</v>
      </c>
      <c r="C2778" s="1" t="n">
        <v>45579</v>
      </c>
      <c r="D2778" t="inlineStr">
        <is>
          <t>JÄMTLANDS LÄN</t>
        </is>
      </c>
      <c r="E2778" t="inlineStr">
        <is>
          <t>STRÖMSUND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9707-2024</t>
        </is>
      </c>
      <c r="B2779" s="1" t="n">
        <v>45362</v>
      </c>
      <c r="C2779" s="1" t="n">
        <v>45579</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9824-2024</t>
        </is>
      </c>
      <c r="B2780" s="1" t="n">
        <v>45363</v>
      </c>
      <c r="C2780" s="1" t="n">
        <v>45579</v>
      </c>
      <c r="D2780" t="inlineStr">
        <is>
          <t>JÄMTLANDS LÄN</t>
        </is>
      </c>
      <c r="E2780" t="inlineStr">
        <is>
          <t>STRÖMSUND</t>
        </is>
      </c>
      <c r="F2780" t="inlineStr">
        <is>
          <t>SCA</t>
        </is>
      </c>
      <c r="G2780" t="n">
        <v>21.5</v>
      </c>
      <c r="H2780" t="n">
        <v>0</v>
      </c>
      <c r="I2780" t="n">
        <v>0</v>
      </c>
      <c r="J2780" t="n">
        <v>0</v>
      </c>
      <c r="K2780" t="n">
        <v>0</v>
      </c>
      <c r="L2780" t="n">
        <v>0</v>
      </c>
      <c r="M2780" t="n">
        <v>0</v>
      </c>
      <c r="N2780" t="n">
        <v>0</v>
      </c>
      <c r="O2780" t="n">
        <v>0</v>
      </c>
      <c r="P2780" t="n">
        <v>0</v>
      </c>
      <c r="Q2780" t="n">
        <v>0</v>
      </c>
      <c r="R2780" s="2" t="inlineStr"/>
    </row>
    <row r="2781" ht="15" customHeight="1">
      <c r="A2781" t="inlineStr">
        <is>
          <t>A 9940-2024</t>
        </is>
      </c>
      <c r="B2781" s="1" t="n">
        <v>45363</v>
      </c>
      <c r="C2781" s="1" t="n">
        <v>45579</v>
      </c>
      <c r="D2781" t="inlineStr">
        <is>
          <t>JÄMTLANDS LÄN</t>
        </is>
      </c>
      <c r="E2781" t="inlineStr">
        <is>
          <t>STRÖMSUND</t>
        </is>
      </c>
      <c r="F2781" t="inlineStr">
        <is>
          <t>Holmen skog AB</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10033-2024</t>
        </is>
      </c>
      <c r="B2782" s="1" t="n">
        <v>45364</v>
      </c>
      <c r="C2782" s="1" t="n">
        <v>45579</v>
      </c>
      <c r="D2782" t="inlineStr">
        <is>
          <t>JÄMTLANDS LÄN</t>
        </is>
      </c>
      <c r="E2782" t="inlineStr">
        <is>
          <t>STRÖMSUND</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10041-2024</t>
        </is>
      </c>
      <c r="B2783" s="1" t="n">
        <v>45364</v>
      </c>
      <c r="C2783" s="1" t="n">
        <v>45579</v>
      </c>
      <c r="D2783" t="inlineStr">
        <is>
          <t>JÄMTLANDS LÄN</t>
        </is>
      </c>
      <c r="E2783" t="inlineStr">
        <is>
          <t>STRÖMSUND</t>
        </is>
      </c>
      <c r="F2783" t="inlineStr">
        <is>
          <t>SCA</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10031-2024</t>
        </is>
      </c>
      <c r="B2784" s="1" t="n">
        <v>45364</v>
      </c>
      <c r="C2784" s="1" t="n">
        <v>45579</v>
      </c>
      <c r="D2784" t="inlineStr">
        <is>
          <t>JÄMTLANDS LÄN</t>
        </is>
      </c>
      <c r="E2784" t="inlineStr">
        <is>
          <t>STRÖMSUND</t>
        </is>
      </c>
      <c r="F2784" t="inlineStr">
        <is>
          <t>SCA</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10043-2024</t>
        </is>
      </c>
      <c r="B2785" s="1" t="n">
        <v>45364</v>
      </c>
      <c r="C2785" s="1" t="n">
        <v>45579</v>
      </c>
      <c r="D2785" t="inlineStr">
        <is>
          <t>JÄMTLANDS LÄN</t>
        </is>
      </c>
      <c r="E2785" t="inlineStr">
        <is>
          <t>STRÖMSUND</t>
        </is>
      </c>
      <c r="F2785" t="inlineStr">
        <is>
          <t>SCA</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10030-2024</t>
        </is>
      </c>
      <c r="B2786" s="1" t="n">
        <v>45364</v>
      </c>
      <c r="C2786" s="1" t="n">
        <v>45579</v>
      </c>
      <c r="D2786" t="inlineStr">
        <is>
          <t>JÄMTLANDS LÄN</t>
        </is>
      </c>
      <c r="E2786" t="inlineStr">
        <is>
          <t>STRÖMSUND</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10034-2024</t>
        </is>
      </c>
      <c r="B2787" s="1" t="n">
        <v>45364</v>
      </c>
      <c r="C2787" s="1" t="n">
        <v>45579</v>
      </c>
      <c r="D2787" t="inlineStr">
        <is>
          <t>JÄMTLANDS LÄN</t>
        </is>
      </c>
      <c r="E2787" t="inlineStr">
        <is>
          <t>STRÖMSUND</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10042-2024</t>
        </is>
      </c>
      <c r="B2788" s="1" t="n">
        <v>45364</v>
      </c>
      <c r="C2788" s="1" t="n">
        <v>45579</v>
      </c>
      <c r="D2788" t="inlineStr">
        <is>
          <t>JÄMTLANDS LÄN</t>
        </is>
      </c>
      <c r="E2788" t="inlineStr">
        <is>
          <t>STRÖMSUND</t>
        </is>
      </c>
      <c r="F2788" t="inlineStr">
        <is>
          <t>SCA</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10032-2024</t>
        </is>
      </c>
      <c r="B2789" s="1" t="n">
        <v>45364</v>
      </c>
      <c r="C2789" s="1" t="n">
        <v>45579</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10212-2024</t>
        </is>
      </c>
      <c r="B2790" s="1" t="n">
        <v>45364</v>
      </c>
      <c r="C2790" s="1" t="n">
        <v>45579</v>
      </c>
      <c r="D2790" t="inlineStr">
        <is>
          <t>JÄMTLANDS LÄN</t>
        </is>
      </c>
      <c r="E2790" t="inlineStr">
        <is>
          <t>STRÖMSUND</t>
        </is>
      </c>
      <c r="F2790" t="inlineStr">
        <is>
          <t>SCA</t>
        </is>
      </c>
      <c r="G2790" t="n">
        <v>36.5</v>
      </c>
      <c r="H2790" t="n">
        <v>0</v>
      </c>
      <c r="I2790" t="n">
        <v>0</v>
      </c>
      <c r="J2790" t="n">
        <v>0</v>
      </c>
      <c r="K2790" t="n">
        <v>0</v>
      </c>
      <c r="L2790" t="n">
        <v>0</v>
      </c>
      <c r="M2790" t="n">
        <v>0</v>
      </c>
      <c r="N2790" t="n">
        <v>0</v>
      </c>
      <c r="O2790" t="n">
        <v>0</v>
      </c>
      <c r="P2790" t="n">
        <v>0</v>
      </c>
      <c r="Q2790" t="n">
        <v>0</v>
      </c>
      <c r="R2790" s="2" t="inlineStr"/>
    </row>
    <row r="2791" ht="15" customHeight="1">
      <c r="A2791" t="inlineStr">
        <is>
          <t>A 10216-2024</t>
        </is>
      </c>
      <c r="B2791" s="1" t="n">
        <v>45364</v>
      </c>
      <c r="C2791" s="1" t="n">
        <v>45579</v>
      </c>
      <c r="D2791" t="inlineStr">
        <is>
          <t>JÄMTLANDS LÄN</t>
        </is>
      </c>
      <c r="E2791" t="inlineStr">
        <is>
          <t>STRÖMSUND</t>
        </is>
      </c>
      <c r="F2791" t="inlineStr">
        <is>
          <t>SCA</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10422-2024</t>
        </is>
      </c>
      <c r="B2792" s="1" t="n">
        <v>45365</v>
      </c>
      <c r="C2792" s="1" t="n">
        <v>45579</v>
      </c>
      <c r="D2792" t="inlineStr">
        <is>
          <t>JÄMTLANDS LÄN</t>
        </is>
      </c>
      <c r="E2792" t="inlineStr">
        <is>
          <t>STRÖMSUND</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10611-2024</t>
        </is>
      </c>
      <c r="B2793" s="1" t="n">
        <v>45367</v>
      </c>
      <c r="C2793" s="1" t="n">
        <v>45579</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10622-2024</t>
        </is>
      </c>
      <c r="B2794" s="1" t="n">
        <v>45367</v>
      </c>
      <c r="C2794" s="1" t="n">
        <v>45579</v>
      </c>
      <c r="D2794" t="inlineStr">
        <is>
          <t>JÄMTLANDS LÄN</t>
        </is>
      </c>
      <c r="E2794" t="inlineStr">
        <is>
          <t>STRÖMSUND</t>
        </is>
      </c>
      <c r="F2794" t="inlineStr">
        <is>
          <t>SCA</t>
        </is>
      </c>
      <c r="G2794" t="n">
        <v>30.8</v>
      </c>
      <c r="H2794" t="n">
        <v>0</v>
      </c>
      <c r="I2794" t="n">
        <v>0</v>
      </c>
      <c r="J2794" t="n">
        <v>0</v>
      </c>
      <c r="K2794" t="n">
        <v>0</v>
      </c>
      <c r="L2794" t="n">
        <v>0</v>
      </c>
      <c r="M2794" t="n">
        <v>0</v>
      </c>
      <c r="N2794" t="n">
        <v>0</v>
      </c>
      <c r="O2794" t="n">
        <v>0</v>
      </c>
      <c r="P2794" t="n">
        <v>0</v>
      </c>
      <c r="Q2794" t="n">
        <v>0</v>
      </c>
      <c r="R2794" s="2" t="inlineStr"/>
    </row>
    <row r="2795" ht="15" customHeight="1">
      <c r="A2795" t="inlineStr">
        <is>
          <t>A 10865-2024</t>
        </is>
      </c>
      <c r="B2795" s="1" t="n">
        <v>45370</v>
      </c>
      <c r="C2795" s="1" t="n">
        <v>45579</v>
      </c>
      <c r="D2795" t="inlineStr">
        <is>
          <t>JÄMTLANDS LÄN</t>
        </is>
      </c>
      <c r="E2795" t="inlineStr">
        <is>
          <t>STRÖMSUND</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10864-2024</t>
        </is>
      </c>
      <c r="B2796" s="1" t="n">
        <v>45370</v>
      </c>
      <c r="C2796" s="1" t="n">
        <v>45579</v>
      </c>
      <c r="D2796" t="inlineStr">
        <is>
          <t>JÄMTLANDS LÄN</t>
        </is>
      </c>
      <c r="E2796" t="inlineStr">
        <is>
          <t>STRÖMSUND</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11340-2024</t>
        </is>
      </c>
      <c r="B2797" s="1" t="n">
        <v>45372</v>
      </c>
      <c r="C2797" s="1" t="n">
        <v>45579</v>
      </c>
      <c r="D2797" t="inlineStr">
        <is>
          <t>JÄMTLANDS LÄN</t>
        </is>
      </c>
      <c r="E2797" t="inlineStr">
        <is>
          <t>STRÖMSUND</t>
        </is>
      </c>
      <c r="F2797" t="inlineStr">
        <is>
          <t>SCA</t>
        </is>
      </c>
      <c r="G2797" t="n">
        <v>13.7</v>
      </c>
      <c r="H2797" t="n">
        <v>0</v>
      </c>
      <c r="I2797" t="n">
        <v>0</v>
      </c>
      <c r="J2797" t="n">
        <v>0</v>
      </c>
      <c r="K2797" t="n">
        <v>0</v>
      </c>
      <c r="L2797" t="n">
        <v>0</v>
      </c>
      <c r="M2797" t="n">
        <v>0</v>
      </c>
      <c r="N2797" t="n">
        <v>0</v>
      </c>
      <c r="O2797" t="n">
        <v>0</v>
      </c>
      <c r="P2797" t="n">
        <v>0</v>
      </c>
      <c r="Q2797" t="n">
        <v>0</v>
      </c>
      <c r="R2797" s="2" t="inlineStr"/>
      <c r="U2797">
        <f>HYPERLINK("https://klasma.github.io/Logging_2313/knärot/A 11340-2024 karta knärot.png", "A 11340-2024")</f>
        <v/>
      </c>
      <c r="V2797">
        <f>HYPERLINK("https://klasma.github.io/Logging_2313/klagomål/A 11340-2024 FSC-klagomål.docx", "A 11340-2024")</f>
        <v/>
      </c>
      <c r="W2797">
        <f>HYPERLINK("https://klasma.github.io/Logging_2313/klagomålsmail/A 11340-2024 FSC-klagomål mail.docx", "A 11340-2024")</f>
        <v/>
      </c>
      <c r="X2797">
        <f>HYPERLINK("https://klasma.github.io/Logging_2313/tillsyn/A 11340-2024 tillsynsbegäran.docx", "A 11340-2024")</f>
        <v/>
      </c>
      <c r="Y2797">
        <f>HYPERLINK("https://klasma.github.io/Logging_2313/tillsynsmail/A 11340-2024 tillsynsbegäran mail.docx", "A 11340-2024")</f>
        <v/>
      </c>
    </row>
    <row r="2798" ht="15" customHeight="1">
      <c r="A2798" t="inlineStr">
        <is>
          <t>A 11341-2024</t>
        </is>
      </c>
      <c r="B2798" s="1" t="n">
        <v>45372</v>
      </c>
      <c r="C2798" s="1" t="n">
        <v>45579</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11753-2024</t>
        </is>
      </c>
      <c r="B2799" s="1" t="n">
        <v>45373</v>
      </c>
      <c r="C2799" s="1" t="n">
        <v>45579</v>
      </c>
      <c r="D2799" t="inlineStr">
        <is>
          <t>JÄMTLANDS LÄN</t>
        </is>
      </c>
      <c r="E2799" t="inlineStr">
        <is>
          <t>STRÖMSUND</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11763-2024</t>
        </is>
      </c>
      <c r="B2800" s="1" t="n">
        <v>45373</v>
      </c>
      <c r="C2800" s="1" t="n">
        <v>45579</v>
      </c>
      <c r="D2800" t="inlineStr">
        <is>
          <t>JÄMTLANDS LÄN</t>
        </is>
      </c>
      <c r="E2800" t="inlineStr">
        <is>
          <t>STRÖMSUND</t>
        </is>
      </c>
      <c r="F2800" t="inlineStr">
        <is>
          <t>SCA</t>
        </is>
      </c>
      <c r="G2800" t="n">
        <v>31.6</v>
      </c>
      <c r="H2800" t="n">
        <v>0</v>
      </c>
      <c r="I2800" t="n">
        <v>0</v>
      </c>
      <c r="J2800" t="n">
        <v>0</v>
      </c>
      <c r="K2800" t="n">
        <v>0</v>
      </c>
      <c r="L2800" t="n">
        <v>0</v>
      </c>
      <c r="M2800" t="n">
        <v>0</v>
      </c>
      <c r="N2800" t="n">
        <v>0</v>
      </c>
      <c r="O2800" t="n">
        <v>0</v>
      </c>
      <c r="P2800" t="n">
        <v>0</v>
      </c>
      <c r="Q2800" t="n">
        <v>0</v>
      </c>
      <c r="R2800" s="2" t="inlineStr"/>
    </row>
    <row r="2801" ht="15" customHeight="1">
      <c r="A2801" t="inlineStr">
        <is>
          <t>A 11755-2024</t>
        </is>
      </c>
      <c r="B2801" s="1" t="n">
        <v>45373</v>
      </c>
      <c r="C2801" s="1" t="n">
        <v>45579</v>
      </c>
      <c r="D2801" t="inlineStr">
        <is>
          <t>JÄMTLANDS LÄN</t>
        </is>
      </c>
      <c r="E2801" t="inlineStr">
        <is>
          <t>STRÖMSUND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11762-2024</t>
        </is>
      </c>
      <c r="B2802" s="1" t="n">
        <v>45373</v>
      </c>
      <c r="C2802" s="1" t="n">
        <v>45579</v>
      </c>
      <c r="D2802" t="inlineStr">
        <is>
          <t>JÄMTLANDS LÄN</t>
        </is>
      </c>
      <c r="E2802" t="inlineStr">
        <is>
          <t>STRÖMSUND</t>
        </is>
      </c>
      <c r="F2802" t="inlineStr">
        <is>
          <t>SCA</t>
        </is>
      </c>
      <c r="G2802" t="n">
        <v>26.7</v>
      </c>
      <c r="H2802" t="n">
        <v>0</v>
      </c>
      <c r="I2802" t="n">
        <v>0</v>
      </c>
      <c r="J2802" t="n">
        <v>0</v>
      </c>
      <c r="K2802" t="n">
        <v>0</v>
      </c>
      <c r="L2802" t="n">
        <v>0</v>
      </c>
      <c r="M2802" t="n">
        <v>0</v>
      </c>
      <c r="N2802" t="n">
        <v>0</v>
      </c>
      <c r="O2802" t="n">
        <v>0</v>
      </c>
      <c r="P2802" t="n">
        <v>0</v>
      </c>
      <c r="Q2802" t="n">
        <v>0</v>
      </c>
      <c r="R2802" s="2" t="inlineStr"/>
    </row>
    <row r="2803" ht="15" customHeight="1">
      <c r="A2803" t="inlineStr">
        <is>
          <t>A 11754-2024</t>
        </is>
      </c>
      <c r="B2803" s="1" t="n">
        <v>45373</v>
      </c>
      <c r="C2803" s="1" t="n">
        <v>45579</v>
      </c>
      <c r="D2803" t="inlineStr">
        <is>
          <t>JÄMTLANDS LÄN</t>
        </is>
      </c>
      <c r="E2803" t="inlineStr">
        <is>
          <t>STRÖMSUND</t>
        </is>
      </c>
      <c r="F2803" t="inlineStr">
        <is>
          <t>SCA</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11811-2024</t>
        </is>
      </c>
      <c r="B2804" s="1" t="n">
        <v>45376</v>
      </c>
      <c r="C2804" s="1" t="n">
        <v>45579</v>
      </c>
      <c r="D2804" t="inlineStr">
        <is>
          <t>JÄMTLANDS LÄN</t>
        </is>
      </c>
      <c r="E2804" t="inlineStr">
        <is>
          <t>STRÖMSUND</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11978-2024</t>
        </is>
      </c>
      <c r="B2805" s="1" t="n">
        <v>45376</v>
      </c>
      <c r="C2805" s="1" t="n">
        <v>45579</v>
      </c>
      <c r="D2805" t="inlineStr">
        <is>
          <t>JÄMTLANDS LÄN</t>
        </is>
      </c>
      <c r="E2805" t="inlineStr">
        <is>
          <t>STRÖMSUND</t>
        </is>
      </c>
      <c r="F2805" t="inlineStr">
        <is>
          <t>SCA</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12078-2024</t>
        </is>
      </c>
      <c r="B2806" s="1" t="n">
        <v>45377</v>
      </c>
      <c r="C2806" s="1" t="n">
        <v>45579</v>
      </c>
      <c r="D2806" t="inlineStr">
        <is>
          <t>JÄMTLANDS LÄN</t>
        </is>
      </c>
      <c r="E2806" t="inlineStr">
        <is>
          <t>STRÖMSUND</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12869-2024</t>
        </is>
      </c>
      <c r="B2807" s="1" t="n">
        <v>45385</v>
      </c>
      <c r="C2807" s="1" t="n">
        <v>45579</v>
      </c>
      <c r="D2807" t="inlineStr">
        <is>
          <t>JÄMTLANDS LÄN</t>
        </is>
      </c>
      <c r="E2807" t="inlineStr">
        <is>
          <t>STRÖMSUND</t>
        </is>
      </c>
      <c r="F2807" t="inlineStr">
        <is>
          <t>SCA</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12866-2024</t>
        </is>
      </c>
      <c r="B2808" s="1" t="n">
        <v>45385</v>
      </c>
      <c r="C2808" s="1" t="n">
        <v>45579</v>
      </c>
      <c r="D2808" t="inlineStr">
        <is>
          <t>JÄMTLANDS LÄN</t>
        </is>
      </c>
      <c r="E2808" t="inlineStr">
        <is>
          <t>STRÖMSUND</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12956-2024</t>
        </is>
      </c>
      <c r="B2809" s="1" t="n">
        <v>45385</v>
      </c>
      <c r="C2809" s="1" t="n">
        <v>45579</v>
      </c>
      <c r="D2809" t="inlineStr">
        <is>
          <t>JÄMTLANDS LÄN</t>
        </is>
      </c>
      <c r="E2809" t="inlineStr">
        <is>
          <t>STRÖMSUND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13129-2024</t>
        </is>
      </c>
      <c r="B2810" s="1" t="n">
        <v>45386</v>
      </c>
      <c r="C2810" s="1" t="n">
        <v>45579</v>
      </c>
      <c r="D2810" t="inlineStr">
        <is>
          <t>JÄMTLANDS LÄN</t>
        </is>
      </c>
      <c r="E2810" t="inlineStr">
        <is>
          <t>STRÖMSUND</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13236-2024</t>
        </is>
      </c>
      <c r="B2811" s="1" t="n">
        <v>45386</v>
      </c>
      <c r="C2811" s="1" t="n">
        <v>45579</v>
      </c>
      <c r="D2811" t="inlineStr">
        <is>
          <t>JÄMTLANDS LÄN</t>
        </is>
      </c>
      <c r="E2811" t="inlineStr">
        <is>
          <t>STRÖMSUND</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13339-2024</t>
        </is>
      </c>
      <c r="B2812" s="1" t="n">
        <v>45387</v>
      </c>
      <c r="C2812" s="1" t="n">
        <v>45579</v>
      </c>
      <c r="D2812" t="inlineStr">
        <is>
          <t>JÄMTLANDS LÄN</t>
        </is>
      </c>
      <c r="E2812" t="inlineStr">
        <is>
          <t>STRÖMSUND</t>
        </is>
      </c>
      <c r="G2812" t="n">
        <v>12.6</v>
      </c>
      <c r="H2812" t="n">
        <v>0</v>
      </c>
      <c r="I2812" t="n">
        <v>0</v>
      </c>
      <c r="J2812" t="n">
        <v>0</v>
      </c>
      <c r="K2812" t="n">
        <v>0</v>
      </c>
      <c r="L2812" t="n">
        <v>0</v>
      </c>
      <c r="M2812" t="n">
        <v>0</v>
      </c>
      <c r="N2812" t="n">
        <v>0</v>
      </c>
      <c r="O2812" t="n">
        <v>0</v>
      </c>
      <c r="P2812" t="n">
        <v>0</v>
      </c>
      <c r="Q2812" t="n">
        <v>0</v>
      </c>
      <c r="R2812" s="2" t="inlineStr"/>
    </row>
    <row r="2813" ht="15" customHeight="1">
      <c r="A2813" t="inlineStr">
        <is>
          <t>A 13499-2024</t>
        </is>
      </c>
      <c r="B2813" s="1" t="n">
        <v>45387</v>
      </c>
      <c r="C2813" s="1" t="n">
        <v>45579</v>
      </c>
      <c r="D2813" t="inlineStr">
        <is>
          <t>JÄMTLANDS LÄN</t>
        </is>
      </c>
      <c r="E2813" t="inlineStr">
        <is>
          <t>STRÖMSUND</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13494-2024</t>
        </is>
      </c>
      <c r="B2814" s="1" t="n">
        <v>45387</v>
      </c>
      <c r="C2814" s="1" t="n">
        <v>45579</v>
      </c>
      <c r="D2814" t="inlineStr">
        <is>
          <t>JÄMTLANDS LÄN</t>
        </is>
      </c>
      <c r="E2814" t="inlineStr">
        <is>
          <t>STRÖMSUND</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13590-2024</t>
        </is>
      </c>
      <c r="B2815" s="1" t="n">
        <v>45389</v>
      </c>
      <c r="C2815" s="1" t="n">
        <v>45579</v>
      </c>
      <c r="D2815" t="inlineStr">
        <is>
          <t>JÄMTLANDS LÄN</t>
        </is>
      </c>
      <c r="E2815" t="inlineStr">
        <is>
          <t>STRÖMSUND</t>
        </is>
      </c>
      <c r="F2815" t="inlineStr">
        <is>
          <t>SCA</t>
        </is>
      </c>
      <c r="G2815" t="n">
        <v>11.3</v>
      </c>
      <c r="H2815" t="n">
        <v>0</v>
      </c>
      <c r="I2815" t="n">
        <v>0</v>
      </c>
      <c r="J2815" t="n">
        <v>0</v>
      </c>
      <c r="K2815" t="n">
        <v>0</v>
      </c>
      <c r="L2815" t="n">
        <v>0</v>
      </c>
      <c r="M2815" t="n">
        <v>0</v>
      </c>
      <c r="N2815" t="n">
        <v>0</v>
      </c>
      <c r="O2815" t="n">
        <v>0</v>
      </c>
      <c r="P2815" t="n">
        <v>0</v>
      </c>
      <c r="Q2815" t="n">
        <v>0</v>
      </c>
      <c r="R2815" s="2" t="inlineStr"/>
    </row>
    <row r="2816" ht="15" customHeight="1">
      <c r="A2816" t="inlineStr">
        <is>
          <t>A 13584-2024</t>
        </is>
      </c>
      <c r="B2816" s="1" t="n">
        <v>45389</v>
      </c>
      <c r="C2816" s="1" t="n">
        <v>45579</v>
      </c>
      <c r="D2816" t="inlineStr">
        <is>
          <t>JÄMTLANDS LÄN</t>
        </is>
      </c>
      <c r="E2816" t="inlineStr">
        <is>
          <t>STRÖMSUND</t>
        </is>
      </c>
      <c r="G2816" t="n">
        <v>47.8</v>
      </c>
      <c r="H2816" t="n">
        <v>0</v>
      </c>
      <c r="I2816" t="n">
        <v>0</v>
      </c>
      <c r="J2816" t="n">
        <v>0</v>
      </c>
      <c r="K2816" t="n">
        <v>0</v>
      </c>
      <c r="L2816" t="n">
        <v>0</v>
      </c>
      <c r="M2816" t="n">
        <v>0</v>
      </c>
      <c r="N2816" t="n">
        <v>0</v>
      </c>
      <c r="O2816" t="n">
        <v>0</v>
      </c>
      <c r="P2816" t="n">
        <v>0</v>
      </c>
      <c r="Q2816" t="n">
        <v>0</v>
      </c>
      <c r="R2816" s="2" t="inlineStr"/>
    </row>
    <row r="2817" ht="15" customHeight="1">
      <c r="A2817" t="inlineStr">
        <is>
          <t>A 13894-2024</t>
        </is>
      </c>
      <c r="B2817" s="1" t="n">
        <v>45391</v>
      </c>
      <c r="C2817" s="1" t="n">
        <v>45579</v>
      </c>
      <c r="D2817" t="inlineStr">
        <is>
          <t>JÄMTLANDS LÄN</t>
        </is>
      </c>
      <c r="E2817" t="inlineStr">
        <is>
          <t>STRÖMSUND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13924-2024</t>
        </is>
      </c>
      <c r="B2818" s="1" t="n">
        <v>45392</v>
      </c>
      <c r="C2818" s="1" t="n">
        <v>45579</v>
      </c>
      <c r="D2818" t="inlineStr">
        <is>
          <t>JÄMTLANDS LÄN</t>
        </is>
      </c>
      <c r="E2818" t="inlineStr">
        <is>
          <t>STRÖMSUND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14570-2024</t>
        </is>
      </c>
      <c r="B2819" s="1" t="n">
        <v>45395</v>
      </c>
      <c r="C2819" s="1" t="n">
        <v>45579</v>
      </c>
      <c r="D2819" t="inlineStr">
        <is>
          <t>JÄMTLANDS LÄN</t>
        </is>
      </c>
      <c r="E2819" t="inlineStr">
        <is>
          <t>STRÖMSUND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14568-2024</t>
        </is>
      </c>
      <c r="B2820" s="1" t="n">
        <v>45394</v>
      </c>
      <c r="C2820" s="1" t="n">
        <v>45579</v>
      </c>
      <c r="D2820" t="inlineStr">
        <is>
          <t>JÄMTLANDS LÄN</t>
        </is>
      </c>
      <c r="E2820" t="inlineStr">
        <is>
          <t>STRÖMSUND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14583-2024</t>
        </is>
      </c>
      <c r="B2821" s="1" t="n">
        <v>45395</v>
      </c>
      <c r="C2821" s="1" t="n">
        <v>45579</v>
      </c>
      <c r="D2821" t="inlineStr">
        <is>
          <t>JÄMTLANDS LÄN</t>
        </is>
      </c>
      <c r="E2821" t="inlineStr">
        <is>
          <t>STRÖMSUND</t>
        </is>
      </c>
      <c r="F2821" t="inlineStr">
        <is>
          <t>SCA</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14569-2024</t>
        </is>
      </c>
      <c r="B2822" s="1" t="n">
        <v>45394</v>
      </c>
      <c r="C2822" s="1" t="n">
        <v>45579</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14812-2024</t>
        </is>
      </c>
      <c r="B2823" s="1" t="n">
        <v>45397</v>
      </c>
      <c r="C2823" s="1" t="n">
        <v>45579</v>
      </c>
      <c r="D2823" t="inlineStr">
        <is>
          <t>JÄMTLANDS LÄN</t>
        </is>
      </c>
      <c r="E2823" t="inlineStr">
        <is>
          <t>STRÖMSUND</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14966-2024</t>
        </is>
      </c>
      <c r="B2824" s="1" t="n">
        <v>45399</v>
      </c>
      <c r="C2824" s="1" t="n">
        <v>45579</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14978-2024</t>
        </is>
      </c>
      <c r="B2825" s="1" t="n">
        <v>45399</v>
      </c>
      <c r="C2825" s="1" t="n">
        <v>45579</v>
      </c>
      <c r="D2825" t="inlineStr">
        <is>
          <t>JÄMTLANDS LÄN</t>
        </is>
      </c>
      <c r="E2825" t="inlineStr">
        <is>
          <t>STRÖMSUND</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14967-2024</t>
        </is>
      </c>
      <c r="B2826" s="1" t="n">
        <v>45399</v>
      </c>
      <c r="C2826" s="1" t="n">
        <v>45579</v>
      </c>
      <c r="D2826" t="inlineStr">
        <is>
          <t>JÄMTLANDS LÄN</t>
        </is>
      </c>
      <c r="E2826" t="inlineStr">
        <is>
          <t>STRÖMSUND</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15364-2024</t>
        </is>
      </c>
      <c r="B2827" s="1" t="n">
        <v>45400</v>
      </c>
      <c r="C2827" s="1" t="n">
        <v>45579</v>
      </c>
      <c r="D2827" t="inlineStr">
        <is>
          <t>JÄMTLANDS LÄN</t>
        </is>
      </c>
      <c r="E2827" t="inlineStr">
        <is>
          <t>STRÖMSUND</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15375-2024</t>
        </is>
      </c>
      <c r="B2828" s="1" t="n">
        <v>45400</v>
      </c>
      <c r="C2828" s="1" t="n">
        <v>45579</v>
      </c>
      <c r="D2828" t="inlineStr">
        <is>
          <t>JÄMTLANDS LÄN</t>
        </is>
      </c>
      <c r="E2828" t="inlineStr">
        <is>
          <t>STRÖMSUND</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15861-2024</t>
        </is>
      </c>
      <c r="B2829" s="1" t="n">
        <v>45404</v>
      </c>
      <c r="C2829" s="1" t="n">
        <v>45579</v>
      </c>
      <c r="D2829" t="inlineStr">
        <is>
          <t>JÄMTLANDS LÄN</t>
        </is>
      </c>
      <c r="E2829" t="inlineStr">
        <is>
          <t>STRÖMSUND</t>
        </is>
      </c>
      <c r="F2829" t="inlineStr">
        <is>
          <t>SCA</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15858-2024</t>
        </is>
      </c>
      <c r="B2830" s="1" t="n">
        <v>45405</v>
      </c>
      <c r="C2830" s="1" t="n">
        <v>45579</v>
      </c>
      <c r="D2830" t="inlineStr">
        <is>
          <t>JÄMTLANDS LÄN</t>
        </is>
      </c>
      <c r="E2830" t="inlineStr">
        <is>
          <t>STRÖMSUND</t>
        </is>
      </c>
      <c r="F2830" t="inlineStr">
        <is>
          <t>SCA</t>
        </is>
      </c>
      <c r="G2830" t="n">
        <v>33.8</v>
      </c>
      <c r="H2830" t="n">
        <v>0</v>
      </c>
      <c r="I2830" t="n">
        <v>0</v>
      </c>
      <c r="J2830" t="n">
        <v>0</v>
      </c>
      <c r="K2830" t="n">
        <v>0</v>
      </c>
      <c r="L2830" t="n">
        <v>0</v>
      </c>
      <c r="M2830" t="n">
        <v>0</v>
      </c>
      <c r="N2830" t="n">
        <v>0</v>
      </c>
      <c r="O2830" t="n">
        <v>0</v>
      </c>
      <c r="P2830" t="n">
        <v>0</v>
      </c>
      <c r="Q2830" t="n">
        <v>0</v>
      </c>
      <c r="R2830" s="2" t="inlineStr"/>
    </row>
    <row r="2831" ht="15" customHeight="1">
      <c r="A2831" t="inlineStr">
        <is>
          <t>A 16053-2024</t>
        </is>
      </c>
      <c r="B2831" s="1" t="n">
        <v>45406</v>
      </c>
      <c r="C2831" s="1" t="n">
        <v>45579</v>
      </c>
      <c r="D2831" t="inlineStr">
        <is>
          <t>JÄMTLANDS LÄN</t>
        </is>
      </c>
      <c r="E2831" t="inlineStr">
        <is>
          <t>STRÖMSUND</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16242-2024</t>
        </is>
      </c>
      <c r="B2832" s="1" t="n">
        <v>45407</v>
      </c>
      <c r="C2832" s="1" t="n">
        <v>45579</v>
      </c>
      <c r="D2832" t="inlineStr">
        <is>
          <t>JÄMTLANDS LÄN</t>
        </is>
      </c>
      <c r="E2832" t="inlineStr">
        <is>
          <t>STRÖMSUND</t>
        </is>
      </c>
      <c r="F2832" t="inlineStr">
        <is>
          <t>SCA</t>
        </is>
      </c>
      <c r="G2832" t="n">
        <v>31.2</v>
      </c>
      <c r="H2832" t="n">
        <v>0</v>
      </c>
      <c r="I2832" t="n">
        <v>0</v>
      </c>
      <c r="J2832" t="n">
        <v>0</v>
      </c>
      <c r="K2832" t="n">
        <v>0</v>
      </c>
      <c r="L2832" t="n">
        <v>0</v>
      </c>
      <c r="M2832" t="n">
        <v>0</v>
      </c>
      <c r="N2832" t="n">
        <v>0</v>
      </c>
      <c r="O2832" t="n">
        <v>0</v>
      </c>
      <c r="P2832" t="n">
        <v>0</v>
      </c>
      <c r="Q2832" t="n">
        <v>0</v>
      </c>
      <c r="R2832" s="2" t="inlineStr"/>
    </row>
    <row r="2833" ht="15" customHeight="1">
      <c r="A2833" t="inlineStr">
        <is>
          <t>A 16236-2024</t>
        </is>
      </c>
      <c r="B2833" s="1" t="n">
        <v>45407</v>
      </c>
      <c r="C2833" s="1" t="n">
        <v>45579</v>
      </c>
      <c r="D2833" t="inlineStr">
        <is>
          <t>JÄMTLANDS LÄN</t>
        </is>
      </c>
      <c r="E2833" t="inlineStr">
        <is>
          <t>STRÖMSUND</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16458-2024</t>
        </is>
      </c>
      <c r="B2834" s="1" t="n">
        <v>45408</v>
      </c>
      <c r="C2834" s="1" t="n">
        <v>45579</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16464-2024</t>
        </is>
      </c>
      <c r="B2835" s="1" t="n">
        <v>45408</v>
      </c>
      <c r="C2835" s="1" t="n">
        <v>45579</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16490-2024</t>
        </is>
      </c>
      <c r="B2836" s="1" t="n">
        <v>45408</v>
      </c>
      <c r="C2836" s="1" t="n">
        <v>45579</v>
      </c>
      <c r="D2836" t="inlineStr">
        <is>
          <t>JÄMTLANDS LÄN</t>
        </is>
      </c>
      <c r="E2836" t="inlineStr">
        <is>
          <t>STRÖMSUND</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17098-2024</t>
        </is>
      </c>
      <c r="B2837" s="1" t="n">
        <v>45412</v>
      </c>
      <c r="C2837" s="1" t="n">
        <v>45579</v>
      </c>
      <c r="D2837" t="inlineStr">
        <is>
          <t>JÄMTLANDS LÄN</t>
        </is>
      </c>
      <c r="E2837" t="inlineStr">
        <is>
          <t>STRÖMSUND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17105-2024</t>
        </is>
      </c>
      <c r="B2838" s="1" t="n">
        <v>45412</v>
      </c>
      <c r="C2838" s="1" t="n">
        <v>45579</v>
      </c>
      <c r="D2838" t="inlineStr">
        <is>
          <t>JÄMTLANDS LÄN</t>
        </is>
      </c>
      <c r="E2838" t="inlineStr">
        <is>
          <t>STRÖMSUND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17435-2024</t>
        </is>
      </c>
      <c r="B2839" s="1" t="n">
        <v>45415</v>
      </c>
      <c r="C2839" s="1" t="n">
        <v>45579</v>
      </c>
      <c r="D2839" t="inlineStr">
        <is>
          <t>JÄMTLANDS LÄN</t>
        </is>
      </c>
      <c r="E2839" t="inlineStr">
        <is>
          <t>STRÖMSUND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17442-2024</t>
        </is>
      </c>
      <c r="B2840" s="1" t="n">
        <v>45415</v>
      </c>
      <c r="C2840" s="1" t="n">
        <v>45579</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17728-2024</t>
        </is>
      </c>
      <c r="B2841" s="1" t="n">
        <v>45418</v>
      </c>
      <c r="C2841" s="1" t="n">
        <v>45579</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18234-2024</t>
        </is>
      </c>
      <c r="B2842" s="1" t="n">
        <v>45421</v>
      </c>
      <c r="C2842" s="1" t="n">
        <v>45579</v>
      </c>
      <c r="D2842" t="inlineStr">
        <is>
          <t>JÄMTLANDS LÄN</t>
        </is>
      </c>
      <c r="E2842" t="inlineStr">
        <is>
          <t>STRÖMSUND</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18233-2024</t>
        </is>
      </c>
      <c r="B2843" s="1" t="n">
        <v>45421</v>
      </c>
      <c r="C2843" s="1" t="n">
        <v>45579</v>
      </c>
      <c r="D2843" t="inlineStr">
        <is>
          <t>JÄMTLANDS LÄN</t>
        </is>
      </c>
      <c r="E2843" t="inlineStr">
        <is>
          <t>STRÖMSUND</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18237-2024</t>
        </is>
      </c>
      <c r="B2844" s="1" t="n">
        <v>45421</v>
      </c>
      <c r="C2844" s="1" t="n">
        <v>45579</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18236-2024</t>
        </is>
      </c>
      <c r="B2845" s="1" t="n">
        <v>45421</v>
      </c>
      <c r="C2845" s="1" t="n">
        <v>45579</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18240-2024</t>
        </is>
      </c>
      <c r="B2846" s="1" t="n">
        <v>45421</v>
      </c>
      <c r="C2846" s="1" t="n">
        <v>45579</v>
      </c>
      <c r="D2846" t="inlineStr">
        <is>
          <t>JÄMTLANDS LÄN</t>
        </is>
      </c>
      <c r="E2846" t="inlineStr">
        <is>
          <t>STRÖMSUND</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18235-2024</t>
        </is>
      </c>
      <c r="B2847" s="1" t="n">
        <v>45421</v>
      </c>
      <c r="C2847" s="1" t="n">
        <v>45579</v>
      </c>
      <c r="D2847" t="inlineStr">
        <is>
          <t>JÄMTLANDS LÄN</t>
        </is>
      </c>
      <c r="E2847" t="inlineStr">
        <is>
          <t>STRÖMSUND</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18298-2024</t>
        </is>
      </c>
      <c r="B2848" s="1" t="n">
        <v>45421</v>
      </c>
      <c r="C2848" s="1" t="n">
        <v>45579</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18325-2024</t>
        </is>
      </c>
      <c r="B2849" s="1" t="n">
        <v>45422</v>
      </c>
      <c r="C2849" s="1" t="n">
        <v>45579</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18770-2024</t>
        </is>
      </c>
      <c r="B2850" s="1" t="n">
        <v>45426</v>
      </c>
      <c r="C2850" s="1" t="n">
        <v>45579</v>
      </c>
      <c r="D2850" t="inlineStr">
        <is>
          <t>JÄMTLANDS LÄN</t>
        </is>
      </c>
      <c r="E2850" t="inlineStr">
        <is>
          <t>STRÖMSUND</t>
        </is>
      </c>
      <c r="F2850" t="inlineStr">
        <is>
          <t>Kyrkan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18912-2024</t>
        </is>
      </c>
      <c r="B2851" s="1" t="n">
        <v>45426</v>
      </c>
      <c r="C2851" s="1" t="n">
        <v>45579</v>
      </c>
      <c r="D2851" t="inlineStr">
        <is>
          <t>JÄMTLANDS LÄN</t>
        </is>
      </c>
      <c r="E2851" t="inlineStr">
        <is>
          <t>STRÖMSUND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18915-2024</t>
        </is>
      </c>
      <c r="B2852" s="1" t="n">
        <v>45426</v>
      </c>
      <c r="C2852" s="1" t="n">
        <v>45579</v>
      </c>
      <c r="D2852" t="inlineStr">
        <is>
          <t>JÄMTLANDS LÄN</t>
        </is>
      </c>
      <c r="E2852" t="inlineStr">
        <is>
          <t>STRÖMSUND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19006-2024</t>
        </is>
      </c>
      <c r="B2853" s="1" t="n">
        <v>45427</v>
      </c>
      <c r="C2853" s="1" t="n">
        <v>45579</v>
      </c>
      <c r="D2853" t="inlineStr">
        <is>
          <t>JÄMTLANDS LÄN</t>
        </is>
      </c>
      <c r="E2853" t="inlineStr">
        <is>
          <t>STRÖMSUND</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19340-2024</t>
        </is>
      </c>
      <c r="B2854" s="1" t="n">
        <v>45429</v>
      </c>
      <c r="C2854" s="1" t="n">
        <v>45579</v>
      </c>
      <c r="D2854" t="inlineStr">
        <is>
          <t>JÄMTLANDS LÄN</t>
        </is>
      </c>
      <c r="E2854" t="inlineStr">
        <is>
          <t>STRÖMSUND</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19346-2024</t>
        </is>
      </c>
      <c r="B2855" s="1" t="n">
        <v>45429</v>
      </c>
      <c r="C2855" s="1" t="n">
        <v>45579</v>
      </c>
      <c r="D2855" t="inlineStr">
        <is>
          <t>JÄMTLANDS LÄN</t>
        </is>
      </c>
      <c r="E2855" t="inlineStr">
        <is>
          <t>STRÖMSUND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19483-2024</t>
        </is>
      </c>
      <c r="B2856" s="1" t="n">
        <v>45429</v>
      </c>
      <c r="C2856" s="1" t="n">
        <v>45579</v>
      </c>
      <c r="D2856" t="inlineStr">
        <is>
          <t>JÄMTLANDS LÄN</t>
        </is>
      </c>
      <c r="E2856" t="inlineStr">
        <is>
          <t>STRÖMSUND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19794-2024</t>
        </is>
      </c>
      <c r="B2857" s="1" t="n">
        <v>45433</v>
      </c>
      <c r="C2857" s="1" t="n">
        <v>45579</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19995-2024</t>
        </is>
      </c>
      <c r="B2858" s="1" t="n">
        <v>45434</v>
      </c>
      <c r="C2858" s="1" t="n">
        <v>45579</v>
      </c>
      <c r="D2858" t="inlineStr">
        <is>
          <t>JÄMTLANDS LÄN</t>
        </is>
      </c>
      <c r="E2858" t="inlineStr">
        <is>
          <t>STRÖMSUND</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20274-2024</t>
        </is>
      </c>
      <c r="B2859" s="1" t="n">
        <v>45435</v>
      </c>
      <c r="C2859" s="1" t="n">
        <v>45579</v>
      </c>
      <c r="D2859" t="inlineStr">
        <is>
          <t>JÄMTLANDS LÄN</t>
        </is>
      </c>
      <c r="E2859" t="inlineStr">
        <is>
          <t>STRÖMSUND</t>
        </is>
      </c>
      <c r="F2859" t="inlineStr">
        <is>
          <t>SCA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20271-2024</t>
        </is>
      </c>
      <c r="B2860" s="1" t="n">
        <v>45435</v>
      </c>
      <c r="C2860" s="1" t="n">
        <v>45579</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20275-2024</t>
        </is>
      </c>
      <c r="B2861" s="1" t="n">
        <v>45435</v>
      </c>
      <c r="C2861" s="1" t="n">
        <v>45579</v>
      </c>
      <c r="D2861" t="inlineStr">
        <is>
          <t>JÄMTLANDS LÄN</t>
        </is>
      </c>
      <c r="E2861" t="inlineStr">
        <is>
          <t>STRÖMSUND</t>
        </is>
      </c>
      <c r="F2861" t="inlineStr">
        <is>
          <t>SCA</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20273-2024</t>
        </is>
      </c>
      <c r="B2862" s="1" t="n">
        <v>45434</v>
      </c>
      <c r="C2862" s="1" t="n">
        <v>45579</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20180-2024</t>
        </is>
      </c>
      <c r="B2863" s="1" t="n">
        <v>45434</v>
      </c>
      <c r="C2863" s="1" t="n">
        <v>45579</v>
      </c>
      <c r="D2863" t="inlineStr">
        <is>
          <t>JÄMTLANDS LÄN</t>
        </is>
      </c>
      <c r="E2863" t="inlineStr">
        <is>
          <t>STRÖMSUND</t>
        </is>
      </c>
      <c r="F2863" t="inlineStr">
        <is>
          <t>Holmen skog AB</t>
        </is>
      </c>
      <c r="G2863" t="n">
        <v>21.5</v>
      </c>
      <c r="H2863" t="n">
        <v>0</v>
      </c>
      <c r="I2863" t="n">
        <v>0</v>
      </c>
      <c r="J2863" t="n">
        <v>0</v>
      </c>
      <c r="K2863" t="n">
        <v>0</v>
      </c>
      <c r="L2863" t="n">
        <v>0</v>
      </c>
      <c r="M2863" t="n">
        <v>0</v>
      </c>
      <c r="N2863" t="n">
        <v>0</v>
      </c>
      <c r="O2863" t="n">
        <v>0</v>
      </c>
      <c r="P2863" t="n">
        <v>0</v>
      </c>
      <c r="Q2863" t="n">
        <v>0</v>
      </c>
      <c r="R2863" s="2" t="inlineStr"/>
    </row>
    <row r="2864" ht="15" customHeight="1">
      <c r="A2864" t="inlineStr">
        <is>
          <t>A 20272-2024</t>
        </is>
      </c>
      <c r="B2864" s="1" t="n">
        <v>45435</v>
      </c>
      <c r="C2864" s="1" t="n">
        <v>45579</v>
      </c>
      <c r="D2864" t="inlineStr">
        <is>
          <t>JÄMTLANDS LÄN</t>
        </is>
      </c>
      <c r="E2864" t="inlineStr">
        <is>
          <t>STRÖMSUND</t>
        </is>
      </c>
      <c r="F2864" t="inlineStr">
        <is>
          <t>SCA</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20505-2024</t>
        </is>
      </c>
      <c r="B2865" s="1" t="n">
        <v>45436</v>
      </c>
      <c r="C2865" s="1" t="n">
        <v>45579</v>
      </c>
      <c r="D2865" t="inlineStr">
        <is>
          <t>JÄMTLANDS LÄN</t>
        </is>
      </c>
      <c r="E2865" t="inlineStr">
        <is>
          <t>STRÖMSUND</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20508-2024</t>
        </is>
      </c>
      <c r="B2866" s="1" t="n">
        <v>45436</v>
      </c>
      <c r="C2866" s="1" t="n">
        <v>45579</v>
      </c>
      <c r="D2866" t="inlineStr">
        <is>
          <t>JÄMTLANDS LÄN</t>
        </is>
      </c>
      <c r="E2866" t="inlineStr">
        <is>
          <t>STRÖMSUND</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20693-2024</t>
        </is>
      </c>
      <c r="B2867" s="1" t="n">
        <v>45436</v>
      </c>
      <c r="C2867" s="1" t="n">
        <v>45579</v>
      </c>
      <c r="D2867" t="inlineStr">
        <is>
          <t>JÄMTLANDS LÄN</t>
        </is>
      </c>
      <c r="E2867" t="inlineStr">
        <is>
          <t>STRÖMSUND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20767-2024</t>
        </is>
      </c>
      <c r="B2868" s="1" t="n">
        <v>45436</v>
      </c>
      <c r="C2868" s="1" t="n">
        <v>45579</v>
      </c>
      <c r="D2868" t="inlineStr">
        <is>
          <t>JÄMTLANDS LÄN</t>
        </is>
      </c>
      <c r="E2868" t="inlineStr">
        <is>
          <t>STRÖMSUND</t>
        </is>
      </c>
      <c r="F2868" t="inlineStr">
        <is>
          <t>SCA</t>
        </is>
      </c>
      <c r="G2868" t="n">
        <v>22.2</v>
      </c>
      <c r="H2868" t="n">
        <v>0</v>
      </c>
      <c r="I2868" t="n">
        <v>0</v>
      </c>
      <c r="J2868" t="n">
        <v>0</v>
      </c>
      <c r="K2868" t="n">
        <v>0</v>
      </c>
      <c r="L2868" t="n">
        <v>0</v>
      </c>
      <c r="M2868" t="n">
        <v>0</v>
      </c>
      <c r="N2868" t="n">
        <v>0</v>
      </c>
      <c r="O2868" t="n">
        <v>0</v>
      </c>
      <c r="P2868" t="n">
        <v>0</v>
      </c>
      <c r="Q2868" t="n">
        <v>0</v>
      </c>
      <c r="R2868" s="2" t="inlineStr"/>
    </row>
    <row r="2869" ht="15" customHeight="1">
      <c r="A2869" t="inlineStr">
        <is>
          <t>A 21209-2024</t>
        </is>
      </c>
      <c r="B2869" s="1" t="n">
        <v>45440</v>
      </c>
      <c r="C2869" s="1" t="n">
        <v>45579</v>
      </c>
      <c r="D2869" t="inlineStr">
        <is>
          <t>JÄMTLANDS LÄN</t>
        </is>
      </c>
      <c r="E2869" t="inlineStr">
        <is>
          <t>STRÖMSUND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21212-2024</t>
        </is>
      </c>
      <c r="B2870" s="1" t="n">
        <v>45440</v>
      </c>
      <c r="C2870" s="1" t="n">
        <v>45579</v>
      </c>
      <c r="D2870" t="inlineStr">
        <is>
          <t>JÄMTLANDS LÄN</t>
        </is>
      </c>
      <c r="E2870" t="inlineStr">
        <is>
          <t>STRÖMSUND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21377-2024</t>
        </is>
      </c>
      <c r="B2871" s="1" t="n">
        <v>45440</v>
      </c>
      <c r="C2871" s="1" t="n">
        <v>45579</v>
      </c>
      <c r="D2871" t="inlineStr">
        <is>
          <t>JÄMTLANDS LÄN</t>
        </is>
      </c>
      <c r="E2871" t="inlineStr">
        <is>
          <t>STRÖMSUND</t>
        </is>
      </c>
      <c r="F2871" t="inlineStr">
        <is>
          <t>SCA</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21546-2024</t>
        </is>
      </c>
      <c r="B2872" s="1" t="n">
        <v>45441</v>
      </c>
      <c r="C2872" s="1" t="n">
        <v>45579</v>
      </c>
      <c r="D2872" t="inlineStr">
        <is>
          <t>JÄMTLANDS LÄN</t>
        </is>
      </c>
      <c r="E2872" t="inlineStr">
        <is>
          <t>STRÖMSUND</t>
        </is>
      </c>
      <c r="F2872" t="inlineStr">
        <is>
          <t>Holmen skog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21603-2024</t>
        </is>
      </c>
      <c r="B2873" s="1" t="n">
        <v>45442</v>
      </c>
      <c r="C2873" s="1" t="n">
        <v>45579</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21605-2024</t>
        </is>
      </c>
      <c r="B2874" s="1" t="n">
        <v>45442</v>
      </c>
      <c r="C2874" s="1" t="n">
        <v>45579</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21616-2024</t>
        </is>
      </c>
      <c r="B2875" s="1" t="n">
        <v>45442</v>
      </c>
      <c r="C2875" s="1" t="n">
        <v>45579</v>
      </c>
      <c r="D2875" t="inlineStr">
        <is>
          <t>JÄMTLANDS LÄN</t>
        </is>
      </c>
      <c r="E2875" t="inlineStr">
        <is>
          <t>STRÖMSUND</t>
        </is>
      </c>
      <c r="F2875" t="inlineStr">
        <is>
          <t>SCA</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21551-2024</t>
        </is>
      </c>
      <c r="B2876" s="1" t="n">
        <v>45441</v>
      </c>
      <c r="C2876" s="1" t="n">
        <v>45579</v>
      </c>
      <c r="D2876" t="inlineStr">
        <is>
          <t>JÄMTLANDS LÄN</t>
        </is>
      </c>
      <c r="E2876" t="inlineStr">
        <is>
          <t>STRÖMSUND</t>
        </is>
      </c>
      <c r="F2876" t="inlineStr">
        <is>
          <t>Holmen skog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21553-2024</t>
        </is>
      </c>
      <c r="B2877" s="1" t="n">
        <v>45441</v>
      </c>
      <c r="C2877" s="1" t="n">
        <v>45579</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21549-2024</t>
        </is>
      </c>
      <c r="B2878" s="1" t="n">
        <v>45441</v>
      </c>
      <c r="C2878" s="1" t="n">
        <v>45579</v>
      </c>
      <c r="D2878" t="inlineStr">
        <is>
          <t>JÄMTLANDS LÄN</t>
        </is>
      </c>
      <c r="E2878" t="inlineStr">
        <is>
          <t>STRÖMSUND</t>
        </is>
      </c>
      <c r="F2878" t="inlineStr">
        <is>
          <t>Holmen skog AB</t>
        </is>
      </c>
      <c r="G2878" t="n">
        <v>15.8</v>
      </c>
      <c r="H2878" t="n">
        <v>0</v>
      </c>
      <c r="I2878" t="n">
        <v>0</v>
      </c>
      <c r="J2878" t="n">
        <v>0</v>
      </c>
      <c r="K2878" t="n">
        <v>0</v>
      </c>
      <c r="L2878" t="n">
        <v>0</v>
      </c>
      <c r="M2878" t="n">
        <v>0</v>
      </c>
      <c r="N2878" t="n">
        <v>0</v>
      </c>
      <c r="O2878" t="n">
        <v>0</v>
      </c>
      <c r="P2878" t="n">
        <v>0</v>
      </c>
      <c r="Q2878" t="n">
        <v>0</v>
      </c>
      <c r="R2878" s="2" t="inlineStr"/>
    </row>
    <row r="2879" ht="15" customHeight="1">
      <c r="A2879" t="inlineStr">
        <is>
          <t>A 21554-2024</t>
        </is>
      </c>
      <c r="B2879" s="1" t="n">
        <v>45441</v>
      </c>
      <c r="C2879" s="1" t="n">
        <v>45579</v>
      </c>
      <c r="D2879" t="inlineStr">
        <is>
          <t>JÄMTLANDS LÄN</t>
        </is>
      </c>
      <c r="E2879" t="inlineStr">
        <is>
          <t>STRÖMSUND</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21550-2024</t>
        </is>
      </c>
      <c r="B2880" s="1" t="n">
        <v>45441</v>
      </c>
      <c r="C2880" s="1" t="n">
        <v>45579</v>
      </c>
      <c r="D2880" t="inlineStr">
        <is>
          <t>JÄMTLANDS LÄN</t>
        </is>
      </c>
      <c r="E2880" t="inlineStr">
        <is>
          <t>STRÖMSUND</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21713-2024</t>
        </is>
      </c>
      <c r="B2881" s="1" t="n">
        <v>45442</v>
      </c>
      <c r="C2881" s="1" t="n">
        <v>45579</v>
      </c>
      <c r="D2881" t="inlineStr">
        <is>
          <t>JÄMTLANDS LÄN</t>
        </is>
      </c>
      <c r="E2881" t="inlineStr">
        <is>
          <t>STRÖMSUND</t>
        </is>
      </c>
      <c r="F2881" t="inlineStr">
        <is>
          <t>Holmen skog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21840-2024</t>
        </is>
      </c>
      <c r="B2882" s="1" t="n">
        <v>45443</v>
      </c>
      <c r="C2882" s="1" t="n">
        <v>45579</v>
      </c>
      <c r="D2882" t="inlineStr">
        <is>
          <t>JÄMTLANDS LÄN</t>
        </is>
      </c>
      <c r="E2882" t="inlineStr">
        <is>
          <t>STRÖMSUND</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21735-2024</t>
        </is>
      </c>
      <c r="B2883" s="1" t="n">
        <v>45442</v>
      </c>
      <c r="C2883" s="1" t="n">
        <v>45579</v>
      </c>
      <c r="D2883" t="inlineStr">
        <is>
          <t>JÄMTLANDS LÄN</t>
        </is>
      </c>
      <c r="E2883" t="inlineStr">
        <is>
          <t>STRÖMSUND</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21861-2024</t>
        </is>
      </c>
      <c r="B2884" s="1" t="n">
        <v>45443</v>
      </c>
      <c r="C2884" s="1" t="n">
        <v>45579</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22115-2024</t>
        </is>
      </c>
      <c r="B2885" s="1" t="n">
        <v>45443</v>
      </c>
      <c r="C2885" s="1" t="n">
        <v>45579</v>
      </c>
      <c r="D2885" t="inlineStr">
        <is>
          <t>JÄMTLANDS LÄN</t>
        </is>
      </c>
      <c r="E2885" t="inlineStr">
        <is>
          <t>STRÖMSUND</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22139-2024</t>
        </is>
      </c>
      <c r="B2886" s="1" t="n">
        <v>45445</v>
      </c>
      <c r="C2886" s="1" t="n">
        <v>45579</v>
      </c>
      <c r="D2886" t="inlineStr">
        <is>
          <t>JÄMTLANDS LÄN</t>
        </is>
      </c>
      <c r="E2886" t="inlineStr">
        <is>
          <t>STRÖMSUND</t>
        </is>
      </c>
      <c r="F2886" t="inlineStr">
        <is>
          <t>SCA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22138-2024</t>
        </is>
      </c>
      <c r="B2887" s="1" t="n">
        <v>45445</v>
      </c>
      <c r="C2887" s="1" t="n">
        <v>45579</v>
      </c>
      <c r="D2887" t="inlineStr">
        <is>
          <t>JÄMTLANDS LÄN</t>
        </is>
      </c>
      <c r="E2887" t="inlineStr">
        <is>
          <t>STRÖMSUND</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22141-2024</t>
        </is>
      </c>
      <c r="B2888" s="1" t="n">
        <v>45445</v>
      </c>
      <c r="C2888" s="1" t="n">
        <v>45579</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22140-2024</t>
        </is>
      </c>
      <c r="B2889" s="1" t="n">
        <v>45445</v>
      </c>
      <c r="C2889" s="1" t="n">
        <v>45579</v>
      </c>
      <c r="D2889" t="inlineStr">
        <is>
          <t>JÄMTLANDS LÄN</t>
        </is>
      </c>
      <c r="E2889" t="inlineStr">
        <is>
          <t>STRÖMSUND</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22451-2024</t>
        </is>
      </c>
      <c r="B2890" s="1" t="n">
        <v>45447</v>
      </c>
      <c r="C2890" s="1" t="n">
        <v>45579</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22445-2024</t>
        </is>
      </c>
      <c r="B2891" s="1" t="n">
        <v>45447</v>
      </c>
      <c r="C2891" s="1" t="n">
        <v>45579</v>
      </c>
      <c r="D2891" t="inlineStr">
        <is>
          <t>JÄMTLANDS LÄN</t>
        </is>
      </c>
      <c r="E2891" t="inlineStr">
        <is>
          <t>STRÖMSUND</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22481-2024</t>
        </is>
      </c>
      <c r="B2892" s="1" t="n">
        <v>45447</v>
      </c>
      <c r="C2892" s="1" t="n">
        <v>45579</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22477-2024</t>
        </is>
      </c>
      <c r="B2893" s="1" t="n">
        <v>45447</v>
      </c>
      <c r="C2893" s="1" t="n">
        <v>45579</v>
      </c>
      <c r="D2893" t="inlineStr">
        <is>
          <t>JÄMTLANDS LÄN</t>
        </is>
      </c>
      <c r="E2893" t="inlineStr">
        <is>
          <t>STRÖMSUND</t>
        </is>
      </c>
      <c r="F2893" t="inlineStr">
        <is>
          <t>SCA</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22453-2024</t>
        </is>
      </c>
      <c r="B2894" s="1" t="n">
        <v>45447</v>
      </c>
      <c r="C2894" s="1" t="n">
        <v>45579</v>
      </c>
      <c r="D2894" t="inlineStr">
        <is>
          <t>JÄMTLANDS LÄN</t>
        </is>
      </c>
      <c r="E2894" t="inlineStr">
        <is>
          <t>STRÖMSUND</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22444-2024</t>
        </is>
      </c>
      <c r="B2895" s="1" t="n">
        <v>45447</v>
      </c>
      <c r="C2895" s="1" t="n">
        <v>45579</v>
      </c>
      <c r="D2895" t="inlineStr">
        <is>
          <t>JÄMTLANDS LÄN</t>
        </is>
      </c>
      <c r="E2895" t="inlineStr">
        <is>
          <t>STRÖMSUND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22452-2024</t>
        </is>
      </c>
      <c r="B2896" s="1" t="n">
        <v>45447</v>
      </c>
      <c r="C2896" s="1" t="n">
        <v>45579</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22676-2024</t>
        </is>
      </c>
      <c r="B2897" s="1" t="n">
        <v>45448</v>
      </c>
      <c r="C2897" s="1" t="n">
        <v>45579</v>
      </c>
      <c r="D2897" t="inlineStr">
        <is>
          <t>JÄMTLANDS LÄN</t>
        </is>
      </c>
      <c r="E2897" t="inlineStr">
        <is>
          <t>STRÖMSUND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22643-2024</t>
        </is>
      </c>
      <c r="B2898" s="1" t="n">
        <v>45447</v>
      </c>
      <c r="C2898" s="1" t="n">
        <v>45579</v>
      </c>
      <c r="D2898" t="inlineStr">
        <is>
          <t>JÄMTLANDS LÄN</t>
        </is>
      </c>
      <c r="E2898" t="inlineStr">
        <is>
          <t>STRÖMSUND</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22651-2024</t>
        </is>
      </c>
      <c r="B2899" s="1" t="n">
        <v>45447</v>
      </c>
      <c r="C2899" s="1" t="n">
        <v>45579</v>
      </c>
      <c r="D2899" t="inlineStr">
        <is>
          <t>JÄMTLANDS LÄN</t>
        </is>
      </c>
      <c r="E2899" t="inlineStr">
        <is>
          <t>STRÖMSUND</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23531-2024</t>
        </is>
      </c>
      <c r="B2900" s="1" t="n">
        <v>45454</v>
      </c>
      <c r="C2900" s="1" t="n">
        <v>45579</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23675-2024</t>
        </is>
      </c>
      <c r="B2901" s="1" t="n">
        <v>45454</v>
      </c>
      <c r="C2901" s="1" t="n">
        <v>45579</v>
      </c>
      <c r="D2901" t="inlineStr">
        <is>
          <t>JÄMTLANDS LÄN</t>
        </is>
      </c>
      <c r="E2901" t="inlineStr">
        <is>
          <t>STRÖMSUND</t>
        </is>
      </c>
      <c r="F2901" t="inlineStr">
        <is>
          <t>Holmen skog AB</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23735-2024</t>
        </is>
      </c>
      <c r="B2902" s="1" t="n">
        <v>45455</v>
      </c>
      <c r="C2902" s="1" t="n">
        <v>45579</v>
      </c>
      <c r="D2902" t="inlineStr">
        <is>
          <t>JÄMTLANDS LÄN</t>
        </is>
      </c>
      <c r="E2902" t="inlineStr">
        <is>
          <t>STRÖMSUND</t>
        </is>
      </c>
      <c r="F2902" t="inlineStr">
        <is>
          <t>SCA</t>
        </is>
      </c>
      <c r="G2902" t="n">
        <v>12.3</v>
      </c>
      <c r="H2902" t="n">
        <v>0</v>
      </c>
      <c r="I2902" t="n">
        <v>0</v>
      </c>
      <c r="J2902" t="n">
        <v>0</v>
      </c>
      <c r="K2902" t="n">
        <v>0</v>
      </c>
      <c r="L2902" t="n">
        <v>0</v>
      </c>
      <c r="M2902" t="n">
        <v>0</v>
      </c>
      <c r="N2902" t="n">
        <v>0</v>
      </c>
      <c r="O2902" t="n">
        <v>0</v>
      </c>
      <c r="P2902" t="n">
        <v>0</v>
      </c>
      <c r="Q2902" t="n">
        <v>0</v>
      </c>
      <c r="R2902" s="2" t="inlineStr"/>
    </row>
    <row r="2903" ht="15" customHeight="1">
      <c r="A2903" t="inlineStr">
        <is>
          <t>A 23728-2024</t>
        </is>
      </c>
      <c r="B2903" s="1" t="n">
        <v>45455</v>
      </c>
      <c r="C2903" s="1" t="n">
        <v>45579</v>
      </c>
      <c r="D2903" t="inlineStr">
        <is>
          <t>JÄMTLANDS LÄN</t>
        </is>
      </c>
      <c r="E2903" t="inlineStr">
        <is>
          <t>STRÖMSUND</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23941-2024</t>
        </is>
      </c>
      <c r="B2904" s="1" t="n">
        <v>45456</v>
      </c>
      <c r="C2904" s="1" t="n">
        <v>45579</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23922-2024</t>
        </is>
      </c>
      <c r="B2905" s="1" t="n">
        <v>45456</v>
      </c>
      <c r="C2905" s="1" t="n">
        <v>45579</v>
      </c>
      <c r="D2905" t="inlineStr">
        <is>
          <t>JÄMTLANDS LÄN</t>
        </is>
      </c>
      <c r="E2905" t="inlineStr">
        <is>
          <t>STRÖMSUND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23934-2024</t>
        </is>
      </c>
      <c r="B2906" s="1" t="n">
        <v>45456</v>
      </c>
      <c r="C2906" s="1" t="n">
        <v>45579</v>
      </c>
      <c r="D2906" t="inlineStr">
        <is>
          <t>JÄMTLANDS LÄN</t>
        </is>
      </c>
      <c r="E2906" t="inlineStr">
        <is>
          <t>STRÖMSUND</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23942-2024</t>
        </is>
      </c>
      <c r="B2907" s="1" t="n">
        <v>45456</v>
      </c>
      <c r="C2907" s="1" t="n">
        <v>45579</v>
      </c>
      <c r="D2907" t="inlineStr">
        <is>
          <t>JÄMTLANDS LÄN</t>
        </is>
      </c>
      <c r="E2907" t="inlineStr">
        <is>
          <t>STRÖMSUND</t>
        </is>
      </c>
      <c r="F2907" t="inlineStr">
        <is>
          <t>SCA</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24060-2024</t>
        </is>
      </c>
      <c r="B2908" s="1" t="n">
        <v>45456</v>
      </c>
      <c r="C2908" s="1" t="n">
        <v>45579</v>
      </c>
      <c r="D2908" t="inlineStr">
        <is>
          <t>JÄMTLANDS LÄN</t>
        </is>
      </c>
      <c r="E2908" t="inlineStr">
        <is>
          <t>STRÖMSUND</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24042-2024</t>
        </is>
      </c>
      <c r="B2909" s="1" t="n">
        <v>45456</v>
      </c>
      <c r="C2909" s="1" t="n">
        <v>45579</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24059-2024</t>
        </is>
      </c>
      <c r="B2910" s="1" t="n">
        <v>45456</v>
      </c>
      <c r="C2910" s="1" t="n">
        <v>45579</v>
      </c>
      <c r="D2910" t="inlineStr">
        <is>
          <t>JÄMTLANDS LÄN</t>
        </is>
      </c>
      <c r="E2910" t="inlineStr">
        <is>
          <t>STRÖMSUND</t>
        </is>
      </c>
      <c r="F2910" t="inlineStr">
        <is>
          <t>Holmen skog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24206-2024</t>
        </is>
      </c>
      <c r="B2911" s="1" t="n">
        <v>45456</v>
      </c>
      <c r="C2911" s="1" t="n">
        <v>45579</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24214-2024</t>
        </is>
      </c>
      <c r="B2912" s="1" t="n">
        <v>45457</v>
      </c>
      <c r="C2912" s="1" t="n">
        <v>45579</v>
      </c>
      <c r="D2912" t="inlineStr">
        <is>
          <t>JÄMTLANDS LÄN</t>
        </is>
      </c>
      <c r="E2912" t="inlineStr">
        <is>
          <t>STRÖMSUND</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24430-2024</t>
        </is>
      </c>
      <c r="B2913" s="1" t="n">
        <v>45458</v>
      </c>
      <c r="C2913" s="1" t="n">
        <v>45579</v>
      </c>
      <c r="D2913" t="inlineStr">
        <is>
          <t>JÄMTLANDS LÄN</t>
        </is>
      </c>
      <c r="E2913" t="inlineStr">
        <is>
          <t>STRÖMSUND</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24438-2024</t>
        </is>
      </c>
      <c r="B2914" s="1" t="n">
        <v>45458</v>
      </c>
      <c r="C2914" s="1" t="n">
        <v>45579</v>
      </c>
      <c r="D2914" t="inlineStr">
        <is>
          <t>JÄMTLANDS LÄN</t>
        </is>
      </c>
      <c r="E2914" t="inlineStr">
        <is>
          <t>STRÖMSUND</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24311-2024</t>
        </is>
      </c>
      <c r="B2915" s="1" t="n">
        <v>45457</v>
      </c>
      <c r="C2915" s="1" t="n">
        <v>45579</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24429-2024</t>
        </is>
      </c>
      <c r="B2916" s="1" t="n">
        <v>45458</v>
      </c>
      <c r="C2916" s="1" t="n">
        <v>45579</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24804-2024</t>
        </is>
      </c>
      <c r="B2917" s="1" t="n">
        <v>45461</v>
      </c>
      <c r="C2917" s="1" t="n">
        <v>45579</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24800-2024</t>
        </is>
      </c>
      <c r="B2918" s="1" t="n">
        <v>45461</v>
      </c>
      <c r="C2918" s="1" t="n">
        <v>45579</v>
      </c>
      <c r="D2918" t="inlineStr">
        <is>
          <t>JÄMTLANDS LÄN</t>
        </is>
      </c>
      <c r="E2918" t="inlineStr">
        <is>
          <t>STRÖMSUND</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24802-2024</t>
        </is>
      </c>
      <c r="B2919" s="1" t="n">
        <v>45461</v>
      </c>
      <c r="C2919" s="1" t="n">
        <v>45579</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24801-2024</t>
        </is>
      </c>
      <c r="B2920" s="1" t="n">
        <v>45461</v>
      </c>
      <c r="C2920" s="1" t="n">
        <v>45579</v>
      </c>
      <c r="D2920" t="inlineStr">
        <is>
          <t>JÄMTLANDS LÄN</t>
        </is>
      </c>
      <c r="E2920" t="inlineStr">
        <is>
          <t>STRÖMSUND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24805-2024</t>
        </is>
      </c>
      <c r="B2921" s="1" t="n">
        <v>45461</v>
      </c>
      <c r="C2921" s="1" t="n">
        <v>45579</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25359-2024</t>
        </is>
      </c>
      <c r="B2922" s="1" t="n">
        <v>45463</v>
      </c>
      <c r="C2922" s="1" t="n">
        <v>45579</v>
      </c>
      <c r="D2922" t="inlineStr">
        <is>
          <t>JÄMTLANDS LÄN</t>
        </is>
      </c>
      <c r="E2922" t="inlineStr">
        <is>
          <t>STRÖMSUND</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25371-2024</t>
        </is>
      </c>
      <c r="B2923" s="1" t="n">
        <v>45463</v>
      </c>
      <c r="C2923" s="1" t="n">
        <v>45579</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25370-2024</t>
        </is>
      </c>
      <c r="B2924" s="1" t="n">
        <v>45463</v>
      </c>
      <c r="C2924" s="1" t="n">
        <v>45579</v>
      </c>
      <c r="D2924" t="inlineStr">
        <is>
          <t>JÄMTLANDS LÄN</t>
        </is>
      </c>
      <c r="E2924" t="inlineStr">
        <is>
          <t>STRÖMSUND</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25378-2024</t>
        </is>
      </c>
      <c r="B2925" s="1" t="n">
        <v>45463</v>
      </c>
      <c r="C2925" s="1" t="n">
        <v>45579</v>
      </c>
      <c r="D2925" t="inlineStr">
        <is>
          <t>JÄMTLANDS LÄN</t>
        </is>
      </c>
      <c r="E2925" t="inlineStr">
        <is>
          <t>STRÖMSUND</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25365-2024</t>
        </is>
      </c>
      <c r="B2926" s="1" t="n">
        <v>45463</v>
      </c>
      <c r="C2926" s="1" t="n">
        <v>45579</v>
      </c>
      <c r="D2926" t="inlineStr">
        <is>
          <t>JÄMTLANDS LÄN</t>
        </is>
      </c>
      <c r="E2926" t="inlineStr">
        <is>
          <t>STRÖMSUND</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25152-2024</t>
        </is>
      </c>
      <c r="B2927" s="1" t="n">
        <v>45462</v>
      </c>
      <c r="C2927" s="1" t="n">
        <v>45579</v>
      </c>
      <c r="D2927" t="inlineStr">
        <is>
          <t>JÄMTLANDS LÄN</t>
        </is>
      </c>
      <c r="E2927" t="inlineStr">
        <is>
          <t>STRÖMSUND</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25361-2024</t>
        </is>
      </c>
      <c r="B2928" s="1" t="n">
        <v>45463</v>
      </c>
      <c r="C2928" s="1" t="n">
        <v>45579</v>
      </c>
      <c r="D2928" t="inlineStr">
        <is>
          <t>JÄMTLANDS LÄN</t>
        </is>
      </c>
      <c r="E2928" t="inlineStr">
        <is>
          <t>STRÖMSUND</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25587-2024</t>
        </is>
      </c>
      <c r="B2929" s="1" t="n">
        <v>45463</v>
      </c>
      <c r="C2929" s="1" t="n">
        <v>45579</v>
      </c>
      <c r="D2929" t="inlineStr">
        <is>
          <t>JÄMTLANDS LÄN</t>
        </is>
      </c>
      <c r="E2929" t="inlineStr">
        <is>
          <t>STRÖMSUND</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25479-2024</t>
        </is>
      </c>
      <c r="B2930" s="1" t="n">
        <v>45463</v>
      </c>
      <c r="C2930" s="1" t="n">
        <v>45579</v>
      </c>
      <c r="D2930" t="inlineStr">
        <is>
          <t>JÄMTLANDS LÄN</t>
        </is>
      </c>
      <c r="E2930" t="inlineStr">
        <is>
          <t>STRÖMSUND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25445-2024</t>
        </is>
      </c>
      <c r="B2931" s="1" t="n">
        <v>45463</v>
      </c>
      <c r="C2931" s="1" t="n">
        <v>45579</v>
      </c>
      <c r="D2931" t="inlineStr">
        <is>
          <t>JÄMTLANDS LÄN</t>
        </is>
      </c>
      <c r="E2931" t="inlineStr">
        <is>
          <t>STRÖMSUND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25999-2024</t>
        </is>
      </c>
      <c r="B2932" s="1" t="n">
        <v>45468</v>
      </c>
      <c r="C2932" s="1" t="n">
        <v>45579</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26035-2024</t>
        </is>
      </c>
      <c r="B2933" s="1" t="n">
        <v>45468</v>
      </c>
      <c r="C2933" s="1" t="n">
        <v>45579</v>
      </c>
      <c r="D2933" t="inlineStr">
        <is>
          <t>JÄMTLANDS LÄN</t>
        </is>
      </c>
      <c r="E2933" t="inlineStr">
        <is>
          <t>STRÖMSUND</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26036-2024</t>
        </is>
      </c>
      <c r="B2934" s="1" t="n">
        <v>45468</v>
      </c>
      <c r="C2934" s="1" t="n">
        <v>45579</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26033-2024</t>
        </is>
      </c>
      <c r="B2935" s="1" t="n">
        <v>45468</v>
      </c>
      <c r="C2935" s="1" t="n">
        <v>45579</v>
      </c>
      <c r="D2935" t="inlineStr">
        <is>
          <t>JÄMTLANDS LÄN</t>
        </is>
      </c>
      <c r="E2935" t="inlineStr">
        <is>
          <t>STRÖMSUND</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26037-2024</t>
        </is>
      </c>
      <c r="B2936" s="1" t="n">
        <v>45468</v>
      </c>
      <c r="C2936" s="1" t="n">
        <v>45579</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26301-2024</t>
        </is>
      </c>
      <c r="B2937" s="1" t="n">
        <v>45469</v>
      </c>
      <c r="C2937" s="1" t="n">
        <v>45579</v>
      </c>
      <c r="D2937" t="inlineStr">
        <is>
          <t>JÄMTLANDS LÄN</t>
        </is>
      </c>
      <c r="E2937" t="inlineStr">
        <is>
          <t>STRÖMSUND</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26048-2024</t>
        </is>
      </c>
      <c r="B2938" s="1" t="n">
        <v>45468</v>
      </c>
      <c r="C2938" s="1" t="n">
        <v>45579</v>
      </c>
      <c r="D2938" t="inlineStr">
        <is>
          <t>JÄMTLANDS LÄN</t>
        </is>
      </c>
      <c r="E2938" t="inlineStr">
        <is>
          <t>STRÖMSUND</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26638-2024</t>
        </is>
      </c>
      <c r="B2939" s="1" t="n">
        <v>45470</v>
      </c>
      <c r="C2939" s="1" t="n">
        <v>45579</v>
      </c>
      <c r="D2939" t="inlineStr">
        <is>
          <t>JÄMTLANDS LÄN</t>
        </is>
      </c>
      <c r="E2939" t="inlineStr">
        <is>
          <t>STRÖMSUND</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26635-2024</t>
        </is>
      </c>
      <c r="B2940" s="1" t="n">
        <v>45470</v>
      </c>
      <c r="C2940" s="1" t="n">
        <v>45579</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26667-2024</t>
        </is>
      </c>
      <c r="B2941" s="1" t="n">
        <v>45470</v>
      </c>
      <c r="C2941" s="1" t="n">
        <v>45579</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26665-2024</t>
        </is>
      </c>
      <c r="B2942" s="1" t="n">
        <v>45470</v>
      </c>
      <c r="C2942" s="1" t="n">
        <v>45579</v>
      </c>
      <c r="D2942" t="inlineStr">
        <is>
          <t>JÄMTLANDS LÄN</t>
        </is>
      </c>
      <c r="E2942" t="inlineStr">
        <is>
          <t>STRÖMSUND</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26663-2024</t>
        </is>
      </c>
      <c r="B2943" s="1" t="n">
        <v>45470</v>
      </c>
      <c r="C2943" s="1" t="n">
        <v>45579</v>
      </c>
      <c r="D2943" t="inlineStr">
        <is>
          <t>JÄMTLANDS LÄN</t>
        </is>
      </c>
      <c r="E2943" t="inlineStr">
        <is>
          <t>STRÖMSUND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26650-2024</t>
        </is>
      </c>
      <c r="B2944" s="1" t="n">
        <v>45470</v>
      </c>
      <c r="C2944" s="1" t="n">
        <v>45579</v>
      </c>
      <c r="D2944" t="inlineStr">
        <is>
          <t>JÄMTLANDS LÄN</t>
        </is>
      </c>
      <c r="E2944" t="inlineStr">
        <is>
          <t>STRÖMSUND</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26666-2024</t>
        </is>
      </c>
      <c r="B2945" s="1" t="n">
        <v>45470</v>
      </c>
      <c r="C2945" s="1" t="n">
        <v>45579</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26636-2024</t>
        </is>
      </c>
      <c r="B2946" s="1" t="n">
        <v>45470</v>
      </c>
      <c r="C2946" s="1" t="n">
        <v>45579</v>
      </c>
      <c r="D2946" t="inlineStr">
        <is>
          <t>JÄMTLANDS LÄN</t>
        </is>
      </c>
      <c r="E2946" t="inlineStr">
        <is>
          <t>STRÖMSUND</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26664-2024</t>
        </is>
      </c>
      <c r="B2947" s="1" t="n">
        <v>45470</v>
      </c>
      <c r="C2947" s="1" t="n">
        <v>45579</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26934-2024</t>
        </is>
      </c>
      <c r="B2948" s="1" t="n">
        <v>45471</v>
      </c>
      <c r="C2948" s="1" t="n">
        <v>45579</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26960-2024</t>
        </is>
      </c>
      <c r="B2949" s="1" t="n">
        <v>45471</v>
      </c>
      <c r="C2949" s="1" t="n">
        <v>45579</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27121-2024</t>
        </is>
      </c>
      <c r="B2950" s="1" t="n">
        <v>45471</v>
      </c>
      <c r="C2950" s="1" t="n">
        <v>45579</v>
      </c>
      <c r="D2950" t="inlineStr">
        <is>
          <t>JÄMTLANDS LÄN</t>
        </is>
      </c>
      <c r="E2950" t="inlineStr">
        <is>
          <t>STRÖMSUND</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27276-2024</t>
        </is>
      </c>
      <c r="B2951" s="1" t="n">
        <v>45472</v>
      </c>
      <c r="C2951" s="1" t="n">
        <v>45579</v>
      </c>
      <c r="D2951" t="inlineStr">
        <is>
          <t>JÄMTLANDS LÄN</t>
        </is>
      </c>
      <c r="E2951" t="inlineStr">
        <is>
          <t>STRÖMSUND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27298-2024</t>
        </is>
      </c>
      <c r="B2952" s="1" t="n">
        <v>45472</v>
      </c>
      <c r="C2952" s="1" t="n">
        <v>45579</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27279-2024</t>
        </is>
      </c>
      <c r="B2953" s="1" t="n">
        <v>45472</v>
      </c>
      <c r="C2953" s="1" t="n">
        <v>45579</v>
      </c>
      <c r="D2953" t="inlineStr">
        <is>
          <t>JÄMTLANDS LÄN</t>
        </is>
      </c>
      <c r="E2953" t="inlineStr">
        <is>
          <t>STRÖMSUND</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27323-2024</t>
        </is>
      </c>
      <c r="B2954" s="1" t="n">
        <v>45471</v>
      </c>
      <c r="C2954" s="1" t="n">
        <v>45579</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27587-2024</t>
        </is>
      </c>
      <c r="B2955" s="1" t="n">
        <v>45474</v>
      </c>
      <c r="C2955" s="1" t="n">
        <v>45579</v>
      </c>
      <c r="D2955" t="inlineStr">
        <is>
          <t>JÄMTLANDS LÄN</t>
        </is>
      </c>
      <c r="E2955" t="inlineStr">
        <is>
          <t>STRÖMSUND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27643-2024</t>
        </is>
      </c>
      <c r="B2956" s="1" t="n">
        <v>45475</v>
      </c>
      <c r="C2956" s="1" t="n">
        <v>45579</v>
      </c>
      <c r="D2956" t="inlineStr">
        <is>
          <t>JÄMTLANDS LÄN</t>
        </is>
      </c>
      <c r="E2956" t="inlineStr">
        <is>
          <t>STRÖMSUND</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27640-2024</t>
        </is>
      </c>
      <c r="B2957" s="1" t="n">
        <v>45475</v>
      </c>
      <c r="C2957" s="1" t="n">
        <v>45579</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27648-2024</t>
        </is>
      </c>
      <c r="B2958" s="1" t="n">
        <v>45475</v>
      </c>
      <c r="C2958" s="1" t="n">
        <v>45579</v>
      </c>
      <c r="D2958" t="inlineStr">
        <is>
          <t>JÄMTLANDS LÄN</t>
        </is>
      </c>
      <c r="E2958" t="inlineStr">
        <is>
          <t>STRÖMSUND</t>
        </is>
      </c>
      <c r="F2958" t="inlineStr">
        <is>
          <t>SCA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27664-2024</t>
        </is>
      </c>
      <c r="B2959" s="1" t="n">
        <v>45475</v>
      </c>
      <c r="C2959" s="1" t="n">
        <v>45579</v>
      </c>
      <c r="D2959" t="inlineStr">
        <is>
          <t>JÄMTLANDS LÄN</t>
        </is>
      </c>
      <c r="E2959" t="inlineStr">
        <is>
          <t>STRÖMSUND</t>
        </is>
      </c>
      <c r="F2959" t="inlineStr">
        <is>
          <t>SCA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27638-2024</t>
        </is>
      </c>
      <c r="B2960" s="1" t="n">
        <v>45475</v>
      </c>
      <c r="C2960" s="1" t="n">
        <v>45579</v>
      </c>
      <c r="D2960" t="inlineStr">
        <is>
          <t>JÄMTLANDS LÄN</t>
        </is>
      </c>
      <c r="E2960" t="inlineStr">
        <is>
          <t>STRÖMSUND</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27642-2024</t>
        </is>
      </c>
      <c r="B2961" s="1" t="n">
        <v>45475</v>
      </c>
      <c r="C2961" s="1" t="n">
        <v>45579</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27659-2024</t>
        </is>
      </c>
      <c r="B2962" s="1" t="n">
        <v>45475</v>
      </c>
      <c r="C2962" s="1" t="n">
        <v>45579</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27663-2024</t>
        </is>
      </c>
      <c r="B2963" s="1" t="n">
        <v>45475</v>
      </c>
      <c r="C2963" s="1" t="n">
        <v>45579</v>
      </c>
      <c r="D2963" t="inlineStr">
        <is>
          <t>JÄMTLANDS LÄN</t>
        </is>
      </c>
      <c r="E2963" t="inlineStr">
        <is>
          <t>STRÖMSUND</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27637-2024</t>
        </is>
      </c>
      <c r="B2964" s="1" t="n">
        <v>45475</v>
      </c>
      <c r="C2964" s="1" t="n">
        <v>45579</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27649-2024</t>
        </is>
      </c>
      <c r="B2965" s="1" t="n">
        <v>45475</v>
      </c>
      <c r="C2965" s="1" t="n">
        <v>45579</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27665-2024</t>
        </is>
      </c>
      <c r="B2966" s="1" t="n">
        <v>45475</v>
      </c>
      <c r="C2966" s="1" t="n">
        <v>45579</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27898-2024</t>
        </is>
      </c>
      <c r="B2967" s="1" t="n">
        <v>45476</v>
      </c>
      <c r="C2967" s="1" t="n">
        <v>45579</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27923-2024</t>
        </is>
      </c>
      <c r="B2968" s="1" t="n">
        <v>45476</v>
      </c>
      <c r="C2968" s="1" t="n">
        <v>45579</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28174-2024</t>
        </is>
      </c>
      <c r="B2969" s="1" t="n">
        <v>45477</v>
      </c>
      <c r="C2969" s="1" t="n">
        <v>45579</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28510-2024</t>
        </is>
      </c>
      <c r="B2970" s="1" t="n">
        <v>45478</v>
      </c>
      <c r="C2970" s="1" t="n">
        <v>45579</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28443-2024</t>
        </is>
      </c>
      <c r="B2971" s="1" t="n">
        <v>45477</v>
      </c>
      <c r="C2971" s="1" t="n">
        <v>45579</v>
      </c>
      <c r="D2971" t="inlineStr">
        <is>
          <t>JÄMTLANDS LÄN</t>
        </is>
      </c>
      <c r="E2971" t="inlineStr">
        <is>
          <t>STRÖMSUND</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28511-2024</t>
        </is>
      </c>
      <c r="B2972" s="1" t="n">
        <v>45478</v>
      </c>
      <c r="C2972" s="1" t="n">
        <v>45579</v>
      </c>
      <c r="D2972" t="inlineStr">
        <is>
          <t>JÄMTLANDS LÄN</t>
        </is>
      </c>
      <c r="E2972" t="inlineStr">
        <is>
          <t>STRÖMSUND</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28602-2024</t>
        </is>
      </c>
      <c r="B2973" s="1" t="n">
        <v>45478</v>
      </c>
      <c r="C2973" s="1" t="n">
        <v>45579</v>
      </c>
      <c r="D2973" t="inlineStr">
        <is>
          <t>JÄMTLANDS LÄN</t>
        </is>
      </c>
      <c r="E2973" t="inlineStr">
        <is>
          <t>STRÖMSUND</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28865-2024</t>
        </is>
      </c>
      <c r="B2974" s="1" t="n">
        <v>45479</v>
      </c>
      <c r="C2974" s="1" t="n">
        <v>45579</v>
      </c>
      <c r="D2974" t="inlineStr">
        <is>
          <t>JÄMTLANDS LÄN</t>
        </is>
      </c>
      <c r="E2974" t="inlineStr">
        <is>
          <t>STRÖMSUND</t>
        </is>
      </c>
      <c r="F2974" t="inlineStr">
        <is>
          <t>SCA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28874-2024</t>
        </is>
      </c>
      <c r="B2975" s="1" t="n">
        <v>45479</v>
      </c>
      <c r="C2975" s="1" t="n">
        <v>45579</v>
      </c>
      <c r="D2975" t="inlineStr">
        <is>
          <t>JÄMTLANDS LÄN</t>
        </is>
      </c>
      <c r="E2975" t="inlineStr">
        <is>
          <t>STRÖMSUND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28878-2024</t>
        </is>
      </c>
      <c r="B2976" s="1" t="n">
        <v>45479</v>
      </c>
      <c r="C2976" s="1" t="n">
        <v>45579</v>
      </c>
      <c r="D2976" t="inlineStr">
        <is>
          <t>JÄMTLANDS LÄN</t>
        </is>
      </c>
      <c r="E2976" t="inlineStr">
        <is>
          <t>STRÖMSUND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28864-2024</t>
        </is>
      </c>
      <c r="B2977" s="1" t="n">
        <v>45479</v>
      </c>
      <c r="C2977" s="1" t="n">
        <v>45579</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29113-2024</t>
        </is>
      </c>
      <c r="B2978" s="1" t="n">
        <v>45482</v>
      </c>
      <c r="C2978" s="1" t="n">
        <v>45579</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29096-2024</t>
        </is>
      </c>
      <c r="B2979" s="1" t="n">
        <v>45482</v>
      </c>
      <c r="C2979" s="1" t="n">
        <v>45579</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29091-2024</t>
        </is>
      </c>
      <c r="B2980" s="1" t="n">
        <v>45482</v>
      </c>
      <c r="C2980" s="1" t="n">
        <v>45579</v>
      </c>
      <c r="D2980" t="inlineStr">
        <is>
          <t>JÄMTLANDS LÄN</t>
        </is>
      </c>
      <c r="E2980" t="inlineStr">
        <is>
          <t>STRÖMSUND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29107-2024</t>
        </is>
      </c>
      <c r="B2981" s="1" t="n">
        <v>45482</v>
      </c>
      <c r="C2981" s="1" t="n">
        <v>45579</v>
      </c>
      <c r="D2981" t="inlineStr">
        <is>
          <t>JÄMTLANDS LÄN</t>
        </is>
      </c>
      <c r="E2981" t="inlineStr">
        <is>
          <t>STRÖMSUND</t>
        </is>
      </c>
      <c r="F2981" t="inlineStr">
        <is>
          <t>SCA</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29098-2024</t>
        </is>
      </c>
      <c r="B2982" s="1" t="n">
        <v>45482</v>
      </c>
      <c r="C2982" s="1" t="n">
        <v>45579</v>
      </c>
      <c r="D2982" t="inlineStr">
        <is>
          <t>JÄMTLANDS LÄN</t>
        </is>
      </c>
      <c r="E2982" t="inlineStr">
        <is>
          <t>STRÖMSUND</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29097-2024</t>
        </is>
      </c>
      <c r="B2983" s="1" t="n">
        <v>45482</v>
      </c>
      <c r="C2983" s="1" t="n">
        <v>45579</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29221-2024</t>
        </is>
      </c>
      <c r="B2984" s="1" t="n">
        <v>45482</v>
      </c>
      <c r="C2984" s="1" t="n">
        <v>45579</v>
      </c>
      <c r="D2984" t="inlineStr">
        <is>
          <t>JÄMTLANDS LÄN</t>
        </is>
      </c>
      <c r="E2984" t="inlineStr">
        <is>
          <t>STRÖMSUND</t>
        </is>
      </c>
      <c r="G2984" t="n">
        <v>39.4</v>
      </c>
      <c r="H2984" t="n">
        <v>0</v>
      </c>
      <c r="I2984" t="n">
        <v>0</v>
      </c>
      <c r="J2984" t="n">
        <v>0</v>
      </c>
      <c r="K2984" t="n">
        <v>0</v>
      </c>
      <c r="L2984" t="n">
        <v>0</v>
      </c>
      <c r="M2984" t="n">
        <v>0</v>
      </c>
      <c r="N2984" t="n">
        <v>0</v>
      </c>
      <c r="O2984" t="n">
        <v>0</v>
      </c>
      <c r="P2984" t="n">
        <v>0</v>
      </c>
      <c r="Q2984" t="n">
        <v>0</v>
      </c>
      <c r="R2984" s="2" t="inlineStr"/>
    </row>
    <row r="2985" ht="15" customHeight="1">
      <c r="A2985" t="inlineStr">
        <is>
          <t>A 29274-2024</t>
        </is>
      </c>
      <c r="B2985" s="1" t="n">
        <v>45483</v>
      </c>
      <c r="C2985" s="1" t="n">
        <v>45579</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29242-2024</t>
        </is>
      </c>
      <c r="B2986" s="1" t="n">
        <v>45483</v>
      </c>
      <c r="C2986" s="1" t="n">
        <v>45579</v>
      </c>
      <c r="D2986" t="inlineStr">
        <is>
          <t>JÄMTLANDS LÄN</t>
        </is>
      </c>
      <c r="E2986" t="inlineStr">
        <is>
          <t>STRÖMSUND</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29171-2024</t>
        </is>
      </c>
      <c r="B2987" s="1" t="n">
        <v>45482</v>
      </c>
      <c r="C2987" s="1" t="n">
        <v>45579</v>
      </c>
      <c r="D2987" t="inlineStr">
        <is>
          <t>JÄMTLANDS LÄN</t>
        </is>
      </c>
      <c r="E2987" t="inlineStr">
        <is>
          <t>STRÖMSUND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29266-2024</t>
        </is>
      </c>
      <c r="B2988" s="1" t="n">
        <v>45483</v>
      </c>
      <c r="C2988" s="1" t="n">
        <v>45579</v>
      </c>
      <c r="D2988" t="inlineStr">
        <is>
          <t>JÄMTLANDS LÄN</t>
        </is>
      </c>
      <c r="E2988" t="inlineStr">
        <is>
          <t>STRÖMSUND</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29243-2024</t>
        </is>
      </c>
      <c r="B2989" s="1" t="n">
        <v>45483</v>
      </c>
      <c r="C2989" s="1" t="n">
        <v>45579</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29273-2024</t>
        </is>
      </c>
      <c r="B2990" s="1" t="n">
        <v>45483</v>
      </c>
      <c r="C2990" s="1" t="n">
        <v>45579</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29413-2024</t>
        </is>
      </c>
      <c r="B2991" s="1" t="n">
        <v>45483</v>
      </c>
      <c r="C2991" s="1" t="n">
        <v>45579</v>
      </c>
      <c r="D2991" t="inlineStr">
        <is>
          <t>JÄMTLANDS LÄN</t>
        </is>
      </c>
      <c r="E2991" t="inlineStr">
        <is>
          <t>STRÖMSUND</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29669-2024</t>
        </is>
      </c>
      <c r="B2992" s="1" t="n">
        <v>45485</v>
      </c>
      <c r="C2992" s="1" t="n">
        <v>45579</v>
      </c>
      <c r="D2992" t="inlineStr">
        <is>
          <t>JÄMTLANDS LÄN</t>
        </is>
      </c>
      <c r="E2992" t="inlineStr">
        <is>
          <t>STRÖMSUND</t>
        </is>
      </c>
      <c r="F2992" t="inlineStr">
        <is>
          <t>SCA</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29671-2024</t>
        </is>
      </c>
      <c r="B2993" s="1" t="n">
        <v>45485</v>
      </c>
      <c r="C2993" s="1" t="n">
        <v>45579</v>
      </c>
      <c r="D2993" t="inlineStr">
        <is>
          <t>JÄMTLANDS LÄN</t>
        </is>
      </c>
      <c r="E2993" t="inlineStr">
        <is>
          <t>STRÖMSUND</t>
        </is>
      </c>
      <c r="F2993" t="inlineStr">
        <is>
          <t>SCA</t>
        </is>
      </c>
      <c r="G2993" t="n">
        <v>42.3</v>
      </c>
      <c r="H2993" t="n">
        <v>0</v>
      </c>
      <c r="I2993" t="n">
        <v>0</v>
      </c>
      <c r="J2993" t="n">
        <v>0</v>
      </c>
      <c r="K2993" t="n">
        <v>0</v>
      </c>
      <c r="L2993" t="n">
        <v>0</v>
      </c>
      <c r="M2993" t="n">
        <v>0</v>
      </c>
      <c r="N2993" t="n">
        <v>0</v>
      </c>
      <c r="O2993" t="n">
        <v>0</v>
      </c>
      <c r="P2993" t="n">
        <v>0</v>
      </c>
      <c r="Q2993" t="n">
        <v>0</v>
      </c>
      <c r="R2993" s="2" t="inlineStr"/>
    </row>
    <row r="2994" ht="15" customHeight="1">
      <c r="A2994" t="inlineStr">
        <is>
          <t>A 29670-2024</t>
        </is>
      </c>
      <c r="B2994" s="1" t="n">
        <v>45485</v>
      </c>
      <c r="C2994" s="1" t="n">
        <v>45579</v>
      </c>
      <c r="D2994" t="inlineStr">
        <is>
          <t>JÄMTLANDS LÄN</t>
        </is>
      </c>
      <c r="E2994" t="inlineStr">
        <is>
          <t>STRÖMSUND</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29668-2024</t>
        </is>
      </c>
      <c r="B2995" s="1" t="n">
        <v>45485</v>
      </c>
      <c r="C2995" s="1" t="n">
        <v>45579</v>
      </c>
      <c r="D2995" t="inlineStr">
        <is>
          <t>JÄMTLANDS LÄN</t>
        </is>
      </c>
      <c r="E2995" t="inlineStr">
        <is>
          <t>STRÖMSUND</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29495-2024</t>
        </is>
      </c>
      <c r="B2996" s="1" t="n">
        <v>45484</v>
      </c>
      <c r="C2996" s="1" t="n">
        <v>45579</v>
      </c>
      <c r="D2996" t="inlineStr">
        <is>
          <t>JÄMTLANDS LÄN</t>
        </is>
      </c>
      <c r="E2996" t="inlineStr">
        <is>
          <t>STRÖMSUND</t>
        </is>
      </c>
      <c r="F2996" t="inlineStr">
        <is>
          <t>Holmen skog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29487-2024</t>
        </is>
      </c>
      <c r="B2997" s="1" t="n">
        <v>45484</v>
      </c>
      <c r="C2997" s="1" t="n">
        <v>45579</v>
      </c>
      <c r="D2997" t="inlineStr">
        <is>
          <t>JÄMTLANDS LÄN</t>
        </is>
      </c>
      <c r="E2997" t="inlineStr">
        <is>
          <t>STRÖMSUND</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29586-2024</t>
        </is>
      </c>
      <c r="B2998" s="1" t="n">
        <v>45484</v>
      </c>
      <c r="C2998" s="1" t="n">
        <v>45579</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29875-2024</t>
        </is>
      </c>
      <c r="B2999" s="1" t="n">
        <v>45486</v>
      </c>
      <c r="C2999" s="1" t="n">
        <v>45579</v>
      </c>
      <c r="D2999" t="inlineStr">
        <is>
          <t>JÄMTLANDS LÄN</t>
        </is>
      </c>
      <c r="E2999" t="inlineStr">
        <is>
          <t>STRÖMSUND</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30062-2024</t>
        </is>
      </c>
      <c r="B3000" s="1" t="n">
        <v>45489</v>
      </c>
      <c r="C3000" s="1" t="n">
        <v>45579</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30064-2024</t>
        </is>
      </c>
      <c r="B3001" s="1" t="n">
        <v>45489</v>
      </c>
      <c r="C3001" s="1" t="n">
        <v>45579</v>
      </c>
      <c r="D3001" t="inlineStr">
        <is>
          <t>JÄMTLANDS LÄN</t>
        </is>
      </c>
      <c r="E3001" t="inlineStr">
        <is>
          <t>STRÖMSUND</t>
        </is>
      </c>
      <c r="F3001" t="inlineStr">
        <is>
          <t>SCA</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30354-2024</t>
        </is>
      </c>
      <c r="B3002" s="1" t="n">
        <v>45491</v>
      </c>
      <c r="C3002" s="1" t="n">
        <v>45579</v>
      </c>
      <c r="D3002" t="inlineStr">
        <is>
          <t>JÄMTLANDS LÄN</t>
        </is>
      </c>
      <c r="E3002" t="inlineStr">
        <is>
          <t>STRÖMSUND</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30330-2024</t>
        </is>
      </c>
      <c r="B3003" s="1" t="n">
        <v>45491</v>
      </c>
      <c r="C3003" s="1" t="n">
        <v>45579</v>
      </c>
      <c r="D3003" t="inlineStr">
        <is>
          <t>JÄMTLANDS LÄN</t>
        </is>
      </c>
      <c r="E3003" t="inlineStr">
        <is>
          <t>STRÖMSUND</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30352-2024</t>
        </is>
      </c>
      <c r="B3004" s="1" t="n">
        <v>45491</v>
      </c>
      <c r="C3004" s="1" t="n">
        <v>45579</v>
      </c>
      <c r="D3004" t="inlineStr">
        <is>
          <t>JÄMTLANDS LÄN</t>
        </is>
      </c>
      <c r="E3004" t="inlineStr">
        <is>
          <t>STRÖMSUND</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30376-2024</t>
        </is>
      </c>
      <c r="B3005" s="1" t="n">
        <v>45491</v>
      </c>
      <c r="C3005" s="1" t="n">
        <v>45579</v>
      </c>
      <c r="D3005" t="inlineStr">
        <is>
          <t>JÄMTLANDS LÄN</t>
        </is>
      </c>
      <c r="E3005" t="inlineStr">
        <is>
          <t>STRÖMSUND</t>
        </is>
      </c>
      <c r="F3005" t="inlineStr">
        <is>
          <t>Sveaskog</t>
        </is>
      </c>
      <c r="G3005" t="n">
        <v>11.8</v>
      </c>
      <c r="H3005" t="n">
        <v>0</v>
      </c>
      <c r="I3005" t="n">
        <v>0</v>
      </c>
      <c r="J3005" t="n">
        <v>0</v>
      </c>
      <c r="K3005" t="n">
        <v>0</v>
      </c>
      <c r="L3005" t="n">
        <v>0</v>
      </c>
      <c r="M3005" t="n">
        <v>0</v>
      </c>
      <c r="N3005" t="n">
        <v>0</v>
      </c>
      <c r="O3005" t="n">
        <v>0</v>
      </c>
      <c r="P3005" t="n">
        <v>0</v>
      </c>
      <c r="Q3005" t="n">
        <v>0</v>
      </c>
      <c r="R3005" s="2" t="inlineStr"/>
    </row>
    <row r="3006" ht="15" customHeight="1">
      <c r="A3006" t="inlineStr">
        <is>
          <t>A 30375-2024</t>
        </is>
      </c>
      <c r="B3006" s="1" t="n">
        <v>45491</v>
      </c>
      <c r="C3006" s="1" t="n">
        <v>45579</v>
      </c>
      <c r="D3006" t="inlineStr">
        <is>
          <t>JÄMTLANDS LÄN</t>
        </is>
      </c>
      <c r="E3006" t="inlineStr">
        <is>
          <t>STRÖMSUND</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30374-2024</t>
        </is>
      </c>
      <c r="B3007" s="1" t="n">
        <v>45491</v>
      </c>
      <c r="C3007" s="1" t="n">
        <v>45579</v>
      </c>
      <c r="D3007" t="inlineStr">
        <is>
          <t>JÄMTLANDS LÄN</t>
        </is>
      </c>
      <c r="E3007" t="inlineStr">
        <is>
          <t>STRÖMSUND</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30371-2024</t>
        </is>
      </c>
      <c r="B3008" s="1" t="n">
        <v>45491</v>
      </c>
      <c r="C3008" s="1" t="n">
        <v>45579</v>
      </c>
      <c r="D3008" t="inlineStr">
        <is>
          <t>JÄMTLANDS LÄN</t>
        </is>
      </c>
      <c r="E3008" t="inlineStr">
        <is>
          <t>STRÖMSUND</t>
        </is>
      </c>
      <c r="F3008" t="inlineStr">
        <is>
          <t>Sveaskog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30585-2024</t>
        </is>
      </c>
      <c r="B3009" s="1" t="n">
        <v>45493</v>
      </c>
      <c r="C3009" s="1" t="n">
        <v>45579</v>
      </c>
      <c r="D3009" t="inlineStr">
        <is>
          <t>JÄMTLANDS LÄN</t>
        </is>
      </c>
      <c r="E3009" t="inlineStr">
        <is>
          <t>STRÖMSUND</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30586-2024</t>
        </is>
      </c>
      <c r="B3010" s="1" t="n">
        <v>45493</v>
      </c>
      <c r="C3010" s="1" t="n">
        <v>45579</v>
      </c>
      <c r="D3010" t="inlineStr">
        <is>
          <t>JÄMTLANDS LÄN</t>
        </is>
      </c>
      <c r="E3010" t="inlineStr">
        <is>
          <t>STRÖMSUND</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30809-2024</t>
        </is>
      </c>
      <c r="B3011" s="1" t="n">
        <v>45497</v>
      </c>
      <c r="C3011" s="1" t="n">
        <v>45579</v>
      </c>
      <c r="D3011" t="inlineStr">
        <is>
          <t>JÄMTLANDS LÄN</t>
        </is>
      </c>
      <c r="E3011" t="inlineStr">
        <is>
          <t>STRÖMSUND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31489-2024</t>
        </is>
      </c>
      <c r="B3012" s="1" t="n">
        <v>45506</v>
      </c>
      <c r="C3012" s="1" t="n">
        <v>45579</v>
      </c>
      <c r="D3012" t="inlineStr">
        <is>
          <t>JÄMTLANDS LÄN</t>
        </is>
      </c>
      <c r="E3012" t="inlineStr">
        <is>
          <t>STRÖMSUND</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31538-2024</t>
        </is>
      </c>
      <c r="B3013" s="1" t="n">
        <v>45506</v>
      </c>
      <c r="C3013" s="1" t="n">
        <v>45579</v>
      </c>
      <c r="D3013" t="inlineStr">
        <is>
          <t>JÄMTLANDS LÄN</t>
        </is>
      </c>
      <c r="E3013" t="inlineStr">
        <is>
          <t>STRÖMSUND</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31565-2024</t>
        </is>
      </c>
      <c r="B3014" s="1" t="n">
        <v>45506</v>
      </c>
      <c r="C3014" s="1" t="n">
        <v>45579</v>
      </c>
      <c r="D3014" t="inlineStr">
        <is>
          <t>JÄMTLANDS LÄN</t>
        </is>
      </c>
      <c r="E3014" t="inlineStr">
        <is>
          <t>STRÖMSUND</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31514-2024</t>
        </is>
      </c>
      <c r="B3015" s="1" t="n">
        <v>45506</v>
      </c>
      <c r="C3015" s="1" t="n">
        <v>45579</v>
      </c>
      <c r="D3015" t="inlineStr">
        <is>
          <t>JÄMTLANDS LÄN</t>
        </is>
      </c>
      <c r="E3015" t="inlineStr">
        <is>
          <t>STRÖMSUND</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31675-2024</t>
        </is>
      </c>
      <c r="B3016" s="1" t="n">
        <v>45507</v>
      </c>
      <c r="C3016" s="1" t="n">
        <v>45579</v>
      </c>
      <c r="D3016" t="inlineStr">
        <is>
          <t>JÄMTLANDS LÄN</t>
        </is>
      </c>
      <c r="E3016" t="inlineStr">
        <is>
          <t>STRÖMSUND</t>
        </is>
      </c>
      <c r="F3016" t="inlineStr">
        <is>
          <t>SCA</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31606-2024</t>
        </is>
      </c>
      <c r="B3017" s="1" t="n">
        <v>45506</v>
      </c>
      <c r="C3017" s="1" t="n">
        <v>45579</v>
      </c>
      <c r="D3017" t="inlineStr">
        <is>
          <t>JÄMTLANDS LÄN</t>
        </is>
      </c>
      <c r="E3017" t="inlineStr">
        <is>
          <t>STRÖMSUND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31685-2024</t>
        </is>
      </c>
      <c r="B3018" s="1" t="n">
        <v>45507</v>
      </c>
      <c r="C3018" s="1" t="n">
        <v>45579</v>
      </c>
      <c r="D3018" t="inlineStr">
        <is>
          <t>JÄMTLANDS LÄN</t>
        </is>
      </c>
      <c r="E3018" t="inlineStr">
        <is>
          <t>STRÖMSUND</t>
        </is>
      </c>
      <c r="F3018" t="inlineStr">
        <is>
          <t>SCA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31710-2024</t>
        </is>
      </c>
      <c r="B3019" s="1" t="n">
        <v>45509</v>
      </c>
      <c r="C3019" s="1" t="n">
        <v>45579</v>
      </c>
      <c r="D3019" t="inlineStr">
        <is>
          <t>JÄMTLANDS LÄN</t>
        </is>
      </c>
      <c r="E3019" t="inlineStr">
        <is>
          <t>STRÖMSUND</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31741-2024</t>
        </is>
      </c>
      <c r="B3020" s="1" t="n">
        <v>45509</v>
      </c>
      <c r="C3020" s="1" t="n">
        <v>45579</v>
      </c>
      <c r="D3020" t="inlineStr">
        <is>
          <t>JÄMTLANDS LÄN</t>
        </is>
      </c>
      <c r="E3020" t="inlineStr">
        <is>
          <t>STRÖMSUND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31898-2024</t>
        </is>
      </c>
      <c r="B3021" s="1" t="n">
        <v>45510</v>
      </c>
      <c r="C3021" s="1" t="n">
        <v>45579</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32066-2024</t>
        </is>
      </c>
      <c r="B3022" s="1" t="n">
        <v>45511</v>
      </c>
      <c r="C3022" s="1" t="n">
        <v>45579</v>
      </c>
      <c r="D3022" t="inlineStr">
        <is>
          <t>JÄMTLANDS LÄN</t>
        </is>
      </c>
      <c r="E3022" t="inlineStr">
        <is>
          <t>STRÖMSUND</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32107-2024</t>
        </is>
      </c>
      <c r="B3023" s="1" t="n">
        <v>45511</v>
      </c>
      <c r="C3023" s="1" t="n">
        <v>45579</v>
      </c>
      <c r="D3023" t="inlineStr">
        <is>
          <t>JÄMTLANDS LÄN</t>
        </is>
      </c>
      <c r="E3023" t="inlineStr">
        <is>
          <t>STRÖMSUND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32254-2024</t>
        </is>
      </c>
      <c r="B3024" s="1" t="n">
        <v>45512</v>
      </c>
      <c r="C3024" s="1" t="n">
        <v>45579</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32261-2024</t>
        </is>
      </c>
      <c r="B3025" s="1" t="n">
        <v>45512</v>
      </c>
      <c r="C3025" s="1" t="n">
        <v>45579</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32358-2024</t>
        </is>
      </c>
      <c r="B3026" s="1" t="n">
        <v>45512</v>
      </c>
      <c r="C3026" s="1" t="n">
        <v>45579</v>
      </c>
      <c r="D3026" t="inlineStr">
        <is>
          <t>JÄMTLANDS LÄN</t>
        </is>
      </c>
      <c r="E3026" t="inlineStr">
        <is>
          <t>STRÖMSUND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32443-2024</t>
        </is>
      </c>
      <c r="B3027" s="1" t="n">
        <v>45513</v>
      </c>
      <c r="C3027" s="1" t="n">
        <v>45579</v>
      </c>
      <c r="D3027" t="inlineStr">
        <is>
          <t>JÄMTLANDS LÄN</t>
        </is>
      </c>
      <c r="E3027" t="inlineStr">
        <is>
          <t>STRÖMSUND</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32451-2024</t>
        </is>
      </c>
      <c r="B3028" s="1" t="n">
        <v>45513</v>
      </c>
      <c r="C3028" s="1" t="n">
        <v>45579</v>
      </c>
      <c r="D3028" t="inlineStr">
        <is>
          <t>JÄMTLANDS LÄN</t>
        </is>
      </c>
      <c r="E3028" t="inlineStr">
        <is>
          <t>STRÖMSUND</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32444-2024</t>
        </is>
      </c>
      <c r="B3029" s="1" t="n">
        <v>45513</v>
      </c>
      <c r="C3029" s="1" t="n">
        <v>45579</v>
      </c>
      <c r="D3029" t="inlineStr">
        <is>
          <t>JÄMTLANDS LÄN</t>
        </is>
      </c>
      <c r="E3029" t="inlineStr">
        <is>
          <t>STRÖMSUND</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32452-2024</t>
        </is>
      </c>
      <c r="B3030" s="1" t="n">
        <v>45513</v>
      </c>
      <c r="C3030" s="1" t="n">
        <v>45579</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32396-2024</t>
        </is>
      </c>
      <c r="B3031" s="1" t="n">
        <v>45512</v>
      </c>
      <c r="C3031" s="1" t="n">
        <v>45579</v>
      </c>
      <c r="D3031" t="inlineStr">
        <is>
          <t>JÄMTLANDS LÄN</t>
        </is>
      </c>
      <c r="E3031" t="inlineStr">
        <is>
          <t>STRÖMSUND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32324-2024</t>
        </is>
      </c>
      <c r="B3032" s="1" t="n">
        <v>45512</v>
      </c>
      <c r="C3032" s="1" t="n">
        <v>45579</v>
      </c>
      <c r="D3032" t="inlineStr">
        <is>
          <t>JÄMTLANDS LÄN</t>
        </is>
      </c>
      <c r="E3032" t="inlineStr">
        <is>
          <t>STRÖMSUND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32453-2024</t>
        </is>
      </c>
      <c r="B3033" s="1" t="n">
        <v>45512</v>
      </c>
      <c r="C3033" s="1" t="n">
        <v>45579</v>
      </c>
      <c r="D3033" t="inlineStr">
        <is>
          <t>JÄMTLANDS LÄN</t>
        </is>
      </c>
      <c r="E3033" t="inlineStr">
        <is>
          <t>STRÖMSUND</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32650-2024</t>
        </is>
      </c>
      <c r="B3034" s="1" t="n">
        <v>45514</v>
      </c>
      <c r="C3034" s="1" t="n">
        <v>45579</v>
      </c>
      <c r="D3034" t="inlineStr">
        <is>
          <t>JÄMTLANDS LÄN</t>
        </is>
      </c>
      <c r="E3034" t="inlineStr">
        <is>
          <t>STRÖMSUND</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32673-2024</t>
        </is>
      </c>
      <c r="B3035" s="1" t="n">
        <v>45514</v>
      </c>
      <c r="C3035" s="1" t="n">
        <v>45579</v>
      </c>
      <c r="D3035" t="inlineStr">
        <is>
          <t>JÄMTLANDS LÄN</t>
        </is>
      </c>
      <c r="E3035" t="inlineStr">
        <is>
          <t>STRÖMSUND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32674-2024</t>
        </is>
      </c>
      <c r="B3036" s="1" t="n">
        <v>45514</v>
      </c>
      <c r="C3036" s="1" t="n">
        <v>45579</v>
      </c>
      <c r="D3036" t="inlineStr">
        <is>
          <t>JÄMTLANDS LÄN</t>
        </is>
      </c>
      <c r="E3036" t="inlineStr">
        <is>
          <t>STRÖMSUND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32672-2024</t>
        </is>
      </c>
      <c r="B3037" s="1" t="n">
        <v>45514</v>
      </c>
      <c r="C3037" s="1" t="n">
        <v>45579</v>
      </c>
      <c r="D3037" t="inlineStr">
        <is>
          <t>JÄMTLANDS LÄN</t>
        </is>
      </c>
      <c r="E3037" t="inlineStr">
        <is>
          <t>STRÖMSUND</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32803-2024</t>
        </is>
      </c>
      <c r="B3038" s="1" t="n">
        <v>45516</v>
      </c>
      <c r="C3038" s="1" t="n">
        <v>45579</v>
      </c>
      <c r="D3038" t="inlineStr">
        <is>
          <t>JÄMTLANDS LÄN</t>
        </is>
      </c>
      <c r="E3038" t="inlineStr">
        <is>
          <t>STRÖMSUND</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32900-2024</t>
        </is>
      </c>
      <c r="B3039" s="1" t="n">
        <v>45517</v>
      </c>
      <c r="C3039" s="1" t="n">
        <v>45579</v>
      </c>
      <c r="D3039" t="inlineStr">
        <is>
          <t>JÄMTLANDS LÄN</t>
        </is>
      </c>
      <c r="E3039" t="inlineStr">
        <is>
          <t>STRÖMSUND</t>
        </is>
      </c>
      <c r="F3039" t="inlineStr">
        <is>
          <t>SCA</t>
        </is>
      </c>
      <c r="G3039" t="n">
        <v>16.6</v>
      </c>
      <c r="H3039" t="n">
        <v>0</v>
      </c>
      <c r="I3039" t="n">
        <v>0</v>
      </c>
      <c r="J3039" t="n">
        <v>0</v>
      </c>
      <c r="K3039" t="n">
        <v>0</v>
      </c>
      <c r="L3039" t="n">
        <v>0</v>
      </c>
      <c r="M3039" t="n">
        <v>0</v>
      </c>
      <c r="N3039" t="n">
        <v>0</v>
      </c>
      <c r="O3039" t="n">
        <v>0</v>
      </c>
      <c r="P3039" t="n">
        <v>0</v>
      </c>
      <c r="Q3039" t="n">
        <v>0</v>
      </c>
      <c r="R3039" s="2" t="inlineStr"/>
    </row>
    <row r="3040" ht="15" customHeight="1">
      <c r="A3040" t="inlineStr">
        <is>
          <t>A 32907-2024</t>
        </is>
      </c>
      <c r="B3040" s="1" t="n">
        <v>45517</v>
      </c>
      <c r="C3040" s="1" t="n">
        <v>45579</v>
      </c>
      <c r="D3040" t="inlineStr">
        <is>
          <t>JÄMTLANDS LÄN</t>
        </is>
      </c>
      <c r="E3040" t="inlineStr">
        <is>
          <t>STRÖMSUND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32983-2024</t>
        </is>
      </c>
      <c r="B3041" s="1" t="n">
        <v>45517</v>
      </c>
      <c r="C3041" s="1" t="n">
        <v>45579</v>
      </c>
      <c r="D3041" t="inlineStr">
        <is>
          <t>JÄMTLANDS LÄN</t>
        </is>
      </c>
      <c r="E3041" t="inlineStr">
        <is>
          <t>STRÖMSUND</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33122-2024</t>
        </is>
      </c>
      <c r="B3042" s="1" t="n">
        <v>45518</v>
      </c>
      <c r="C3042" s="1" t="n">
        <v>45579</v>
      </c>
      <c r="D3042" t="inlineStr">
        <is>
          <t>JÄMTLANDS LÄN</t>
        </is>
      </c>
      <c r="E3042" t="inlineStr">
        <is>
          <t>STRÖMSUND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33127-2024</t>
        </is>
      </c>
      <c r="B3043" s="1" t="n">
        <v>45518</v>
      </c>
      <c r="C3043" s="1" t="n">
        <v>45579</v>
      </c>
      <c r="D3043" t="inlineStr">
        <is>
          <t>JÄMTLANDS LÄN</t>
        </is>
      </c>
      <c r="E3043" t="inlineStr">
        <is>
          <t>STRÖMSUND</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33311-2024</t>
        </is>
      </c>
      <c r="B3044" s="1" t="n">
        <v>45518</v>
      </c>
      <c r="C3044" s="1" t="n">
        <v>45579</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33299-2024</t>
        </is>
      </c>
      <c r="B3045" s="1" t="n">
        <v>45519</v>
      </c>
      <c r="C3045" s="1" t="n">
        <v>45579</v>
      </c>
      <c r="D3045" t="inlineStr">
        <is>
          <t>JÄMTLANDS LÄN</t>
        </is>
      </c>
      <c r="E3045" t="inlineStr">
        <is>
          <t>STRÖMSUND</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33238-2024</t>
        </is>
      </c>
      <c r="B3046" s="1" t="n">
        <v>45518</v>
      </c>
      <c r="C3046" s="1" t="n">
        <v>45579</v>
      </c>
      <c r="D3046" t="inlineStr">
        <is>
          <t>JÄMTLANDS LÄN</t>
        </is>
      </c>
      <c r="E3046" t="inlineStr">
        <is>
          <t>STRÖMSUND</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33584-2024</t>
        </is>
      </c>
      <c r="B3047" s="1" t="n">
        <v>45520</v>
      </c>
      <c r="C3047" s="1" t="n">
        <v>45579</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34179-2024</t>
        </is>
      </c>
      <c r="B3048" s="1" t="n">
        <v>45524</v>
      </c>
      <c r="C3048" s="1" t="n">
        <v>45579</v>
      </c>
      <c r="D3048" t="inlineStr">
        <is>
          <t>JÄMTLANDS LÄN</t>
        </is>
      </c>
      <c r="E3048" t="inlineStr">
        <is>
          <t>STRÖMSUND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34290-2024</t>
        </is>
      </c>
      <c r="B3049" s="1" t="n">
        <v>45524</v>
      </c>
      <c r="C3049" s="1" t="n">
        <v>45579</v>
      </c>
      <c r="D3049" t="inlineStr">
        <is>
          <t>JÄMTLANDS LÄN</t>
        </is>
      </c>
      <c r="E3049" t="inlineStr">
        <is>
          <t>STRÖMSUND</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34227-2024</t>
        </is>
      </c>
      <c r="B3050" s="1" t="n">
        <v>45524</v>
      </c>
      <c r="C3050" s="1" t="n">
        <v>45579</v>
      </c>
      <c r="D3050" t="inlineStr">
        <is>
          <t>JÄMTLANDS LÄN</t>
        </is>
      </c>
      <c r="E3050" t="inlineStr">
        <is>
          <t>STRÖMSUND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34343-2024</t>
        </is>
      </c>
      <c r="B3051" s="1" t="n">
        <v>45525</v>
      </c>
      <c r="C3051" s="1" t="n">
        <v>45579</v>
      </c>
      <c r="D3051" t="inlineStr">
        <is>
          <t>JÄMTLANDS LÄN</t>
        </is>
      </c>
      <c r="E3051" t="inlineStr">
        <is>
          <t>STRÖMSUND</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34344-2024</t>
        </is>
      </c>
      <c r="B3052" s="1" t="n">
        <v>45525</v>
      </c>
      <c r="C3052" s="1" t="n">
        <v>45579</v>
      </c>
      <c r="D3052" t="inlineStr">
        <is>
          <t>JÄMTLANDS LÄN</t>
        </is>
      </c>
      <c r="E3052" t="inlineStr">
        <is>
          <t>STRÖMSUND</t>
        </is>
      </c>
      <c r="F3052" t="inlineStr">
        <is>
          <t>Holmen skog AB</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34716-2024</t>
        </is>
      </c>
      <c r="B3053" s="1" t="n">
        <v>45526</v>
      </c>
      <c r="C3053" s="1" t="n">
        <v>45579</v>
      </c>
      <c r="D3053" t="inlineStr">
        <is>
          <t>JÄMTLANDS LÄN</t>
        </is>
      </c>
      <c r="E3053" t="inlineStr">
        <is>
          <t>STRÖMSUND</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34817-2024</t>
        </is>
      </c>
      <c r="B3054" s="1" t="n">
        <v>45526</v>
      </c>
      <c r="C3054" s="1" t="n">
        <v>45579</v>
      </c>
      <c r="D3054" t="inlineStr">
        <is>
          <t>JÄMTLANDS LÄN</t>
        </is>
      </c>
      <c r="E3054" t="inlineStr">
        <is>
          <t>STRÖMSUND</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34818-2024</t>
        </is>
      </c>
      <c r="B3055" s="1" t="n">
        <v>45526</v>
      </c>
      <c r="C3055" s="1" t="n">
        <v>45579</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34723-2024</t>
        </is>
      </c>
      <c r="B3056" s="1" t="n">
        <v>45526</v>
      </c>
      <c r="C3056" s="1" t="n">
        <v>45579</v>
      </c>
      <c r="D3056" t="inlineStr">
        <is>
          <t>JÄMTLANDS LÄN</t>
        </is>
      </c>
      <c r="E3056" t="inlineStr">
        <is>
          <t>STRÖMSUND</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35244-2024</t>
        </is>
      </c>
      <c r="B3057" s="1" t="n">
        <v>45530</v>
      </c>
      <c r="C3057" s="1" t="n">
        <v>45579</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35178-2024</t>
        </is>
      </c>
      <c r="B3058" s="1" t="n">
        <v>45530</v>
      </c>
      <c r="C3058" s="1" t="n">
        <v>45579</v>
      </c>
      <c r="D3058" t="inlineStr">
        <is>
          <t>JÄMTLANDS LÄN</t>
        </is>
      </c>
      <c r="E3058" t="inlineStr">
        <is>
          <t>STRÖMSUND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35185-2024</t>
        </is>
      </c>
      <c r="B3059" s="1" t="n">
        <v>45530</v>
      </c>
      <c r="C3059" s="1" t="n">
        <v>45579</v>
      </c>
      <c r="D3059" t="inlineStr">
        <is>
          <t>JÄMTLANDS LÄN</t>
        </is>
      </c>
      <c r="E3059" t="inlineStr">
        <is>
          <t>STRÖMSUND</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35410-2024</t>
        </is>
      </c>
      <c r="B3060" s="1" t="n">
        <v>45531</v>
      </c>
      <c r="C3060" s="1" t="n">
        <v>45579</v>
      </c>
      <c r="D3060" t="inlineStr">
        <is>
          <t>JÄMTLANDS LÄN</t>
        </is>
      </c>
      <c r="E3060" t="inlineStr">
        <is>
          <t>STRÖMSUND</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35418-2024</t>
        </is>
      </c>
      <c r="B3061" s="1" t="n">
        <v>45531</v>
      </c>
      <c r="C3061" s="1" t="n">
        <v>45579</v>
      </c>
      <c r="D3061" t="inlineStr">
        <is>
          <t>JÄMTLANDS LÄN</t>
        </is>
      </c>
      <c r="E3061" t="inlineStr">
        <is>
          <t>STRÖMSUND</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35578-2024</t>
        </is>
      </c>
      <c r="B3062" s="1" t="n">
        <v>45531</v>
      </c>
      <c r="C3062" s="1" t="n">
        <v>45579</v>
      </c>
      <c r="D3062" t="inlineStr">
        <is>
          <t>JÄMTLANDS LÄN</t>
        </is>
      </c>
      <c r="E3062" t="inlineStr">
        <is>
          <t>STRÖMSUND</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35407-2024</t>
        </is>
      </c>
      <c r="B3063" s="1" t="n">
        <v>45531</v>
      </c>
      <c r="C3063" s="1" t="n">
        <v>45579</v>
      </c>
      <c r="D3063" t="inlineStr">
        <is>
          <t>JÄMTLANDS LÄN</t>
        </is>
      </c>
      <c r="E3063" t="inlineStr">
        <is>
          <t>STRÖMSUND</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35397-2024</t>
        </is>
      </c>
      <c r="B3064" s="1" t="n">
        <v>45531</v>
      </c>
      <c r="C3064" s="1" t="n">
        <v>45579</v>
      </c>
      <c r="D3064" t="inlineStr">
        <is>
          <t>JÄMTLANDS LÄN</t>
        </is>
      </c>
      <c r="E3064" t="inlineStr">
        <is>
          <t>STRÖMSUND</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35423-2024</t>
        </is>
      </c>
      <c r="B3065" s="1" t="n">
        <v>45531</v>
      </c>
      <c r="C3065" s="1" t="n">
        <v>45579</v>
      </c>
      <c r="D3065" t="inlineStr">
        <is>
          <t>JÄMTLANDS LÄN</t>
        </is>
      </c>
      <c r="E3065" t="inlineStr">
        <is>
          <t>STRÖMSUND</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35416-2024</t>
        </is>
      </c>
      <c r="B3066" s="1" t="n">
        <v>45531</v>
      </c>
      <c r="C3066" s="1" t="n">
        <v>45579</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35585-2024</t>
        </is>
      </c>
      <c r="B3067" s="1" t="n">
        <v>45531</v>
      </c>
      <c r="C3067" s="1" t="n">
        <v>45579</v>
      </c>
      <c r="D3067" t="inlineStr">
        <is>
          <t>JÄMTLANDS LÄN</t>
        </is>
      </c>
      <c r="E3067" t="inlineStr">
        <is>
          <t>STRÖMSUND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35583-2024</t>
        </is>
      </c>
      <c r="B3068" s="1" t="n">
        <v>45531</v>
      </c>
      <c r="C3068" s="1" t="n">
        <v>45579</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35584-2024</t>
        </is>
      </c>
      <c r="B3069" s="1" t="n">
        <v>45531</v>
      </c>
      <c r="C3069" s="1" t="n">
        <v>45579</v>
      </c>
      <c r="D3069" t="inlineStr">
        <is>
          <t>JÄMTLANDS LÄN</t>
        </is>
      </c>
      <c r="E3069" t="inlineStr">
        <is>
          <t>STRÖMSUND</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35686-2024</t>
        </is>
      </c>
      <c r="B3070" s="1" t="n">
        <v>45532</v>
      </c>
      <c r="C3070" s="1" t="n">
        <v>45579</v>
      </c>
      <c r="D3070" t="inlineStr">
        <is>
          <t>JÄMTLANDS LÄN</t>
        </is>
      </c>
      <c r="E3070" t="inlineStr">
        <is>
          <t>STRÖMSUND</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35687-2024</t>
        </is>
      </c>
      <c r="B3071" s="1" t="n">
        <v>45532</v>
      </c>
      <c r="C3071" s="1" t="n">
        <v>45579</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35747-2024</t>
        </is>
      </c>
      <c r="B3072" s="1" t="n">
        <v>45532</v>
      </c>
      <c r="C3072" s="1" t="n">
        <v>45579</v>
      </c>
      <c r="D3072" t="inlineStr">
        <is>
          <t>JÄMTLANDS LÄN</t>
        </is>
      </c>
      <c r="E3072" t="inlineStr">
        <is>
          <t>STRÖMSUND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35746-2024</t>
        </is>
      </c>
      <c r="B3073" s="1" t="n">
        <v>45532</v>
      </c>
      <c r="C3073" s="1" t="n">
        <v>45579</v>
      </c>
      <c r="D3073" t="inlineStr">
        <is>
          <t>JÄMTLANDS LÄN</t>
        </is>
      </c>
      <c r="E3073" t="inlineStr">
        <is>
          <t>STRÖMSUND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35748-2024</t>
        </is>
      </c>
      <c r="B3074" s="1" t="n">
        <v>45532</v>
      </c>
      <c r="C3074" s="1" t="n">
        <v>45579</v>
      </c>
      <c r="D3074" t="inlineStr">
        <is>
          <t>JÄMTLANDS LÄN</t>
        </is>
      </c>
      <c r="E3074" t="inlineStr">
        <is>
          <t>STRÖMSUND</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35904-2024</t>
        </is>
      </c>
      <c r="B3075" s="1" t="n">
        <v>45533</v>
      </c>
      <c r="C3075" s="1" t="n">
        <v>45579</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36088-2024</t>
        </is>
      </c>
      <c r="B3076" s="1" t="n">
        <v>45533</v>
      </c>
      <c r="C3076" s="1" t="n">
        <v>45579</v>
      </c>
      <c r="D3076" t="inlineStr">
        <is>
          <t>JÄMTLANDS LÄN</t>
        </is>
      </c>
      <c r="E3076" t="inlineStr">
        <is>
          <t>STRÖMSUND</t>
        </is>
      </c>
      <c r="F3076" t="inlineStr">
        <is>
          <t>Holmen skog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36328-2024</t>
        </is>
      </c>
      <c r="B3077" s="1" t="n">
        <v>45534</v>
      </c>
      <c r="C3077" s="1" t="n">
        <v>45579</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36176-2024</t>
        </is>
      </c>
      <c r="B3078" s="1" t="n">
        <v>45534</v>
      </c>
      <c r="C3078" s="1" t="n">
        <v>45579</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36311-2024</t>
        </is>
      </c>
      <c r="B3079" s="1" t="n">
        <v>45534</v>
      </c>
      <c r="C3079" s="1" t="n">
        <v>45579</v>
      </c>
      <c r="D3079" t="inlineStr">
        <is>
          <t>JÄMTLANDS LÄN</t>
        </is>
      </c>
      <c r="E3079" t="inlineStr">
        <is>
          <t>STRÖMSUND</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36347-2024</t>
        </is>
      </c>
      <c r="B3080" s="1" t="n">
        <v>45534</v>
      </c>
      <c r="C3080" s="1" t="n">
        <v>45579</v>
      </c>
      <c r="D3080" t="inlineStr">
        <is>
          <t>JÄMTLANDS LÄN</t>
        </is>
      </c>
      <c r="E3080" t="inlineStr">
        <is>
          <t>STRÖMSUND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36344-2024</t>
        </is>
      </c>
      <c r="B3081" s="1" t="n">
        <v>45534</v>
      </c>
      <c r="C3081" s="1" t="n">
        <v>45579</v>
      </c>
      <c r="D3081" t="inlineStr">
        <is>
          <t>JÄMTLANDS LÄN</t>
        </is>
      </c>
      <c r="E3081" t="inlineStr">
        <is>
          <t>STRÖMSUND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36327-2024</t>
        </is>
      </c>
      <c r="B3082" s="1" t="n">
        <v>45534</v>
      </c>
      <c r="C3082" s="1" t="n">
        <v>45579</v>
      </c>
      <c r="D3082" t="inlineStr">
        <is>
          <t>JÄMTLANDS LÄN</t>
        </is>
      </c>
      <c r="E3082" t="inlineStr">
        <is>
          <t>STRÖMSUND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36343-2024</t>
        </is>
      </c>
      <c r="B3083" s="1" t="n">
        <v>45534</v>
      </c>
      <c r="C3083" s="1" t="n">
        <v>45579</v>
      </c>
      <c r="D3083" t="inlineStr">
        <is>
          <t>JÄMTLANDS LÄN</t>
        </is>
      </c>
      <c r="E3083" t="inlineStr">
        <is>
          <t>STRÖMSUND</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36346-2024</t>
        </is>
      </c>
      <c r="B3084" s="1" t="n">
        <v>45534</v>
      </c>
      <c r="C3084" s="1" t="n">
        <v>45579</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36500-2024</t>
        </is>
      </c>
      <c r="B3085" s="1" t="n">
        <v>45537</v>
      </c>
      <c r="C3085" s="1" t="n">
        <v>45579</v>
      </c>
      <c r="D3085" t="inlineStr">
        <is>
          <t>JÄMTLANDS LÄN</t>
        </is>
      </c>
      <c r="E3085" t="inlineStr">
        <is>
          <t>STRÖMSUND</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36836-2024</t>
        </is>
      </c>
      <c r="B3086" s="1" t="n">
        <v>45538</v>
      </c>
      <c r="C3086" s="1" t="n">
        <v>45579</v>
      </c>
      <c r="D3086" t="inlineStr">
        <is>
          <t>JÄMTLANDS LÄN</t>
        </is>
      </c>
      <c r="E3086" t="inlineStr">
        <is>
          <t>STRÖMSUND</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36914-2024</t>
        </is>
      </c>
      <c r="B3087" s="1" t="n">
        <v>45538</v>
      </c>
      <c r="C3087" s="1" t="n">
        <v>45579</v>
      </c>
      <c r="D3087" t="inlineStr">
        <is>
          <t>JÄMTLANDS LÄN</t>
        </is>
      </c>
      <c r="E3087" t="inlineStr">
        <is>
          <t>STRÖMSUND</t>
        </is>
      </c>
      <c r="F3087" t="inlineStr">
        <is>
          <t>SCA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36913-2024</t>
        </is>
      </c>
      <c r="B3088" s="1" t="n">
        <v>45538</v>
      </c>
      <c r="C3088" s="1" t="n">
        <v>45579</v>
      </c>
      <c r="D3088" t="inlineStr">
        <is>
          <t>JÄMTLANDS LÄN</t>
        </is>
      </c>
      <c r="E3088" t="inlineStr">
        <is>
          <t>STRÖMSUND</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37150-2024</t>
        </is>
      </c>
      <c r="B3089" s="1" t="n">
        <v>45539</v>
      </c>
      <c r="C3089" s="1" t="n">
        <v>45579</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37207-2024</t>
        </is>
      </c>
      <c r="B3090" s="1" t="n">
        <v>45539</v>
      </c>
      <c r="C3090" s="1" t="n">
        <v>45579</v>
      </c>
      <c r="D3090" t="inlineStr">
        <is>
          <t>JÄMTLANDS LÄN</t>
        </is>
      </c>
      <c r="E3090" t="inlineStr">
        <is>
          <t>STRÖMSUND</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37205-2024</t>
        </is>
      </c>
      <c r="B3091" s="1" t="n">
        <v>45539</v>
      </c>
      <c r="C3091" s="1" t="n">
        <v>45579</v>
      </c>
      <c r="D3091" t="inlineStr">
        <is>
          <t>JÄMTLANDS LÄN</t>
        </is>
      </c>
      <c r="E3091" t="inlineStr">
        <is>
          <t>STRÖMSUND</t>
        </is>
      </c>
      <c r="F3091" t="inlineStr">
        <is>
          <t>SCA</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37147-2024</t>
        </is>
      </c>
      <c r="B3092" s="1" t="n">
        <v>45539</v>
      </c>
      <c r="C3092" s="1" t="n">
        <v>45579</v>
      </c>
      <c r="D3092" t="inlineStr">
        <is>
          <t>JÄMTLANDS LÄN</t>
        </is>
      </c>
      <c r="E3092" t="inlineStr">
        <is>
          <t>STRÖMSUND</t>
        </is>
      </c>
      <c r="F3092" t="inlineStr">
        <is>
          <t>SCA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37208-2024</t>
        </is>
      </c>
      <c r="B3093" s="1" t="n">
        <v>45539</v>
      </c>
      <c r="C3093" s="1" t="n">
        <v>45579</v>
      </c>
      <c r="D3093" t="inlineStr">
        <is>
          <t>JÄMTLANDS LÄN</t>
        </is>
      </c>
      <c r="E3093" t="inlineStr">
        <is>
          <t>STRÖMSUND</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37302-2024</t>
        </is>
      </c>
      <c r="B3094" s="1" t="n">
        <v>45540</v>
      </c>
      <c r="C3094" s="1" t="n">
        <v>45579</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37567-2024</t>
        </is>
      </c>
      <c r="B3095" s="1" t="n">
        <v>45541</v>
      </c>
      <c r="C3095" s="1" t="n">
        <v>45579</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37632-2024</t>
        </is>
      </c>
      <c r="B3096" s="1" t="n">
        <v>45541</v>
      </c>
      <c r="C3096" s="1" t="n">
        <v>45579</v>
      </c>
      <c r="D3096" t="inlineStr">
        <is>
          <t>JÄMTLANDS LÄN</t>
        </is>
      </c>
      <c r="E3096" t="inlineStr">
        <is>
          <t>STRÖMSUND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37566-2024</t>
        </is>
      </c>
      <c r="B3097" s="1" t="n">
        <v>45541</v>
      </c>
      <c r="C3097" s="1" t="n">
        <v>45579</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37787-2024</t>
        </is>
      </c>
      <c r="B3098" s="1" t="n">
        <v>45542</v>
      </c>
      <c r="C3098" s="1" t="n">
        <v>45579</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38104-2024</t>
        </is>
      </c>
      <c r="B3099" s="1" t="n">
        <v>45545</v>
      </c>
      <c r="C3099" s="1" t="n">
        <v>45579</v>
      </c>
      <c r="D3099" t="inlineStr">
        <is>
          <t>JÄMTLANDS LÄN</t>
        </is>
      </c>
      <c r="E3099" t="inlineStr">
        <is>
          <t>STRÖMSUND</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38093-2024</t>
        </is>
      </c>
      <c r="B3100" s="1" t="n">
        <v>45545</v>
      </c>
      <c r="C3100" s="1" t="n">
        <v>45579</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38301-2024</t>
        </is>
      </c>
      <c r="B3101" s="1" t="n">
        <v>45545</v>
      </c>
      <c r="C3101" s="1" t="n">
        <v>45579</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45579</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45579</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38280-2024</t>
        </is>
      </c>
      <c r="B3104" s="1" t="n">
        <v>45545</v>
      </c>
      <c r="C3104" s="1" t="n">
        <v>45579</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38284-2024</t>
        </is>
      </c>
      <c r="B3105" s="1" t="n">
        <v>45545</v>
      </c>
      <c r="C3105" s="1" t="n">
        <v>45579</v>
      </c>
      <c r="D3105" t="inlineStr">
        <is>
          <t>JÄMTLANDS LÄN</t>
        </is>
      </c>
      <c r="E3105" t="inlineStr">
        <is>
          <t>STRÖMSUND</t>
        </is>
      </c>
      <c r="F3105" t="inlineStr">
        <is>
          <t>SCA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38300-2024</t>
        </is>
      </c>
      <c r="B3106" s="1" t="n">
        <v>45545</v>
      </c>
      <c r="C3106" s="1" t="n">
        <v>45579</v>
      </c>
      <c r="D3106" t="inlineStr">
        <is>
          <t>JÄMTLANDS LÄN</t>
        </is>
      </c>
      <c r="E3106" t="inlineStr">
        <is>
          <t>STRÖMSUND</t>
        </is>
      </c>
      <c r="F3106" t="inlineStr">
        <is>
          <t>SCA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38816-2024</t>
        </is>
      </c>
      <c r="B3107" s="1" t="n">
        <v>45547</v>
      </c>
      <c r="C3107" s="1" t="n">
        <v>45579</v>
      </c>
      <c r="D3107" t="inlineStr">
        <is>
          <t>JÄMTLANDS LÄN</t>
        </is>
      </c>
      <c r="E3107" t="inlineStr">
        <is>
          <t>STRÖMSUND</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39286-2024</t>
        </is>
      </c>
      <c r="B3108" s="1" t="n">
        <v>45551</v>
      </c>
      <c r="C3108" s="1" t="n">
        <v>45579</v>
      </c>
      <c r="D3108" t="inlineStr">
        <is>
          <t>JÄMTLANDS LÄN</t>
        </is>
      </c>
      <c r="E3108" t="inlineStr">
        <is>
          <t>STRÖMSUND</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39516-2024</t>
        </is>
      </c>
      <c r="B3109" s="1" t="n">
        <v>45551</v>
      </c>
      <c r="C3109" s="1" t="n">
        <v>45579</v>
      </c>
      <c r="D3109" t="inlineStr">
        <is>
          <t>JÄMTLANDS LÄN</t>
        </is>
      </c>
      <c r="E3109" t="inlineStr">
        <is>
          <t>STRÖMSUND</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39517-2024</t>
        </is>
      </c>
      <c r="B3110" s="1" t="n">
        <v>45551</v>
      </c>
      <c r="C3110" s="1" t="n">
        <v>45579</v>
      </c>
      <c r="D3110" t="inlineStr">
        <is>
          <t>JÄMTLANDS LÄN</t>
        </is>
      </c>
      <c r="E3110" t="inlineStr">
        <is>
          <t>STRÖMSUND</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39599-2024</t>
        </is>
      </c>
      <c r="B3111" s="1" t="n">
        <v>45552</v>
      </c>
      <c r="C3111" s="1" t="n">
        <v>45579</v>
      </c>
      <c r="D3111" t="inlineStr">
        <is>
          <t>JÄMTLANDS LÄN</t>
        </is>
      </c>
      <c r="E3111" t="inlineStr">
        <is>
          <t>STRÖMSUND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39698-2024</t>
        </is>
      </c>
      <c r="B3112" s="1" t="n">
        <v>45552</v>
      </c>
      <c r="C3112" s="1" t="n">
        <v>45579</v>
      </c>
      <c r="D3112" t="inlineStr">
        <is>
          <t>JÄMTLANDS LÄN</t>
        </is>
      </c>
      <c r="E3112" t="inlineStr">
        <is>
          <t>STRÖMSUND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39864-2024</t>
        </is>
      </c>
      <c r="B3113" s="1" t="n">
        <v>45553</v>
      </c>
      <c r="C3113" s="1" t="n">
        <v>45579</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39949-2024</t>
        </is>
      </c>
      <c r="B3114" s="1" t="n">
        <v>45553</v>
      </c>
      <c r="C3114" s="1" t="n">
        <v>45579</v>
      </c>
      <c r="D3114" t="inlineStr">
        <is>
          <t>JÄMTLANDS LÄN</t>
        </is>
      </c>
      <c r="E3114" t="inlineStr">
        <is>
          <t>STRÖMSUND</t>
        </is>
      </c>
      <c r="F3114" t="inlineStr">
        <is>
          <t>Kyrkan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39939-2024</t>
        </is>
      </c>
      <c r="B3115" s="1" t="n">
        <v>45553</v>
      </c>
      <c r="C3115" s="1" t="n">
        <v>45579</v>
      </c>
      <c r="D3115" t="inlineStr">
        <is>
          <t>JÄMTLANDS LÄN</t>
        </is>
      </c>
      <c r="E3115" t="inlineStr">
        <is>
          <t>STRÖMSUND</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45579</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40140-2024</t>
        </is>
      </c>
      <c r="B3117" s="1" t="n">
        <v>45554</v>
      </c>
      <c r="C3117" s="1" t="n">
        <v>45579</v>
      </c>
      <c r="D3117" t="inlineStr">
        <is>
          <t>JÄMTLANDS LÄN</t>
        </is>
      </c>
      <c r="E3117" t="inlineStr">
        <is>
          <t>STRÖMSUND</t>
        </is>
      </c>
      <c r="F3117" t="inlineStr">
        <is>
          <t>Kyrkan</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40090-2024</t>
        </is>
      </c>
      <c r="B3118" s="1" t="n">
        <v>45554</v>
      </c>
      <c r="C3118" s="1" t="n">
        <v>45579</v>
      </c>
      <c r="D3118" t="inlineStr">
        <is>
          <t>JÄMTLANDS LÄN</t>
        </is>
      </c>
      <c r="E3118" t="inlineStr">
        <is>
          <t>STRÖMSUND</t>
        </is>
      </c>
      <c r="F3118" t="inlineStr">
        <is>
          <t>Kyrkan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40351-2024</t>
        </is>
      </c>
      <c r="B3119" s="1" t="n">
        <v>45555</v>
      </c>
      <c r="C3119" s="1" t="n">
        <v>45579</v>
      </c>
      <c r="D3119" t="inlineStr">
        <is>
          <t>JÄMTLANDS LÄN</t>
        </is>
      </c>
      <c r="E3119" t="inlineStr">
        <is>
          <t>STRÖMSUND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40492-2024</t>
        </is>
      </c>
      <c r="B3120" s="1" t="n">
        <v>45555</v>
      </c>
      <c r="C3120" s="1" t="n">
        <v>45579</v>
      </c>
      <c r="D3120" t="inlineStr">
        <is>
          <t>JÄMTLANDS LÄN</t>
        </is>
      </c>
      <c r="E3120" t="inlineStr">
        <is>
          <t>STRÖMSUND</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40344-2024</t>
        </is>
      </c>
      <c r="B3121" s="1" t="n">
        <v>45555</v>
      </c>
      <c r="C3121" s="1" t="n">
        <v>45579</v>
      </c>
      <c r="D3121" t="inlineStr">
        <is>
          <t>JÄMTLANDS LÄN</t>
        </is>
      </c>
      <c r="E3121" t="inlineStr">
        <is>
          <t>STRÖMSUND</t>
        </is>
      </c>
      <c r="F3121" t="inlineStr">
        <is>
          <t>SCA</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40447-2024</t>
        </is>
      </c>
      <c r="B3122" s="1" t="n">
        <v>45555</v>
      </c>
      <c r="C3122" s="1" t="n">
        <v>45579</v>
      </c>
      <c r="D3122" t="inlineStr">
        <is>
          <t>JÄMTLANDS LÄN</t>
        </is>
      </c>
      <c r="E3122" t="inlineStr">
        <is>
          <t>STRÖMSUND</t>
        </is>
      </c>
      <c r="F3122" t="inlineStr">
        <is>
          <t>SCA</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40451-2024</t>
        </is>
      </c>
      <c r="B3123" s="1" t="n">
        <v>45555</v>
      </c>
      <c r="C3123" s="1" t="n">
        <v>45579</v>
      </c>
      <c r="D3123" t="inlineStr">
        <is>
          <t>JÄMTLANDS LÄN</t>
        </is>
      </c>
      <c r="E3123" t="inlineStr">
        <is>
          <t>STRÖMSUND</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45579</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40426-2024</t>
        </is>
      </c>
      <c r="B3125" s="1" t="n">
        <v>45555</v>
      </c>
      <c r="C3125" s="1" t="n">
        <v>45579</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40450-2024</t>
        </is>
      </c>
      <c r="B3126" s="1" t="n">
        <v>45555</v>
      </c>
      <c r="C3126" s="1" t="n">
        <v>45579</v>
      </c>
      <c r="D3126" t="inlineStr">
        <is>
          <t>JÄMTLANDS LÄN</t>
        </is>
      </c>
      <c r="E3126" t="inlineStr">
        <is>
          <t>STRÖMSUND</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45579</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40673-2024</t>
        </is>
      </c>
      <c r="B3128" s="1" t="n">
        <v>45558</v>
      </c>
      <c r="C3128" s="1" t="n">
        <v>45579</v>
      </c>
      <c r="D3128" t="inlineStr">
        <is>
          <t>JÄMTLANDS LÄN</t>
        </is>
      </c>
      <c r="E3128" t="inlineStr">
        <is>
          <t>STRÖMSUND</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40813-2024</t>
        </is>
      </c>
      <c r="B3129" s="1" t="n">
        <v>45558</v>
      </c>
      <c r="C3129" s="1" t="n">
        <v>45579</v>
      </c>
      <c r="D3129" t="inlineStr">
        <is>
          <t>JÄMTLANDS LÄN</t>
        </is>
      </c>
      <c r="E3129" t="inlineStr">
        <is>
          <t>STRÖMSUND</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45579</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45579</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40827-2024</t>
        </is>
      </c>
      <c r="B3132" s="1" t="n">
        <v>45558</v>
      </c>
      <c r="C3132" s="1" t="n">
        <v>45579</v>
      </c>
      <c r="D3132" t="inlineStr">
        <is>
          <t>JÄMTLANDS LÄN</t>
        </is>
      </c>
      <c r="E3132" t="inlineStr">
        <is>
          <t>STRÖMSUND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40976-2024</t>
        </is>
      </c>
      <c r="B3133" s="1" t="n">
        <v>45558</v>
      </c>
      <c r="C3133" s="1" t="n">
        <v>45579</v>
      </c>
      <c r="D3133" t="inlineStr">
        <is>
          <t>JÄMTLANDS LÄN</t>
        </is>
      </c>
      <c r="E3133" t="inlineStr">
        <is>
          <t>STRÖMSUND</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40970-2024</t>
        </is>
      </c>
      <c r="B3134" s="1" t="n">
        <v>45558</v>
      </c>
      <c r="C3134" s="1" t="n">
        <v>45579</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41070-2024</t>
        </is>
      </c>
      <c r="B3135" s="1" t="n">
        <v>45559</v>
      </c>
      <c r="C3135" s="1" t="n">
        <v>45579</v>
      </c>
      <c r="D3135" t="inlineStr">
        <is>
          <t>JÄMTLANDS LÄN</t>
        </is>
      </c>
      <c r="E3135" t="inlineStr">
        <is>
          <t>STRÖMSUND</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45579</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45579</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41141-2024</t>
        </is>
      </c>
      <c r="B3138" s="1" t="n">
        <v>45559</v>
      </c>
      <c r="C3138" s="1" t="n">
        <v>45579</v>
      </c>
      <c r="D3138" t="inlineStr">
        <is>
          <t>JÄMTLANDS LÄN</t>
        </is>
      </c>
      <c r="E3138" t="inlineStr">
        <is>
          <t>STRÖMSUND</t>
        </is>
      </c>
      <c r="G3138" t="n">
        <v>10.4</v>
      </c>
      <c r="H3138" t="n">
        <v>0</v>
      </c>
      <c r="I3138" t="n">
        <v>0</v>
      </c>
      <c r="J3138" t="n">
        <v>0</v>
      </c>
      <c r="K3138" t="n">
        <v>0</v>
      </c>
      <c r="L3138" t="n">
        <v>0</v>
      </c>
      <c r="M3138" t="n">
        <v>0</v>
      </c>
      <c r="N3138" t="n">
        <v>0</v>
      </c>
      <c r="O3138" t="n">
        <v>0</v>
      </c>
      <c r="P3138" t="n">
        <v>0</v>
      </c>
      <c r="Q3138" t="n">
        <v>0</v>
      </c>
      <c r="R3138" s="2" t="inlineStr"/>
    </row>
    <row r="3139" ht="15" customHeight="1">
      <c r="A3139" t="inlineStr">
        <is>
          <t>A 41317-2024</t>
        </is>
      </c>
      <c r="B3139" s="1" t="n">
        <v>45559</v>
      </c>
      <c r="C3139" s="1" t="n">
        <v>45579</v>
      </c>
      <c r="D3139" t="inlineStr">
        <is>
          <t>JÄMTLANDS LÄN</t>
        </is>
      </c>
      <c r="E3139" t="inlineStr">
        <is>
          <t>STRÖMSUND</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41292-2024</t>
        </is>
      </c>
      <c r="B3140" s="1" t="n">
        <v>45559</v>
      </c>
      <c r="C3140" s="1" t="n">
        <v>45579</v>
      </c>
      <c r="D3140" t="inlineStr">
        <is>
          <t>JÄMTLANDS LÄN</t>
        </is>
      </c>
      <c r="E3140" t="inlineStr">
        <is>
          <t>STRÖMSUND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41283-2024</t>
        </is>
      </c>
      <c r="B3141" s="1" t="n">
        <v>45559</v>
      </c>
      <c r="C3141" s="1" t="n">
        <v>45579</v>
      </c>
      <c r="D3141" t="inlineStr">
        <is>
          <t>JÄMTLANDS LÄN</t>
        </is>
      </c>
      <c r="E3141" t="inlineStr">
        <is>
          <t>STRÖMSUND</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41605-2024</t>
        </is>
      </c>
      <c r="B3142" s="1" t="n">
        <v>45560</v>
      </c>
      <c r="C3142" s="1" t="n">
        <v>45579</v>
      </c>
      <c r="D3142" t="inlineStr">
        <is>
          <t>JÄMTLANDS LÄN</t>
        </is>
      </c>
      <c r="E3142" t="inlineStr">
        <is>
          <t>STRÖMSUND</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41633-2024</t>
        </is>
      </c>
      <c r="B3143" s="1" t="n">
        <v>45560</v>
      </c>
      <c r="C3143" s="1" t="n">
        <v>45579</v>
      </c>
      <c r="D3143" t="inlineStr">
        <is>
          <t>JÄMTLANDS LÄN</t>
        </is>
      </c>
      <c r="E3143" t="inlineStr">
        <is>
          <t>STRÖMSUND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45579</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41783-2024</t>
        </is>
      </c>
      <c r="B3145" s="1" t="n">
        <v>45561</v>
      </c>
      <c r="C3145" s="1" t="n">
        <v>45579</v>
      </c>
      <c r="D3145" t="inlineStr">
        <is>
          <t>JÄMTLANDS LÄN</t>
        </is>
      </c>
      <c r="E3145" t="inlineStr">
        <is>
          <t>STRÖMSUND</t>
        </is>
      </c>
      <c r="F3145" t="inlineStr">
        <is>
          <t>SCA</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41902-2024</t>
        </is>
      </c>
      <c r="B3146" s="1" t="n">
        <v>45561</v>
      </c>
      <c r="C3146" s="1" t="n">
        <v>45579</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41939-2024</t>
        </is>
      </c>
      <c r="B3147" s="1" t="n">
        <v>45561</v>
      </c>
      <c r="C3147" s="1" t="n">
        <v>45579</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41905-2024</t>
        </is>
      </c>
      <c r="B3148" s="1" t="n">
        <v>45561</v>
      </c>
      <c r="C3148" s="1" t="n">
        <v>45579</v>
      </c>
      <c r="D3148" t="inlineStr">
        <is>
          <t>JÄMTLANDS LÄN</t>
        </is>
      </c>
      <c r="E3148" t="inlineStr">
        <is>
          <t>STRÖMSUND</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45579</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41988-2024</t>
        </is>
      </c>
      <c r="B3150" s="1" t="n">
        <v>45561</v>
      </c>
      <c r="C3150" s="1" t="n">
        <v>45579</v>
      </c>
      <c r="D3150" t="inlineStr">
        <is>
          <t>JÄMTLANDS LÄN</t>
        </is>
      </c>
      <c r="E3150" t="inlineStr">
        <is>
          <t>STRÖMSUND</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41987-2024</t>
        </is>
      </c>
      <c r="B3151" s="1" t="n">
        <v>45561</v>
      </c>
      <c r="C3151" s="1" t="n">
        <v>45579</v>
      </c>
      <c r="D3151" t="inlineStr">
        <is>
          <t>JÄMTLANDS LÄN</t>
        </is>
      </c>
      <c r="E3151" t="inlineStr">
        <is>
          <t>STRÖMSUND</t>
        </is>
      </c>
      <c r="F3151" t="inlineStr">
        <is>
          <t>SCA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41940-2024</t>
        </is>
      </c>
      <c r="B3152" s="1" t="n">
        <v>45561</v>
      </c>
      <c r="C3152" s="1" t="n">
        <v>45579</v>
      </c>
      <c r="D3152" t="inlineStr">
        <is>
          <t>JÄMTLANDS LÄN</t>
        </is>
      </c>
      <c r="E3152" t="inlineStr">
        <is>
          <t>STRÖMSUND</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42005-2024</t>
        </is>
      </c>
      <c r="B3153" s="1" t="n">
        <v>45561</v>
      </c>
      <c r="C3153" s="1" t="n">
        <v>45579</v>
      </c>
      <c r="D3153" t="inlineStr">
        <is>
          <t>JÄMTLANDS LÄN</t>
        </is>
      </c>
      <c r="E3153" t="inlineStr">
        <is>
          <t>STRÖMSUND</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41986-2024</t>
        </is>
      </c>
      <c r="B3154" s="1" t="n">
        <v>45561</v>
      </c>
      <c r="C3154" s="1" t="n">
        <v>45579</v>
      </c>
      <c r="D3154" t="inlineStr">
        <is>
          <t>JÄMTLANDS LÄN</t>
        </is>
      </c>
      <c r="E3154" t="inlineStr">
        <is>
          <t>STRÖMSUND</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42006-2024</t>
        </is>
      </c>
      <c r="B3155" s="1" t="n">
        <v>45561</v>
      </c>
      <c r="C3155" s="1" t="n">
        <v>45579</v>
      </c>
      <c r="D3155" t="inlineStr">
        <is>
          <t>JÄMTLANDS LÄN</t>
        </is>
      </c>
      <c r="E3155" t="inlineStr">
        <is>
          <t>STRÖMSUND</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42208-2024</t>
        </is>
      </c>
      <c r="B3156" s="1" t="n">
        <v>45562</v>
      </c>
      <c r="C3156" s="1" t="n">
        <v>45579</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42479-2024</t>
        </is>
      </c>
      <c r="B3157" s="1" t="n">
        <v>45565</v>
      </c>
      <c r="C3157" s="1" t="n">
        <v>45579</v>
      </c>
      <c r="D3157" t="inlineStr">
        <is>
          <t>JÄMTLANDS LÄN</t>
        </is>
      </c>
      <c r="E3157" t="inlineStr">
        <is>
          <t>STRÖMSUND</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42681-2024</t>
        </is>
      </c>
      <c r="B3158" s="1" t="n">
        <v>45566</v>
      </c>
      <c r="C3158" s="1" t="n">
        <v>45579</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42954-2024</t>
        </is>
      </c>
      <c r="B3159" s="1" t="n">
        <v>45567</v>
      </c>
      <c r="C3159" s="1" t="n">
        <v>45579</v>
      </c>
      <c r="D3159" t="inlineStr">
        <is>
          <t>JÄMTLANDS LÄN</t>
        </is>
      </c>
      <c r="E3159" t="inlineStr">
        <is>
          <t>STRÖMSUND</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42966-2024</t>
        </is>
      </c>
      <c r="B3160" s="1" t="n">
        <v>45567</v>
      </c>
      <c r="C3160" s="1" t="n">
        <v>45579</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42974-2024</t>
        </is>
      </c>
      <c r="B3161" s="1" t="n">
        <v>45567</v>
      </c>
      <c r="C3161" s="1" t="n">
        <v>45579</v>
      </c>
      <c r="D3161" t="inlineStr">
        <is>
          <t>JÄMTLANDS LÄN</t>
        </is>
      </c>
      <c r="E3161" t="inlineStr">
        <is>
          <t>STRÖMSUND</t>
        </is>
      </c>
      <c r="F3161" t="inlineStr">
        <is>
          <t>SCA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42949-2024</t>
        </is>
      </c>
      <c r="B3162" s="1" t="n">
        <v>45567</v>
      </c>
      <c r="C3162" s="1" t="n">
        <v>45579</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42957-2024</t>
        </is>
      </c>
      <c r="B3163" s="1" t="n">
        <v>45567</v>
      </c>
      <c r="C3163" s="1" t="n">
        <v>45579</v>
      </c>
      <c r="D3163" t="inlineStr">
        <is>
          <t>JÄMTLANDS LÄN</t>
        </is>
      </c>
      <c r="E3163" t="inlineStr">
        <is>
          <t>STRÖMSUND</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43090-2024</t>
        </is>
      </c>
      <c r="B3164" s="1" t="n">
        <v>45567</v>
      </c>
      <c r="C3164" s="1" t="n">
        <v>45579</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42960-2024</t>
        </is>
      </c>
      <c r="B3165" s="1" t="n">
        <v>45567</v>
      </c>
      <c r="C3165" s="1" t="n">
        <v>45579</v>
      </c>
      <c r="D3165" t="inlineStr">
        <is>
          <t>JÄMTLANDS LÄN</t>
        </is>
      </c>
      <c r="E3165" t="inlineStr">
        <is>
          <t>STRÖMSUND</t>
        </is>
      </c>
      <c r="F3165" t="inlineStr">
        <is>
          <t>SCA</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42980-2024</t>
        </is>
      </c>
      <c r="B3166" s="1" t="n">
        <v>45567</v>
      </c>
      <c r="C3166" s="1" t="n">
        <v>45579</v>
      </c>
      <c r="D3166" t="inlineStr">
        <is>
          <t>JÄMTLANDS LÄN</t>
        </is>
      </c>
      <c r="E3166" t="inlineStr">
        <is>
          <t>STRÖMSUND</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42992-2024</t>
        </is>
      </c>
      <c r="B3167" s="1" t="n">
        <v>45567</v>
      </c>
      <c r="C3167" s="1" t="n">
        <v>45579</v>
      </c>
      <c r="D3167" t="inlineStr">
        <is>
          <t>JÄMTLANDS LÄN</t>
        </is>
      </c>
      <c r="E3167" t="inlineStr">
        <is>
          <t>STRÖMSUND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43326-2024</t>
        </is>
      </c>
      <c r="B3168" s="1" t="n">
        <v>45568</v>
      </c>
      <c r="C3168" s="1" t="n">
        <v>45579</v>
      </c>
      <c r="D3168" t="inlineStr">
        <is>
          <t>JÄMTLANDS LÄN</t>
        </is>
      </c>
      <c r="E3168" t="inlineStr">
        <is>
          <t>STRÖMSUND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43425-2024</t>
        </is>
      </c>
      <c r="B3169" s="1" t="n">
        <v>45568</v>
      </c>
      <c r="C3169" s="1" t="n">
        <v>45579</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43605-2024</t>
        </is>
      </c>
      <c r="B3170" s="1" t="n">
        <v>45569</v>
      </c>
      <c r="C3170" s="1" t="n">
        <v>45579</v>
      </c>
      <c r="D3170" t="inlineStr">
        <is>
          <t>JÄMTLANDS LÄN</t>
        </is>
      </c>
      <c r="E3170" t="inlineStr">
        <is>
          <t>STRÖMSUND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43890-2024</t>
        </is>
      </c>
      <c r="B3171" s="1" t="n">
        <v>45572</v>
      </c>
      <c r="C3171" s="1" t="n">
        <v>45579</v>
      </c>
      <c r="D3171" t="inlineStr">
        <is>
          <t>JÄMTLANDS LÄN</t>
        </is>
      </c>
      <c r="E3171" t="inlineStr">
        <is>
          <t>STRÖMSUND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43889-2024</t>
        </is>
      </c>
      <c r="B3172" s="1" t="n">
        <v>45572</v>
      </c>
      <c r="C3172" s="1" t="n">
        <v>45579</v>
      </c>
      <c r="D3172" t="inlineStr">
        <is>
          <t>JÄMTLANDS LÄN</t>
        </is>
      </c>
      <c r="E3172" t="inlineStr">
        <is>
          <t>STRÖMSUND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44010-2024</t>
        </is>
      </c>
      <c r="B3173" s="1" t="n">
        <v>45572</v>
      </c>
      <c r="C3173" s="1" t="n">
        <v>45579</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44112-2024</t>
        </is>
      </c>
      <c r="B3174" s="1" t="n">
        <v>45572</v>
      </c>
      <c r="C3174" s="1" t="n">
        <v>45579</v>
      </c>
      <c r="D3174" t="inlineStr">
        <is>
          <t>JÄMTLANDS LÄN</t>
        </is>
      </c>
      <c r="E3174" t="inlineStr">
        <is>
          <t>STRÖMSUND</t>
        </is>
      </c>
      <c r="F3174" t="inlineStr">
        <is>
          <t>SCA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44009-2024</t>
        </is>
      </c>
      <c r="B3175" s="1" t="n">
        <v>45572</v>
      </c>
      <c r="C3175" s="1" t="n">
        <v>45579</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45579</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44584-2024</t>
        </is>
      </c>
      <c r="B3177" s="1" t="n">
        <v>45574</v>
      </c>
      <c r="C3177" s="1" t="n">
        <v>45579</v>
      </c>
      <c r="D3177" t="inlineStr">
        <is>
          <t>JÄMTLANDS LÄN</t>
        </is>
      </c>
      <c r="E3177" t="inlineStr">
        <is>
          <t>STRÖMSUND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44596-2024</t>
        </is>
      </c>
      <c r="B3178" s="1" t="n">
        <v>45574</v>
      </c>
      <c r="C3178" s="1" t="n">
        <v>45579</v>
      </c>
      <c r="D3178" t="inlineStr">
        <is>
          <t>JÄMTLANDS LÄN</t>
        </is>
      </c>
      <c r="E3178" t="inlineStr">
        <is>
          <t>STRÖMSUND</t>
        </is>
      </c>
      <c r="F3178" t="inlineStr">
        <is>
          <t>SCA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44601-2024</t>
        </is>
      </c>
      <c r="B3179" s="1" t="n">
        <v>45574</v>
      </c>
      <c r="C3179" s="1" t="n">
        <v>45579</v>
      </c>
      <c r="D3179" t="inlineStr">
        <is>
          <t>JÄMTLANDS LÄN</t>
        </is>
      </c>
      <c r="E3179" t="inlineStr">
        <is>
          <t>STRÖMSUND</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44599-2024</t>
        </is>
      </c>
      <c r="B3180" s="1" t="n">
        <v>45574</v>
      </c>
      <c r="C3180" s="1" t="n">
        <v>45579</v>
      </c>
      <c r="D3180" t="inlineStr">
        <is>
          <t>JÄMTLANDS LÄN</t>
        </is>
      </c>
      <c r="E3180" t="inlineStr">
        <is>
          <t>STRÖMSUND</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44615-2024</t>
        </is>
      </c>
      <c r="B3181" s="1" t="n">
        <v>45574</v>
      </c>
      <c r="C3181" s="1" t="n">
        <v>45579</v>
      </c>
      <c r="D3181" t="inlineStr">
        <is>
          <t>JÄMTLANDS LÄN</t>
        </is>
      </c>
      <c r="E3181" t="inlineStr">
        <is>
          <t>STRÖMSUND</t>
        </is>
      </c>
      <c r="F3181" t="inlineStr">
        <is>
          <t>SCA</t>
        </is>
      </c>
      <c r="G3181" t="n">
        <v>2.7</v>
      </c>
      <c r="H3181" t="n">
        <v>0</v>
      </c>
      <c r="I3181" t="n">
        <v>0</v>
      </c>
      <c r="J3181" t="n">
        <v>0</v>
      </c>
      <c r="K3181" t="n">
        <v>0</v>
      </c>
      <c r="L3181" t="n">
        <v>0</v>
      </c>
      <c r="M3181" t="n">
        <v>0</v>
      </c>
      <c r="N3181" t="n">
        <v>0</v>
      </c>
      <c r="O3181" t="n">
        <v>0</v>
      </c>
      <c r="P3181" t="n">
        <v>0</v>
      </c>
      <c r="Q3181" t="n">
        <v>0</v>
      </c>
      <c r="R3181" s="2" t="inlineStr"/>
      <c r="U3181">
        <f>HYPERLINK("https://klasma.github.io/Logging_2313/knärot/A 44615-2024 karta knärot.png", "A 44615-2024")</f>
        <v/>
      </c>
      <c r="V3181">
        <f>HYPERLINK("https://klasma.github.io/Logging_2313/klagomål/A 44615-2024 FSC-klagomål.docx", "A 44615-2024")</f>
        <v/>
      </c>
      <c r="W3181">
        <f>HYPERLINK("https://klasma.github.io/Logging_2313/klagomålsmail/A 44615-2024 FSC-klagomål mail.docx", "A 44615-2024")</f>
        <v/>
      </c>
      <c r="X3181">
        <f>HYPERLINK("https://klasma.github.io/Logging_2313/tillsyn/A 44615-2024 tillsynsbegäran.docx", "A 44615-2024")</f>
        <v/>
      </c>
      <c r="Y3181">
        <f>HYPERLINK("https://klasma.github.io/Logging_2313/tillsynsmail/A 44615-2024 tillsynsbegäran mail.docx", "A 44615-2024")</f>
        <v/>
      </c>
    </row>
    <row r="3182" ht="15" customHeight="1">
      <c r="A3182" t="inlineStr">
        <is>
          <t>A 44623-2024</t>
        </is>
      </c>
      <c r="B3182" s="1" t="n">
        <v>45574</v>
      </c>
      <c r="C3182" s="1" t="n">
        <v>45579</v>
      </c>
      <c r="D3182" t="inlineStr">
        <is>
          <t>JÄMTLANDS LÄN</t>
        </is>
      </c>
      <c r="E3182" t="inlineStr">
        <is>
          <t>STRÖMSUND</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44811-2024</t>
        </is>
      </c>
      <c r="B3183" s="1" t="n">
        <v>45574</v>
      </c>
      <c r="C3183" s="1" t="n">
        <v>45579</v>
      </c>
      <c r="D3183" t="inlineStr">
        <is>
          <t>JÄMTLANDS LÄN</t>
        </is>
      </c>
      <c r="E3183" t="inlineStr">
        <is>
          <t>STRÖMSUND</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44618-2024</t>
        </is>
      </c>
      <c r="B3184" s="1" t="n">
        <v>45574</v>
      </c>
      <c r="C3184" s="1" t="n">
        <v>45579</v>
      </c>
      <c r="D3184" t="inlineStr">
        <is>
          <t>JÄMTLANDS LÄN</t>
        </is>
      </c>
      <c r="E3184" t="inlineStr">
        <is>
          <t>STRÖMSUND</t>
        </is>
      </c>
      <c r="F3184" t="inlineStr">
        <is>
          <t>SCA</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44638-2024</t>
        </is>
      </c>
      <c r="B3185" s="1" t="n">
        <v>45574</v>
      </c>
      <c r="C3185" s="1" t="n">
        <v>45579</v>
      </c>
      <c r="D3185" t="inlineStr">
        <is>
          <t>JÄMTLANDS LÄN</t>
        </is>
      </c>
      <c r="E3185" t="inlineStr">
        <is>
          <t>STRÖMSUND</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44642-2024</t>
        </is>
      </c>
      <c r="B3186" s="1" t="n">
        <v>45574</v>
      </c>
      <c r="C3186" s="1" t="n">
        <v>45579</v>
      </c>
      <c r="D3186" t="inlineStr">
        <is>
          <t>JÄMTLANDS LÄN</t>
        </is>
      </c>
      <c r="E3186" t="inlineStr">
        <is>
          <t>STRÖMSUND</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45005-2024</t>
        </is>
      </c>
      <c r="B3187" s="1" t="n">
        <v>45575</v>
      </c>
      <c r="C3187" s="1" t="n">
        <v>45579</v>
      </c>
      <c r="D3187" t="inlineStr">
        <is>
          <t>JÄMTLANDS LÄN</t>
        </is>
      </c>
      <c r="E3187" t="inlineStr">
        <is>
          <t>STRÖMSUND</t>
        </is>
      </c>
      <c r="F3187" t="inlineStr">
        <is>
          <t>SCA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45249-2024</t>
        </is>
      </c>
      <c r="B3188" s="1" t="n">
        <v>45576</v>
      </c>
      <c r="C3188" s="1" t="n">
        <v>45579</v>
      </c>
      <c r="D3188" t="inlineStr">
        <is>
          <t>JÄMTLANDS LÄN</t>
        </is>
      </c>
      <c r="E3188" t="inlineStr">
        <is>
          <t>STRÖMSUND</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45251-2024</t>
        </is>
      </c>
      <c r="B3189" s="1" t="n">
        <v>45576</v>
      </c>
      <c r="C3189" s="1" t="n">
        <v>45579</v>
      </c>
      <c r="D3189" t="inlineStr">
        <is>
          <t>JÄMTLANDS LÄN</t>
        </is>
      </c>
      <c r="E3189" t="inlineStr">
        <is>
          <t>STRÖMSUND</t>
        </is>
      </c>
      <c r="F3189" t="inlineStr">
        <is>
          <t>Sveaskog</t>
        </is>
      </c>
      <c r="G3189" t="n">
        <v>7.4</v>
      </c>
      <c r="H3189" t="n">
        <v>0</v>
      </c>
      <c r="I3189" t="n">
        <v>0</v>
      </c>
      <c r="J3189" t="n">
        <v>0</v>
      </c>
      <c r="K3189" t="n">
        <v>0</v>
      </c>
      <c r="L3189" t="n">
        <v>0</v>
      </c>
      <c r="M3189" t="n">
        <v>0</v>
      </c>
      <c r="N3189" t="n">
        <v>0</v>
      </c>
      <c r="O3189" t="n">
        <v>0</v>
      </c>
      <c r="P3189" t="n">
        <v>0</v>
      </c>
      <c r="Q3189" t="n">
        <v>0</v>
      </c>
      <c r="R3189" s="2" t="inlineStr"/>
    </row>
    <row r="3190">
      <c r="A3190" t="inlineStr">
        <is>
          <t>A 45411-2024</t>
        </is>
      </c>
      <c r="B3190" s="1" t="n">
        <v>45576</v>
      </c>
      <c r="C3190" s="1" t="n">
        <v>45579</v>
      </c>
      <c r="D3190" t="inlineStr">
        <is>
          <t>JÄMTLANDS LÄN</t>
        </is>
      </c>
      <c r="E3190" t="inlineStr">
        <is>
          <t>STRÖMSUND</t>
        </is>
      </c>
      <c r="F3190" t="inlineStr">
        <is>
          <t>SCA</t>
        </is>
      </c>
      <c r="G3190" t="n">
        <v>6.7</v>
      </c>
      <c r="H3190" t="n">
        <v>0</v>
      </c>
      <c r="I3190" t="n">
        <v>0</v>
      </c>
      <c r="J3190" t="n">
        <v>0</v>
      </c>
      <c r="K3190" t="n">
        <v>0</v>
      </c>
      <c r="L3190" t="n">
        <v>0</v>
      </c>
      <c r="M3190" t="n">
        <v>0</v>
      </c>
      <c r="N3190" t="n">
        <v>0</v>
      </c>
      <c r="O3190" t="n">
        <v>0</v>
      </c>
      <c r="P3190" t="n">
        <v>0</v>
      </c>
      <c r="Q3190" t="n">
        <v>0</v>
      </c>
      <c r="R3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2024-10-14T12:07:03Z</dcterms:created>
  <dcterms:modified xmlns:dcterms="http://purl.org/dc/terms/" xmlns:xsi="http://www.w3.org/2001/XMLSchema-instance" xsi:type="dcterms:W3CDTF">2024-10-14T12:07:05Z</dcterms:modified>
</cp:coreProperties>
</file>